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codeName="ThisWorkbook"/>
  <mc:AlternateContent xmlns:mc="http://schemas.openxmlformats.org/markup-compatibility/2006">
    <mc:Choice Requires="x15">
      <x15ac:absPath xmlns:x15ac="http://schemas.microsoft.com/office/spreadsheetml/2010/11/ac" url="C:\Users\MWelch\source\repos\DFMGenerator_Code\Documentation\"/>
    </mc:Choice>
  </mc:AlternateContent>
  <xr:revisionPtr revIDLastSave="0" documentId="13_ncr:1_{0FEDE256-18FD-443C-A92F-DE40C0617965}" xr6:coauthVersionLast="47" xr6:coauthVersionMax="47" xr10:uidLastSave="{00000000-0000-0000-0000-000000000000}"/>
  <bookViews>
    <workbookView xWindow="-120" yWindow="-120" windowWidth="38640" windowHeight="23640" activeTab="1"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<sst xmlns="http://schemas.openxmlformats.org/spreadsheetml/2006/main" count="1263" uniqueCount="645">
  <si>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</si>
  <si>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</si>
  <si>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</si>
  <si>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</si>
  <si>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</si>
  <si>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</si>
  <si>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</si>
  <si>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</si>
  <si>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</si>
  <si>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</si>
  <si>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</si>
  <si>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</si>
  <si>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</si>
  <si>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</si>
  <si>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</si>
  <si>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</si>
  <si>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</si>
  <si>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</si>
  <si>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</si>
  <si>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</si>
  <si>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</si>
  <si>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</si>
  <si>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</si>
  <si>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</si>
  <si>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</si>
  <si>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</si>
  <si>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</si>
  <si>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</si>
  <si>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</si>
  <si>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</si>
  <si>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</si>
  <si>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</si>
  <si>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</si>
  <si>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</si>
  <si>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</si>
  <si>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</si>
  <si>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</si>
  <si>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</si>
  <si>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</si>
  <si>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</si>
  <si>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</si>
  <si>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</si>
  <si>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</si>
  <si>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</si>
  <si>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</si>
  <si>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</si>
  <si>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</si>
  <si>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</si>
  <si>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</si>
  <si>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</si>
  <si>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</si>
  <si>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</si>
  <si>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</si>
  <si>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</si>
  <si>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</si>
  <si>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</si>
  <si>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</si>
  <si>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</si>
  <si>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</si>
  <si>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</si>
  <si>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</si>
  <si>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</si>
  <si>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</si>
  <si>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</si>
  <si>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</si>
  <si>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</si>
  <si>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</si>
  <si>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</si>
  <si>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</si>
  <si>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</si>
  <si>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</si>
  <si>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</si>
  <si>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</si>
  <si>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</si>
  <si>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</si>
  <si>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</si>
  <si>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</si>
  <si>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</si>
  <si>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</si>
  <si>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</si>
  <si>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</si>
  <si>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</si>
  <si>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</si>
  <si>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</si>
  <si>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</si>
  <si>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</si>
  <si>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</si>
  <si>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</si>
  <si>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</si>
  <si>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</si>
  <si>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</si>
  <si>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</si>
  <si>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</si>
  <si>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</si>
  <si>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</si>
  <si>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</si>
  <si>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</si>
  <si>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</si>
  <si>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</si>
  <si>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</si>
  <si>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</si>
  <si>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</si>
  <si>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</si>
  <si>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</si>
  <si>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</si>
  <si>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</si>
  <si>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</si>
  <si>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</si>
  <si>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</si>
  <si>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</si>
  <si>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</si>
  <si>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</si>
  <si>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</si>
  <si>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</si>
  <si>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</si>
  <si>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</si>
  <si>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</si>
  <si>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</si>
  <si>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</si>
  <si>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</si>
  <si>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</si>
  <si>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</si>
  <si>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</si>
  <si>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</si>
  <si>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</si>
  <si>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</si>
  <si>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</si>
  <si>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</si>
  <si>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</si>
  <si>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</si>
  <si>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</si>
  <si>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</si>
  <si>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</si>
  <si>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</si>
  <si>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</si>
  <si>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</si>
  <si>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</si>
  <si>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</si>
  <si>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</si>
  <si>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</si>
  <si>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</si>
  <si>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</si>
  <si>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</si>
  <si>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</si>
  <si>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</si>
  <si>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</si>
  <si>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</si>
  <si>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</si>
  <si>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</si>
  <si>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</si>
  <si>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</si>
  <si>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</si>
  <si>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</si>
  <si>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</si>
  <si>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</si>
  <si>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</si>
  <si>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</si>
  <si>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</si>
  <si>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</si>
  <si>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</si>
  <si>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</si>
  <si>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</si>
  <si>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</si>
  <si>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</si>
  <si>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</si>
  <si>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</si>
  <si>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</si>
  <si>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</si>
  <si>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</si>
  <si>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</si>
  <si>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</si>
  <si>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</si>
  <si>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</si>
  <si>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</si>
  <si>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</si>
  <si>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</si>
  <si>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</si>
  <si>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</si>
  <si>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</si>
  <si>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</si>
  <si>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</si>
  <si>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</si>
  <si>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</si>
  <si>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</si>
  <si>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</si>
  <si>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</si>
  <si>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</si>
  <si>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</si>
  <si>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</si>
  <si>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</si>
  <si>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</si>
  <si>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</si>
  <si>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</si>
  <si>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</si>
  <si>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</si>
  <si>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</si>
  <si>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</si>
  <si>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</si>
  <si>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</si>
  <si>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</si>
  <si>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</si>
  <si>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</si>
  <si>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</si>
  <si>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</si>
  <si>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</si>
  <si>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</si>
  <si>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</si>
  <si>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</si>
  <si>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</si>
  <si>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</si>
  <si>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</si>
  <si>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</si>
  <si>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</si>
  <si>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</si>
  <si>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</si>
  <si>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</si>
  <si>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</si>
  <si>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</si>
  <si>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</si>
  <si>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</si>
  <si>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</si>
  <si>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</si>
  <si>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</si>
  <si>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</si>
  <si>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</si>
  <si>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</si>
  <si>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</si>
  <si>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</si>
  <si>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</si>
  <si>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</si>
  <si>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</si>
  <si>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</si>
  <si>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</si>
  <si>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</si>
  <si>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</si>
  <si>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</si>
  <si>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</si>
  <si>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</si>
  <si>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</si>
  <si>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</si>
  <si>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</si>
  <si>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</si>
  <si>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</si>
  <si>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</si>
  <si>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</si>
  <si>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</si>
  <si>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</si>
  <si>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</si>
  <si>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</si>
  <si>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</si>
  <si>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</si>
  <si>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</si>
  <si>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</si>
  <si>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</si>
  <si>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</si>
  <si>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</si>
  <si>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</si>
  <si>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</si>
  <si>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</si>
  <si>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</si>
  <si>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</si>
  <si>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</si>
  <si>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</si>
  <si>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</si>
  <si>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</si>
  <si>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</si>
  <si>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</si>
  <si>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</si>
  <si>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</si>
  <si>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</si>
  <si>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</si>
  <si>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</si>
  <si>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</si>
  <si>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</si>
  <si>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</si>
  <si>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</si>
  <si>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</si>
  <si>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</si>
  <si>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</si>
  <si>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</si>
  <si>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</si>
  <si>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</si>
  <si>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</si>
  <si>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</si>
  <si>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</si>
  <si>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</si>
  <si>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</si>
  <si>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</si>
  <si>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</si>
  <si>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</si>
  <si>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</si>
  <si>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</si>
  <si>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</si>
  <si>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</si>
  <si>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</si>
  <si>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</si>
  <si>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</si>
  <si>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</si>
  <si>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</si>
  <si>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</si>
  <si>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</si>
  <si>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</si>
  <si>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</si>
  <si>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</si>
  <si>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</si>
  <si>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</si>
  <si>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</si>
  <si>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</si>
  <si>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</si>
  <si>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</si>
  <si>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</si>
  <si>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</si>
  <si>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</si>
  <si>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</si>
  <si>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</si>
  <si>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</si>
  <si>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</si>
  <si>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</si>
  <si>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</si>
  <si>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</si>
  <si>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</si>
  <si>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</si>
  <si>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</si>
  <si>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</si>
  <si>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</si>
  <si>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</si>
  <si>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</si>
  <si>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</si>
  <si>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</si>
  <si>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</si>
  <si>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</si>
  <si>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</si>
  <si>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</si>
  <si>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</si>
  <si>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</si>
  <si>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</si>
  <si>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</si>
  <si>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</si>
  <si>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</si>
  <si>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</si>
  <si>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</si>
  <si>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</si>
  <si>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</si>
  <si>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</si>
  <si>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</si>
  <si>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</si>
  <si>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</si>
  <si>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</si>
  <si>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</si>
  <si>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</si>
  <si>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</si>
  <si>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</si>
  <si>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</si>
  <si>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</si>
  <si>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</si>
  <si>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</si>
  <si>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</si>
  <si>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</si>
  <si>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</si>
  <si>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</si>
  <si>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</si>
  <si>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</si>
  <si>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</si>
  <si>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</si>
  <si>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</si>
  <si>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</si>
  <si>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</si>
  <si>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</si>
  <si>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</si>
  <si>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</si>
  <si>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</si>
  <si>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</si>
  <si>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</si>
  <si>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</si>
  <si>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</si>
  <si>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</si>
  <si>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</si>
  <si>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</si>
  <si>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</si>
  <si>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</si>
  <si>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</si>
  <si>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</si>
  <si>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</si>
  <si>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</si>
  <si>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</si>
  <si>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</si>
  <si>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</si>
  <si>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</si>
  <si>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</si>
  <si>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</si>
  <si>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</si>
  <si>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</si>
  <si>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</si>
  <si>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</si>
  <si>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</si>
  <si>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</si>
  <si>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</si>
  <si>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</si>
  <si>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</si>
  <si>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</si>
  <si>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</si>
  <si>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</si>
  <si>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</si>
  <si>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</si>
  <si>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</si>
  <si>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</si>
  <si>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</si>
  <si>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</si>
  <si>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</si>
  <si>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</si>
  <si>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</si>
  <si>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</si>
  <si>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</si>
  <si>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</si>
  <si>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</si>
  <si>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</si>
  <si>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</si>
  <si>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</si>
  <si>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</si>
  <si>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</si>
  <si>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</si>
  <si>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</si>
  <si>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</si>
  <si>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</si>
  <si>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</si>
  <si>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</si>
  <si>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</si>
  <si>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</si>
  <si>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</si>
  <si>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</si>
  <si>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</si>
  <si>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</si>
  <si>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</si>
  <si>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</si>
  <si>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</si>
  <si>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</si>
  <si>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</si>
  <si>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</si>
  <si>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</si>
  <si>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</si>
  <si>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</si>
  <si>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</si>
  <si>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</si>
  <si>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</si>
  <si>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</si>
  <si>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</si>
  <si>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</si>
  <si>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</si>
  <si>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</si>
  <si>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</si>
  <si>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</si>
  <si>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</si>
  <si>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</si>
  <si>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</si>
  <si>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</si>
  <si>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</si>
  <si>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</si>
  <si>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</si>
  <si>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</si>
  <si>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</si>
  <si>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</si>
  <si>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</si>
  <si>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</si>
  <si>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</si>
  <si>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</si>
  <si>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</si>
  <si>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</si>
  <si>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</si>
  <si>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</si>
  <si>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</si>
  <si>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</si>
  <si>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</si>
  <si>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</si>
  <si>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</si>
  <si>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</si>
  <si>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</si>
  <si>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</si>
  <si>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</si>
  <si>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</si>
  <si>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</si>
  <si>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</si>
  <si>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</si>
  <si>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</si>
  <si>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</si>
  <si>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</si>
  <si>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</si>
  <si>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</si>
  <si>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</si>
  <si>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</si>
  <si>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</si>
  <si>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</si>
  <si>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</si>
  <si>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</si>
  <si>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</si>
  <si>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</si>
  <si>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</si>
  <si>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</si>
  <si>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</si>
  <si>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</si>
  <si>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</si>
  <si>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</si>
  <si>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</si>
  <si>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</si>
  <si>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</si>
  <si>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</si>
  <si>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</si>
  <si>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</si>
  <si>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</si>
  <si>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</si>
  <si>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</si>
  <si>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</si>
  <si>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</si>
  <si>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</si>
  <si>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</si>
  <si>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</si>
  <si>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</si>
  <si>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</si>
  <si>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</si>
  <si>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</si>
  <si>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</si>
  <si>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</si>
  <si>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</si>
  <si>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</si>
  <si>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</si>
  <si>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</si>
  <si>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</si>
  <si>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</si>
  <si>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</si>
  <si>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</si>
  <si>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</si>
  <si>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</si>
  <si>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</si>
  <si>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</si>
  <si>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</si>
  <si>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</si>
  <si>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</si>
  <si>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</si>
  <si>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</si>
  <si>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</si>
  <si>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</si>
  <si>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</si>
  <si>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</si>
  <si>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</si>
  <si>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</si>
  <si>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</si>
  <si>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</si>
  <si>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</si>
  <si>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</si>
  <si>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</si>
  <si>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</si>
  <si>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</si>
  <si>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Published as paper: https://doi.org/10.1016/j.ijrmms.2023.105612</t>
  </si>
  <si>
    <t>Completed in separate document</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</si>
  <si>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</si>
  <si>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</si>
  <si>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</si>
  <si>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</si>
  <si>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</si>
  <si>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</si>
  <si>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</si>
  <si>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</si>
  <si>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</si>
  <si>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</si>
  <si>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</si>
  <si>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</si>
  <si>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</si>
  <si>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</si>
  <si>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</si>
  <si>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</si>
  <si>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</si>
  <si>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</si>
  <si>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</si>
  <si>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</si>
  <si>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</si>
  <si>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</si>
  <si>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</si>
  <si>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</si>
  <si>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</si>
  <si>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</si>
  <si>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</si>
  <si>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</si>
  <si>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</si>
  <si>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</si>
  <si>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</si>
  <si>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</si>
  <si>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</si>
  <si>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</si>
  <si>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</si>
  <si>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</si>
  <si>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</si>
  <si>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</si>
  <si>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</si>
  <si>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</si>
  <si>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dialog is resized</t>
  </si>
  <si>
    <t>Done in multilayer (2.3) and geothermal (2.4) versions</t>
  </si>
  <si>
    <t>ME61</t>
  </si>
  <si>
    <t>Output fracture reactivity</t>
  </si>
  <si>
    <t>Output fracture reactivation potential (driving stress if positive, cohesionless distance to failure if negative)</t>
  </si>
  <si>
    <t>ME62</t>
  </si>
  <si>
    <t>Output fracture permeability tensor</t>
  </si>
  <si>
    <t>Calculate and output the 6 components of the fracture permeability tensor as properties in the Petrel grid. These can be calculated from the orientation, P32 density and aperture of each fracture dipset using the Oda 1985 algorithm (which assumes fractures of infinite length) or other more sophisticated algorithms that take into account fracture length and connectivity. This has maximum value when done in conjunction with ME63 (use present day stress to calculate fracture aperture)</t>
  </si>
  <si>
    <t>ME63</t>
  </si>
  <si>
    <t>Use present day stress to calculate fracture aperture, porosity and permeability</t>
  </si>
  <si>
    <t xml:space="preserve">If calculating fracture porosity and permeability for fluid flow modelling, the fracture apertures should be based on the present day in situ stress, not the stress at the time of deformation (as is currenlty the case). The same applies to calculating fracture reactivation potential for operational risk analysis. Therefore there should be functionality to define a present day in situ stress, either by supplying a stress tensor or horizontal elastic strain and fluid overpressure, and use this instead of the effective stress tensor from the fracture propagation calculation, to calculate fracture aperture, porosity, permeability and reactivation potential.  </t>
  </si>
  <si>
    <t>Done in geothermal version (2.4) as part of Go-Forward project; needs testing</t>
  </si>
  <si>
    <t>B91</t>
  </si>
  <si>
    <t>Incorrectly calculating initial horizontal stress if Biot's Coefficient &lt;1</t>
  </si>
  <si>
    <t>The code was not taking account of differential compaction of grains and matrix when calculating the initial horizontal effective stress when Biot's coefficient &lt; 1. Amongst other issues, this meant that if the initial state was set to critical, it would start in a state of failure.</t>
  </si>
  <si>
    <t>ME64</t>
  </si>
  <si>
    <t>Calculate Sigma factors</t>
  </si>
  <si>
    <t>Calculate sigma factors along with fracture permeability tensors, as defined in Warren &amp; Root 1963 (SPE426) and Kazemi et al. 1976 (SPE5719).</t>
  </si>
  <si>
    <t>ME65</t>
  </si>
  <si>
    <t>The code already calculates and outputs mean connections per macrofracture (including fractures from other sets that terminate against the macrocrofracture) for all macrofractures; this is relatively easy since the total number of macrofractures terminating against all other macrofractures is equal to the total number of intersecting tips. However to calculate this per fracture set, we need to know the mean number of fractures from other sets that terminate against fractures of a specific set. This data is stored in the GridblockConfiguration.MFTerminations array</t>
  </si>
  <si>
    <t>Calculate mean connections per macrofracture for each set</t>
  </si>
  <si>
    <t>B92</t>
  </si>
  <si>
    <t>Not calculating increment in static microfracture popultion when driving stress is zero</t>
  </si>
  <si>
    <t>When the driving stress is zero, and gamma^(1/beta) is zero, the fds.calculateTotalMicrofracturePopulation() was not incrementing the static microfracture population, even though microfractures could still be deactivated by growth of stress shadows around macrofractures from other dipsets. Active microfracture density was decreased, so total microfracture density was decreasing in inactive fracture dipsets. This was fixed by modifying the fds.calculateTotalMicrofracturePopulation() function to calculate s_uFP30 increment even if ts_gamma_InvBeta_N is zero.</t>
  </si>
  <si>
    <t>Update doucmentation for v2.3</t>
  </si>
  <si>
    <t>Update run-through guide for v2.3 - especially section on outputting permeability tensors</t>
  </si>
  <si>
    <t>D22</t>
  </si>
  <si>
    <t>Done in geothermal version (2.4) as part of Go-Forward project (ME62-65)</t>
  </si>
  <si>
    <t>Work underway as part of Go-Forward project</t>
  </si>
  <si>
    <t>B93</t>
  </si>
  <si>
    <t>Stress shadow width jumping in final timesteps</t>
  </si>
  <si>
    <t>The stress shadow width of certain key fracture dipsets (e.g. the Inclined Hmin set in Test Model B) jumps suddenly in the final few timesteps as the fracture mode switched to dilatant, even though the fractures have stopped growing. This can cause problems if the stress shadow width is used to calculate mean offset of fracture segments (e.g. in the MF Size and Connectivity Corrected Permeability algorithm), as the current stress shadow width used in the calculation will not be the same as that active during fracture growth and controlling the geometry. To get around this, new functions have been added to the FCD_list object to calculate an average stress shadow width during the growth of the fracture set, weighted according to MFP32 increase in each timestep. These functions (and calling functions in the FractureDipSet object) are used to determine relay zone offsets when calculating MF Size and Connectivity Corrected Permeability.</t>
  </si>
  <si>
    <t>Done; needs testing</t>
  </si>
  <si>
    <t>B94</t>
  </si>
  <si>
    <t>Microfracture density jumping to extreme values in oblique fracture models</t>
  </si>
  <si>
    <t>In models with obliques fractures, the uFP30 and uFP32 microfracture densities for some fracture dipsets were jumping to extreme values (&gt;1E8), after the dipsets were deactivated. This was occurring because when the dipsets were deactivated, CurrentFractureData.gamma_InvBeta_M was being set to zero but Cum_Gamma_Mminus1 (and Cum_HalfLength_Mminus1) were not being reset, so were retaining anomalously high values.</t>
  </si>
  <si>
    <t>B95</t>
  </si>
  <si>
    <t>Not testing every fracture set for deactivation in every timestep</t>
  </si>
  <si>
    <t>The code in GridblockConfiguration.CalculateFractureData() that calls the function FractureSet.CheckFractureDeactivation() to check each fracture set is deactivated used a conditional and (&amp;&amp;) rather than an unconditional and (&amp;) to link the function call with the AllSetsDeactivated flag. As a result, as soon as one fracture set was found to be active, the CheckFractureDeactivation function would not be called for any other fracture sets, thus suppressing fracture deactivation (although fracture sets can still be deactivated in the fds.calculateTotalMacrofracturePopulation function). This can be solves by replacing the conditional and with an unconditional and so the CheckFractureDeactivation function is always called, regardless of the flag value</t>
  </si>
  <si>
    <t>ME66</t>
  </si>
  <si>
    <t>Take account of surface height when calculating in situ stress</t>
  </si>
  <si>
    <t>For onshore models we need to take account of the surface height when calculating lithostatic stress. Therefore if the top of the Petrel grid is above MSL we should include this height when calculating depth at time of deformation for the DFM Generator gridblock. NB If the top of the Petrel grid does not extend to the surface, the surface height above MSL will need to be included manually by calculating a depth at time of deformation property.</t>
  </si>
  <si>
    <t>B96</t>
  </si>
  <si>
    <t>Generating NaN values for porosity and permeability for uniform and size-dependent fracture aperture</t>
  </si>
  <si>
    <t>The problem occurred where the stress tensor was isotropic and the present-day stress was used. The function gbc.SetFractureApertureControlData() gets a NaN from PresentDayStress.GetMinimumHorizontalAzimuth(), which then causes NaN to be returned when calculating the aperture and aperture mutlipliers based on fracture orientation. Can be fixed by using the gbc.Hmin_azimuth when GetMinimumHorizontalAzimuth(0 returns NaN - this is always defined</t>
  </si>
  <si>
    <t>ME67</t>
  </si>
  <si>
    <t>In the Petrel version, read Property data for dynamic loads as an alternative to simulation results - this allows stress tensor output from Tectonic Models (fault-related stress) to be used directly. Also, allow effective stress to be read as well as absolute stress.</t>
  </si>
  <si>
    <t>Read Property data for dynamic loads as an alternative to simulation results.</t>
  </si>
  <si>
    <t>ME68</t>
  </si>
  <si>
    <t>Minor Enhancement</t>
  </si>
  <si>
    <t>Allow option to ignore faults when propagating fractures</t>
  </si>
  <si>
    <t>Create an option to allow fractures to propagate across faults in the Petrel version. By default fractures will terminate if they intersect a fault at a cell boundary. This can cause problems with stairstep grids contining inclined faults or faults at different depths, as any pillar intersecting a fault will cause fractures to terminate, even if the fault does not cut the layer containing the fractures. This can be presented by ensuring all neighbouring gridblocks are connected, even those where Petrel records a faulted cell boundary.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</si>
</sst>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103"/>
  <sheetViews>
    <sheetView workbookViewId="0">
      <pane ySplit="1" topLeftCell="A99" activePane="bottomLeft" state="frozen"/>
      <selection pane="bottomLeft" activeCell="A103" sqref="A103:XFD103"/>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558</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559</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557</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561</v>
      </c>
      <c r="F68" s="3">
        <v>1</v>
      </c>
      <c r="G68" s="3" t="s">
        <v>569</v>
      </c>
      <c r="H68" s="3" t="s">
        <v>36</v>
      </c>
      <c r="I68" s="3" t="s">
        <v>499</v>
      </c>
    </row>
    <row r="69" spans="1:9" s="3" customFormat="1" ht="90" x14ac:dyDescent="0.25">
      <c r="A69" s="3" t="s">
        <v>447</v>
      </c>
      <c r="B69" s="3" t="s">
        <v>3</v>
      </c>
      <c r="C69" s="4" t="s">
        <v>444</v>
      </c>
      <c r="D69" s="4" t="s">
        <v>445</v>
      </c>
      <c r="F69" s="3">
        <v>0.25</v>
      </c>
      <c r="G69" s="3" t="s">
        <v>569</v>
      </c>
      <c r="H69" s="3" t="s">
        <v>36</v>
      </c>
      <c r="I69" s="3" t="s">
        <v>499</v>
      </c>
    </row>
    <row r="70" spans="1:9" s="3" customFormat="1" ht="105" x14ac:dyDescent="0.25">
      <c r="A70" s="3" t="s">
        <v>448</v>
      </c>
      <c r="B70" s="3" t="s">
        <v>3</v>
      </c>
      <c r="C70" s="4" t="s">
        <v>457</v>
      </c>
      <c r="D70" s="4" t="s">
        <v>473</v>
      </c>
      <c r="F70" s="3">
        <v>0.25</v>
      </c>
      <c r="G70" s="3" t="s">
        <v>569</v>
      </c>
      <c r="H70" s="3" t="s">
        <v>36</v>
      </c>
      <c r="I70" s="3" t="s">
        <v>499</v>
      </c>
    </row>
    <row r="71" spans="1:9" s="3" customFormat="1" ht="75" x14ac:dyDescent="0.25">
      <c r="A71" s="3" t="s">
        <v>449</v>
      </c>
      <c r="B71" s="3" t="s">
        <v>3</v>
      </c>
      <c r="C71" s="4" t="s">
        <v>453</v>
      </c>
      <c r="D71" s="4" t="s">
        <v>458</v>
      </c>
      <c r="F71" s="3">
        <v>0.5</v>
      </c>
      <c r="G71" s="3" t="s">
        <v>569</v>
      </c>
      <c r="H71" s="3" t="s">
        <v>36</v>
      </c>
      <c r="I71" s="3" t="s">
        <v>483</v>
      </c>
    </row>
    <row r="72" spans="1:9" s="3" customFormat="1" ht="60" x14ac:dyDescent="0.25">
      <c r="A72" s="3" t="s">
        <v>455</v>
      </c>
      <c r="B72" s="3" t="s">
        <v>3</v>
      </c>
      <c r="C72" s="4" t="s">
        <v>450</v>
      </c>
      <c r="D72" s="4" t="s">
        <v>451</v>
      </c>
      <c r="F72" s="3">
        <v>0.25</v>
      </c>
      <c r="G72" s="3" t="s">
        <v>569</v>
      </c>
      <c r="H72" s="3" t="s">
        <v>36</v>
      </c>
      <c r="I72" s="3" t="s">
        <v>499</v>
      </c>
    </row>
    <row r="73" spans="1:9" s="3" customFormat="1" ht="30" x14ac:dyDescent="0.25">
      <c r="A73" s="3" t="s">
        <v>456</v>
      </c>
      <c r="B73" s="3" t="s">
        <v>3</v>
      </c>
      <c r="C73" s="4" t="s">
        <v>452</v>
      </c>
      <c r="D73" s="4" t="s">
        <v>454</v>
      </c>
      <c r="F73" s="3">
        <v>0.25</v>
      </c>
      <c r="G73" s="3" t="s">
        <v>569</v>
      </c>
      <c r="H73" s="3" t="s">
        <v>36</v>
      </c>
      <c r="I73" s="3" t="s">
        <v>499</v>
      </c>
    </row>
    <row r="74" spans="1:9" s="3" customFormat="1" ht="105" x14ac:dyDescent="0.25">
      <c r="A74" s="3" t="s">
        <v>459</v>
      </c>
      <c r="B74" s="3" t="s">
        <v>3</v>
      </c>
      <c r="C74" s="4" t="s">
        <v>460</v>
      </c>
      <c r="D74" s="4" t="s">
        <v>461</v>
      </c>
      <c r="F74" s="3">
        <v>0.25</v>
      </c>
      <c r="G74" s="3" t="s">
        <v>569</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560</v>
      </c>
    </row>
    <row r="81" spans="1:9" s="3" customFormat="1" ht="120" x14ac:dyDescent="0.25">
      <c r="A81" s="3" t="s">
        <v>505</v>
      </c>
      <c r="B81" s="3" t="s">
        <v>3</v>
      </c>
      <c r="C81" s="4" t="s">
        <v>506</v>
      </c>
      <c r="D81" s="4" t="s">
        <v>562</v>
      </c>
      <c r="F81" s="3">
        <v>1</v>
      </c>
      <c r="G81" s="3" t="s">
        <v>465</v>
      </c>
      <c r="H81" s="3" t="s">
        <v>36</v>
      </c>
      <c r="I81" s="3" t="s">
        <v>560</v>
      </c>
    </row>
    <row r="82" spans="1:9" s="3" customFormat="1" ht="195" x14ac:dyDescent="0.25">
      <c r="A82" s="3" t="s">
        <v>507</v>
      </c>
      <c r="B82" s="3" t="s">
        <v>3</v>
      </c>
      <c r="C82" s="4" t="s">
        <v>508</v>
      </c>
      <c r="D82" s="4" t="s">
        <v>576</v>
      </c>
      <c r="F82" s="3">
        <v>1</v>
      </c>
      <c r="G82" s="3" t="s">
        <v>465</v>
      </c>
      <c r="H82" s="3" t="s">
        <v>36</v>
      </c>
      <c r="I82" s="3" t="s">
        <v>560</v>
      </c>
    </row>
    <row r="83" spans="1:9" s="3" customFormat="1" ht="75" x14ac:dyDescent="0.25">
      <c r="A83" s="3" t="s">
        <v>509</v>
      </c>
      <c r="B83" s="3" t="s">
        <v>3</v>
      </c>
      <c r="C83" s="4" t="s">
        <v>510</v>
      </c>
      <c r="D83" s="4" t="s">
        <v>511</v>
      </c>
      <c r="F83" s="3">
        <v>0.5</v>
      </c>
      <c r="G83" s="3" t="s">
        <v>465</v>
      </c>
      <c r="H83" s="3" t="s">
        <v>36</v>
      </c>
      <c r="I83" s="3" t="s">
        <v>560</v>
      </c>
    </row>
    <row r="84" spans="1:9" s="3" customFormat="1" ht="105" x14ac:dyDescent="0.25">
      <c r="A84" s="3" t="s">
        <v>512</v>
      </c>
      <c r="B84" s="3" t="s">
        <v>3</v>
      </c>
      <c r="C84" s="4" t="s">
        <v>513</v>
      </c>
      <c r="D84" s="4" t="s">
        <v>526</v>
      </c>
      <c r="F84" s="3">
        <v>0.5</v>
      </c>
      <c r="G84" s="3" t="s">
        <v>465</v>
      </c>
      <c r="H84" s="3" t="s">
        <v>36</v>
      </c>
      <c r="I84" s="3" t="s">
        <v>560</v>
      </c>
    </row>
    <row r="85" spans="1:9" ht="150" x14ac:dyDescent="0.25">
      <c r="A85" s="1" t="s">
        <v>524</v>
      </c>
      <c r="B85" s="1" t="s">
        <v>3</v>
      </c>
      <c r="C85" s="2" t="s">
        <v>525</v>
      </c>
      <c r="D85" s="2" t="s">
        <v>527</v>
      </c>
      <c r="F85" s="1">
        <v>0.5</v>
      </c>
      <c r="G85" s="1" t="s">
        <v>528</v>
      </c>
      <c r="H85" s="1" t="s">
        <v>36</v>
      </c>
      <c r="I85" s="1" t="s">
        <v>556</v>
      </c>
    </row>
    <row r="86" spans="1:9" s="3" customFormat="1" ht="90" x14ac:dyDescent="0.25">
      <c r="A86" s="3" t="s">
        <v>529</v>
      </c>
      <c r="B86" s="3" t="s">
        <v>3</v>
      </c>
      <c r="C86" s="4" t="s">
        <v>530</v>
      </c>
      <c r="D86" s="4" t="s">
        <v>531</v>
      </c>
      <c r="F86" s="3">
        <v>0.5</v>
      </c>
      <c r="G86" s="3" t="s">
        <v>465</v>
      </c>
      <c r="H86" s="3" t="s">
        <v>36</v>
      </c>
      <c r="I86" s="3" t="s">
        <v>560</v>
      </c>
    </row>
    <row r="87" spans="1:9" s="3" customFormat="1" ht="105" x14ac:dyDescent="0.25">
      <c r="A87" s="3" t="s">
        <v>537</v>
      </c>
      <c r="B87" s="3" t="s">
        <v>3</v>
      </c>
      <c r="C87" s="4" t="s">
        <v>538</v>
      </c>
      <c r="D87" s="4" t="s">
        <v>539</v>
      </c>
      <c r="F87" s="3">
        <v>0.5</v>
      </c>
      <c r="G87" s="3" t="s">
        <v>465</v>
      </c>
      <c r="H87" s="3" t="s">
        <v>36</v>
      </c>
      <c r="I87" s="3" t="s">
        <v>560</v>
      </c>
    </row>
    <row r="88" spans="1:9" s="3" customFormat="1" ht="75" x14ac:dyDescent="0.25">
      <c r="A88" s="3" t="s">
        <v>540</v>
      </c>
      <c r="B88" s="3" t="s">
        <v>3</v>
      </c>
      <c r="C88" s="4" t="s">
        <v>541</v>
      </c>
      <c r="D88" s="4" t="s">
        <v>542</v>
      </c>
      <c r="F88" s="3">
        <v>0.5</v>
      </c>
      <c r="G88" s="3" t="s">
        <v>465</v>
      </c>
      <c r="H88" s="3" t="s">
        <v>36</v>
      </c>
      <c r="I88" s="3" t="s">
        <v>560</v>
      </c>
    </row>
    <row r="89" spans="1:9" s="3" customFormat="1" ht="150" x14ac:dyDescent="0.25">
      <c r="A89" s="3" t="s">
        <v>543</v>
      </c>
      <c r="B89" s="3" t="s">
        <v>3</v>
      </c>
      <c r="C89" s="4" t="s">
        <v>544</v>
      </c>
      <c r="D89" s="4" t="s">
        <v>545</v>
      </c>
      <c r="F89" s="3">
        <v>1</v>
      </c>
      <c r="G89" s="3" t="s">
        <v>465</v>
      </c>
      <c r="H89" s="3" t="s">
        <v>36</v>
      </c>
      <c r="I89" s="3" t="s">
        <v>560</v>
      </c>
    </row>
    <row r="90" spans="1:9" s="3" customFormat="1" ht="135" x14ac:dyDescent="0.25">
      <c r="A90" s="3" t="s">
        <v>546</v>
      </c>
      <c r="B90" s="3" t="s">
        <v>3</v>
      </c>
      <c r="C90" s="4" t="s">
        <v>544</v>
      </c>
      <c r="D90" s="4" t="s">
        <v>547</v>
      </c>
      <c r="F90" s="3">
        <v>1</v>
      </c>
      <c r="G90" s="3" t="s">
        <v>465</v>
      </c>
      <c r="H90" s="3" t="s">
        <v>36</v>
      </c>
      <c r="I90" s="3" t="s">
        <v>560</v>
      </c>
    </row>
    <row r="91" spans="1:9" s="3" customFormat="1" ht="90" x14ac:dyDescent="0.25">
      <c r="A91" s="3" t="s">
        <v>570</v>
      </c>
      <c r="B91" s="3" t="s">
        <v>3</v>
      </c>
      <c r="C91" s="4" t="s">
        <v>572</v>
      </c>
      <c r="D91" s="4" t="s">
        <v>589</v>
      </c>
      <c r="F91" s="3">
        <v>0.5</v>
      </c>
      <c r="H91" s="3" t="s">
        <v>36</v>
      </c>
      <c r="I91" s="3" t="s">
        <v>560</v>
      </c>
    </row>
    <row r="92" spans="1:9" s="3" customFormat="1" ht="165" x14ac:dyDescent="0.25">
      <c r="A92" s="3" t="s">
        <v>573</v>
      </c>
      <c r="B92" s="3" t="s">
        <v>3</v>
      </c>
      <c r="C92" s="4" t="s">
        <v>574</v>
      </c>
      <c r="D92" s="4" t="s">
        <v>575</v>
      </c>
      <c r="F92" s="3">
        <v>1</v>
      </c>
      <c r="H92" s="3" t="s">
        <v>36</v>
      </c>
      <c r="I92" s="3" t="s">
        <v>560</v>
      </c>
    </row>
    <row r="93" spans="1:9" s="3" customFormat="1" ht="150" x14ac:dyDescent="0.25">
      <c r="A93" s="3" t="s">
        <v>578</v>
      </c>
      <c r="B93" s="3" t="s">
        <v>3</v>
      </c>
      <c r="C93" s="4" t="s">
        <v>579</v>
      </c>
      <c r="D93" s="4" t="s">
        <v>580</v>
      </c>
      <c r="F93" s="3">
        <v>0.5</v>
      </c>
      <c r="H93" s="3" t="s">
        <v>36</v>
      </c>
      <c r="I93" s="3" t="s">
        <v>560</v>
      </c>
    </row>
    <row r="94" spans="1:9" s="3" customFormat="1" ht="90" x14ac:dyDescent="0.25">
      <c r="A94" s="3" t="s">
        <v>581</v>
      </c>
      <c r="B94" s="3" t="s">
        <v>3</v>
      </c>
      <c r="C94" s="4" t="s">
        <v>582</v>
      </c>
      <c r="D94" s="4" t="s">
        <v>583</v>
      </c>
      <c r="F94" s="3">
        <v>0.1</v>
      </c>
      <c r="H94" s="3" t="s">
        <v>36</v>
      </c>
      <c r="I94" s="3" t="s">
        <v>560</v>
      </c>
    </row>
    <row r="95" spans="1:9" s="3" customFormat="1" ht="105" x14ac:dyDescent="0.25">
      <c r="A95" s="3" t="s">
        <v>584</v>
      </c>
      <c r="B95" s="3" t="s">
        <v>3</v>
      </c>
      <c r="C95" s="4" t="s">
        <v>585</v>
      </c>
      <c r="D95" s="4" t="s">
        <v>586</v>
      </c>
      <c r="F95" s="3">
        <v>0.5</v>
      </c>
      <c r="H95" s="3" t="s">
        <v>36</v>
      </c>
      <c r="I95" s="3" t="s">
        <v>560</v>
      </c>
    </row>
    <row r="96" spans="1:9" s="3" customFormat="1" ht="105" x14ac:dyDescent="0.25">
      <c r="A96" s="3" t="s">
        <v>588</v>
      </c>
      <c r="B96" s="3" t="s">
        <v>3</v>
      </c>
      <c r="C96" s="4" t="s">
        <v>585</v>
      </c>
      <c r="D96" s="4" t="s">
        <v>587</v>
      </c>
      <c r="F96" s="3">
        <v>0.2</v>
      </c>
      <c r="H96" s="3" t="s">
        <v>36</v>
      </c>
      <c r="I96" s="3" t="s">
        <v>560</v>
      </c>
    </row>
    <row r="97" spans="1:9" s="3" customFormat="1" ht="90" x14ac:dyDescent="0.25">
      <c r="A97" s="3" t="s">
        <v>590</v>
      </c>
      <c r="B97" s="3" t="s">
        <v>3</v>
      </c>
      <c r="C97" s="4" t="s">
        <v>591</v>
      </c>
      <c r="D97" s="4" t="s">
        <v>592</v>
      </c>
      <c r="F97" s="3">
        <v>0.2</v>
      </c>
      <c r="H97" s="3" t="s">
        <v>38</v>
      </c>
      <c r="I97" s="3" t="s">
        <v>560</v>
      </c>
    </row>
    <row r="98" spans="1:9" s="3" customFormat="1" ht="60" x14ac:dyDescent="0.25">
      <c r="A98" s="3" t="s">
        <v>605</v>
      </c>
      <c r="B98" s="3" t="s">
        <v>3</v>
      </c>
      <c r="C98" s="4" t="s">
        <v>606</v>
      </c>
      <c r="D98" s="4" t="s">
        <v>607</v>
      </c>
      <c r="F98" s="3">
        <v>0.5</v>
      </c>
      <c r="H98" s="3" t="s">
        <v>36</v>
      </c>
      <c r="I98" s="3" t="s">
        <v>97</v>
      </c>
    </row>
    <row r="99" spans="1:9" s="3" customFormat="1" ht="90" x14ac:dyDescent="0.25">
      <c r="A99" s="3" t="s">
        <v>614</v>
      </c>
      <c r="B99" s="3" t="s">
        <v>3</v>
      </c>
      <c r="C99" s="4" t="s">
        <v>615</v>
      </c>
      <c r="D99" s="4" t="s">
        <v>616</v>
      </c>
      <c r="F99" s="3">
        <v>0.5</v>
      </c>
      <c r="H99" s="3" t="s">
        <v>36</v>
      </c>
      <c r="I99" s="3" t="s">
        <v>97</v>
      </c>
    </row>
    <row r="100" spans="1:9" s="6" customFormat="1" ht="135" x14ac:dyDescent="0.25">
      <c r="A100" s="6" t="s">
        <v>622</v>
      </c>
      <c r="B100" s="6" t="s">
        <v>3</v>
      </c>
      <c r="C100" s="7" t="s">
        <v>623</v>
      </c>
      <c r="D100" s="7" t="s">
        <v>624</v>
      </c>
      <c r="F100" s="6">
        <v>0.5</v>
      </c>
      <c r="H100" s="6" t="s">
        <v>36</v>
      </c>
      <c r="I100" s="6" t="s">
        <v>625</v>
      </c>
    </row>
    <row r="101" spans="1:9" s="6" customFormat="1" ht="75" x14ac:dyDescent="0.25">
      <c r="A101" s="6" t="s">
        <v>626</v>
      </c>
      <c r="B101" s="6" t="s">
        <v>3</v>
      </c>
      <c r="C101" s="7" t="s">
        <v>627</v>
      </c>
      <c r="D101" s="7" t="s">
        <v>628</v>
      </c>
      <c r="F101" s="6">
        <v>0.5</v>
      </c>
      <c r="H101" s="6" t="s">
        <v>36</v>
      </c>
      <c r="I101" s="6" t="s">
        <v>625</v>
      </c>
    </row>
    <row r="102" spans="1:9" s="6" customFormat="1" ht="120" x14ac:dyDescent="0.25">
      <c r="A102" s="6" t="s">
        <v>629</v>
      </c>
      <c r="B102" s="6" t="s">
        <v>3</v>
      </c>
      <c r="C102" s="7" t="s">
        <v>630</v>
      </c>
      <c r="D102" s="7" t="s">
        <v>631</v>
      </c>
      <c r="F102" s="6">
        <v>0.5</v>
      </c>
      <c r="H102" s="6" t="s">
        <v>36</v>
      </c>
      <c r="I102" s="6" t="s">
        <v>625</v>
      </c>
    </row>
    <row r="103" spans="1:9" s="6" customFormat="1" ht="90" x14ac:dyDescent="0.25">
      <c r="A103" s="6" t="s">
        <v>635</v>
      </c>
      <c r="B103" s="6" t="s">
        <v>3</v>
      </c>
      <c r="C103" s="7" t="s">
        <v>636</v>
      </c>
      <c r="D103" s="7" t="s">
        <v>637</v>
      </c>
      <c r="F103" s="6">
        <v>0.5</v>
      </c>
      <c r="H103" s="6" t="s">
        <v>36</v>
      </c>
      <c r="I103" s="6" t="s">
        <v>625</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61"/>
  <sheetViews>
    <sheetView tabSelected="1" workbookViewId="0">
      <pane ySplit="1" topLeftCell="A53" activePane="bottomLeft" state="frozen"/>
      <selection pane="bottomLeft" activeCell="A61" sqref="A61:XFD61"/>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568</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567</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577</v>
      </c>
    </row>
    <row r="42" spans="1:9" x14ac:dyDescent="0.25">
      <c r="A42" s="1" t="s">
        <v>501</v>
      </c>
      <c r="B42" s="1" t="s">
        <v>577</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3" customFormat="1" ht="75" x14ac:dyDescent="0.25">
      <c r="A45" s="3" t="s">
        <v>435</v>
      </c>
      <c r="B45" s="3" t="s">
        <v>10</v>
      </c>
      <c r="C45" s="4" t="s">
        <v>436</v>
      </c>
      <c r="D45" s="4" t="s">
        <v>437</v>
      </c>
      <c r="F45" s="3">
        <v>0.2</v>
      </c>
      <c r="H45" s="3" t="s">
        <v>38</v>
      </c>
      <c r="I45" s="3"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555</v>
      </c>
    </row>
    <row r="50" spans="1:9" s="12" customFormat="1" ht="90" x14ac:dyDescent="0.25">
      <c r="A50" s="12" t="s">
        <v>520</v>
      </c>
      <c r="B50" s="12" t="s">
        <v>10</v>
      </c>
      <c r="C50" s="13" t="s">
        <v>521</v>
      </c>
      <c r="D50" s="13" t="s">
        <v>522</v>
      </c>
      <c r="F50" s="12">
        <v>3</v>
      </c>
      <c r="G50" s="12" t="s">
        <v>523</v>
      </c>
      <c r="H50" s="12"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c r="I52" s="6" t="s">
        <v>594</v>
      </c>
    </row>
    <row r="53" spans="1:9" s="3" customFormat="1" ht="105" x14ac:dyDescent="0.25">
      <c r="A53" s="3" t="s">
        <v>549</v>
      </c>
      <c r="B53" s="3" t="s">
        <v>10</v>
      </c>
      <c r="C53" s="4" t="s">
        <v>550</v>
      </c>
      <c r="D53" s="4" t="s">
        <v>593</v>
      </c>
      <c r="F53" s="3">
        <v>0.5</v>
      </c>
      <c r="H53" s="3" t="s">
        <v>38</v>
      </c>
      <c r="I53" s="3" t="s">
        <v>97</v>
      </c>
    </row>
    <row r="54" spans="1:9" s="6" customFormat="1" ht="30" x14ac:dyDescent="0.25">
      <c r="A54" s="6" t="s">
        <v>595</v>
      </c>
      <c r="B54" s="6" t="s">
        <v>10</v>
      </c>
      <c r="C54" s="7" t="s">
        <v>596</v>
      </c>
      <c r="D54" s="7" t="s">
        <v>597</v>
      </c>
      <c r="F54" s="6">
        <v>0.5</v>
      </c>
      <c r="H54" s="6" t="s">
        <v>38</v>
      </c>
      <c r="I54" s="6" t="s">
        <v>604</v>
      </c>
    </row>
    <row r="55" spans="1:9" s="6" customFormat="1" ht="75" x14ac:dyDescent="0.25">
      <c r="A55" s="6" t="s">
        <v>598</v>
      </c>
      <c r="B55" s="6" t="s">
        <v>10</v>
      </c>
      <c r="C55" s="7" t="s">
        <v>599</v>
      </c>
      <c r="D55" s="7" t="s">
        <v>600</v>
      </c>
      <c r="F55" s="6">
        <v>2</v>
      </c>
      <c r="H55" s="6" t="s">
        <v>36</v>
      </c>
      <c r="I55" s="6" t="s">
        <v>604</v>
      </c>
    </row>
    <row r="56" spans="1:9" s="6" customFormat="1" ht="90" x14ac:dyDescent="0.25">
      <c r="A56" s="6" t="s">
        <v>601</v>
      </c>
      <c r="B56" s="6" t="s">
        <v>10</v>
      </c>
      <c r="C56" s="7" t="s">
        <v>602</v>
      </c>
      <c r="D56" s="7" t="s">
        <v>603</v>
      </c>
      <c r="F56" s="6">
        <v>2</v>
      </c>
      <c r="H56" s="6" t="s">
        <v>36</v>
      </c>
      <c r="I56" s="6" t="s">
        <v>604</v>
      </c>
    </row>
    <row r="57" spans="1:9" s="6" customFormat="1" ht="30" x14ac:dyDescent="0.25">
      <c r="A57" s="6" t="s">
        <v>608</v>
      </c>
      <c r="B57" s="6" t="s">
        <v>10</v>
      </c>
      <c r="C57" s="7" t="s">
        <v>609</v>
      </c>
      <c r="D57" s="7" t="s">
        <v>610</v>
      </c>
      <c r="F57" s="6">
        <v>0.5</v>
      </c>
      <c r="H57" s="6" t="s">
        <v>36</v>
      </c>
      <c r="I57" s="6" t="s">
        <v>604</v>
      </c>
    </row>
    <row r="58" spans="1:9" s="6" customFormat="1" ht="90" x14ac:dyDescent="0.25">
      <c r="A58" s="6" t="s">
        <v>611</v>
      </c>
      <c r="B58" s="6" t="s">
        <v>10</v>
      </c>
      <c r="C58" s="7" t="s">
        <v>613</v>
      </c>
      <c r="D58" s="7" t="s">
        <v>612</v>
      </c>
      <c r="F58" s="6">
        <v>1</v>
      </c>
      <c r="H58" s="6" t="s">
        <v>36</v>
      </c>
      <c r="I58" s="6" t="s">
        <v>604</v>
      </c>
    </row>
    <row r="59" spans="1:9" s="6" customFormat="1" ht="75" x14ac:dyDescent="0.25">
      <c r="A59" s="6" t="s">
        <v>632</v>
      </c>
      <c r="B59" s="6" t="s">
        <v>10</v>
      </c>
      <c r="C59" s="7" t="s">
        <v>633</v>
      </c>
      <c r="D59" s="7" t="s">
        <v>634</v>
      </c>
      <c r="F59" s="6">
        <v>1</v>
      </c>
      <c r="H59" s="6" t="s">
        <v>36</v>
      </c>
      <c r="I59" s="6" t="s">
        <v>604</v>
      </c>
    </row>
    <row r="60" spans="1:9" s="6" customFormat="1" ht="60" x14ac:dyDescent="0.25">
      <c r="A60" s="6" t="s">
        <v>638</v>
      </c>
      <c r="B60" s="6" t="s">
        <v>10</v>
      </c>
      <c r="C60" s="7" t="s">
        <v>640</v>
      </c>
      <c r="D60" s="7" t="s">
        <v>639</v>
      </c>
      <c r="F60" s="6">
        <v>3</v>
      </c>
      <c r="H60" s="6" t="s">
        <v>36</v>
      </c>
      <c r="I60" s="6" t="s">
        <v>604</v>
      </c>
    </row>
    <row r="61" spans="1:9" s="6" customFormat="1" ht="75" x14ac:dyDescent="0.25">
      <c r="A61" s="6" t="s">
        <v>641</v>
      </c>
      <c r="B61" s="6" t="s">
        <v>642</v>
      </c>
      <c r="C61" s="7" t="s">
        <v>643</v>
      </c>
      <c r="D61" s="7" t="s">
        <v>644</v>
      </c>
      <c r="F61" s="6">
        <v>3</v>
      </c>
      <c r="H61" s="6" t="s">
        <v>36</v>
      </c>
      <c r="I61" s="6" t="s">
        <v>604</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3"/>
  <sheetViews>
    <sheetView workbookViewId="0">
      <pane ySplit="1" topLeftCell="A18" activePane="bottomLeft" state="frozen"/>
      <selection pane="bottomLeft" activeCell="D20" sqref="D20"/>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552</v>
      </c>
    </row>
    <row r="10" spans="1:9" s="3" customFormat="1" x14ac:dyDescent="0.25">
      <c r="A10" s="3" t="s">
        <v>76</v>
      </c>
      <c r="B10" s="3" t="s">
        <v>45</v>
      </c>
      <c r="C10" s="4" t="s">
        <v>77</v>
      </c>
      <c r="D10" s="4" t="s">
        <v>78</v>
      </c>
      <c r="F10" s="3">
        <v>50</v>
      </c>
      <c r="H10" s="3" t="s">
        <v>36</v>
      </c>
      <c r="I10" s="3" t="s">
        <v>551</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571</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566</v>
      </c>
      <c r="F22" s="3">
        <v>1</v>
      </c>
      <c r="H22" s="3" t="s">
        <v>36</v>
      </c>
      <c r="I22" s="3" t="s">
        <v>97</v>
      </c>
    </row>
    <row r="23" spans="1:9" s="8" customFormat="1" ht="45" x14ac:dyDescent="0.25">
      <c r="A23" s="8" t="s">
        <v>619</v>
      </c>
      <c r="B23" s="8" t="s">
        <v>45</v>
      </c>
      <c r="C23" s="9" t="s">
        <v>617</v>
      </c>
      <c r="D23" s="9" t="s">
        <v>618</v>
      </c>
      <c r="F23" s="8">
        <v>1</v>
      </c>
      <c r="H23" s="8" t="s">
        <v>36</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workbookViewId="0">
      <pane ySplit="1" topLeftCell="A2" activePane="bottomLeft" state="frozen"/>
      <selection pane="bottomLeft" activeCell="D8" sqref="D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2" customFormat="1" ht="90" x14ac:dyDescent="0.25">
      <c r="A4" s="12" t="s">
        <v>87</v>
      </c>
      <c r="B4" s="12" t="s">
        <v>83</v>
      </c>
      <c r="C4" s="13" t="s">
        <v>77</v>
      </c>
      <c r="D4" s="13" t="s">
        <v>553</v>
      </c>
      <c r="F4" s="12">
        <v>50</v>
      </c>
      <c r="G4" s="13" t="s">
        <v>554</v>
      </c>
      <c r="H4" s="12" t="s">
        <v>36</v>
      </c>
      <c r="I4" s="12" t="s">
        <v>415</v>
      </c>
    </row>
    <row r="5" spans="1:9" s="3" customFormat="1" ht="45" x14ac:dyDescent="0.25">
      <c r="A5" s="3" t="s">
        <v>239</v>
      </c>
      <c r="B5" s="3" t="s">
        <v>83</v>
      </c>
      <c r="C5" s="4" t="s">
        <v>240</v>
      </c>
      <c r="D5" s="4" t="s">
        <v>563</v>
      </c>
      <c r="F5" s="3">
        <v>2</v>
      </c>
      <c r="H5" s="3" t="s">
        <v>36</v>
      </c>
      <c r="I5" s="3" t="s">
        <v>97</v>
      </c>
    </row>
    <row r="6" spans="1:9" s="3" customFormat="1" ht="60" x14ac:dyDescent="0.25">
      <c r="A6" s="3" t="s">
        <v>259</v>
      </c>
      <c r="B6" s="3" t="s">
        <v>83</v>
      </c>
      <c r="C6" s="4" t="s">
        <v>260</v>
      </c>
      <c r="D6" s="4" t="s">
        <v>564</v>
      </c>
      <c r="F6" s="3">
        <v>2</v>
      </c>
      <c r="H6" s="3" t="s">
        <v>36</v>
      </c>
      <c r="I6" s="3" t="s">
        <v>97</v>
      </c>
    </row>
    <row r="7" spans="1:9" s="3" customFormat="1" ht="45" x14ac:dyDescent="0.25">
      <c r="A7" s="3" t="s">
        <v>412</v>
      </c>
      <c r="B7" s="3" t="s">
        <v>83</v>
      </c>
      <c r="C7" s="4" t="s">
        <v>413</v>
      </c>
      <c r="D7" s="4" t="s">
        <v>414</v>
      </c>
      <c r="F7" s="3">
        <v>5</v>
      </c>
      <c r="G7" s="3" t="s">
        <v>565</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565</v>
      </c>
      <c r="H9" s="3" t="s">
        <v>36</v>
      </c>
      <c r="I9" s="3" t="s">
        <v>499</v>
      </c>
    </row>
    <row r="10" spans="1:9" s="6" customFormat="1" ht="30" x14ac:dyDescent="0.25">
      <c r="A10" s="6" t="s">
        <v>476</v>
      </c>
      <c r="B10" s="6" t="s">
        <v>83</v>
      </c>
      <c r="C10" s="7" t="s">
        <v>477</v>
      </c>
      <c r="D10" s="7" t="s">
        <v>478</v>
      </c>
      <c r="F10" s="6">
        <v>10</v>
      </c>
      <c r="H10" s="6" t="s">
        <v>37</v>
      </c>
      <c r="I10" s="6" t="s">
        <v>620</v>
      </c>
    </row>
    <row r="11" spans="1:9" s="12" customFormat="1" ht="45" x14ac:dyDescent="0.25">
      <c r="A11" s="12" t="s">
        <v>515</v>
      </c>
      <c r="B11" s="12" t="s">
        <v>83</v>
      </c>
      <c r="C11" s="13" t="s">
        <v>516</v>
      </c>
      <c r="D11" s="13" t="s">
        <v>517</v>
      </c>
      <c r="F11" s="12">
        <f>20*12</f>
        <v>240</v>
      </c>
      <c r="H11" s="12" t="s">
        <v>37</v>
      </c>
      <c r="I11" s="12" t="s">
        <v>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Michael Welch</cp:lastModifiedBy>
  <cp:lastPrinted>2017-12-15T16:27:15Z</cp:lastPrinted>
  <dcterms:created xsi:type="dcterms:W3CDTF">2017-12-15T14:15:21Z</dcterms:created>
  <dcterms:modified xsi:type="dcterms:W3CDTF">2025-10-29T11:34:28Z</dcterms:modified>
</cp:coreProperties>
</file>