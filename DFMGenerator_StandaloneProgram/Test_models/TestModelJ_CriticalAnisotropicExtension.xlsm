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chael\New StandaloneTestModels\"/>
    </mc:Choice>
  </mc:AlternateContent>
  <xr:revisionPtr revIDLastSave="0" documentId="8_{D1780E79-0BB7-40CC-8E9D-B70E1F9BEAE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71" i="91" l="1"/>
  <c r="AX71" i="91"/>
  <c r="AY70" i="91"/>
  <c r="AX70" i="91"/>
  <c r="AY69" i="91"/>
  <c r="AX69" i="91"/>
  <c r="AY68" i="91"/>
  <c r="AX68" i="91"/>
  <c r="AY67" i="91"/>
  <c r="AX67" i="91"/>
  <c r="AY66" i="91"/>
  <c r="AX66" i="91"/>
  <c r="AY65" i="91"/>
  <c r="AX65" i="91"/>
  <c r="AY64" i="91"/>
  <c r="AX64" i="91"/>
  <c r="AY63" i="91"/>
  <c r="AX63" i="91"/>
  <c r="AY62" i="91"/>
  <c r="AX62" i="91"/>
  <c r="AY61" i="91"/>
  <c r="AX61" i="91"/>
  <c r="AY60" i="91"/>
  <c r="AX60" i="91"/>
  <c r="AY59" i="91"/>
  <c r="AX59" i="91"/>
  <c r="AY58" i="91"/>
  <c r="AX58" i="91"/>
  <c r="AY57" i="91"/>
  <c r="AX57" i="91"/>
  <c r="AY56" i="91"/>
  <c r="AX56" i="91"/>
  <c r="AY55" i="91"/>
  <c r="AX55" i="91"/>
  <c r="AY54" i="91"/>
  <c r="AX54" i="91"/>
  <c r="AY53" i="91"/>
  <c r="AX53" i="91"/>
  <c r="AY52" i="91"/>
  <c r="AX52" i="91"/>
  <c r="AY51" i="91"/>
  <c r="AX51" i="91"/>
  <c r="AY50" i="91"/>
  <c r="AX50" i="91"/>
  <c r="AY49" i="91"/>
  <c r="AX49" i="91"/>
  <c r="AY48" i="91"/>
  <c r="AX48" i="91"/>
  <c r="AY47" i="91"/>
  <c r="AX47" i="91"/>
  <c r="AY46" i="91"/>
  <c r="AX46" i="91"/>
  <c r="AY45" i="91"/>
  <c r="AX45" i="91"/>
  <c r="AY44" i="91"/>
  <c r="AX44" i="91"/>
  <c r="AY43" i="91"/>
  <c r="AX43" i="91"/>
  <c r="AY42" i="91"/>
  <c r="AX42" i="91"/>
  <c r="AY41" i="91"/>
  <c r="AX41" i="91"/>
  <c r="AY40" i="91"/>
  <c r="AX40" i="91"/>
  <c r="AY39" i="91"/>
  <c r="AX39" i="91"/>
  <c r="AY38" i="91"/>
  <c r="AX38" i="91"/>
  <c r="AY37" i="91"/>
  <c r="AX37" i="91"/>
  <c r="AY36" i="91"/>
  <c r="AX36" i="91"/>
  <c r="AY35" i="91"/>
  <c r="AX35" i="91"/>
  <c r="AY34" i="91"/>
  <c r="AX34" i="91"/>
  <c r="AY33" i="91"/>
  <c r="AX33" i="91"/>
  <c r="AY32" i="91"/>
  <c r="AX32" i="91"/>
  <c r="AY31" i="91"/>
  <c r="AX31" i="91"/>
  <c r="AY30" i="91"/>
  <c r="AX30" i="91"/>
  <c r="AY29" i="91"/>
  <c r="AX29" i="91"/>
  <c r="AY28" i="91"/>
  <c r="AX28" i="91"/>
  <c r="AY27" i="91"/>
  <c r="AX27" i="91"/>
  <c r="AY26" i="91"/>
  <c r="AX26" i="91"/>
  <c r="AY25" i="91"/>
  <c r="AX25" i="91"/>
  <c r="AY24" i="91"/>
  <c r="AX24" i="91"/>
  <c r="AY23" i="91"/>
  <c r="AX23" i="91"/>
  <c r="AY22" i="91"/>
  <c r="AX22" i="91"/>
  <c r="AY21" i="91"/>
  <c r="AX21" i="91"/>
  <c r="AY20" i="91"/>
  <c r="AX20" i="91"/>
  <c r="AY19" i="91"/>
  <c r="AX19" i="91"/>
  <c r="AY18" i="91"/>
  <c r="AX18" i="91"/>
  <c r="AY17" i="91"/>
  <c r="AX17" i="91"/>
  <c r="AY16" i="91"/>
  <c r="AX16" i="91"/>
  <c r="AY15" i="91"/>
  <c r="AX15" i="91"/>
  <c r="AY14" i="91"/>
  <c r="AX14" i="91"/>
  <c r="AY13" i="91"/>
  <c r="AX13" i="91"/>
  <c r="AY12" i="91"/>
  <c r="AX12" i="91"/>
  <c r="AY11" i="91"/>
  <c r="AX11" i="91"/>
  <c r="AY10" i="91"/>
  <c r="AX10" i="91"/>
  <c r="AY9" i="91"/>
  <c r="AX9" i="91"/>
  <c r="AY8" i="91"/>
  <c r="AX8" i="91"/>
  <c r="AY7" i="91"/>
  <c r="AX7" i="91"/>
  <c r="AY6" i="91"/>
  <c r="AX6" i="91"/>
  <c r="AY5" i="91"/>
  <c r="AX5" i="91"/>
  <c r="AY4" i="91"/>
  <c r="AX4" i="91"/>
  <c r="AY3" i="91"/>
  <c r="AX3" i="91"/>
  <c r="AY2" i="91"/>
  <c r="AZ2" i="91" s="1"/>
  <c r="AZ3" i="91" s="1"/>
  <c r="AZ4" i="91" s="1"/>
  <c r="AZ5" i="91" s="1"/>
  <c r="AZ6" i="91" s="1"/>
  <c r="AZ7" i="91" s="1"/>
  <c r="AZ8" i="91" s="1"/>
  <c r="AZ9" i="91" s="1"/>
  <c r="AZ10" i="91" s="1"/>
  <c r="AZ11" i="91" s="1"/>
  <c r="AZ12" i="91" s="1"/>
  <c r="AZ13" i="91" s="1"/>
  <c r="AZ14" i="91" s="1"/>
  <c r="AZ15" i="91" s="1"/>
  <c r="AZ16" i="91" s="1"/>
  <c r="AZ17" i="91" s="1"/>
  <c r="AZ18" i="91" s="1"/>
  <c r="AZ19" i="91" s="1"/>
  <c r="AZ20" i="91" s="1"/>
  <c r="AZ21" i="91" s="1"/>
  <c r="AZ22" i="91" s="1"/>
  <c r="AZ23" i="91" s="1"/>
  <c r="AZ24" i="91" s="1"/>
  <c r="AZ25" i="91" s="1"/>
  <c r="AZ26" i="91" s="1"/>
  <c r="AZ27" i="91" s="1"/>
  <c r="AZ28" i="91" s="1"/>
  <c r="AZ29" i="91" s="1"/>
  <c r="AZ30" i="91" s="1"/>
  <c r="AZ31" i="91" s="1"/>
  <c r="AZ32" i="91" s="1"/>
  <c r="AZ33" i="91" s="1"/>
  <c r="AZ34" i="91" s="1"/>
  <c r="AZ35" i="91" s="1"/>
  <c r="AZ36" i="91" s="1"/>
  <c r="AZ37" i="91" s="1"/>
  <c r="AZ38" i="91" s="1"/>
  <c r="AZ39" i="91" s="1"/>
  <c r="AZ40" i="91" s="1"/>
  <c r="AZ41" i="91" s="1"/>
  <c r="AZ42" i="91" s="1"/>
  <c r="AZ43" i="91" s="1"/>
  <c r="AZ44" i="91" s="1"/>
  <c r="AZ45" i="91" s="1"/>
  <c r="AZ46" i="91" s="1"/>
  <c r="AZ47" i="91" s="1"/>
  <c r="AZ48" i="91" s="1"/>
  <c r="AZ49" i="91" s="1"/>
  <c r="AZ50" i="91" s="1"/>
  <c r="AZ51" i="91" s="1"/>
  <c r="AZ52" i="91" s="1"/>
  <c r="AZ53" i="91" s="1"/>
  <c r="AZ54" i="91" s="1"/>
  <c r="AZ55" i="91" s="1"/>
  <c r="AZ56" i="91" s="1"/>
  <c r="AZ57" i="91" s="1"/>
  <c r="AZ58" i="91" s="1"/>
  <c r="AZ59" i="91" s="1"/>
  <c r="AZ60" i="91" s="1"/>
  <c r="AZ61" i="91" s="1"/>
  <c r="AZ62" i="91" s="1"/>
  <c r="AZ63" i="91" s="1"/>
  <c r="AZ64" i="91" s="1"/>
  <c r="AZ65" i="91" s="1"/>
  <c r="AZ66" i="91" s="1"/>
  <c r="AZ67" i="91" s="1"/>
  <c r="AZ68" i="91" s="1"/>
  <c r="AZ69" i="91" s="1"/>
  <c r="AZ70" i="91" s="1"/>
  <c r="AZ71" i="91" s="1"/>
  <c r="AX2" i="91"/>
  <c r="AL55" i="91"/>
  <c r="AK55" i="91"/>
  <c r="AL54" i="91"/>
  <c r="AK54" i="91"/>
  <c r="AL53" i="91"/>
  <c r="AK53" i="91"/>
  <c r="AL52" i="91"/>
  <c r="AK52" i="91"/>
  <c r="AL51" i="91"/>
  <c r="AK51" i="91"/>
  <c r="AL50" i="91"/>
  <c r="AK50" i="91"/>
  <c r="AL49" i="91"/>
  <c r="AK49" i="91"/>
  <c r="AL48" i="91"/>
  <c r="AK48" i="91"/>
  <c r="AL47" i="91"/>
  <c r="AK47" i="91"/>
  <c r="AL46" i="91"/>
  <c r="AK46" i="91"/>
  <c r="AL45" i="91"/>
  <c r="AK45" i="91"/>
  <c r="AL44" i="91"/>
  <c r="AK44" i="91"/>
  <c r="AL43" i="91"/>
  <c r="AK43" i="91"/>
  <c r="AL42" i="91"/>
  <c r="AK42" i="91"/>
  <c r="AL41" i="91"/>
  <c r="AK41" i="91"/>
  <c r="AL40" i="91"/>
  <c r="AK40" i="91"/>
  <c r="AL39" i="91"/>
  <c r="AK39" i="91"/>
  <c r="AL38" i="91"/>
  <c r="AK38" i="91"/>
  <c r="AL37" i="91"/>
  <c r="AK37" i="91"/>
  <c r="AL36" i="91"/>
  <c r="AK36" i="91"/>
  <c r="AL35" i="91"/>
  <c r="AK35" i="91"/>
  <c r="AL34" i="91"/>
  <c r="AK34" i="91"/>
  <c r="AL33" i="91"/>
  <c r="AK33" i="91"/>
  <c r="AL32" i="91"/>
  <c r="AK32" i="91"/>
  <c r="AL31" i="91"/>
  <c r="AK31" i="91"/>
  <c r="AL30" i="91"/>
  <c r="AK30" i="91"/>
  <c r="AL29" i="91"/>
  <c r="AK29" i="91"/>
  <c r="AL28" i="91"/>
  <c r="AK28" i="91"/>
  <c r="AL27" i="91"/>
  <c r="AK27" i="91"/>
  <c r="AL26" i="91"/>
  <c r="AK26" i="91"/>
  <c r="AL25" i="91"/>
  <c r="AK25" i="91"/>
  <c r="AL24" i="91"/>
  <c r="AK24" i="91"/>
  <c r="AL23" i="91"/>
  <c r="AK23" i="91"/>
  <c r="AL22" i="91"/>
  <c r="AK22" i="91"/>
  <c r="AL21" i="91"/>
  <c r="AK21" i="91"/>
  <c r="AL20" i="91"/>
  <c r="AK20" i="91"/>
  <c r="AL19" i="91"/>
  <c r="AK19" i="91"/>
  <c r="AL18" i="91"/>
  <c r="AK18" i="91"/>
  <c r="AL17" i="91"/>
  <c r="AK17" i="91"/>
  <c r="AL16" i="91"/>
  <c r="AK16" i="91"/>
  <c r="AL15" i="91"/>
  <c r="AK15" i="91"/>
  <c r="AL14" i="91"/>
  <c r="AK14" i="91"/>
  <c r="AL13" i="91"/>
  <c r="AK13" i="91"/>
  <c r="AL12" i="91"/>
  <c r="AK12" i="91"/>
  <c r="AL11" i="91"/>
  <c r="AK11" i="91"/>
  <c r="AL10" i="91"/>
  <c r="AK10" i="91"/>
  <c r="AL9" i="91"/>
  <c r="AK9" i="91"/>
  <c r="AL8" i="91"/>
  <c r="AK8" i="91"/>
  <c r="AL7" i="91"/>
  <c r="AK7" i="91"/>
  <c r="AL6" i="91"/>
  <c r="AK6" i="91"/>
  <c r="AL5" i="91"/>
  <c r="AK5" i="91"/>
  <c r="AL4" i="91"/>
  <c r="AK4" i="91"/>
  <c r="AL3" i="91"/>
  <c r="AK3" i="91"/>
  <c r="AL2" i="91"/>
  <c r="AM2" i="91" s="1"/>
  <c r="AM3" i="91" s="1"/>
  <c r="AM4" i="91" s="1"/>
  <c r="AM5" i="91" s="1"/>
  <c r="AM6" i="91" s="1"/>
  <c r="AM7" i="91" s="1"/>
  <c r="AM8" i="91" s="1"/>
  <c r="AM9" i="91" s="1"/>
  <c r="AM10" i="91" s="1"/>
  <c r="AM11" i="91" s="1"/>
  <c r="AM12" i="91" s="1"/>
  <c r="AM13" i="91" s="1"/>
  <c r="AM14" i="91" s="1"/>
  <c r="AM15" i="91" s="1"/>
  <c r="AM16" i="91" s="1"/>
  <c r="AM17" i="91" s="1"/>
  <c r="AM18" i="91" s="1"/>
  <c r="AM19" i="91" s="1"/>
  <c r="AM20" i="91" s="1"/>
  <c r="AM21" i="91" s="1"/>
  <c r="AM22" i="91" s="1"/>
  <c r="AM23" i="91" s="1"/>
  <c r="AM24" i="91" s="1"/>
  <c r="AM25" i="91" s="1"/>
  <c r="AM26" i="91" s="1"/>
  <c r="AM27" i="91" s="1"/>
  <c r="AM28" i="91" s="1"/>
  <c r="AM29" i="91" s="1"/>
  <c r="AM30" i="91" s="1"/>
  <c r="AM31" i="91" s="1"/>
  <c r="AM32" i="91" s="1"/>
  <c r="AM33" i="91" s="1"/>
  <c r="AM34" i="91" s="1"/>
  <c r="AM35" i="91" s="1"/>
  <c r="AM36" i="91" s="1"/>
  <c r="AM37" i="91" s="1"/>
  <c r="AM38" i="91" s="1"/>
  <c r="AM39" i="91" s="1"/>
  <c r="AM40" i="91" s="1"/>
  <c r="AM41" i="91" s="1"/>
  <c r="AM42" i="91" s="1"/>
  <c r="AM43" i="91" s="1"/>
  <c r="AM44" i="91" s="1"/>
  <c r="AM45" i="91" s="1"/>
  <c r="AM46" i="91" s="1"/>
  <c r="AM47" i="91" s="1"/>
  <c r="AM48" i="91" s="1"/>
  <c r="AM49" i="91" s="1"/>
  <c r="AM50" i="91" s="1"/>
  <c r="AM51" i="91" s="1"/>
  <c r="AM52" i="91" s="1"/>
  <c r="AM53" i="91" s="1"/>
  <c r="AM54" i="91" s="1"/>
  <c r="AM55" i="91" s="1"/>
  <c r="AK2" i="91"/>
  <c r="A220" i="90"/>
  <c r="A209" i="90"/>
  <c r="C209" i="90" l="1"/>
  <c r="D209" i="90"/>
  <c r="E209" i="90"/>
  <c r="F209" i="90"/>
  <c r="G209" i="90"/>
  <c r="H209" i="90"/>
  <c r="I209" i="90"/>
  <c r="J209" i="90"/>
  <c r="K209" i="90"/>
  <c r="L209" i="90"/>
  <c r="M209" i="90"/>
  <c r="N209" i="90"/>
  <c r="O209" i="90"/>
  <c r="P209" i="90"/>
  <c r="Q209" i="90"/>
  <c r="R209" i="90"/>
  <c r="S209" i="90"/>
  <c r="T209" i="90"/>
  <c r="U209" i="90"/>
  <c r="V209" i="90"/>
  <c r="C220" i="90"/>
  <c r="D220" i="90"/>
  <c r="E220" i="90"/>
  <c r="F220" i="90"/>
  <c r="G220" i="90"/>
  <c r="H220" i="90"/>
  <c r="I220" i="90"/>
  <c r="J220" i="90"/>
  <c r="K220" i="90"/>
  <c r="L220" i="90"/>
  <c r="M220" i="90"/>
  <c r="N220" i="90"/>
  <c r="O220" i="90"/>
  <c r="P220" i="90"/>
  <c r="Q220" i="90"/>
  <c r="R220" i="90"/>
  <c r="S220" i="90"/>
  <c r="T220" i="90"/>
  <c r="U220" i="90"/>
  <c r="V220" i="90"/>
  <c r="B220" i="90"/>
  <c r="B209" i="90"/>
  <c r="AA17" i="91" l="1"/>
  <c r="AA9" i="91"/>
  <c r="V224" i="90"/>
  <c r="U224" i="90"/>
  <c r="T224" i="90"/>
  <c r="S224" i="90"/>
  <c r="R224" i="90"/>
  <c r="Q224" i="90"/>
  <c r="P224" i="90"/>
  <c r="O224" i="90"/>
  <c r="N224" i="90"/>
  <c r="M224" i="90"/>
  <c r="L224" i="90"/>
  <c r="K224" i="90"/>
  <c r="J224" i="90"/>
  <c r="I224" i="90"/>
  <c r="H224" i="90"/>
  <c r="G224" i="90"/>
  <c r="F224" i="90"/>
  <c r="E224" i="90"/>
  <c r="D224" i="90"/>
  <c r="C224" i="90"/>
  <c r="B224" i="90"/>
  <c r="V223" i="90"/>
  <c r="U223" i="90"/>
  <c r="T223" i="90"/>
  <c r="S223" i="90"/>
  <c r="R223" i="90"/>
  <c r="Q223" i="90"/>
  <c r="P223" i="90"/>
  <c r="O223" i="90"/>
  <c r="N223" i="90"/>
  <c r="M223" i="90"/>
  <c r="L223" i="90"/>
  <c r="K223" i="90"/>
  <c r="J223" i="90"/>
  <c r="I223" i="90"/>
  <c r="H223" i="90"/>
  <c r="G223" i="90"/>
  <c r="F223" i="90"/>
  <c r="E223" i="90"/>
  <c r="D223" i="90"/>
  <c r="C223" i="90"/>
  <c r="B223" i="90"/>
  <c r="V222" i="90"/>
  <c r="U222" i="90"/>
  <c r="T222" i="90"/>
  <c r="S222" i="90"/>
  <c r="R222" i="90"/>
  <c r="Q222" i="90"/>
  <c r="P222" i="90"/>
  <c r="O222" i="90"/>
  <c r="N222" i="90"/>
  <c r="M222" i="90"/>
  <c r="L222" i="90"/>
  <c r="K222" i="90"/>
  <c r="J222" i="90"/>
  <c r="I222" i="90"/>
  <c r="H222" i="90"/>
  <c r="G222" i="90"/>
  <c r="F222" i="90"/>
  <c r="E222" i="90"/>
  <c r="D222" i="90"/>
  <c r="C222" i="90"/>
  <c r="B222" i="90"/>
  <c r="V221" i="90"/>
  <c r="U221" i="90"/>
  <c r="T221" i="90"/>
  <c r="S221" i="90"/>
  <c r="R221" i="90"/>
  <c r="Q221" i="90"/>
  <c r="P221" i="90"/>
  <c r="O221" i="90"/>
  <c r="N221" i="90"/>
  <c r="M221" i="90"/>
  <c r="L221" i="90"/>
  <c r="K221" i="90"/>
  <c r="J221" i="90"/>
  <c r="I221" i="90"/>
  <c r="H221" i="90"/>
  <c r="G221" i="90"/>
  <c r="F221" i="90"/>
  <c r="E221" i="90"/>
  <c r="D221" i="90"/>
  <c r="C221" i="90"/>
  <c r="B221" i="90"/>
  <c r="V213" i="90"/>
  <c r="U213" i="90"/>
  <c r="T213" i="90"/>
  <c r="S213" i="90"/>
  <c r="R213" i="90"/>
  <c r="Q213" i="90"/>
  <c r="P213" i="90"/>
  <c r="O213" i="90"/>
  <c r="N213" i="90"/>
  <c r="M213" i="90"/>
  <c r="L213" i="90"/>
  <c r="K213" i="90"/>
  <c r="J213" i="90"/>
  <c r="I213" i="90"/>
  <c r="H213" i="90"/>
  <c r="G213" i="90"/>
  <c r="F213" i="90"/>
  <c r="E213" i="90"/>
  <c r="D213" i="90"/>
  <c r="C213" i="90"/>
  <c r="B213" i="90"/>
  <c r="V212" i="90"/>
  <c r="U212" i="90"/>
  <c r="T212" i="90"/>
  <c r="S212" i="90"/>
  <c r="R212" i="90"/>
  <c r="Q212" i="90"/>
  <c r="P212" i="90"/>
  <c r="O212" i="90"/>
  <c r="N212" i="90"/>
  <c r="M212" i="90"/>
  <c r="L212" i="90"/>
  <c r="K212" i="90"/>
  <c r="J212" i="90"/>
  <c r="I212" i="90"/>
  <c r="H212" i="90"/>
  <c r="G212" i="90"/>
  <c r="F212" i="90"/>
  <c r="E212" i="90"/>
  <c r="D212" i="90"/>
  <c r="C212" i="90"/>
  <c r="B212" i="90"/>
  <c r="V211" i="90"/>
  <c r="U211" i="90"/>
  <c r="T211" i="90"/>
  <c r="S211" i="90"/>
  <c r="R211" i="90"/>
  <c r="Q211" i="90"/>
  <c r="P211" i="90"/>
  <c r="O211" i="90"/>
  <c r="N211" i="90"/>
  <c r="M211" i="90"/>
  <c r="L211" i="90"/>
  <c r="K211" i="90"/>
  <c r="J211" i="90"/>
  <c r="I211" i="90"/>
  <c r="H211" i="90"/>
  <c r="G211" i="90"/>
  <c r="F211" i="90"/>
  <c r="E211" i="90"/>
  <c r="D211" i="90"/>
  <c r="C211" i="90"/>
  <c r="B211" i="90"/>
  <c r="V210" i="90"/>
  <c r="U210" i="90"/>
  <c r="T210" i="90"/>
  <c r="S210" i="90"/>
  <c r="R210" i="90"/>
  <c r="Q210" i="90"/>
  <c r="P210" i="90"/>
  <c r="O210" i="90"/>
  <c r="N210" i="90"/>
  <c r="M210" i="90"/>
  <c r="L210" i="90"/>
  <c r="K210" i="90"/>
  <c r="J210" i="90"/>
  <c r="I210" i="90"/>
  <c r="H210" i="90"/>
  <c r="G210" i="90"/>
  <c r="F210" i="90"/>
  <c r="E210" i="90"/>
  <c r="D210" i="90"/>
  <c r="C210" i="90"/>
  <c r="B210" i="90"/>
  <c r="E214" i="90" l="1"/>
  <c r="E215" i="90"/>
  <c r="E216" i="90"/>
  <c r="E217" i="90"/>
  <c r="I214" i="90"/>
  <c r="I216" i="90"/>
  <c r="I217" i="90"/>
  <c r="I215" i="90"/>
  <c r="M215" i="90"/>
  <c r="M216" i="90"/>
  <c r="M217" i="90"/>
  <c r="M214" i="90"/>
  <c r="Q214" i="90"/>
  <c r="Q215" i="90"/>
  <c r="Q217" i="90"/>
  <c r="Q216" i="90"/>
  <c r="U214" i="90"/>
  <c r="U215" i="90"/>
  <c r="U216" i="90"/>
  <c r="U217" i="90"/>
  <c r="C225" i="90"/>
  <c r="C226" i="90"/>
  <c r="C227" i="90"/>
  <c r="C228" i="90"/>
  <c r="G225" i="90"/>
  <c r="G226" i="90"/>
  <c r="G227" i="90"/>
  <c r="G228" i="90"/>
  <c r="K225" i="90"/>
  <c r="K226" i="90"/>
  <c r="K227" i="90"/>
  <c r="K228" i="90"/>
  <c r="O225" i="90"/>
  <c r="O226" i="90"/>
  <c r="O227" i="90"/>
  <c r="O228" i="90"/>
  <c r="S225" i="90"/>
  <c r="S226" i="90"/>
  <c r="S227" i="90"/>
  <c r="S228" i="90"/>
  <c r="B217" i="90"/>
  <c r="B215" i="90"/>
  <c r="B216" i="90"/>
  <c r="B214" i="90"/>
  <c r="F214" i="90"/>
  <c r="F215" i="90"/>
  <c r="F216" i="90"/>
  <c r="F217" i="90"/>
  <c r="J214" i="90"/>
  <c r="J215" i="90"/>
  <c r="J216" i="90"/>
  <c r="J217" i="90"/>
  <c r="N217" i="90"/>
  <c r="N215" i="90"/>
  <c r="N216" i="90"/>
  <c r="N214" i="90"/>
  <c r="R216" i="90"/>
  <c r="R217" i="90"/>
  <c r="R214" i="90"/>
  <c r="R215" i="90"/>
  <c r="V215" i="90"/>
  <c r="V216" i="90"/>
  <c r="V214" i="90"/>
  <c r="V217" i="90"/>
  <c r="D225" i="90"/>
  <c r="D226" i="90"/>
  <c r="D227" i="90"/>
  <c r="D228" i="90"/>
  <c r="H225" i="90"/>
  <c r="H226" i="90"/>
  <c r="H227" i="90"/>
  <c r="H228" i="90"/>
  <c r="L225" i="90"/>
  <c r="L226" i="90"/>
  <c r="L227" i="90"/>
  <c r="L228" i="90"/>
  <c r="P225" i="90"/>
  <c r="P226" i="90"/>
  <c r="P227" i="90"/>
  <c r="P228" i="90"/>
  <c r="T225" i="90"/>
  <c r="T226" i="90"/>
  <c r="T227" i="90"/>
  <c r="T228" i="90"/>
  <c r="C214" i="90"/>
  <c r="C215" i="90"/>
  <c r="C216" i="90"/>
  <c r="C217" i="90"/>
  <c r="G214" i="90"/>
  <c r="G215" i="90"/>
  <c r="G216" i="90"/>
  <c r="G217" i="90"/>
  <c r="K214" i="90"/>
  <c r="K215" i="90"/>
  <c r="K216" i="90"/>
  <c r="K217" i="90"/>
  <c r="O214" i="90"/>
  <c r="O215" i="90"/>
  <c r="O216" i="90"/>
  <c r="O217" i="90"/>
  <c r="S214" i="90"/>
  <c r="S215" i="90"/>
  <c r="S216" i="90"/>
  <c r="S217" i="90"/>
  <c r="E225" i="90"/>
  <c r="E226" i="90"/>
  <c r="E227" i="90"/>
  <c r="E228" i="90"/>
  <c r="I226" i="90"/>
  <c r="I227" i="90"/>
  <c r="I228" i="90"/>
  <c r="I225" i="90"/>
  <c r="M225" i="90"/>
  <c r="M226" i="90"/>
  <c r="M227" i="90"/>
  <c r="M228" i="90"/>
  <c r="Q226" i="90"/>
  <c r="Q227" i="90"/>
  <c r="Q228" i="90"/>
  <c r="Q225" i="90"/>
  <c r="U226" i="90"/>
  <c r="U227" i="90"/>
  <c r="U228" i="90"/>
  <c r="U225" i="90"/>
  <c r="D217" i="90"/>
  <c r="D214" i="90"/>
  <c r="D215" i="90"/>
  <c r="D216" i="90"/>
  <c r="H216" i="90"/>
  <c r="H217" i="90"/>
  <c r="H214" i="90"/>
  <c r="H215" i="90"/>
  <c r="L214" i="90"/>
  <c r="L215" i="90"/>
  <c r="L216" i="90"/>
  <c r="L217" i="90"/>
  <c r="P216" i="90"/>
  <c r="P217" i="90"/>
  <c r="P214" i="90"/>
  <c r="P215" i="90"/>
  <c r="T217" i="90"/>
  <c r="T214" i="90"/>
  <c r="T215" i="90"/>
  <c r="T216" i="90"/>
  <c r="B228" i="90"/>
  <c r="B227" i="90"/>
  <c r="B226" i="90"/>
  <c r="B225" i="90"/>
  <c r="F225" i="90"/>
  <c r="F226" i="90"/>
  <c r="F227" i="90"/>
  <c r="F228" i="90"/>
  <c r="J227" i="90"/>
  <c r="J228" i="90"/>
  <c r="J225" i="90"/>
  <c r="J226" i="90"/>
  <c r="N226" i="90"/>
  <c r="N225" i="90"/>
  <c r="N227" i="90"/>
  <c r="N228" i="90"/>
  <c r="R226" i="90"/>
  <c r="R227" i="90"/>
  <c r="R228" i="90"/>
  <c r="R225" i="90"/>
  <c r="V228" i="90"/>
  <c r="V225" i="90"/>
  <c r="V226" i="90"/>
  <c r="V227" i="90"/>
</calcChain>
</file>

<file path=xl/sharedStrings.xml><?xml version="1.0" encoding="utf-8"?>
<sst xmlns="http://schemas.openxmlformats.org/spreadsheetml/2006/main" count="4662" uniqueCount="90">
  <si>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</si>
  <si>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</si>
  <si>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</si>
  <si>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</si>
  <si>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</si>
  <si>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</si>
  <si>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</si>
  <si>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</si>
  <si>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</si>
  <si>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</si>
  <si>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</si>
  <si>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</si>
  <si>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</si>
  <si>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</si>
  <si>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</si>
  <si>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</si>
  <si>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</si>
  <si>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</si>
  <si>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</si>
  <si>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</si>
  <si>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</si>
  <si>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</si>
  <si>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</si>
  <si>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</si>
  <si>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</si>
  <si>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</si>
  <si>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</si>
  <si>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</si>
  <si>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</si>
  <si>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</si>
  <si>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</si>
  <si>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</si>
  <si>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</si>
  <si>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</si>
  <si>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</si>
  <si>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</si>
  <si>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</si>
  <si>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</si>
  <si>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</si>
  <si>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</si>
  <si>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</si>
  <si>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</si>
  <si>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</si>
  <si>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</si>
  <si>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</si>
  <si>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</si>
  <si>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</si>
  <si>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</si>
  <si>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</si>
  <si>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</si>
  <si>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</si>
  <si>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</si>
  <si>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</si>
  <si>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</si>
  <si>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</si>
  <si>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</si>
  <si>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</si>
  <si>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</si>
  <si>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</si>
  <si>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</si>
  <si>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</si>
  <si>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</si>
  <si>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</si>
  <si>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</si>
  <si>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</si>
  <si>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</si>
  <si>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</si>
  <si>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Slip pitch</t>
  </si>
  <si>
    <t>FS 0 Vertical</t>
  </si>
  <si>
    <t>FS 0 InclinedSteep</t>
  </si>
  <si>
    <t>FS 1 Vertical</t>
  </si>
  <si>
    <t>FS 1 InclinedSteep</t>
  </si>
  <si>
    <t>Displacement sense</t>
  </si>
  <si>
    <t>Clear zone volume</t>
  </si>
  <si>
    <t>NotActivated</t>
  </si>
  <si>
    <t>LeftLateral</t>
  </si>
  <si>
    <t>Normal</t>
  </si>
  <si>
    <t>RightLateral</t>
  </si>
  <si>
    <t>Growing</t>
  </si>
  <si>
    <t>Dilatant</t>
  </si>
  <si>
    <t>NaN</t>
  </si>
  <si>
    <t>ResidualActivity</t>
  </si>
  <si>
    <t>Deactivated</t>
  </si>
  <si>
    <t>OutOfBounds</t>
  </si>
  <si>
    <t>StressShadow</t>
  </si>
  <si>
    <t>Start Points</t>
  </si>
  <si>
    <t>End Points</t>
  </si>
  <si>
    <t>Intersection</t>
  </si>
  <si>
    <t>Tip type</t>
  </si>
  <si>
    <t>Terminating fracture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</si>
</sst>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Implicit_Fracs!$AG$4:$AG$150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6.3089216792920804E-3</c:v>
                </c:pt>
                <c:pt idx="3">
                  <c:v>1.25491162228928E-2</c:v>
                </c:pt>
                <c:pt idx="4">
                  <c:v>1.8724527024554301E-2</c:v>
                </c:pt>
                <c:pt idx="5">
                  <c:v>2.48349466515011E-2</c:v>
                </c:pt>
                <c:pt idx="6">
                  <c:v>3.08800375831969E-2</c:v>
                </c:pt>
                <c:pt idx="7">
                  <c:v>3.6859427164057101E-2</c:v>
                </c:pt>
                <c:pt idx="8">
                  <c:v>4.2772723645937198E-2</c:v>
                </c:pt>
                <c:pt idx="9">
                  <c:v>4.8619519117279998E-2</c:v>
                </c:pt>
                <c:pt idx="10">
                  <c:v>5.4399390690427901E-2</c:v>
                </c:pt>
                <c:pt idx="11">
                  <c:v>6.0111901795268902E-2</c:v>
                </c:pt>
                <c:pt idx="12">
                  <c:v>6.5756603594598506E-2</c:v>
                </c:pt>
                <c:pt idx="13">
                  <c:v>7.1333036323919602E-2</c:v>
                </c:pt>
                <c:pt idx="14">
                  <c:v>7.6840730438446206E-2</c:v>
                </c:pt>
                <c:pt idx="15">
                  <c:v>8.2279207534794604E-2</c:v>
                </c:pt>
                <c:pt idx="16">
                  <c:v>8.7647981061956898E-2</c:v>
                </c:pt>
                <c:pt idx="17">
                  <c:v>9.2946556854314202E-2</c:v>
                </c:pt>
                <c:pt idx="18">
                  <c:v>9.8174433522100604E-2</c:v>
                </c:pt>
                <c:pt idx="19">
                  <c:v>0.103331102730549</c:v>
                </c:pt>
                <c:pt idx="20">
                  <c:v>0.108416049392901</c:v>
                </c:pt>
                <c:pt idx="21">
                  <c:v>0.11342875179659399</c:v>
                </c:pt>
                <c:pt idx="22">
                  <c:v>0.11836868167698</c:v>
                </c:pt>
                <c:pt idx="23">
                  <c:v>0.123235304249143</c:v>
                </c:pt>
                <c:pt idx="24">
                  <c:v>0.12802807820546699</c:v>
                </c:pt>
                <c:pt idx="25">
                  <c:v>0.13274645568448701</c:v>
                </c:pt>
                <c:pt idx="26">
                  <c:v>0.137389846512076</c:v>
                </c:pt>
                <c:pt idx="27">
                  <c:v>0.14195761435072601</c:v>
                </c:pt>
                <c:pt idx="28">
                  <c:v>0.146449108733304</c:v>
                </c:pt>
                <c:pt idx="29">
                  <c:v>0.15086366475537499</c:v>
                </c:pt>
                <c:pt idx="30">
                  <c:v>0.15520060273932601</c:v>
                </c:pt>
                <c:pt idx="31">
                  <c:v>0.159459227870758</c:v>
                </c:pt>
                <c:pt idx="32">
                  <c:v>0.16363882980726499</c:v>
                </c:pt>
                <c:pt idx="33">
                  <c:v>0.167738682259501</c:v>
                </c:pt>
                <c:pt idx="34">
                  <c:v>0.17175804254420099</c:v>
                </c:pt>
                <c:pt idx="35">
                  <c:v>0.175696151108584</c:v>
                </c:pt>
                <c:pt idx="36">
                  <c:v>0.17955223102543699</c:v>
                </c:pt>
                <c:pt idx="37">
                  <c:v>0.18332548745789401</c:v>
                </c:pt>
                <c:pt idx="38">
                  <c:v>0.187015107092876</c:v>
                </c:pt>
                <c:pt idx="39">
                  <c:v>0.19062025754183701</c:v>
                </c:pt>
                <c:pt idx="40">
                  <c:v>0.194140086707423</c:v>
                </c:pt>
                <c:pt idx="41">
                  <c:v>0.197573722114356</c:v>
                </c:pt>
                <c:pt idx="42">
                  <c:v>0.200920270202748</c:v>
                </c:pt>
                <c:pt idx="43">
                  <c:v>0.20417881558182499</c:v>
                </c:pt>
                <c:pt idx="44">
                  <c:v>0.20734842024184</c:v>
                </c:pt>
                <c:pt idx="45">
                  <c:v>0.210428122721767</c:v>
                </c:pt>
                <c:pt idx="46">
                  <c:v>0.21341693723007699</c:v>
                </c:pt>
                <c:pt idx="47">
                  <c:v>0.216313852715766</c:v>
                </c:pt>
                <c:pt idx="48">
                  <c:v>0.21911783188637701</c:v>
                </c:pt>
                <c:pt idx="49">
                  <c:v>0.22182781016969899</c:v>
                </c:pt>
                <c:pt idx="50">
                  <c:v>0.22444269461524499</c:v>
                </c:pt>
                <c:pt idx="51">
                  <c:v>0.22696136273155401</c:v>
                </c:pt>
                <c:pt idx="52">
                  <c:v>0.229382661254769</c:v>
                </c:pt>
                <c:pt idx="53">
                  <c:v>0.23170540484369001</c:v>
                </c:pt>
                <c:pt idx="54">
                  <c:v>0.23392837469599401</c:v>
                </c:pt>
                <c:pt idx="55">
                  <c:v>0.236050317079847</c:v>
                </c:pt>
                <c:pt idx="56">
                  <c:v>0.238069941774606</c:v>
                </c:pt>
                <c:pt idx="57">
                  <c:v>0.23998592041371899</c:v>
                </c:pt>
                <c:pt idx="58">
                  <c:v>0.24179688472229999</c:v>
                </c:pt>
                <c:pt idx="59">
                  <c:v>0.243501424641106</c:v>
                </c:pt>
                <c:pt idx="60">
                  <c:v>0.24509808632789901</c:v>
                </c:pt>
                <c:pt idx="61">
                  <c:v>0.24658537002623701</c:v>
                </c:pt>
                <c:pt idx="62">
                  <c:v>0.24796172779083001</c:v>
                </c:pt>
                <c:pt idx="63">
                  <c:v>0.24922556105742799</c:v>
                </c:pt>
                <c:pt idx="64">
                  <c:v>0.25037521804406099</c:v>
                </c:pt>
                <c:pt idx="65">
                  <c:v>0.251408990969056</c:v>
                </c:pt>
                <c:pt idx="66">
                  <c:v>0.25232511306972699</c:v>
                </c:pt>
                <c:pt idx="67">
                  <c:v>0.25312175540395498</c:v>
                </c:pt>
                <c:pt idx="68">
                  <c:v>0.25379702341495203</c:v>
                </c:pt>
                <c:pt idx="69">
                  <c:v>0.25434895323731699</c:v>
                </c:pt>
                <c:pt idx="70">
                  <c:v>0.25477550772010898</c:v>
                </c:pt>
                <c:pt idx="71">
                  <c:v>0.255074572139876</c:v>
                </c:pt>
                <c:pt idx="72">
                  <c:v>0.255243949573499</c:v>
                </c:pt>
                <c:pt idx="73">
                  <c:v>0.25528135589717099</c:v>
                </c:pt>
                <c:pt idx="74">
                  <c:v>0.25518441437384398</c:v>
                </c:pt>
                <c:pt idx="75">
                  <c:v>0.254950649786923</c:v>
                </c:pt>
                <c:pt idx="76">
                  <c:v>0.25457748207278103</c:v>
                </c:pt>
                <c:pt idx="77">
                  <c:v>0.25406221939874302</c:v>
                </c:pt>
                <c:pt idx="78">
                  <c:v>0.25340205062640198</c:v>
                </c:pt>
                <c:pt idx="79">
                  <c:v>0.252594037092292</c:v>
                </c:pt>
                <c:pt idx="80">
                  <c:v>0.25163510362900399</c:v>
                </c:pt>
                <c:pt idx="81">
                  <c:v>0.25052202873943702</c:v>
                </c:pt>
                <c:pt idx="82">
                  <c:v>0.24925143382495801</c:v>
                </c:pt>
                <c:pt idx="83">
                  <c:v>0.24781977135432601</c:v>
                </c:pt>
                <c:pt idx="84">
                  <c:v>0.24622331184419</c:v>
                </c:pt>
                <c:pt idx="85">
                  <c:v>0.244458129503213</c:v>
                </c:pt>
                <c:pt idx="86">
                  <c:v>0.24252008637002301</c:v>
                </c:pt>
                <c:pt idx="87">
                  <c:v>0.240404814749648</c:v>
                </c:pt>
                <c:pt idx="88">
                  <c:v>0.23810769772320001</c:v>
                </c:pt>
                <c:pt idx="89">
                  <c:v>0.23562384747036599</c:v>
                </c:pt>
                <c:pt idx="90">
                  <c:v>0.23294808110304899</c:v>
                </c:pt>
                <c:pt idx="91">
                  <c:v>0.230074893659761</c:v>
                </c:pt>
                <c:pt idx="92">
                  <c:v>0.22699842785308699</c:v>
                </c:pt>
                <c:pt idx="93">
                  <c:v>0.223712440094847</c:v>
                </c:pt>
                <c:pt idx="94">
                  <c:v>0.220210262243801</c:v>
                </c:pt>
                <c:pt idx="95">
                  <c:v>0.21648475842693701</c:v>
                </c:pt>
                <c:pt idx="96">
                  <c:v>0.212528276175142</c:v>
                </c:pt>
                <c:pt idx="97">
                  <c:v>0.20833259098566401</c:v>
                </c:pt>
                <c:pt idx="98">
                  <c:v>0.20388884327544801</c:v>
                </c:pt>
                <c:pt idx="99">
                  <c:v>0.19918746652105701</c:v>
                </c:pt>
                <c:pt idx="100">
                  <c:v>0.19421810519473201</c:v>
                </c:pt>
                <c:pt idx="101">
                  <c:v>0.18896952091063901</c:v>
                </c:pt>
                <c:pt idx="102">
                  <c:v>0.18342948500818099</c:v>
                </c:pt>
                <c:pt idx="103">
                  <c:v>0.17758465565963599</c:v>
                </c:pt>
                <c:pt idx="104">
                  <c:v>0.171420437570909</c:v>
                </c:pt>
                <c:pt idx="105">
                  <c:v>0.16492082259201701</c:v>
                </c:pt>
                <c:pt idx="106">
                  <c:v>0.15806821034013899</c:v>
                </c:pt>
                <c:pt idx="107">
                  <c:v>0.15084320978535301</c:v>
                </c:pt>
                <c:pt idx="108">
                  <c:v>0.14322442666006899</c:v>
                </c:pt>
                <c:pt idx="109">
                  <c:v>0.135188249490513</c:v>
                </c:pt>
                <c:pt idx="110">
                  <c:v>0.12670866292880401</c:v>
                </c:pt>
                <c:pt idx="111">
                  <c:v>0.11775714891519699</c:v>
                </c:pt>
                <c:pt idx="112">
                  <c:v>0.10830280100452599</c:v>
                </c:pt>
                <c:pt idx="113">
                  <c:v>9.8312912235409305E-2</c:v>
                </c:pt>
                <c:pt idx="114">
                  <c:v>8.7754587681946702E-2</c:v>
                </c:pt>
                <c:pt idx="115">
                  <c:v>7.6598585142809594E-2</c:v>
                </c:pt>
                <c:pt idx="116">
                  <c:v>6.48281249618856E-2</c:v>
                </c:pt>
                <c:pt idx="117">
                  <c:v>5.2459244794021899E-2</c:v>
                </c:pt>
                <c:pt idx="118">
                  <c:v>3.95894192311377E-2</c:v>
                </c:pt>
                <c:pt idx="119">
                  <c:v>2.65191576797567E-2</c:v>
                </c:pt>
                <c:pt idx="120">
                  <c:v>1.40641179266236E-2</c:v>
                </c:pt>
                <c:pt idx="121">
                  <c:v>4.24221233210746E-3</c:v>
                </c:pt>
                <c:pt idx="122">
                  <c:v>8.2182042361067401E-4</c:v>
                </c:pt>
                <c:pt idx="123">
                  <c:v>5.1852531820997404E-4</c:v>
                </c:pt>
                <c:pt idx="124">
                  <c:v>3.19158529730024E-4</c:v>
                </c:pt>
                <c:pt idx="125">
                  <c:v>1.9550840746822599E-4</c:v>
                </c:pt>
                <c:pt idx="126">
                  <c:v>1.19151306826915E-4</c:v>
                </c:pt>
                <c:pt idx="127" formatCode="0.00E+00">
                  <c:v>7.2251153155598999E-5</c:v>
                </c:pt>
                <c:pt idx="128" formatCode="0.00E+00">
                  <c:v>4.3592052018836401E-5</c:v>
                </c:pt>
                <c:pt idx="129" formatCode="0.00E+00">
                  <c:v>2.61679349950747E-5</c:v>
                </c:pt>
                <c:pt idx="130" formatCode="0.00E+00">
                  <c:v>1.5627886731142901E-5</c:v>
                </c:pt>
                <c:pt idx="131" formatCode="0.00E+00">
                  <c:v>9.2845169560111096E-6</c:v>
                </c:pt>
                <c:pt idx="132" formatCode="0.00E+00">
                  <c:v>5.4865543297647801E-6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Implicit_Fracs!$AH$4:$AH$150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 formatCode="0.00E+00">
                  <c:v>2.7913196219131901E-5</c:v>
                </c:pt>
                <c:pt idx="3">
                  <c:v>1.2256165221525401E-4</c:v>
                </c:pt>
                <c:pt idx="4">
                  <c:v>2.8152023476574097E-4</c:v>
                </c:pt>
                <c:pt idx="5">
                  <c:v>5.05093400226971E-4</c:v>
                </c:pt>
                <c:pt idx="6">
                  <c:v>7.9366852744854402E-4</c:v>
                </c:pt>
                <c:pt idx="7">
                  <c:v>1.1476424882904E-3</c:v>
                </c:pt>
                <c:pt idx="8">
                  <c:v>1.56741782698022E-3</c:v>
                </c:pt>
                <c:pt idx="9">
                  <c:v>2.0534060513069802E-3</c:v>
                </c:pt>
                <c:pt idx="10">
                  <c:v>2.60602968258019E-3</c:v>
                </c:pt>
                <c:pt idx="11">
                  <c:v>3.2257226928736299E-3</c:v>
                </c:pt>
                <c:pt idx="12">
                  <c:v>3.91293003433771E-3</c:v>
                </c:pt>
                <c:pt idx="13">
                  <c:v>4.6681068223497499E-3</c:v>
                </c:pt>
                <c:pt idx="14">
                  <c:v>5.4917174804759803E-3</c:v>
                </c:pt>
                <c:pt idx="15">
                  <c:v>6.38423498212969E-3</c:v>
                </c:pt>
                <c:pt idx="16">
                  <c:v>7.34614023039402E-3</c:v>
                </c:pt>
                <c:pt idx="17">
                  <c:v>8.3779215743712693E-3</c:v>
                </c:pt>
                <c:pt idx="18">
                  <c:v>9.4800744442332403E-3</c:v>
                </c:pt>
                <c:pt idx="19">
                  <c:v>1.0653101083703599E-2</c:v>
                </c:pt>
                <c:pt idx="20">
                  <c:v>1.1897510360534099E-2</c:v>
                </c:pt>
                <c:pt idx="21">
                  <c:v>1.3213817639002199E-2</c:v>
                </c:pt>
                <c:pt idx="22">
                  <c:v>1.46025447019827E-2</c:v>
                </c:pt>
                <c:pt idx="23">
                  <c:v>1.6064219713187101E-2</c:v>
                </c:pt>
                <c:pt idx="24">
                  <c:v>1.7599377212562502E-2</c:v>
                </c:pt>
                <c:pt idx="25">
                  <c:v>1.9208558139686398E-2</c:v>
                </c:pt>
                <c:pt idx="26">
                  <c:v>2.08923445739445E-2</c:v>
                </c:pt>
                <c:pt idx="27">
                  <c:v>2.26513636236075E-2</c:v>
                </c:pt>
                <c:pt idx="28">
                  <c:v>2.4486256354692801E-2</c:v>
                </c:pt>
                <c:pt idx="29">
                  <c:v>2.6397678074396701E-2</c:v>
                </c:pt>
                <c:pt idx="30">
                  <c:v>2.83862986442554E-2</c:v>
                </c:pt>
                <c:pt idx="31">
                  <c:v>3.0452802822121601E-2</c:v>
                </c:pt>
                <c:pt idx="32">
                  <c:v>3.2597890632434998E-2</c:v>
                </c:pt>
                <c:pt idx="33">
                  <c:v>3.4822277764579301E-2</c:v>
                </c:pt>
                <c:pt idx="34">
                  <c:v>3.7126695999418799E-2</c:v>
                </c:pt>
                <c:pt idx="35">
                  <c:v>3.95118936643254E-2</c:v>
                </c:pt>
                <c:pt idx="36">
                  <c:v>4.1978636117264899E-2</c:v>
                </c:pt>
                <c:pt idx="37">
                  <c:v>4.4527706260671603E-2</c:v>
                </c:pt>
                <c:pt idx="38">
                  <c:v>4.7159905086097603E-2</c:v>
                </c:pt>
                <c:pt idx="39">
                  <c:v>4.9876052250724799E-2</c:v>
                </c:pt>
                <c:pt idx="40">
                  <c:v>5.2676986687098699E-2</c:v>
                </c:pt>
                <c:pt idx="41">
                  <c:v>5.55635672475513E-2</c:v>
                </c:pt>
                <c:pt idx="42">
                  <c:v>5.8536673385009702E-2</c:v>
                </c:pt>
                <c:pt idx="43">
                  <c:v>6.15972058720545E-2</c:v>
                </c:pt>
                <c:pt idx="44">
                  <c:v>6.4746087560303103E-2</c:v>
                </c:pt>
                <c:pt idx="45">
                  <c:v>6.7984264182390397E-2</c:v>
                </c:pt>
                <c:pt idx="46">
                  <c:v>7.1312705199025897E-2</c:v>
                </c:pt>
                <c:pt idx="47">
                  <c:v>7.4732404693889795E-2</c:v>
                </c:pt>
                <c:pt idx="48">
                  <c:v>7.8244382319272401E-2</c:v>
                </c:pt>
                <c:pt idx="49">
                  <c:v>8.1849684295819097E-2</c:v>
                </c:pt>
                <c:pt idx="50">
                  <c:v>8.5549384469767398E-2</c:v>
                </c:pt>
                <c:pt idx="51">
                  <c:v>8.9344585431665E-2</c:v>
                </c:pt>
                <c:pt idx="52">
                  <c:v>9.3236419700678294E-2</c:v>
                </c:pt>
                <c:pt idx="53">
                  <c:v>9.7226050979076994E-2</c:v>
                </c:pt>
                <c:pt idx="54">
                  <c:v>0.10131467548192299</c:v>
                </c:pt>
                <c:pt idx="55">
                  <c:v>0.105503523347327</c:v>
                </c:pt>
                <c:pt idx="56">
                  <c:v>0.109793860133256</c:v>
                </c:pt>
                <c:pt idx="57">
                  <c:v>0.114186988407305</c:v>
                </c:pt>
                <c:pt idx="58">
                  <c:v>0.11868424943660701</c:v>
                </c:pt>
                <c:pt idx="59">
                  <c:v>0.123287024985483</c:v>
                </c:pt>
                <c:pt idx="60">
                  <c:v>0.12799673922943</c:v>
                </c:pt>
                <c:pt idx="61">
                  <c:v>0.13281486079464599</c:v>
                </c:pt>
                <c:pt idx="62">
                  <c:v>0.137742904933356</c:v>
                </c:pt>
                <c:pt idx="63">
                  <c:v>0.14278243584605299</c:v>
                </c:pt>
                <c:pt idx="64">
                  <c:v>0.14793506916304899</c:v>
                </c:pt>
                <c:pt idx="65">
                  <c:v>0.153202474598885</c:v>
                </c:pt>
                <c:pt idx="66">
                  <c:v>0.158586378794497</c:v>
                </c:pt>
                <c:pt idx="67">
                  <c:v>0.164088568363745</c:v>
                </c:pt>
                <c:pt idx="68">
                  <c:v>0.169710893162554</c:v>
                </c:pt>
                <c:pt idx="69">
                  <c:v>0.17545526980085999</c:v>
                </c:pt>
                <c:pt idx="70">
                  <c:v>0.18132368541986801</c:v>
                </c:pt>
                <c:pt idx="71">
                  <c:v>0.187318201759515</c:v>
                </c:pt>
                <c:pt idx="72">
                  <c:v>0.19344095954391199</c:v>
                </c:pt>
                <c:pt idx="73">
                  <c:v>0.199694183215644</c:v>
                </c:pt>
                <c:pt idx="74">
                  <c:v>0.20608018605349199</c:v>
                </c:pt>
                <c:pt idx="75">
                  <c:v>0.21260137571210799</c:v>
                </c:pt>
                <c:pt idx="76">
                  <c:v>0.219260260226944</c:v>
                </c:pt>
                <c:pt idx="77">
                  <c:v>0.22605945453284099</c:v>
                </c:pt>
                <c:pt idx="78">
                  <c:v>0.23300168755091399</c:v>
                </c:pt>
                <c:pt idx="79">
                  <c:v>0.24008980990505499</c:v>
                </c:pt>
                <c:pt idx="80">
                  <c:v>0.24732680233736601</c:v>
                </c:pt>
                <c:pt idx="81">
                  <c:v>0.25471578490088198</c:v>
                </c:pt>
                <c:pt idx="82">
                  <c:v>0.26226002701823398</c:v>
                </c:pt>
                <c:pt idx="83">
                  <c:v>0.26996295850699897</c:v>
                </c:pt>
                <c:pt idx="84">
                  <c:v>0.27782818168617102</c:v>
                </c:pt>
                <c:pt idx="85">
                  <c:v>0.28585948469411299</c:v>
                </c:pt>
                <c:pt idx="86">
                  <c:v>0.29406085616688998</c:v>
                </c:pt>
                <c:pt idx="87">
                  <c:v>0.30243650144714401</c:v>
                </c:pt>
                <c:pt idx="88">
                  <c:v>0.31099086051827501</c:v>
                </c:pt>
                <c:pt idx="89">
                  <c:v>0.319728627887718</c:v>
                </c:pt>
                <c:pt idx="90">
                  <c:v>0.32865477467596599</c:v>
                </c:pt>
                <c:pt idx="91">
                  <c:v>0.337774573206786</c:v>
                </c:pt>
                <c:pt idx="92">
                  <c:v>0.347093624438508</c:v>
                </c:pt>
                <c:pt idx="93">
                  <c:v>0.35661788862759802</c:v>
                </c:pt>
                <c:pt idx="94">
                  <c:v>0.36635371967469699</c:v>
                </c:pt>
                <c:pt idx="95">
                  <c:v>0.37630790366987299</c:v>
                </c:pt>
                <c:pt idx="96">
                  <c:v>0.38648770222900097</c:v>
                </c:pt>
                <c:pt idx="97">
                  <c:v>0.396900901295061</c:v>
                </c:pt>
                <c:pt idx="98">
                  <c:v>0.40755586616499401</c:v>
                </c:pt>
                <c:pt idx="99">
                  <c:v>0.41846160358860301</c:v>
                </c:pt>
                <c:pt idx="100">
                  <c:v>0.429627831860523</c:v>
                </c:pt>
                <c:pt idx="101">
                  <c:v>0.44106505986856798</c:v>
                </c:pt>
                <c:pt idx="102">
                  <c:v>0.45278467603705003</c:v>
                </c:pt>
                <c:pt idx="103">
                  <c:v>0.464799047944844</c:v>
                </c:pt>
                <c:pt idx="104">
                  <c:v>0.47712163299231197</c:v>
                </c:pt>
                <c:pt idx="105">
                  <c:v>0.48976709962909099</c:v>
                </c:pt>
                <c:pt idx="106">
                  <c:v>0.50275145696646795</c:v>
                </c:pt>
                <c:pt idx="107">
                  <c:v>0.516092187400925</c:v>
                </c:pt>
                <c:pt idx="108">
                  <c:v>0.52980837090764599</c:v>
                </c:pt>
                <c:pt idx="109">
                  <c:v>0.54392077852586995</c:v>
                </c:pt>
                <c:pt idx="110">
                  <c:v>0.55845189159300801</c:v>
                </c:pt>
                <c:pt idx="111">
                  <c:v>0.57342576316735305</c:v>
                </c:pt>
                <c:pt idx="112">
                  <c:v>0.58886755952286096</c:v>
                </c:pt>
                <c:pt idx="113">
                  <c:v>0.60480246116850001</c:v>
                </c:pt>
                <c:pt idx="114">
                  <c:v>0.62125327161981703</c:v>
                </c:pt>
                <c:pt idx="115">
                  <c:v>0.63823535959537603</c:v>
                </c:pt>
                <c:pt idx="116">
                  <c:v>0.65574590542706801</c:v>
                </c:pt>
                <c:pt idx="117">
                  <c:v>0.67374042687345803</c:v>
                </c:pt>
                <c:pt idx="118">
                  <c:v>0.69207942996759597</c:v>
                </c:pt>
                <c:pt idx="119">
                  <c:v>0.71040199615411204</c:v>
                </c:pt>
                <c:pt idx="120">
                  <c:v>0.72782775899791996</c:v>
                </c:pt>
                <c:pt idx="121">
                  <c:v>0.74248628338239897</c:v>
                </c:pt>
                <c:pt idx="122">
                  <c:v>0.74808158694288296</c:v>
                </c:pt>
                <c:pt idx="123">
                  <c:v>0.75314159592166996</c:v>
                </c:pt>
                <c:pt idx="124">
                  <c:v>0.75810327418356604</c:v>
                </c:pt>
                <c:pt idx="125">
                  <c:v>0.763051576804467</c:v>
                </c:pt>
                <c:pt idx="126">
                  <c:v>0.767986382320196</c:v>
                </c:pt>
                <c:pt idx="127">
                  <c:v>0.77290815947282598</c:v>
                </c:pt>
                <c:pt idx="128">
                  <c:v>0.77781710136986904</c:v>
                </c:pt>
                <c:pt idx="129">
                  <c:v>0.78271322856561598</c:v>
                </c:pt>
                <c:pt idx="130">
                  <c:v>0.787596448429844</c:v>
                </c:pt>
                <c:pt idx="131">
                  <c:v>0.79246659401036401</c:v>
                </c:pt>
                <c:pt idx="132">
                  <c:v>0.79732344912389996</c:v>
                </c:pt>
                <c:pt idx="133">
                  <c:v>0.79732893567823004</c:v>
                </c:pt>
                <c:pt idx="134">
                  <c:v>0.79732893567823004</c:v>
                </c:pt>
                <c:pt idx="135">
                  <c:v>0.79732893567823004</c:v>
                </c:pt>
                <c:pt idx="136">
                  <c:v>0.79732893567823004</c:v>
                </c:pt>
                <c:pt idx="137">
                  <c:v>0.79732893567823004</c:v>
                </c:pt>
                <c:pt idx="138">
                  <c:v>0.79732893567823004</c:v>
                </c:pt>
                <c:pt idx="139">
                  <c:v>0.79732893567823004</c:v>
                </c:pt>
                <c:pt idx="140">
                  <c:v>0.79732893567823004</c:v>
                </c:pt>
                <c:pt idx="141">
                  <c:v>0.79732893567823004</c:v>
                </c:pt>
                <c:pt idx="142">
                  <c:v>0.79732893567823004</c:v>
                </c:pt>
                <c:pt idx="143">
                  <c:v>0.79732893567823004</c:v>
                </c:pt>
                <c:pt idx="144">
                  <c:v>0.79732893567823004</c:v>
                </c:pt>
                <c:pt idx="145">
                  <c:v>0.79732893567823004</c:v>
                </c:pt>
                <c:pt idx="146">
                  <c:v>0.79732893567823004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Implicit_Fracs!$AI$4:$AI$150</c:f>
              <c:numCache>
                <c:formatCode>General</c:formatCode>
                <c:ptCount val="147"/>
                <c:pt idx="0">
                  <c:v>1</c:v>
                </c:pt>
                <c:pt idx="1">
                  <c:v>1</c:v>
                </c:pt>
                <c:pt idx="2">
                  <c:v>0.99576636326484202</c:v>
                </c:pt>
                <c:pt idx="3">
                  <c:v>0.98733216117099099</c:v>
                </c:pt>
                <c:pt idx="4">
                  <c:v>0.97823270467161905</c:v>
                </c:pt>
                <c:pt idx="5">
                  <c:v>0.96916771231605703</c:v>
                </c:pt>
                <c:pt idx="6">
                  <c:v>0.96027660620014599</c:v>
                </c:pt>
                <c:pt idx="7">
                  <c:v>0.951559922826405</c:v>
                </c:pt>
                <c:pt idx="8">
                  <c:v>0.942988561760706</c:v>
                </c:pt>
                <c:pt idx="9">
                  <c:v>0.93453334304385005</c:v>
                </c:pt>
                <c:pt idx="10">
                  <c:v>0.92617155093083903</c:v>
                </c:pt>
                <c:pt idx="11">
                  <c:v>0.91788695125263098</c:v>
                </c:pt>
                <c:pt idx="12">
                  <c:v>0.90966833018330895</c:v>
                </c:pt>
                <c:pt idx="13">
                  <c:v>0.90150802886530002</c:v>
                </c:pt>
                <c:pt idx="14">
                  <c:v>0.89340081331368404</c:v>
                </c:pt>
                <c:pt idx="15">
                  <c:v>0.88534308064354506</c:v>
                </c:pt>
                <c:pt idx="16">
                  <c:v>0.87733232384297799</c:v>
                </c:pt>
                <c:pt idx="17">
                  <c:v>0.86936677704089305</c:v>
                </c:pt>
                <c:pt idx="18">
                  <c:v>0.861445181410884</c:v>
                </c:pt>
                <c:pt idx="19">
                  <c:v>0.85356663011814005</c:v>
                </c:pt>
                <c:pt idx="20">
                  <c:v>0.84573046469913005</c:v>
                </c:pt>
                <c:pt idx="21">
                  <c:v>0.83793620494384302</c:v>
                </c:pt>
                <c:pt idx="22">
                  <c:v>0.83018350074136704</c:v>
                </c:pt>
                <c:pt idx="23">
                  <c:v>0.822472098470168</c:v>
                </c:pt>
                <c:pt idx="24">
                  <c:v>0.814801817143046</c:v>
                </c:pt>
                <c:pt idx="25">
                  <c:v>0.80715481276882095</c:v>
                </c:pt>
                <c:pt idx="26">
                  <c:v>0.79951478466423098</c:v>
                </c:pt>
                <c:pt idx="27">
                  <c:v>0.791882937873572</c:v>
                </c:pt>
                <c:pt idx="28">
                  <c:v>0.78426035994353105</c:v>
                </c:pt>
                <c:pt idx="29">
                  <c:v>0.77664803800484705</c:v>
                </c:pt>
                <c:pt idx="30">
                  <c:v>0.76904687291541196</c:v>
                </c:pt>
                <c:pt idx="31">
                  <c:v>0.76145769105286198</c:v>
                </c:pt>
                <c:pt idx="32">
                  <c:v>0.75388125421190999</c:v>
                </c:pt>
                <c:pt idx="33">
                  <c:v>0.74631826796214196</c:v>
                </c:pt>
                <c:pt idx="34">
                  <c:v>0.73876938874646403</c:v>
                </c:pt>
                <c:pt idx="35">
                  <c:v>0.73123522994283496</c:v>
                </c:pt>
                <c:pt idx="36">
                  <c:v>0.72371636706725795</c:v>
                </c:pt>
                <c:pt idx="37">
                  <c:v>0.71621334226158595</c:v>
                </c:pt>
                <c:pt idx="38">
                  <c:v>0.70872666818233498</c:v>
                </c:pt>
                <c:pt idx="39">
                  <c:v>0.70125683138556105</c:v>
                </c:pt>
                <c:pt idx="40">
                  <c:v>0.69380429528556598</c:v>
                </c:pt>
                <c:pt idx="41">
                  <c:v>0.68636950275181396</c:v>
                </c:pt>
                <c:pt idx="42">
                  <c:v>0.67895287839732099</c:v>
                </c:pt>
                <c:pt idx="43">
                  <c:v>0.67155483060302301</c:v>
                </c:pt>
                <c:pt idx="44">
                  <c:v>0.66417575331533596</c:v>
                </c:pt>
                <c:pt idx="45">
                  <c:v>0.65681602764826497</c:v>
                </c:pt>
                <c:pt idx="46">
                  <c:v>0.64947602331659704</c:v>
                </c:pt>
                <c:pt idx="47">
                  <c:v>0.64215609992257905</c:v>
                </c:pt>
                <c:pt idx="48">
                  <c:v>0.63485660811542199</c:v>
                </c:pt>
                <c:pt idx="49">
                  <c:v>0.62757789063979796</c:v>
                </c:pt>
                <c:pt idx="50">
                  <c:v>0.62032028328774202</c:v>
                </c:pt>
                <c:pt idx="51">
                  <c:v>0.61308411576584199</c:v>
                </c:pt>
                <c:pt idx="52">
                  <c:v>0.605869712488458</c:v>
                </c:pt>
                <c:pt idx="53">
                  <c:v>0.59867739330608505</c:v>
                </c:pt>
                <c:pt idx="54">
                  <c:v>0.59150747417680605</c:v>
                </c:pt>
                <c:pt idx="55">
                  <c:v>0.584360267787981</c:v>
                </c:pt>
                <c:pt idx="56">
                  <c:v>0.57723608413428695</c:v>
                </c:pt>
                <c:pt idx="57">
                  <c:v>0.57013523105766295</c:v>
                </c:pt>
                <c:pt idx="58">
                  <c:v>0.56305801475394601</c:v>
                </c:pt>
                <c:pt idx="59">
                  <c:v>0.55600474025073798</c:v>
                </c:pt>
                <c:pt idx="60">
                  <c:v>0.54897571186031002</c:v>
                </c:pt>
                <c:pt idx="61">
                  <c:v>0.541971233611245</c:v>
                </c:pt>
                <c:pt idx="62">
                  <c:v>0.53499160966201698</c:v>
                </c:pt>
                <c:pt idx="63">
                  <c:v>0.52803714469967999</c:v>
                </c:pt>
                <c:pt idx="64">
                  <c:v>0.52110814432637698</c:v>
                </c:pt>
                <c:pt idx="65">
                  <c:v>0.51420491543642699</c:v>
                </c:pt>
                <c:pt idx="66">
                  <c:v>0.50732776658661305</c:v>
                </c:pt>
                <c:pt idx="67">
                  <c:v>0.50047700836208797</c:v>
                </c:pt>
                <c:pt idx="68">
                  <c:v>0.49365295374037099</c:v>
                </c:pt>
                <c:pt idx="69">
                  <c:v>0.48685591845597198</c:v>
                </c:pt>
                <c:pt idx="70">
                  <c:v>0.48008622136804602</c:v>
                </c:pt>
                <c:pt idx="71">
                  <c:v>0.47334418483370999</c:v>
                </c:pt>
                <c:pt idx="72">
                  <c:v>0.46663013508968498</c:v>
                </c:pt>
                <c:pt idx="73">
                  <c:v>0.45994440264515002</c:v>
                </c:pt>
                <c:pt idx="74">
                  <c:v>0.45328732268884497</c:v>
                </c:pt>
                <c:pt idx="75">
                  <c:v>0.44665923551381298</c:v>
                </c:pt>
                <c:pt idx="76">
                  <c:v>0.44006048696344202</c:v>
                </c:pt>
                <c:pt idx="77">
                  <c:v>0.43349142890297698</c:v>
                </c:pt>
                <c:pt idx="78">
                  <c:v>0.426952419721081</c:v>
                </c:pt>
                <c:pt idx="79">
                  <c:v>0.42044382486676402</c:v>
                </c:pt>
                <c:pt idx="80">
                  <c:v>0.413966017427704</c:v>
                </c:pt>
                <c:pt idx="81">
                  <c:v>0.40751937875689598</c:v>
                </c:pt>
                <c:pt idx="82">
                  <c:v>0.40110429915575802</c:v>
                </c:pt>
                <c:pt idx="83">
                  <c:v>0.39472117862309902</c:v>
                </c:pt>
                <c:pt idx="84">
                  <c:v>0.38837042768108898</c:v>
                </c:pt>
                <c:pt idx="85">
                  <c:v>0.38205246829142703</c:v>
                </c:pt>
                <c:pt idx="86">
                  <c:v>0.37576773487729098</c:v>
                </c:pt>
                <c:pt idx="87">
                  <c:v>0.36951667546983302</c:v>
                </c:pt>
                <c:pt idx="88">
                  <c:v>0.36329975300185302</c:v>
                </c:pt>
                <c:pt idx="89">
                  <c:v>0.35711744677583901</c:v>
                </c:pt>
                <c:pt idx="90">
                  <c:v>0.35097025413973798</c:v>
                </c:pt>
                <c:pt idx="91">
                  <c:v>0.34485869241116901</c:v>
                </c:pt>
                <c:pt idx="92">
                  <c:v>0.33878330110036298</c:v>
                </c:pt>
                <c:pt idx="93">
                  <c:v>0.33274464449422297</c:v>
                </c:pt>
                <c:pt idx="94">
                  <c:v>0.326743314679385</c:v>
                </c:pt>
                <c:pt idx="95">
                  <c:v>0.32077993510254199</c:v>
                </c:pt>
                <c:pt idx="96">
                  <c:v>0.31485516479237302</c:v>
                </c:pt>
                <c:pt idx="97">
                  <c:v>0.30896970340228902</c:v>
                </c:pt>
                <c:pt idx="98">
                  <c:v>0.30312429727918999</c:v>
                </c:pt>
                <c:pt idx="99">
                  <c:v>0.29731974682538498</c:v>
                </c:pt>
                <c:pt idx="100">
                  <c:v>0.29155691550458501</c:v>
                </c:pt>
                <c:pt idx="101">
                  <c:v>0.28583674095820299</c:v>
                </c:pt>
                <c:pt idx="102">
                  <c:v>0.28016024885775098</c:v>
                </c:pt>
                <c:pt idx="103">
                  <c:v>0.27452857034424699</c:v>
                </c:pt>
                <c:pt idx="104">
                  <c:v>0.26894296422588099</c:v>
                </c:pt>
                <c:pt idx="105">
                  <c:v>0.26340484556980298</c:v>
                </c:pt>
                <c:pt idx="106">
                  <c:v>0.25791582300700999</c:v>
                </c:pt>
                <c:pt idx="107">
                  <c:v>0.25247774809289503</c:v>
                </c:pt>
                <c:pt idx="108">
                  <c:v>0.24709278162757001</c:v>
                </c:pt>
                <c:pt idx="109">
                  <c:v>0.24176348427206801</c:v>
                </c:pt>
                <c:pt idx="110">
                  <c:v>0.23649294266561099</c:v>
                </c:pt>
                <c:pt idx="111">
                  <c:v>0.23128494854506901</c:v>
                </c:pt>
                <c:pt idx="112">
                  <c:v>0.226144258850632</c:v>
                </c:pt>
                <c:pt idx="113">
                  <c:v>0.221076982638509</c:v>
                </c:pt>
                <c:pt idx="114">
                  <c:v>0.21609117148420701</c:v>
                </c:pt>
                <c:pt idx="115">
                  <c:v>0.21119774358025301</c:v>
                </c:pt>
                <c:pt idx="116">
                  <c:v>0.20641196081015301</c:v>
                </c:pt>
                <c:pt idx="117">
                  <c:v>0.201755798261811</c:v>
                </c:pt>
                <c:pt idx="118">
                  <c:v>0.197261521169589</c:v>
                </c:pt>
                <c:pt idx="119">
                  <c:v>0.19297521269778301</c:v>
                </c:pt>
                <c:pt idx="120">
                  <c:v>0.188945159346212</c:v>
                </c:pt>
                <c:pt idx="121">
                  <c:v>0.185050202405382</c:v>
                </c:pt>
                <c:pt idx="122">
                  <c:v>0.183295981262939</c:v>
                </c:pt>
                <c:pt idx="123">
                  <c:v>0.17950391174418501</c:v>
                </c:pt>
                <c:pt idx="124">
                  <c:v>0.17573460508540201</c:v>
                </c:pt>
                <c:pt idx="125">
                  <c:v>0.171944571598796</c:v>
                </c:pt>
                <c:pt idx="126">
                  <c:v>0.168157114968707</c:v>
                </c:pt>
                <c:pt idx="127">
                  <c:v>0.16438637497317901</c:v>
                </c:pt>
                <c:pt idx="128">
                  <c:v>0.160641298332485</c:v>
                </c:pt>
                <c:pt idx="129">
                  <c:v>0.15692755057833399</c:v>
                </c:pt>
                <c:pt idx="130">
                  <c:v>0.153248744989046</c:v>
                </c:pt>
                <c:pt idx="131">
                  <c:v>0.149607219535248</c:v>
                </c:pt>
                <c:pt idx="132">
                  <c:v>0.14600452415280901</c:v>
                </c:pt>
                <c:pt idx="133">
                  <c:v>0.14600452415280901</c:v>
                </c:pt>
                <c:pt idx="134">
                  <c:v>0.14600452415280901</c:v>
                </c:pt>
                <c:pt idx="135">
                  <c:v>0.14600452415280901</c:v>
                </c:pt>
                <c:pt idx="136">
                  <c:v>0.14600452415280901</c:v>
                </c:pt>
                <c:pt idx="137">
                  <c:v>0.14600452415280901</c:v>
                </c:pt>
                <c:pt idx="138">
                  <c:v>0.14600452415280901</c:v>
                </c:pt>
                <c:pt idx="139">
                  <c:v>0.14600452415280901</c:v>
                </c:pt>
                <c:pt idx="140">
                  <c:v>0.14600452415280901</c:v>
                </c:pt>
                <c:pt idx="141">
                  <c:v>0.14600452415280901</c:v>
                </c:pt>
                <c:pt idx="142">
                  <c:v>0.14600452415280901</c:v>
                </c:pt>
                <c:pt idx="143">
                  <c:v>0.14600452415280901</c:v>
                </c:pt>
                <c:pt idx="144">
                  <c:v>0.14600452415280901</c:v>
                </c:pt>
                <c:pt idx="145">
                  <c:v>0.14600452415280901</c:v>
                </c:pt>
                <c:pt idx="146">
                  <c:v>0.14600452415280901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Implicit_Fracs!$AD$4:$AD$150</c:f>
              <c:numCache>
                <c:formatCode>General</c:formatCode>
                <c:ptCount val="147"/>
                <c:pt idx="0">
                  <c:v>1.6E-2</c:v>
                </c:pt>
                <c:pt idx="1">
                  <c:v>1.6E-2</c:v>
                </c:pt>
                <c:pt idx="2">
                  <c:v>1.9682027515565699E-2</c:v>
                </c:pt>
                <c:pt idx="3">
                  <c:v>2.0275472721871999E-2</c:v>
                </c:pt>
                <c:pt idx="4">
                  <c:v>2.0549363228662701E-2</c:v>
                </c:pt>
                <c:pt idx="5">
                  <c:v>2.06858278809821E-2</c:v>
                </c:pt>
                <c:pt idx="6">
                  <c:v>2.0744626038251598E-2</c:v>
                </c:pt>
                <c:pt idx="7">
                  <c:v>2.07531563092699E-2</c:v>
                </c:pt>
                <c:pt idx="8">
                  <c:v>2.0726350437846999E-2</c:v>
                </c:pt>
                <c:pt idx="9">
                  <c:v>2.0673275957752101E-2</c:v>
                </c:pt>
                <c:pt idx="10">
                  <c:v>2.0599867617930499E-2</c:v>
                </c:pt>
                <c:pt idx="11">
                  <c:v>2.0510230422956601E-2</c:v>
                </c:pt>
                <c:pt idx="12">
                  <c:v>2.0407327305638798E-2</c:v>
                </c:pt>
                <c:pt idx="13">
                  <c:v>2.0293370618775199E-2</c:v>
                </c:pt>
                <c:pt idx="14">
                  <c:v>2.0170058616390402E-2</c:v>
                </c:pt>
                <c:pt idx="15">
                  <c:v>2.0038725286932801E-2</c:v>
                </c:pt>
                <c:pt idx="16">
                  <c:v>1.99004391008527E-2</c:v>
                </c:pt>
                <c:pt idx="17">
                  <c:v>1.9756070280376199E-2</c:v>
                </c:pt>
                <c:pt idx="18">
                  <c:v>1.9606337937771601E-2</c:v>
                </c:pt>
                <c:pt idx="19">
                  <c:v>1.9451843921693999E-2</c:v>
                </c:pt>
                <c:pt idx="20">
                  <c:v>1.92930976417603E-2</c:v>
                </c:pt>
                <c:pt idx="21">
                  <c:v>1.91305346198649E-2</c:v>
                </c:pt>
                <c:pt idx="22">
                  <c:v>1.8964530585319599E-2</c:v>
                </c:pt>
                <c:pt idx="23">
                  <c:v>1.87954123439215E-2</c:v>
                </c:pt>
                <c:pt idx="24">
                  <c:v>1.8623466271477498E-2</c:v>
                </c:pt>
                <c:pt idx="25">
                  <c:v>1.8448945031117301E-2</c:v>
                </c:pt>
                <c:pt idx="26">
                  <c:v>1.8272067087969201E-2</c:v>
                </c:pt>
                <c:pt idx="27">
                  <c:v>1.8093021611400601E-2</c:v>
                </c:pt>
                <c:pt idx="28">
                  <c:v>1.7911977820090599E-2</c:v>
                </c:pt>
                <c:pt idx="29">
                  <c:v>1.7729087805572401E-2</c:v>
                </c:pt>
                <c:pt idx="30">
                  <c:v>1.7544488871275601E-2</c:v>
                </c:pt>
                <c:pt idx="31">
                  <c:v>1.7358305484022601E-2</c:v>
                </c:pt>
                <c:pt idx="32">
                  <c:v>1.71706509129721E-2</c:v>
                </c:pt>
                <c:pt idx="33">
                  <c:v>1.6981628614559301E-2</c:v>
                </c:pt>
                <c:pt idx="34">
                  <c:v>1.6791333409541798E-2</c:v>
                </c:pt>
                <c:pt idx="35">
                  <c:v>1.6599852488755801E-2</c:v>
                </c:pt>
                <c:pt idx="36">
                  <c:v>1.6407266276866998E-2</c:v>
                </c:pt>
                <c:pt idx="37">
                  <c:v>1.6213649177705399E-2</c:v>
                </c:pt>
                <c:pt idx="38">
                  <c:v>1.6019070220313701E-2</c:v>
                </c:pt>
                <c:pt idx="39">
                  <c:v>1.58235936213257E-2</c:v>
                </c:pt>
                <c:pt idx="40">
                  <c:v>1.5627279276487299E-2</c:v>
                </c:pt>
                <c:pt idx="41">
                  <c:v>1.54301831919027E-2</c:v>
                </c:pt>
                <c:pt idx="42">
                  <c:v>1.5232357863784801E-2</c:v>
                </c:pt>
                <c:pt idx="43">
                  <c:v>1.50338526140332E-2</c:v>
                </c:pt>
                <c:pt idx="44">
                  <c:v>1.48347138877761E-2</c:v>
                </c:pt>
                <c:pt idx="45">
                  <c:v>1.4634985518041901E-2</c:v>
                </c:pt>
                <c:pt idx="46">
                  <c:v>1.44347089619309E-2</c:v>
                </c:pt>
                <c:pt idx="47">
                  <c:v>1.42339235119912E-2</c:v>
                </c:pt>
                <c:pt idx="48">
                  <c:v>1.4032666485966599E-2</c:v>
                </c:pt>
                <c:pt idx="49">
                  <c:v>1.38309733976134E-2</c:v>
                </c:pt>
                <c:pt idx="50">
                  <c:v>1.36288781109187E-2</c:v>
                </c:pt>
                <c:pt idx="51">
                  <c:v>1.34264129797154E-2</c:v>
                </c:pt>
                <c:pt idx="52">
                  <c:v>1.3223608974432101E-2</c:v>
                </c:pt>
                <c:pt idx="53">
                  <c:v>1.30204957974807E-2</c:v>
                </c:pt>
                <c:pt idx="54">
                  <c:v>1.28171019885904E-2</c:v>
                </c:pt>
                <c:pt idx="55">
                  <c:v>1.26134550212375E-2</c:v>
                </c:pt>
                <c:pt idx="56">
                  <c:v>1.24095813911744E-2</c:v>
                </c:pt>
                <c:pt idx="57">
                  <c:v>1.22055066979435E-2</c:v>
                </c:pt>
                <c:pt idx="58">
                  <c:v>1.20012557201575E-2</c:v>
                </c:pt>
                <c:pt idx="59">
                  <c:v>1.17968524852433E-2</c:v>
                </c:pt>
                <c:pt idx="60">
                  <c:v>1.15923203342654E-2</c:v>
                </c:pt>
                <c:pt idx="61">
                  <c:v>1.1387681982385101E-2</c:v>
                </c:pt>
                <c:pt idx="62">
                  <c:v>1.11829595754532E-2</c:v>
                </c:pt>
                <c:pt idx="63">
                  <c:v>1.09781747431887E-2</c:v>
                </c:pt>
                <c:pt idx="64">
                  <c:v>1.07733486493537E-2</c:v>
                </c:pt>
                <c:pt idx="65">
                  <c:v>1.0568502039301301E-2</c:v>
                </c:pt>
                <c:pt idx="66">
                  <c:v>1.0363655285248199E-2</c:v>
                </c:pt>
                <c:pt idx="67">
                  <c:v>1.01588284295941E-2</c:v>
                </c:pt>
                <c:pt idx="68">
                  <c:v>9.9540412265966393E-3</c:v>
                </c:pt>
                <c:pt idx="69">
                  <c:v>9.7493131826956198E-3</c:v>
                </c:pt>
                <c:pt idx="70">
                  <c:v>9.5446635957677599E-3</c:v>
                </c:pt>
                <c:pt idx="71">
                  <c:v>9.3401115935904007E-3</c:v>
                </c:pt>
                <c:pt idx="72">
                  <c:v>9.1356761717886498E-3</c:v>
                </c:pt>
                <c:pt idx="73">
                  <c:v>8.9313762315456104E-3</c:v>
                </c:pt>
                <c:pt idx="74">
                  <c:v>8.7272306173587309E-3</c:v>
                </c:pt>
                <c:pt idx="75">
                  <c:v>8.5232581551418305E-3</c:v>
                </c:pt>
                <c:pt idx="76">
                  <c:v>8.3194776909851099E-3</c:v>
                </c:pt>
                <c:pt idx="77">
                  <c:v>8.1159081309138004E-3</c:v>
                </c:pt>
                <c:pt idx="78">
                  <c:v>7.9125684820115505E-3</c:v>
                </c:pt>
                <c:pt idx="79">
                  <c:v>7.7094778953175902E-3</c:v>
                </c:pt>
                <c:pt idx="80">
                  <c:v>7.5066557109532599E-3</c:v>
                </c:pt>
                <c:pt idx="81">
                  <c:v>7.3041215059917704E-3</c:v>
                </c:pt>
                <c:pt idx="82">
                  <c:v>7.1018951456628598E-3</c:v>
                </c:pt>
                <c:pt idx="83">
                  <c:v>6.8999968385697998E-3</c:v>
                </c:pt>
                <c:pt idx="84">
                  <c:v>6.6984471967112798E-3</c:v>
                </c:pt>
                <c:pt idx="85">
                  <c:v>6.4972673012375004E-3</c:v>
                </c:pt>
                <c:pt idx="86">
                  <c:v>6.2964787750361398E-3</c:v>
                </c:pt>
                <c:pt idx="87">
                  <c:v>6.0961038634550699E-3</c:v>
                </c:pt>
                <c:pt idx="88">
                  <c:v>5.8961655247311302E-3</c:v>
                </c:pt>
                <c:pt idx="89">
                  <c:v>5.6966875320105196E-3</c:v>
                </c:pt>
                <c:pt idx="90">
                  <c:v>5.4976945892615398E-3</c:v>
                </c:pt>
                <c:pt idx="91">
                  <c:v>5.2992124638856601E-3</c:v>
                </c:pt>
                <c:pt idx="92">
                  <c:v>5.101268139486E-3</c:v>
                </c:pt>
                <c:pt idx="93">
                  <c:v>4.9038899930811397E-3</c:v>
                </c:pt>
                <c:pt idx="94">
                  <c:v>4.7071080021152704E-3</c:v>
                </c:pt>
                <c:pt idx="95">
                  <c:v>4.5109539880042104E-3</c:v>
                </c:pt>
                <c:pt idx="96">
                  <c:v>4.3154619047546701E-3</c:v>
                </c:pt>
                <c:pt idx="97">
                  <c:v>4.1206681835780903E-3</c:v>
                </c:pt>
                <c:pt idx="98">
                  <c:v>3.9266121475815003E-3</c:v>
                </c:pt>
                <c:pt idx="99">
                  <c:v>3.7333365148721201E-3</c:v>
                </c:pt>
                <c:pt idx="100">
                  <c:v>3.54088801417962E-3</c:v>
                </c:pt>
                <c:pt idx="101">
                  <c:v>3.3493181450386898E-3</c:v>
                </c:pt>
                <c:pt idx="102">
                  <c:v>3.1586841255938098E-3</c:v>
                </c:pt>
                <c:pt idx="103">
                  <c:v>2.9690500866496601E-3</c:v>
                </c:pt>
                <c:pt idx="104">
                  <c:v>2.7804885928150599E-3</c:v>
                </c:pt>
                <c:pt idx="105">
                  <c:v>2.5930826039080399E-3</c:v>
                </c:pt>
                <c:pt idx="106">
                  <c:v>2.4069280375275401E-3</c:v>
                </c:pt>
                <c:pt idx="107">
                  <c:v>2.22213716559374E-3</c:v>
                </c:pt>
                <c:pt idx="108">
                  <c:v>2.03884318810865E-3</c:v>
                </c:pt>
                <c:pt idx="109">
                  <c:v>1.85720650092147E-3</c:v>
                </c:pt>
                <c:pt idx="110">
                  <c:v>1.6774234536190301E-3</c:v>
                </c:pt>
                <c:pt idx="111">
                  <c:v>1.4997388554692801E-3</c:v>
                </c:pt>
                <c:pt idx="112">
                  <c:v>1.3244642733987E-3</c:v>
                </c:pt>
                <c:pt idx="113">
                  <c:v>1.15200554687626E-3</c:v>
                </c:pt>
                <c:pt idx="114">
                  <c:v>9.8290545351648289E-4</c:v>
                </c:pt>
                <c:pt idx="115">
                  <c:v>8.1791217739301798E-4</c:v>
                </c:pt>
                <c:pt idx="116">
                  <c:v>6.5809338950223505E-4</c:v>
                </c:pt>
                <c:pt idx="117">
                  <c:v>5.0503386013453803E-4</c:v>
                </c:pt>
                <c:pt idx="118">
                  <c:v>3.6118945481765499E-4</c:v>
                </c:pt>
                <c:pt idx="119">
                  <c:v>2.3052546488590099E-4</c:v>
                </c:pt>
                <c:pt idx="120">
                  <c:v>1.1955834634681499E-4</c:v>
                </c:pt>
                <c:pt idx="121" formatCode="0.00E+00">
                  <c:v>3.8307996468766697E-5</c:v>
                </c:pt>
                <c:pt idx="122" formatCode="0.00E+00">
                  <c:v>2.6248431472538799E-5</c:v>
                </c:pt>
                <c:pt idx="123" formatCode="0.00E+00">
                  <c:v>1.6689641595120699E-5</c:v>
                </c:pt>
                <c:pt idx="124" formatCode="0.00E+00">
                  <c:v>1.04309496960424E-5</c:v>
                </c:pt>
                <c:pt idx="125" formatCode="0.00E+00">
                  <c:v>6.4922084551232104E-6</c:v>
                </c:pt>
                <c:pt idx="126" formatCode="0.00E+00">
                  <c:v>4.02292051666335E-6</c:v>
                </c:pt>
                <c:pt idx="127" formatCode="0.00E+00">
                  <c:v>2.4815694598457098E-6</c:v>
                </c:pt>
                <c:pt idx="128" formatCode="0.00E+00">
                  <c:v>1.52370313179077E-6</c:v>
                </c:pt>
                <c:pt idx="129" formatCode="0.00E+00">
                  <c:v>9.31138733250336E-7</c:v>
                </c:pt>
                <c:pt idx="130" formatCode="0.00E+00">
                  <c:v>5.6626273850733602E-7</c:v>
                </c:pt>
                <c:pt idx="131" formatCode="0.00E+00">
                  <c:v>3.4265649299656799E-7</c:v>
                </c:pt>
                <c:pt idx="132" formatCode="0.00E+00">
                  <c:v>2.0629258013638201E-7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Implicit_Fracs!$AE$4:$AE$150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1.69363686863929E-4</c:v>
                </c:pt>
                <c:pt idx="3">
                  <c:v>3.7043227432455398E-4</c:v>
                </c:pt>
                <c:pt idx="4">
                  <c:v>5.7804729006436905E-4</c:v>
                </c:pt>
                <c:pt idx="5">
                  <c:v>7.8970490602236197E-4</c:v>
                </c:pt>
                <c:pt idx="6">
                  <c:v>1.00427538603121E-3</c:v>
                </c:pt>
                <c:pt idx="7">
                  <c:v>1.2210921722715601E-3</c:v>
                </c:pt>
                <c:pt idx="8">
                  <c:v>1.4397126279759699E-3</c:v>
                </c:pt>
                <c:pt idx="9">
                  <c:v>1.6598218965722599E-3</c:v>
                </c:pt>
                <c:pt idx="10">
                  <c:v>1.8811850187956201E-3</c:v>
                </c:pt>
                <c:pt idx="11">
                  <c:v>2.1036200207392398E-3</c:v>
                </c:pt>
                <c:pt idx="12">
                  <c:v>2.3269816164772001E-3</c:v>
                </c:pt>
                <c:pt idx="13">
                  <c:v>2.55115081876694E-3</c:v>
                </c:pt>
                <c:pt idx="14">
                  <c:v>2.7760280512002301E-3</c:v>
                </c:pt>
                <c:pt idx="15">
                  <c:v>3.00152843117432E-3</c:v>
                </c:pt>
                <c:pt idx="16">
                  <c:v>3.2275784471410699E-3</c:v>
                </c:pt>
                <c:pt idx="17">
                  <c:v>3.45411355845505E-3</c:v>
                </c:pt>
                <c:pt idx="18">
                  <c:v>3.6810764220160802E-3</c:v>
                </c:pt>
                <c:pt idx="19">
                  <c:v>3.9084155550602601E-3</c:v>
                </c:pt>
                <c:pt idx="20">
                  <c:v>4.1360843081898E-3</c:v>
                </c:pt>
                <c:pt idx="21">
                  <c:v>4.3640400635934504E-3</c:v>
                </c:pt>
                <c:pt idx="22">
                  <c:v>4.5922435997909801E-3</c:v>
                </c:pt>
                <c:pt idx="23">
                  <c:v>4.8206585816340103E-3</c:v>
                </c:pt>
                <c:pt idx="24">
                  <c:v>5.0492511459941996E-3</c:v>
                </c:pt>
                <c:pt idx="25">
                  <c:v>5.2779895615913596E-3</c:v>
                </c:pt>
                <c:pt idx="26">
                  <c:v>5.5068486553499097E-3</c:v>
                </c:pt>
                <c:pt idx="27">
                  <c:v>5.7358092612823097E-3</c:v>
                </c:pt>
                <c:pt idx="28">
                  <c:v>5.9648533895412803E-3</c:v>
                </c:pt>
                <c:pt idx="29">
                  <c:v>6.1939640893413197E-3</c:v>
                </c:pt>
                <c:pt idx="30">
                  <c:v>6.42312533135959E-3</c:v>
                </c:pt>
                <c:pt idx="31">
                  <c:v>6.6523219062230602E-3</c:v>
                </c:pt>
                <c:pt idx="32">
                  <c:v>6.8815393363739E-3</c:v>
                </c:pt>
                <c:pt idx="33">
                  <c:v>7.1107637991325396E-3</c:v>
                </c:pt>
                <c:pt idx="34">
                  <c:v>7.3399820591911599E-3</c:v>
                </c:pt>
                <c:pt idx="35">
                  <c:v>7.5691814090914798E-3</c:v>
                </c:pt>
                <c:pt idx="36">
                  <c:v>7.7983496164998603E-3</c:v>
                </c:pt>
                <c:pt idx="37">
                  <c:v>8.0274748772934095E-3</c:v>
                </c:pt>
                <c:pt idx="38">
                  <c:v>8.2565457736410008E-3</c:v>
                </c:pt>
                <c:pt idx="39">
                  <c:v>8.4855512363883195E-3</c:v>
                </c:pt>
                <c:pt idx="40">
                  <c:v>8.7144805111728507E-3</c:v>
                </c:pt>
                <c:pt idx="41">
                  <c:v>8.9433231277763394E-3</c:v>
                </c:pt>
                <c:pt idx="42">
                  <c:v>9.1720688722995505E-3</c:v>
                </c:pt>
                <c:pt idx="43">
                  <c:v>9.4007077618028009E-3</c:v>
                </c:pt>
                <c:pt idx="44">
                  <c:v>9.6292300211069E-3</c:v>
                </c:pt>
                <c:pt idx="45">
                  <c:v>9.8576260614905604E-3</c:v>
                </c:pt>
                <c:pt idx="46">
                  <c:v>1.00858864610544E-2</c:v>
                </c:pt>
                <c:pt idx="47">
                  <c:v>1.0314001946555299E-2</c:v>
                </c:pt>
                <c:pt idx="48">
                  <c:v>1.0541963376532E-2</c:v>
                </c:pt>
                <c:pt idx="49">
                  <c:v>1.0769761725576799E-2</c:v>
                </c:pt>
                <c:pt idx="50">
                  <c:v>1.09973880696083E-2</c:v>
                </c:pt>
                <c:pt idx="51">
                  <c:v>1.12248335720354E-2</c:v>
                </c:pt>
                <c:pt idx="52">
                  <c:v>1.14520894706986E-2</c:v>
                </c:pt>
                <c:pt idx="53">
                  <c:v>1.1679147065494999E-2</c:v>
                </c:pt>
                <c:pt idx="54">
                  <c:v>1.19059977066036E-2</c:v>
                </c:pt>
                <c:pt idx="55">
                  <c:v>1.21326327832271E-2</c:v>
                </c:pt>
                <c:pt idx="56">
                  <c:v>1.23590437127826E-2</c:v>
                </c:pt>
                <c:pt idx="57">
                  <c:v>1.2585221930472901E-2</c:v>
                </c:pt>
                <c:pt idx="58">
                  <c:v>1.2811158879178899E-2</c:v>
                </c:pt>
                <c:pt idx="59">
                  <c:v>1.3036845999612899E-2</c:v>
                </c:pt>
                <c:pt idx="60">
                  <c:v>1.32622747206804E-2</c:v>
                </c:pt>
                <c:pt idx="61">
                  <c:v>1.3487436449996001E-2</c:v>
                </c:pt>
                <c:pt idx="62">
                  <c:v>1.3712322564505001E-2</c:v>
                </c:pt>
                <c:pt idx="63">
                  <c:v>1.3936924401157199E-2</c:v>
                </c:pt>
                <c:pt idx="64">
                  <c:v>1.4161233247587101E-2</c:v>
                </c:pt>
                <c:pt idx="65">
                  <c:v>1.43852403327475E-2</c:v>
                </c:pt>
                <c:pt idx="66">
                  <c:v>1.46089368174458E-2</c:v>
                </c:pt>
                <c:pt idx="67">
                  <c:v>1.4832313784729999E-2</c:v>
                </c:pt>
                <c:pt idx="68">
                  <c:v>1.50553622300707E-2</c:v>
                </c:pt>
                <c:pt idx="69">
                  <c:v>1.5278073051274699E-2</c:v>
                </c:pt>
                <c:pt idx="70">
                  <c:v>1.5500437038072599E-2</c:v>
                </c:pt>
                <c:pt idx="71">
                  <c:v>1.5722444861306899E-2</c:v>
                </c:pt>
                <c:pt idx="72">
                  <c:v>1.5944087061646201E-2</c:v>
                </c:pt>
                <c:pt idx="73">
                  <c:v>1.6165354037741501E-2</c:v>
                </c:pt>
                <c:pt idx="74">
                  <c:v>1.6386236033730201E-2</c:v>
                </c:pt>
                <c:pt idx="75">
                  <c:v>1.6606723125981299E-2</c:v>
                </c:pt>
                <c:pt idx="76">
                  <c:v>1.6826805208963899E-2</c:v>
                </c:pt>
                <c:pt idx="77">
                  <c:v>1.7046471980098499E-2</c:v>
                </c:pt>
                <c:pt idx="78">
                  <c:v>1.7265712923435799E-2</c:v>
                </c:pt>
                <c:pt idx="79">
                  <c:v>1.7484517291981399E-2</c:v>
                </c:pt>
                <c:pt idx="80">
                  <c:v>1.77028740884509E-2</c:v>
                </c:pt>
                <c:pt idx="81">
                  <c:v>1.79207720442136E-2</c:v>
                </c:pt>
                <c:pt idx="82">
                  <c:v>1.81381995961283E-2</c:v>
                </c:pt>
                <c:pt idx="83">
                  <c:v>1.8355144860933301E-2</c:v>
                </c:pt>
                <c:pt idx="84">
                  <c:v>1.8571595606780501E-2</c:v>
                </c:pt>
                <c:pt idx="85">
                  <c:v>1.8787539221428E-2</c:v>
                </c:pt>
                <c:pt idx="86">
                  <c:v>1.9002962676511401E-2</c:v>
                </c:pt>
                <c:pt idx="87">
                  <c:v>1.9217852487191898E-2</c:v>
                </c:pt>
                <c:pt idx="88">
                  <c:v>1.9432194666329301E-2</c:v>
                </c:pt>
                <c:pt idx="89">
                  <c:v>1.9645974672148299E-2</c:v>
                </c:pt>
                <c:pt idx="90">
                  <c:v>1.9859177348128899E-2</c:v>
                </c:pt>
                <c:pt idx="91">
                  <c:v>2.0071786853556099E-2</c:v>
                </c:pt>
                <c:pt idx="92">
                  <c:v>2.0283786582792999E-2</c:v>
                </c:pt>
                <c:pt idx="93">
                  <c:v>2.0495159070853398E-2</c:v>
                </c:pt>
                <c:pt idx="94">
                  <c:v>2.0705885882233901E-2</c:v>
                </c:pt>
                <c:pt idx="95">
                  <c:v>2.0915947479148302E-2</c:v>
                </c:pt>
                <c:pt idx="96">
                  <c:v>2.1125323064245499E-2</c:v>
                </c:pt>
                <c:pt idx="97">
                  <c:v>2.1333990391481799E-2</c:v>
                </c:pt>
                <c:pt idx="98">
                  <c:v>2.15419255369276E-2</c:v>
                </c:pt>
                <c:pt idx="99">
                  <c:v>2.17491026187372E-2</c:v>
                </c:pt>
                <c:pt idx="100">
                  <c:v>2.1955493452030302E-2</c:v>
                </c:pt>
                <c:pt idx="101">
                  <c:v>2.2161067119605998E-2</c:v>
                </c:pt>
                <c:pt idx="102">
                  <c:v>2.2365789432675E-2</c:v>
                </c:pt>
                <c:pt idx="103">
                  <c:v>2.25696222462126E-2</c:v>
                </c:pt>
                <c:pt idx="104">
                  <c:v>2.27725225797634E-2</c:v>
                </c:pt>
                <c:pt idx="105">
                  <c:v>2.2974441474346199E-2</c:v>
                </c:pt>
                <c:pt idx="106">
                  <c:v>2.3175322486088199E-2</c:v>
                </c:pt>
                <c:pt idx="107">
                  <c:v>2.3375099671645999E-2</c:v>
                </c:pt>
                <c:pt idx="108">
                  <c:v>2.35736948499027E-2</c:v>
                </c:pt>
                <c:pt idx="109">
                  <c:v>2.3771013812618001E-2</c:v>
                </c:pt>
                <c:pt idx="110">
                  <c:v>2.3966940975119901E-2</c:v>
                </c:pt>
                <c:pt idx="111">
                  <c:v>2.4161331655120799E-2</c:v>
                </c:pt>
                <c:pt idx="112">
                  <c:v>2.4354000646930898E-2</c:v>
                </c:pt>
                <c:pt idx="113">
                  <c:v>2.4544704834080801E-2</c:v>
                </c:pt>
                <c:pt idx="114">
                  <c:v>2.47331158866467E-2</c:v>
                </c:pt>
                <c:pt idx="115">
                  <c:v>2.4918775867285501E-2</c:v>
                </c:pt>
                <c:pt idx="116">
                  <c:v>2.5101022269632199E-2</c:v>
                </c:pt>
                <c:pt idx="117">
                  <c:v>2.52788565721556E-2</c:v>
                </c:pt>
                <c:pt idx="118">
                  <c:v>2.54507072859128E-2</c:v>
                </c:pt>
                <c:pt idx="119">
                  <c:v>2.5614011575929001E-2</c:v>
                </c:pt>
                <c:pt idx="120">
                  <c:v>2.5764661159368801E-2</c:v>
                </c:pt>
                <c:pt idx="121">
                  <c:v>2.5898143487766902E-2</c:v>
                </c:pt>
                <c:pt idx="122">
                  <c:v>2.6076853991735802E-2</c:v>
                </c:pt>
                <c:pt idx="123">
                  <c:v>2.6239719204596799E-2</c:v>
                </c:pt>
                <c:pt idx="124">
                  <c:v>2.6401880047991901E-2</c:v>
                </c:pt>
                <c:pt idx="125">
                  <c:v>2.65661973401735E-2</c:v>
                </c:pt>
                <c:pt idx="126">
                  <c:v>2.6732811797737201E-2</c:v>
                </c:pt>
                <c:pt idx="127">
                  <c:v>2.69018572916386E-2</c:v>
                </c:pt>
                <c:pt idx="128">
                  <c:v>2.70734429315867E-2</c:v>
                </c:pt>
                <c:pt idx="129">
                  <c:v>2.7247662780257999E-2</c:v>
                </c:pt>
                <c:pt idx="130">
                  <c:v>2.74246019595995E-2</c:v>
                </c:pt>
                <c:pt idx="131">
                  <c:v>2.7604340659298201E-2</c:v>
                </c:pt>
                <c:pt idx="132">
                  <c:v>2.7786956762684702E-2</c:v>
                </c:pt>
                <c:pt idx="133">
                  <c:v>2.7786956762684702E-2</c:v>
                </c:pt>
                <c:pt idx="134">
                  <c:v>2.7786956762684702E-2</c:v>
                </c:pt>
                <c:pt idx="135">
                  <c:v>2.7786956762684702E-2</c:v>
                </c:pt>
                <c:pt idx="136">
                  <c:v>2.7786956762684702E-2</c:v>
                </c:pt>
                <c:pt idx="137">
                  <c:v>2.7786956762684702E-2</c:v>
                </c:pt>
                <c:pt idx="138">
                  <c:v>2.7786956762684702E-2</c:v>
                </c:pt>
                <c:pt idx="139">
                  <c:v>2.7786956762684702E-2</c:v>
                </c:pt>
                <c:pt idx="140">
                  <c:v>2.7786956762684702E-2</c:v>
                </c:pt>
                <c:pt idx="141">
                  <c:v>2.7786956762684702E-2</c:v>
                </c:pt>
                <c:pt idx="142">
                  <c:v>2.7786956762684702E-2</c:v>
                </c:pt>
                <c:pt idx="143">
                  <c:v>2.7786956762684702E-2</c:v>
                </c:pt>
                <c:pt idx="144">
                  <c:v>2.7786956762684702E-2</c:v>
                </c:pt>
                <c:pt idx="145">
                  <c:v>2.7786956762684702E-2</c:v>
                </c:pt>
                <c:pt idx="146">
                  <c:v>2.7786956762684702E-2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Implicit_Fracs!$AF$4:$AF$150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 formatCode="0.00E+00">
                  <c:v>1.9183041579175701E-20</c:v>
                </c:pt>
                <c:pt idx="121" formatCode="0.00E+00">
                  <c:v>1.9183041579175701E-20</c:v>
                </c:pt>
                <c:pt idx="122" formatCode="0.00E+00">
                  <c:v>2.3388111318786701E-20</c:v>
                </c:pt>
                <c:pt idx="123" formatCode="0.00E+00">
                  <c:v>3.0993664943840401E-20</c:v>
                </c:pt>
                <c:pt idx="124" formatCode="0.00E+00">
                  <c:v>4.5231198284112999E-20</c:v>
                </c:pt>
                <c:pt idx="125" formatCode="0.00E+00">
                  <c:v>7.1432014373087102E-20</c:v>
                </c:pt>
                <c:pt idx="126" formatCode="0.00E+00">
                  <c:v>1.19813456234841E-19</c:v>
                </c:pt>
                <c:pt idx="127" formatCode="0.00E+00">
                  <c:v>2.1010081925593001E-19</c:v>
                </c:pt>
                <c:pt idx="128" formatCode="0.00E+00">
                  <c:v>3.7880092194418202E-19</c:v>
                </c:pt>
                <c:pt idx="129" formatCode="0.00E+00">
                  <c:v>6.9524872002918901E-19</c:v>
                </c:pt>
                <c:pt idx="130" formatCode="0.00E+00">
                  <c:v>1.2921118863411101E-18</c:v>
                </c:pt>
                <c:pt idx="131" formatCode="0.00E+00">
                  <c:v>2.4230807641963501E-18</c:v>
                </c:pt>
                <c:pt idx="132" formatCode="0.00E+00">
                  <c:v>4.5774716967430897E-18</c:v>
                </c:pt>
                <c:pt idx="133" formatCode="0.00E+00">
                  <c:v>4.5774716967430897E-18</c:v>
                </c:pt>
                <c:pt idx="134" formatCode="0.00E+00">
                  <c:v>4.5774716967430897E-18</c:v>
                </c:pt>
                <c:pt idx="135" formatCode="0.00E+00">
                  <c:v>4.5774716967430897E-18</c:v>
                </c:pt>
                <c:pt idx="136" formatCode="0.00E+00">
                  <c:v>4.5774716967430897E-18</c:v>
                </c:pt>
                <c:pt idx="137" formatCode="0.00E+00">
                  <c:v>4.5774716967430897E-18</c:v>
                </c:pt>
                <c:pt idx="138" formatCode="0.00E+00">
                  <c:v>4.5774716967430897E-18</c:v>
                </c:pt>
                <c:pt idx="139" formatCode="0.00E+00">
                  <c:v>4.5774716967430897E-18</c:v>
                </c:pt>
                <c:pt idx="140" formatCode="0.00E+00">
                  <c:v>4.5774716967430897E-18</c:v>
                </c:pt>
                <c:pt idx="141" formatCode="0.00E+00">
                  <c:v>4.5774716967430897E-18</c:v>
                </c:pt>
                <c:pt idx="142" formatCode="0.00E+00">
                  <c:v>4.5774716967430897E-18</c:v>
                </c:pt>
                <c:pt idx="143" formatCode="0.00E+00">
                  <c:v>4.5774716967430897E-18</c:v>
                </c:pt>
                <c:pt idx="144" formatCode="0.00E+00">
                  <c:v>4.5774716967430897E-18</c:v>
                </c:pt>
                <c:pt idx="145" formatCode="0.00E+00">
                  <c:v>4.5774716967430897E-18</c:v>
                </c:pt>
                <c:pt idx="146" formatCode="0.00E+00">
                  <c:v>4.5774716967430897E-18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Implicit_Fracs!$S$4:$S$150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Implicit_Fracs!$T$4:$T$150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Implicit_Fracs!$U$4:$U$150</c:f>
              <c:numCache>
                <c:formatCode>General</c:formatCode>
                <c:ptCount val="14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0.995762191812401</c:v>
                </c:pt>
                <c:pt idx="4">
                  <c:v>0.99082276542270498</c:v>
                </c:pt>
                <c:pt idx="5">
                  <c:v>0.98588128224965099</c:v>
                </c:pt>
                <c:pt idx="6">
                  <c:v>0.98107699953928995</c:v>
                </c:pt>
                <c:pt idx="7">
                  <c:v>0.97641029700234405</c:v>
                </c:pt>
                <c:pt idx="8">
                  <c:v>0.97185192433081402</c:v>
                </c:pt>
                <c:pt idx="9">
                  <c:v>0.96737255554163004</c:v>
                </c:pt>
                <c:pt idx="10">
                  <c:v>0.96294933067305899</c:v>
                </c:pt>
                <c:pt idx="11">
                  <c:v>0.95856587216901201</c:v>
                </c:pt>
                <c:pt idx="12">
                  <c:v>0.95421082332140705</c:v>
                </c:pt>
                <c:pt idx="13">
                  <c:v>0.94987638289344001</c:v>
                </c:pt>
                <c:pt idx="14">
                  <c:v>0.94555717515266802</c:v>
                </c:pt>
                <c:pt idx="15">
                  <c:v>0.94124945626232004</c:v>
                </c:pt>
                <c:pt idx="16">
                  <c:v>0.93695057921274005</c:v>
                </c:pt>
                <c:pt idx="17">
                  <c:v>0.93265863922861703</c:v>
                </c:pt>
                <c:pt idx="18">
                  <c:v>0.92837223979191796</c:v>
                </c:pt>
                <c:pt idx="19">
                  <c:v>0.92409033769055504</c:v>
                </c:pt>
                <c:pt idx="20">
                  <c:v>0.91981213948659601</c:v>
                </c:pt>
                <c:pt idx="21">
                  <c:v>0.91553703147754895</c:v>
                </c:pt>
                <c:pt idx="22">
                  <c:v>0.91126453161444299</c:v>
                </c:pt>
                <c:pt idx="23">
                  <c:v>0.90699425596029903</c:v>
                </c:pt>
                <c:pt idx="24">
                  <c:v>0.90272589490051003</c:v>
                </c:pt>
                <c:pt idx="25">
                  <c:v>0.89844147756829396</c:v>
                </c:pt>
                <c:pt idx="26">
                  <c:v>0.89412455894429599</c:v>
                </c:pt>
                <c:pt idx="27">
                  <c:v>0.88977618043881201</c:v>
                </c:pt>
                <c:pt idx="28">
                  <c:v>0.88539726419835996</c:v>
                </c:pt>
                <c:pt idx="29">
                  <c:v>0.88098863020172702</c:v>
                </c:pt>
                <c:pt idx="30">
                  <c:v>0.87655101041503203</c:v>
                </c:pt>
                <c:pt idx="31">
                  <c:v>0.87208506059415103</c:v>
                </c:pt>
                <c:pt idx="32">
                  <c:v>0.86759137019005805</c:v>
                </c:pt>
                <c:pt idx="33">
                  <c:v>0.86307047071301102</c:v>
                </c:pt>
                <c:pt idx="34">
                  <c:v>0.85852284283602498</c:v>
                </c:pt>
                <c:pt idx="35">
                  <c:v>0.85394892246042298</c:v>
                </c:pt>
                <c:pt idx="36">
                  <c:v>0.84934910592166801</c:v>
                </c:pt>
                <c:pt idx="37">
                  <c:v>0.84472375447913295</c:v>
                </c:pt>
                <c:pt idx="38">
                  <c:v>0.84007319820621495</c:v>
                </c:pt>
                <c:pt idx="39">
                  <c:v>0.83539773937592599</c:v>
                </c:pt>
                <c:pt idx="40">
                  <c:v>0.83069765541991603</c:v>
                </c:pt>
                <c:pt idx="41">
                  <c:v>0.82597320152537901</c:v>
                </c:pt>
                <c:pt idx="42">
                  <c:v>0.82122461292325699</c:v>
                </c:pt>
                <c:pt idx="43">
                  <c:v>0.81645210691234305</c:v>
                </c:pt>
                <c:pt idx="44">
                  <c:v>0.81165588465662197</c:v>
                </c:pt>
                <c:pt idx="45">
                  <c:v>0.80683613278730004</c:v>
                </c:pt>
                <c:pt idx="46">
                  <c:v>0.80199302483617196</c:v>
                </c:pt>
                <c:pt idx="47">
                  <c:v>0.79712672252285499</c:v>
                </c:pt>
                <c:pt idx="48">
                  <c:v>0.79223737691530405</c:v>
                </c:pt>
                <c:pt idx="49">
                  <c:v>0.78732512947995503</c:v>
                </c:pt>
                <c:pt idx="50">
                  <c:v>0.78239011303594297</c:v>
                </c:pt>
                <c:pt idx="51">
                  <c:v>0.77743245262549499</c:v>
                </c:pt>
                <c:pt idx="52">
                  <c:v>0.78378452496582196</c:v>
                </c:pt>
                <c:pt idx="53">
                  <c:v>0.77856860503513603</c:v>
                </c:pt>
                <c:pt idx="54">
                  <c:v>0.77572902051737602</c:v>
                </c:pt>
                <c:pt idx="55">
                  <c:v>0.77135162075217401</c:v>
                </c:pt>
                <c:pt idx="56">
                  <c:v>0.76737956469022595</c:v>
                </c:pt>
                <c:pt idx="57">
                  <c:v>0.76321801975194103</c:v>
                </c:pt>
                <c:pt idx="58">
                  <c:v>0.75906043943244905</c:v>
                </c:pt>
                <c:pt idx="59">
                  <c:v>0.75488060971162696</c:v>
                </c:pt>
                <c:pt idx="60">
                  <c:v>0.750690212993402</c:v>
                </c:pt>
                <c:pt idx="61">
                  <c:v>0.74649267222647797</c:v>
                </c:pt>
                <c:pt idx="62">
                  <c:v>0.74229070753978599</c:v>
                </c:pt>
                <c:pt idx="63">
                  <c:v>0.73808607720404895</c:v>
                </c:pt>
                <c:pt idx="64">
                  <c:v>0.73387994733888295</c:v>
                </c:pt>
                <c:pt idx="65">
                  <c:v>0.729673093394414</c:v>
                </c:pt>
                <c:pt idx="66">
                  <c:v>0.72546603540999699</c:v>
                </c:pt>
                <c:pt idx="67">
                  <c:v>0.72125912673119397</c:v>
                </c:pt>
                <c:pt idx="68">
                  <c:v>0.71705261210071303</c:v>
                </c:pt>
                <c:pt idx="69">
                  <c:v>0.71284666564285104</c:v>
                </c:pt>
                <c:pt idx="70">
                  <c:v>0.70864141571760397</c:v>
                </c:pt>
                <c:pt idx="71">
                  <c:v>0.70443696122821897</c:v>
                </c:pt>
                <c:pt idx="72">
                  <c:v>0.700233382373877</c:v>
                </c:pt>
                <c:pt idx="73">
                  <c:v>0.69603074779221497</c:v>
                </c:pt>
                <c:pt idx="74">
                  <c:v>0.69182911935390401</c:v>
                </c:pt>
                <c:pt idx="75">
                  <c:v>0.68762855542918599</c:v>
                </c:pt>
                <c:pt idx="76">
                  <c:v>0.68342911316035204</c:v>
                </c:pt>
                <c:pt idx="77">
                  <c:v>0.67923085008964501</c:v>
                </c:pt>
                <c:pt idx="78">
                  <c:v>0.67503382537273404</c:v>
                </c:pt>
                <c:pt idx="79">
                  <c:v>0.67083810073092298</c:v>
                </c:pt>
                <c:pt idx="80">
                  <c:v>0.66664374124534398</c:v>
                </c:pt>
                <c:pt idx="81">
                  <c:v>0.66245081606416001</c:v>
                </c:pt>
                <c:pt idx="82">
                  <c:v>0.65825939907320197</c:v>
                </c:pt>
                <c:pt idx="83">
                  <c:v>0.65406956956731799</c:v>
                </c:pt>
                <c:pt idx="84">
                  <c:v>0.64988141295181301</c:v>
                </c:pt>
                <c:pt idx="85">
                  <c:v>0.64569502149887703</c:v>
                </c:pt>
                <c:pt idx="86">
                  <c:v>0.64151049518193504</c:v>
                </c:pt>
                <c:pt idx="87">
                  <c:v>0.63732794261079195</c:v>
                </c:pt>
                <c:pt idx="88">
                  <c:v>0.63314748209212302</c:v>
                </c:pt>
                <c:pt idx="89">
                  <c:v>0.62896924284262401</c:v>
                </c:pt>
                <c:pt idx="90">
                  <c:v>0.62479336638688399</c:v>
                </c:pt>
                <c:pt idx="91">
                  <c:v>0.62062000817802099</c:v>
                </c:pt>
                <c:pt idx="92">
                  <c:v>0.61644933948734304</c:v>
                </c:pt>
                <c:pt idx="93">
                  <c:v>0.612281549619898</c:v>
                </c:pt>
                <c:pt idx="94">
                  <c:v>0.60811684852650305</c:v>
                </c:pt>
                <c:pt idx="95">
                  <c:v>0.60395546990090998</c:v>
                </c:pt>
                <c:pt idx="96">
                  <c:v>0.59979767487406699</c:v>
                </c:pt>
                <c:pt idx="97">
                  <c:v>0.59564375644850498</c:v>
                </c:pt>
                <c:pt idx="98">
                  <c:v>0.591494044856821</c:v>
                </c:pt>
                <c:pt idx="99">
                  <c:v>0.58734891408343703</c:v>
                </c:pt>
                <c:pt idx="100">
                  <c:v>0.58320878986325397</c:v>
                </c:pt>
                <c:pt idx="101">
                  <c:v>0.57907415957325903</c:v>
                </c:pt>
                <c:pt idx="102">
                  <c:v>0.57494558457465195</c:v>
                </c:pt>
                <c:pt idx="103">
                  <c:v>0.57082371576242397</c:v>
                </c:pt>
                <c:pt idx="104">
                  <c:v>0.56670931336272101</c:v>
                </c:pt>
                <c:pt idx="105">
                  <c:v>0.56260327242868602</c:v>
                </c:pt>
                <c:pt idx="106">
                  <c:v>0.55850665608813999</c:v>
                </c:pt>
                <c:pt idx="107">
                  <c:v>0.55442073949833703</c:v>
                </c:pt>
                <c:pt idx="108">
                  <c:v>0.55034706883717799</c:v>
                </c:pt>
                <c:pt idx="109">
                  <c:v>0.54628754179796002</c:v>
                </c:pt>
                <c:pt idx="110">
                  <c:v>0.54224451945183205</c:v>
                </c:pt>
                <c:pt idx="111">
                  <c:v>0.53822098486468395</c:v>
                </c:pt>
                <c:pt idx="112">
                  <c:v>0.53422077304285198</c:v>
                </c:pt>
                <c:pt idx="113">
                  <c:v>0.53024891240648597</c:v>
                </c:pt>
                <c:pt idx="114">
                  <c:v>0.52631214502317503</c:v>
                </c:pt>
                <c:pt idx="115">
                  <c:v>0.52241973976167699</c:v>
                </c:pt>
                <c:pt idx="116">
                  <c:v>0.51858479092329601</c:v>
                </c:pt>
                <c:pt idx="117">
                  <c:v>0.51482630232582305</c:v>
                </c:pt>
                <c:pt idx="118">
                  <c:v>0.511172347098099</c:v>
                </c:pt>
                <c:pt idx="119">
                  <c:v>0.50766328456962795</c:v>
                </c:pt>
                <c:pt idx="120">
                  <c:v>0.50434234656200505</c:v>
                </c:pt>
                <c:pt idx="121">
                  <c:v>0.50111100357048799</c:v>
                </c:pt>
                <c:pt idx="122">
                  <c:v>0.49965794614095499</c:v>
                </c:pt>
                <c:pt idx="123">
                  <c:v>0.49647998744604699</c:v>
                </c:pt>
                <c:pt idx="124">
                  <c:v>0.49329828913016799</c:v>
                </c:pt>
                <c:pt idx="125">
                  <c:v>0.49007494079497699</c:v>
                </c:pt>
                <c:pt idx="126">
                  <c:v>0.48682901342458401</c:v>
                </c:pt>
                <c:pt idx="127">
                  <c:v>0.48357211012589202</c:v>
                </c:pt>
                <c:pt idx="128">
                  <c:v>0.48031159521778299</c:v>
                </c:pt>
                <c:pt idx="129">
                  <c:v>0.47705213571900001</c:v>
                </c:pt>
                <c:pt idx="130">
                  <c:v>0.47379670036025401</c:v>
                </c:pt>
                <c:pt idx="131">
                  <c:v>0.47054719612638901</c:v>
                </c:pt>
                <c:pt idx="132">
                  <c:v>0.46730487066294302</c:v>
                </c:pt>
                <c:pt idx="133">
                  <c:v>0.46730487090060102</c:v>
                </c:pt>
                <c:pt idx="134">
                  <c:v>0.46730487090060102</c:v>
                </c:pt>
                <c:pt idx="135">
                  <c:v>0.46730487090060102</c:v>
                </c:pt>
                <c:pt idx="136">
                  <c:v>0.46730487090060002</c:v>
                </c:pt>
                <c:pt idx="137">
                  <c:v>0.46730487090060002</c:v>
                </c:pt>
                <c:pt idx="138">
                  <c:v>0.46730487090060102</c:v>
                </c:pt>
                <c:pt idx="139">
                  <c:v>0.46730487090060002</c:v>
                </c:pt>
                <c:pt idx="140">
                  <c:v>0.46730487090060102</c:v>
                </c:pt>
                <c:pt idx="141">
                  <c:v>0.46730487090060102</c:v>
                </c:pt>
                <c:pt idx="142">
                  <c:v>0.46730487090060102</c:v>
                </c:pt>
                <c:pt idx="143">
                  <c:v>0.46730487090060002</c:v>
                </c:pt>
                <c:pt idx="144">
                  <c:v>0.46730487090060102</c:v>
                </c:pt>
                <c:pt idx="145">
                  <c:v>0.46730487090060102</c:v>
                </c:pt>
                <c:pt idx="146">
                  <c:v>0.46730487090060002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Implicit_Fracs!$P$4:$P$150</c:f>
              <c:numCache>
                <c:formatCode>General</c:formatCode>
                <c:ptCount val="147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Implicit_Fracs!$Q$4:$Q$150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Implicit_Fracs!$R$4:$R$150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Implicit_Fracs!$AU$4:$AU$150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Implicit_Fracs!$AV$4:$AV$150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Implicit_Fracs!$AW$4:$AW$150</c:f>
              <c:numCache>
                <c:formatCode>General</c:formatCode>
                <c:ptCount val="14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0.999999999999999</c:v>
                </c:pt>
                <c:pt idx="133">
                  <c:v>0.999999999999999</c:v>
                </c:pt>
                <c:pt idx="134">
                  <c:v>0.999999999999998</c:v>
                </c:pt>
                <c:pt idx="135">
                  <c:v>0.99643921910466204</c:v>
                </c:pt>
                <c:pt idx="136">
                  <c:v>0.99277738403209104</c:v>
                </c:pt>
                <c:pt idx="137">
                  <c:v>0.99154822295071399</c:v>
                </c:pt>
                <c:pt idx="138">
                  <c:v>0.990095274259851</c:v>
                </c:pt>
                <c:pt idx="139">
                  <c:v>0.98876881633129599</c:v>
                </c:pt>
                <c:pt idx="140">
                  <c:v>0.98749950842935297</c:v>
                </c:pt>
                <c:pt idx="141">
                  <c:v>0.98624127373416504</c:v>
                </c:pt>
                <c:pt idx="142">
                  <c:v>0.98496953160024603</c:v>
                </c:pt>
                <c:pt idx="143">
                  <c:v>0.98367222715343505</c:v>
                </c:pt>
                <c:pt idx="144">
                  <c:v>0.98234396812647296</c:v>
                </c:pt>
                <c:pt idx="145">
                  <c:v>0.98098278331630595</c:v>
                </c:pt>
                <c:pt idx="146">
                  <c:v>0.98089373470925401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Implicit_Fracs!$AR$4:$AR$150</c:f>
              <c:numCache>
                <c:formatCode>General</c:formatCode>
                <c:ptCount val="147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Implicit_Fracs!$AS$4:$AS$150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Implicit_Fracs!$AT$4:$AT$150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Implicit_Fracs!$BI$4:$BI$150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 formatCode="0.00E+00">
                  <c:v>3.41607084500048E-20</c:v>
                </c:pt>
                <c:pt idx="45" formatCode="0.00E+00">
                  <c:v>3.41607084500048E-20</c:v>
                </c:pt>
                <c:pt idx="46" formatCode="0.00E+00">
                  <c:v>3.41607084500048E-20</c:v>
                </c:pt>
                <c:pt idx="47" formatCode="0.00E+00">
                  <c:v>3.41607084500048E-20</c:v>
                </c:pt>
                <c:pt idx="48" formatCode="0.00E+00">
                  <c:v>3.41607084500048E-20</c:v>
                </c:pt>
                <c:pt idx="49" formatCode="0.00E+00">
                  <c:v>3.41607084500048E-20</c:v>
                </c:pt>
                <c:pt idx="50" formatCode="0.00E+00">
                  <c:v>3.41607084500048E-20</c:v>
                </c:pt>
                <c:pt idx="51" formatCode="0.00E+00">
                  <c:v>3.41607084500048E-20</c:v>
                </c:pt>
                <c:pt idx="52" formatCode="0.00E+00">
                  <c:v>3.41607084500048E-20</c:v>
                </c:pt>
                <c:pt idx="53" formatCode="0.00E+00">
                  <c:v>3.41607084500048E-20</c:v>
                </c:pt>
                <c:pt idx="54" formatCode="0.00E+00">
                  <c:v>3.41607084500048E-20</c:v>
                </c:pt>
                <c:pt idx="55" formatCode="0.00E+00">
                  <c:v>3.41607084500048E-20</c:v>
                </c:pt>
                <c:pt idx="56" formatCode="0.00E+00">
                  <c:v>3.41607084500048E-20</c:v>
                </c:pt>
                <c:pt idx="57" formatCode="0.00E+00">
                  <c:v>3.41607084500048E-20</c:v>
                </c:pt>
                <c:pt idx="58" formatCode="0.00E+00">
                  <c:v>3.41607084500048E-20</c:v>
                </c:pt>
                <c:pt idx="59" formatCode="0.00E+00">
                  <c:v>3.41607084500048E-20</c:v>
                </c:pt>
                <c:pt idx="60" formatCode="0.00E+00">
                  <c:v>3.41607084500048E-20</c:v>
                </c:pt>
                <c:pt idx="61" formatCode="0.00E+00">
                  <c:v>3.41607084500048E-20</c:v>
                </c:pt>
                <c:pt idx="62" formatCode="0.00E+00">
                  <c:v>3.41607084500048E-20</c:v>
                </c:pt>
                <c:pt idx="63" formatCode="0.00E+00">
                  <c:v>3.41607084500048E-20</c:v>
                </c:pt>
                <c:pt idx="64" formatCode="0.00E+00">
                  <c:v>3.41607084500048E-20</c:v>
                </c:pt>
                <c:pt idx="65" formatCode="0.00E+00">
                  <c:v>3.41607084500048E-20</c:v>
                </c:pt>
                <c:pt idx="66" formatCode="0.00E+00">
                  <c:v>3.41607084500048E-20</c:v>
                </c:pt>
                <c:pt idx="67" formatCode="0.00E+00">
                  <c:v>3.41607084500048E-20</c:v>
                </c:pt>
                <c:pt idx="68" formatCode="0.00E+00">
                  <c:v>3.41607084500048E-20</c:v>
                </c:pt>
                <c:pt idx="69" formatCode="0.00E+00">
                  <c:v>3.41607084500048E-20</c:v>
                </c:pt>
                <c:pt idx="70" formatCode="0.00E+00">
                  <c:v>3.41607084500048E-20</c:v>
                </c:pt>
                <c:pt idx="71" formatCode="0.00E+00">
                  <c:v>3.41607084500048E-20</c:v>
                </c:pt>
                <c:pt idx="72" formatCode="0.00E+00">
                  <c:v>3.41607084500048E-20</c:v>
                </c:pt>
                <c:pt idx="73" formatCode="0.00E+00">
                  <c:v>3.41607084500048E-20</c:v>
                </c:pt>
                <c:pt idx="74" formatCode="0.00E+00">
                  <c:v>3.41607084500048E-20</c:v>
                </c:pt>
                <c:pt idx="75" formatCode="0.00E+00">
                  <c:v>3.41607084500048E-20</c:v>
                </c:pt>
                <c:pt idx="76" formatCode="0.00E+00">
                  <c:v>3.41607084500048E-20</c:v>
                </c:pt>
                <c:pt idx="77" formatCode="0.00E+00">
                  <c:v>6.8321416900009599E-20</c:v>
                </c:pt>
                <c:pt idx="78" formatCode="0.00E+00">
                  <c:v>6.8321416900009599E-20</c:v>
                </c:pt>
                <c:pt idx="79" formatCode="0.00E+00">
                  <c:v>6.8321416900009599E-20</c:v>
                </c:pt>
                <c:pt idx="80" formatCode="0.00E+00">
                  <c:v>6.8321416900009599E-20</c:v>
                </c:pt>
                <c:pt idx="81" formatCode="0.00E+00">
                  <c:v>6.8321416900009599E-20</c:v>
                </c:pt>
                <c:pt idx="82" formatCode="0.00E+00">
                  <c:v>6.8321416900009599E-20</c:v>
                </c:pt>
                <c:pt idx="83" formatCode="0.00E+00">
                  <c:v>6.8321416900009599E-20</c:v>
                </c:pt>
                <c:pt idx="84" formatCode="0.00E+00">
                  <c:v>6.8321416900009599E-20</c:v>
                </c:pt>
                <c:pt idx="85" formatCode="0.00E+00">
                  <c:v>6.8321416900009599E-20</c:v>
                </c:pt>
                <c:pt idx="86" formatCode="0.00E+00">
                  <c:v>6.8321416900009599E-20</c:v>
                </c:pt>
                <c:pt idx="87" formatCode="0.00E+00">
                  <c:v>6.8321416900009599E-20</c:v>
                </c:pt>
                <c:pt idx="88" formatCode="0.00E+00">
                  <c:v>6.8321416900009599E-20</c:v>
                </c:pt>
                <c:pt idx="89" formatCode="0.00E+00">
                  <c:v>6.8321416900009599E-20</c:v>
                </c:pt>
                <c:pt idx="90" formatCode="0.00E+00">
                  <c:v>6.8321416900009599E-20</c:v>
                </c:pt>
                <c:pt idx="91" formatCode="0.00E+00">
                  <c:v>6.8321416900009599E-20</c:v>
                </c:pt>
                <c:pt idx="92" formatCode="0.00E+00">
                  <c:v>6.8321416900009599E-20</c:v>
                </c:pt>
                <c:pt idx="93" formatCode="0.00E+00">
                  <c:v>1.02482125350014E-19</c:v>
                </c:pt>
                <c:pt idx="94" formatCode="0.00E+00">
                  <c:v>1.02482125350014E-19</c:v>
                </c:pt>
                <c:pt idx="95" formatCode="0.00E+00">
                  <c:v>1.02482125350014E-19</c:v>
                </c:pt>
                <c:pt idx="96" formatCode="0.00E+00">
                  <c:v>1.02482125350014E-19</c:v>
                </c:pt>
                <c:pt idx="97" formatCode="0.00E+00">
                  <c:v>1.02482125350014E-19</c:v>
                </c:pt>
                <c:pt idx="98" formatCode="0.00E+00">
                  <c:v>1.02482125350014E-19</c:v>
                </c:pt>
                <c:pt idx="99" formatCode="0.00E+00">
                  <c:v>1.02482125350014E-19</c:v>
                </c:pt>
                <c:pt idx="100" formatCode="0.00E+00">
                  <c:v>1.02482125350014E-19</c:v>
                </c:pt>
                <c:pt idx="101" formatCode="0.00E+00">
                  <c:v>1.02482125350014E-19</c:v>
                </c:pt>
                <c:pt idx="102" formatCode="0.00E+00">
                  <c:v>1.3664283380001901E-19</c:v>
                </c:pt>
                <c:pt idx="103" formatCode="0.00E+00">
                  <c:v>1.3664283380001901E-19</c:v>
                </c:pt>
                <c:pt idx="104" formatCode="0.00E+00">
                  <c:v>1.3664283380001901E-19</c:v>
                </c:pt>
                <c:pt idx="105" formatCode="0.00E+00">
                  <c:v>1.3664283380001901E-19</c:v>
                </c:pt>
                <c:pt idx="106" formatCode="0.00E+00">
                  <c:v>1.3664283380001901E-19</c:v>
                </c:pt>
                <c:pt idx="107" formatCode="0.00E+00">
                  <c:v>1.3664283380001901E-19</c:v>
                </c:pt>
                <c:pt idx="108" formatCode="0.00E+00">
                  <c:v>1.7080354225002401E-19</c:v>
                </c:pt>
                <c:pt idx="109" formatCode="0.00E+00">
                  <c:v>1.7080354225002401E-19</c:v>
                </c:pt>
                <c:pt idx="110" formatCode="0.00E+00">
                  <c:v>1.7080354225002401E-19</c:v>
                </c:pt>
                <c:pt idx="111" formatCode="0.00E+00">
                  <c:v>2.0496425070002899E-19</c:v>
                </c:pt>
                <c:pt idx="112" formatCode="0.00E+00">
                  <c:v>2.0496425070002899E-19</c:v>
                </c:pt>
                <c:pt idx="113" formatCode="0.00E+00">
                  <c:v>2.0496425070002899E-19</c:v>
                </c:pt>
                <c:pt idx="114" formatCode="0.00E+00">
                  <c:v>2.39124959150034E-19</c:v>
                </c:pt>
                <c:pt idx="115" formatCode="0.00E+00">
                  <c:v>2.39124959150034E-19</c:v>
                </c:pt>
                <c:pt idx="116" formatCode="0.00E+00">
                  <c:v>2.7328566760003801E-19</c:v>
                </c:pt>
                <c:pt idx="117" formatCode="0.00E+00">
                  <c:v>3.0744637605004299E-19</c:v>
                </c:pt>
                <c:pt idx="118" formatCode="0.00E+00">
                  <c:v>3.4160708450004802E-19</c:v>
                </c:pt>
                <c:pt idx="119" formatCode="0.00E+00">
                  <c:v>4.0992850140005798E-19</c:v>
                </c:pt>
                <c:pt idx="120" formatCode="0.00E+00">
                  <c:v>5.4657133520007699E-19</c:v>
                </c:pt>
                <c:pt idx="121" formatCode="0.00E+00">
                  <c:v>7.51535585900106E-19</c:v>
                </c:pt>
                <c:pt idx="122" formatCode="0.00E+00">
                  <c:v>1.5030711718002101E-18</c:v>
                </c:pt>
                <c:pt idx="123" formatCode="0.00E+00">
                  <c:v>2.8694995098003999E-18</c:v>
                </c:pt>
                <c:pt idx="124" formatCode="0.00E+00">
                  <c:v>5.2949098097507398E-18</c:v>
                </c:pt>
                <c:pt idx="125" formatCode="0.00E+00">
                  <c:v>9.8041233251513702E-18</c:v>
                </c:pt>
                <c:pt idx="126" formatCode="0.00E+00">
                  <c:v>1.83443004376526E-17</c:v>
                </c:pt>
                <c:pt idx="127" formatCode="0.00E+00">
                  <c:v>3.4365672700704803E-17</c:v>
                </c:pt>
                <c:pt idx="128" formatCode="0.00E+00">
                  <c:v>6.4632060387408901E-17</c:v>
                </c:pt>
                <c:pt idx="129" formatCode="0.00E+00">
                  <c:v>1.2222701483411701E-16</c:v>
                </c:pt>
                <c:pt idx="130" formatCode="0.00E+00">
                  <c:v>2.3222449604312999E-16</c:v>
                </c:pt>
                <c:pt idx="131" formatCode="0.00E+00">
                  <c:v>4.4357679922330302E-16</c:v>
                </c:pt>
                <c:pt idx="132" formatCode="0.00E+00">
                  <c:v>8.5172894378393298E-16</c:v>
                </c:pt>
                <c:pt idx="133" formatCode="0.00E+00">
                  <c:v>1.6445648261999899E-15</c:v>
                </c:pt>
                <c:pt idx="134">
                  <c:v>4.6077608311372196E-3</c:v>
                </c:pt>
                <c:pt idx="135">
                  <c:v>5.9543431387356601E-3</c:v>
                </c:pt>
                <c:pt idx="136">
                  <c:v>3.2582845326689499E-3</c:v>
                </c:pt>
                <c:pt idx="137">
                  <c:v>3.0400453160090498E-4</c:v>
                </c:pt>
                <c:pt idx="138" formatCode="0.00E+00">
                  <c:v>7.4041294925495597E-5</c:v>
                </c:pt>
                <c:pt idx="139" formatCode="0.00E+00">
                  <c:v>1.9182892977204398E-5</c:v>
                </c:pt>
                <c:pt idx="140" formatCode="0.00E+00">
                  <c:v>5.2686026633067503E-6</c:v>
                </c:pt>
                <c:pt idx="141" formatCode="0.00E+00">
                  <c:v>1.5285394931249999E-6</c:v>
                </c:pt>
                <c:pt idx="142" formatCode="0.00E+00">
                  <c:v>4.6683939314766398E-7</c:v>
                </c:pt>
                <c:pt idx="143" formatCode="0.00E+00">
                  <c:v>1.49612672594305E-7</c:v>
                </c:pt>
                <c:pt idx="144" formatCode="0.00E+00">
                  <c:v>5.0162102947918001E-8</c:v>
                </c:pt>
                <c:pt idx="145" formatCode="0.00E+00">
                  <c:v>1.7546019091844298E-8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Implicit_Fracs!$BJ$4:$BJ$150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 formatCode="0.00E+00">
                  <c:v>6.01853107621011E-36</c:v>
                </c:pt>
                <c:pt idx="47" formatCode="0.00E+00">
                  <c:v>6.01853107621011E-36</c:v>
                </c:pt>
                <c:pt idx="48" formatCode="0.00E+00">
                  <c:v>6.01853107621011E-36</c:v>
                </c:pt>
                <c:pt idx="49" formatCode="0.00E+00">
                  <c:v>1.8055593228630299E-35</c:v>
                </c:pt>
                <c:pt idx="50" formatCode="0.00E+00">
                  <c:v>1.8055593228630299E-35</c:v>
                </c:pt>
                <c:pt idx="51" formatCode="0.00E+00">
                  <c:v>1.8055593228630299E-35</c:v>
                </c:pt>
                <c:pt idx="52" formatCode="0.00E+00">
                  <c:v>2.40741243048404E-35</c:v>
                </c:pt>
                <c:pt idx="53" formatCode="0.00E+00">
                  <c:v>2.40741243048404E-35</c:v>
                </c:pt>
                <c:pt idx="54" formatCode="0.00E+00">
                  <c:v>3.0092655381050598E-35</c:v>
                </c:pt>
                <c:pt idx="55" formatCode="0.00E+00">
                  <c:v>3.6111186457260699E-35</c:v>
                </c:pt>
                <c:pt idx="56" formatCode="0.00E+00">
                  <c:v>3.6111186457260699E-35</c:v>
                </c:pt>
                <c:pt idx="57" formatCode="0.00E+00">
                  <c:v>3.6111186457260699E-35</c:v>
                </c:pt>
                <c:pt idx="58" formatCode="0.00E+00">
                  <c:v>4.8148248609680896E-35</c:v>
                </c:pt>
                <c:pt idx="59" formatCode="0.00E+00">
                  <c:v>4.8148248609680896E-35</c:v>
                </c:pt>
                <c:pt idx="60" formatCode="0.00E+00">
                  <c:v>5.4166779685890998E-35</c:v>
                </c:pt>
                <c:pt idx="61" formatCode="0.00E+00">
                  <c:v>5.4166779685890998E-35</c:v>
                </c:pt>
                <c:pt idx="62" formatCode="0.00E+00">
                  <c:v>5.4166779685890998E-35</c:v>
                </c:pt>
                <c:pt idx="63" formatCode="0.00E+00">
                  <c:v>6.0185310762101099E-35</c:v>
                </c:pt>
                <c:pt idx="64" formatCode="0.00E+00">
                  <c:v>6.0185310762101099E-35</c:v>
                </c:pt>
                <c:pt idx="65" formatCode="0.00E+00">
                  <c:v>6.0185310762101099E-35</c:v>
                </c:pt>
                <c:pt idx="66" formatCode="0.00E+00">
                  <c:v>6.0185310762101099E-35</c:v>
                </c:pt>
                <c:pt idx="67" formatCode="0.00E+00">
                  <c:v>6.0185310762101099E-35</c:v>
                </c:pt>
                <c:pt idx="68" formatCode="0.00E+00">
                  <c:v>6.62038418383112E-35</c:v>
                </c:pt>
                <c:pt idx="69" formatCode="0.00E+00">
                  <c:v>6.62038418383112E-35</c:v>
                </c:pt>
                <c:pt idx="70" formatCode="0.00E+00">
                  <c:v>7.8240903990731499E-35</c:v>
                </c:pt>
                <c:pt idx="71" formatCode="0.00E+00">
                  <c:v>7.8240903990731499E-35</c:v>
                </c:pt>
                <c:pt idx="72" formatCode="0.00E+00">
                  <c:v>7.8240903990731499E-35</c:v>
                </c:pt>
                <c:pt idx="73" formatCode="0.00E+00">
                  <c:v>7.8240903990731499E-35</c:v>
                </c:pt>
                <c:pt idx="74" formatCode="0.00E+00">
                  <c:v>9.0277966143151702E-35</c:v>
                </c:pt>
                <c:pt idx="75" formatCode="0.00E+00">
                  <c:v>9.6296497219361793E-35</c:v>
                </c:pt>
                <c:pt idx="76" formatCode="0.00E+00">
                  <c:v>9.6296497219361793E-35</c:v>
                </c:pt>
                <c:pt idx="77" formatCode="0.00E+00">
                  <c:v>9.6296497219361793E-35</c:v>
                </c:pt>
                <c:pt idx="78" formatCode="0.00E+00">
                  <c:v>1.08333559371782E-34</c:v>
                </c:pt>
                <c:pt idx="79" formatCode="0.00E+00">
                  <c:v>1.08333559371782E-34</c:v>
                </c:pt>
                <c:pt idx="80" formatCode="0.00E+00">
                  <c:v>1.08333559371782E-34</c:v>
                </c:pt>
                <c:pt idx="81" formatCode="0.00E+00">
                  <c:v>1.08333559371782E-34</c:v>
                </c:pt>
                <c:pt idx="82" formatCode="0.00E+00">
                  <c:v>1.3240768367662199E-34</c:v>
                </c:pt>
                <c:pt idx="83" formatCode="0.00E+00">
                  <c:v>1.3240768367662199E-34</c:v>
                </c:pt>
                <c:pt idx="84" formatCode="0.00E+00">
                  <c:v>1.3240768367662199E-34</c:v>
                </c:pt>
                <c:pt idx="85" formatCode="0.00E+00">
                  <c:v>1.4444474582904301E-34</c:v>
                </c:pt>
                <c:pt idx="86" formatCode="0.00E+00">
                  <c:v>1.4444474582904301E-34</c:v>
                </c:pt>
                <c:pt idx="87" formatCode="0.00E+00">
                  <c:v>1.80555932286303E-34</c:v>
                </c:pt>
                <c:pt idx="88" formatCode="0.00E+00">
                  <c:v>1.80555932286303E-34</c:v>
                </c:pt>
                <c:pt idx="89" formatCode="0.00E+00">
                  <c:v>1.80555932286303E-34</c:v>
                </c:pt>
                <c:pt idx="90" formatCode="0.00E+00">
                  <c:v>1.9259299443872401E-34</c:v>
                </c:pt>
                <c:pt idx="91" formatCode="0.00E+00">
                  <c:v>2.0463005659114398E-34</c:v>
                </c:pt>
                <c:pt idx="92" formatCode="0.00E+00">
                  <c:v>2.0463005659114398E-34</c:v>
                </c:pt>
                <c:pt idx="93" formatCode="0.00E+00">
                  <c:v>2.0463005659114398E-34</c:v>
                </c:pt>
                <c:pt idx="94" formatCode="0.00E+00">
                  <c:v>2.0463005659114398E-34</c:v>
                </c:pt>
                <c:pt idx="95" formatCode="0.00E+00">
                  <c:v>2.1666711874356399E-34</c:v>
                </c:pt>
                <c:pt idx="96" formatCode="0.00E+00">
                  <c:v>2.1666711874356399E-34</c:v>
                </c:pt>
                <c:pt idx="97" formatCode="0.00E+00">
                  <c:v>2.28704180895984E-34</c:v>
                </c:pt>
                <c:pt idx="98" formatCode="0.00E+00">
                  <c:v>2.28704180895984E-34</c:v>
                </c:pt>
                <c:pt idx="99" formatCode="0.00E+00">
                  <c:v>2.4074124304840401E-34</c:v>
                </c:pt>
                <c:pt idx="100" formatCode="0.00E+00">
                  <c:v>2.5277830520082501E-34</c:v>
                </c:pt>
                <c:pt idx="101" formatCode="0.00E+00">
                  <c:v>3.12963615962926E-34</c:v>
                </c:pt>
                <c:pt idx="102" formatCode="0.00E+00">
                  <c:v>3.12963615962926E-34</c:v>
                </c:pt>
                <c:pt idx="103" formatCode="0.00E+00">
                  <c:v>3.12963615962926E-34</c:v>
                </c:pt>
                <c:pt idx="104" formatCode="0.00E+00">
                  <c:v>3.12963615962926E-34</c:v>
                </c:pt>
                <c:pt idx="105" formatCode="0.00E+00">
                  <c:v>3.85185988877447E-34</c:v>
                </c:pt>
                <c:pt idx="106" formatCode="0.00E+00">
                  <c:v>3.85185988877447E-34</c:v>
                </c:pt>
                <c:pt idx="107" formatCode="0.00E+00">
                  <c:v>3.85185988877447E-34</c:v>
                </c:pt>
                <c:pt idx="108" formatCode="0.00E+00">
                  <c:v>3.85185988877447E-34</c:v>
                </c:pt>
                <c:pt idx="109" formatCode="0.00E+00">
                  <c:v>4.3333423748712798E-34</c:v>
                </c:pt>
                <c:pt idx="110" formatCode="0.00E+00">
                  <c:v>4.5740836179196903E-34</c:v>
                </c:pt>
                <c:pt idx="111" formatCode="0.00E+00">
                  <c:v>4.5740836179196903E-34</c:v>
                </c:pt>
                <c:pt idx="112" formatCode="0.00E+00">
                  <c:v>4.5740836179196903E-34</c:v>
                </c:pt>
                <c:pt idx="113" formatCode="0.00E+00">
                  <c:v>5.7777898331617101E-34</c:v>
                </c:pt>
                <c:pt idx="114" formatCode="0.00E+00">
                  <c:v>5.7777898331617101E-34</c:v>
                </c:pt>
                <c:pt idx="115" formatCode="0.00E+00">
                  <c:v>5.7777898331617101E-34</c:v>
                </c:pt>
                <c:pt idx="116" formatCode="0.00E+00">
                  <c:v>5.7777898331617101E-34</c:v>
                </c:pt>
                <c:pt idx="117" formatCode="0.00E+00">
                  <c:v>5.7777898331617101E-34</c:v>
                </c:pt>
                <c:pt idx="118" formatCode="0.00E+00">
                  <c:v>5.7777898331617101E-34</c:v>
                </c:pt>
                <c:pt idx="119" formatCode="0.00E+00">
                  <c:v>5.7777898331617101E-34</c:v>
                </c:pt>
                <c:pt idx="120" formatCode="0.00E+00">
                  <c:v>5.7777898331617101E-34</c:v>
                </c:pt>
                <c:pt idx="121" formatCode="0.00E+00">
                  <c:v>5.7777898331617101E-34</c:v>
                </c:pt>
                <c:pt idx="122" formatCode="0.00E+00">
                  <c:v>5.7777898331617101E-34</c:v>
                </c:pt>
                <c:pt idx="123" formatCode="0.00E+00">
                  <c:v>5.7777898331617101E-34</c:v>
                </c:pt>
                <c:pt idx="124" formatCode="0.00E+00">
                  <c:v>5.7777898331617101E-34</c:v>
                </c:pt>
                <c:pt idx="125" formatCode="0.00E+00">
                  <c:v>5.7777898331617101E-34</c:v>
                </c:pt>
                <c:pt idx="126" formatCode="0.00E+00">
                  <c:v>1.63405666891724E-22</c:v>
                </c:pt>
                <c:pt idx="127" formatCode="0.00E+00">
                  <c:v>2.0618456956388099E-22</c:v>
                </c:pt>
                <c:pt idx="128" formatCode="0.00E+00">
                  <c:v>2.0618456956388099E-22</c:v>
                </c:pt>
                <c:pt idx="129" formatCode="0.00E+00">
                  <c:v>3.6441742372902799E-22</c:v>
                </c:pt>
                <c:pt idx="130" formatCode="0.00E+00">
                  <c:v>3.6441742372902799E-22</c:v>
                </c:pt>
                <c:pt idx="131" formatCode="0.00E+00">
                  <c:v>5.5323872470334596E-22</c:v>
                </c:pt>
                <c:pt idx="132" formatCode="0.00E+00">
                  <c:v>5.5323872470334596E-22</c:v>
                </c:pt>
                <c:pt idx="133" formatCode="0.00E+00">
                  <c:v>6.3316121102774798E-22</c:v>
                </c:pt>
                <c:pt idx="134">
                  <c:v>8.5696550012356301E-4</c:v>
                </c:pt>
                <c:pt idx="135">
                  <c:v>4.4449857174755601E-3</c:v>
                </c:pt>
                <c:pt idx="136">
                  <c:v>1.12476965930975E-2</c:v>
                </c:pt>
                <c:pt idx="137">
                  <c:v>1.42019765941655E-2</c:v>
                </c:pt>
                <c:pt idx="138">
                  <c:v>1.5794610433405298E-2</c:v>
                </c:pt>
                <c:pt idx="139">
                  <c:v>1.7456322782601699E-2</c:v>
                </c:pt>
                <c:pt idx="140">
                  <c:v>1.9184000075176798E-2</c:v>
                </c:pt>
                <c:pt idx="141">
                  <c:v>2.0975581700428701E-2</c:v>
                </c:pt>
                <c:pt idx="142">
                  <c:v>2.2828736255533302E-2</c:v>
                </c:pt>
                <c:pt idx="143">
                  <c:v>2.4741072736407101E-2</c:v>
                </c:pt>
                <c:pt idx="144">
                  <c:v>2.67102090857331E-2</c:v>
                </c:pt>
                <c:pt idx="145">
                  <c:v>2.8733800857798301E-2</c:v>
                </c:pt>
                <c:pt idx="146">
                  <c:v>2.8733818403817401E-2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Implicit_Fracs!$BK$4:$BK$150</c:f>
              <c:numCache>
                <c:formatCode>General</c:formatCode>
                <c:ptCount val="14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0.999999999999999</c:v>
                </c:pt>
                <c:pt idx="132">
                  <c:v>0.999999999999999</c:v>
                </c:pt>
                <c:pt idx="133">
                  <c:v>0.999999999999998</c:v>
                </c:pt>
                <c:pt idx="134">
                  <c:v>0.99634901861921099</c:v>
                </c:pt>
                <c:pt idx="135">
                  <c:v>0.989515548989365</c:v>
                </c:pt>
                <c:pt idx="136">
                  <c:v>0.98314832207833303</c:v>
                </c:pt>
                <c:pt idx="137">
                  <c:v>0.98191916099695598</c:v>
                </c:pt>
                <c:pt idx="138">
                  <c:v>0.97957358081297896</c:v>
                </c:pt>
                <c:pt idx="139">
                  <c:v>0.97719652297812798</c:v>
                </c:pt>
                <c:pt idx="140">
                  <c:v>0.97480920890463696</c:v>
                </c:pt>
                <c:pt idx="141">
                  <c:v>0.97238741588701505</c:v>
                </c:pt>
                <c:pt idx="142">
                  <c:v>0.96991329993215503</c:v>
                </c:pt>
                <c:pt idx="143">
                  <c:v>0.96737792944719603</c:v>
                </c:pt>
                <c:pt idx="144">
                  <c:v>0.96477810295403499</c:v>
                </c:pt>
                <c:pt idx="145">
                  <c:v>0.96211376358441603</c:v>
                </c:pt>
                <c:pt idx="146">
                  <c:v>0.96202471497736497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Implicit_Fracs!$BF$4:$BF$150</c:f>
              <c:numCache>
                <c:formatCode>General</c:formatCode>
                <c:ptCount val="147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1.6000000000000101E-2</c:v>
                </c:pt>
                <c:pt idx="126">
                  <c:v>1.6000000000000101E-2</c:v>
                </c:pt>
                <c:pt idx="127">
                  <c:v>1.6000000000000202E-2</c:v>
                </c:pt>
                <c:pt idx="128">
                  <c:v>1.6000000000000299E-2</c:v>
                </c:pt>
                <c:pt idx="129">
                  <c:v>1.6000000000000601E-2</c:v>
                </c:pt>
                <c:pt idx="130">
                  <c:v>1.6000000000001201E-2</c:v>
                </c:pt>
                <c:pt idx="131">
                  <c:v>1.6000000000002301E-2</c:v>
                </c:pt>
                <c:pt idx="132">
                  <c:v>1.60000000000044E-2</c:v>
                </c:pt>
                <c:pt idx="133">
                  <c:v>1.60000000000085E-2</c:v>
                </c:pt>
                <c:pt idx="134">
                  <c:v>1.43748932184776E-2</c:v>
                </c:pt>
                <c:pt idx="135">
                  <c:v>8.2918760219635006E-3</c:v>
                </c:pt>
                <c:pt idx="136">
                  <c:v>2.3813413679027499E-3</c:v>
                </c:pt>
                <c:pt idx="137">
                  <c:v>4.1812983185976401E-4</c:v>
                </c:pt>
                <c:pt idx="138">
                  <c:v>1.0168007580491201E-4</c:v>
                </c:pt>
                <c:pt idx="139" formatCode="0.00E+00">
                  <c:v>2.6337471493711999E-5</c:v>
                </c:pt>
                <c:pt idx="140" formatCode="0.00E+00">
                  <c:v>7.2332995973081497E-6</c:v>
                </c:pt>
                <c:pt idx="141" formatCode="0.00E+00">
                  <c:v>2.0985446430381802E-6</c:v>
                </c:pt>
                <c:pt idx="142" formatCode="0.00E+00">
                  <c:v>6.4093592106308696E-7</c:v>
                </c:pt>
                <c:pt idx="143" formatCode="0.00E+00">
                  <c:v>2.0541046896667901E-7</c:v>
                </c:pt>
                <c:pt idx="144" formatCode="0.00E+00">
                  <c:v>6.8871193642679506E-8</c:v>
                </c:pt>
                <c:pt idx="145" formatCode="0.00E+00">
                  <c:v>2.40906496939255E-8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Implicit_Fracs!$BG$4:$BG$150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 formatCode="0.00E+00">
                  <c:v>3.5521530086827001E-18</c:v>
                </c:pt>
                <c:pt idx="131" formatCode="0.00E+00">
                  <c:v>7.10529285845734E-18</c:v>
                </c:pt>
                <c:pt idx="132" formatCode="0.00E+00">
                  <c:v>1.7762945390490401E-17</c:v>
                </c:pt>
                <c:pt idx="133" formatCode="0.00E+00">
                  <c:v>3.9079507598441201E-17</c:v>
                </c:pt>
                <c:pt idx="134">
                  <c:v>1.4537024243208699E-4</c:v>
                </c:pt>
                <c:pt idx="135">
                  <c:v>2.6368632693341801E-4</c:v>
                </c:pt>
                <c:pt idx="136">
                  <c:v>3.2390859237654699E-4</c:v>
                </c:pt>
                <c:pt idx="137">
                  <c:v>3.3846652512676103E-4</c:v>
                </c:pt>
                <c:pt idx="138">
                  <c:v>3.5523886903154401E-4</c:v>
                </c:pt>
                <c:pt idx="139">
                  <c:v>3.7160378221025401E-4</c:v>
                </c:pt>
                <c:pt idx="140">
                  <c:v>3.8839860398015E-4</c:v>
                </c:pt>
                <c:pt idx="141">
                  <c:v>4.0582115191699201E-4</c:v>
                </c:pt>
                <c:pt idx="142">
                  <c:v>4.2391166171680902E-4</c:v>
                </c:pt>
                <c:pt idx="143">
                  <c:v>4.4267064593005498E-4</c:v>
                </c:pt>
                <c:pt idx="144">
                  <c:v>4.6208822623825202E-4</c:v>
                </c:pt>
                <c:pt idx="145">
                  <c:v>4.8215187278198498E-4</c:v>
                </c:pt>
                <c:pt idx="146">
                  <c:v>4.8215187278198498E-4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Implicit_Fracs!$BH$4:$BH$150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 formatCode="0.00E+00">
                  <c:v>1.7360158238585701E-18</c:v>
                </c:pt>
                <c:pt idx="123" formatCode="0.00E+00">
                  <c:v>1.7360158238585701E-18</c:v>
                </c:pt>
                <c:pt idx="124" formatCode="0.00E+00">
                  <c:v>3.5055947133455903E-18</c:v>
                </c:pt>
                <c:pt idx="125" formatCode="0.00E+00">
                  <c:v>7.0325398896819892E-18</c:v>
                </c:pt>
                <c:pt idx="126" formatCode="0.00E+00">
                  <c:v>1.4163433785823301E-17</c:v>
                </c:pt>
                <c:pt idx="127" formatCode="0.00E+00">
                  <c:v>2.6601592927051999E-17</c:v>
                </c:pt>
                <c:pt idx="128" formatCode="0.00E+00">
                  <c:v>4.9674620899089199E-17</c:v>
                </c:pt>
                <c:pt idx="129" formatCode="0.00E+00">
                  <c:v>9.5872556794254097E-17</c:v>
                </c:pt>
                <c:pt idx="130" formatCode="0.00E+00">
                  <c:v>1.8112422900263899E-16</c:v>
                </c:pt>
                <c:pt idx="131" formatCode="0.00E+00">
                  <c:v>3.48121801942048E-16</c:v>
                </c:pt>
                <c:pt idx="132" formatCode="0.00E+00">
                  <c:v>6.7140392874705401E-16</c:v>
                </c:pt>
                <c:pt idx="133" formatCode="0.00E+00">
                  <c:v>1.3037952742496099E-15</c:v>
                </c:pt>
                <c:pt idx="134">
                  <c:v>5.0542792522608503E-3</c:v>
                </c:pt>
                <c:pt idx="135">
                  <c:v>1.18168338283141E-2</c:v>
                </c:pt>
                <c:pt idx="136">
                  <c:v>1.82492220403455E-2</c:v>
                </c:pt>
                <c:pt idx="137">
                  <c:v>1.9568473914181799E-2</c:v>
                </c:pt>
                <c:pt idx="138">
                  <c:v>2.17388476711971E-2</c:v>
                </c:pt>
                <c:pt idx="139">
                  <c:v>2.4003958324801698E-2</c:v>
                </c:pt>
                <c:pt idx="140">
                  <c:v>2.6359103135468999E-2</c:v>
                </c:pt>
                <c:pt idx="141">
                  <c:v>2.8801357971824999E-2</c:v>
                </c:pt>
                <c:pt idx="142">
                  <c:v>3.1327511454889198E-2</c:v>
                </c:pt>
                <c:pt idx="143">
                  <c:v>3.3934291648253199E-2</c:v>
                </c:pt>
                <c:pt idx="144">
                  <c:v>3.6618444350157299E-2</c:v>
                </c:pt>
                <c:pt idx="145">
                  <c:v>3.9376768225544E-2</c:v>
                </c:pt>
                <c:pt idx="146">
                  <c:v>3.9376768225544E-2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Implicit_Fracs!$A$213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Implicit_Fracs!$B$209:$V$209</c:f>
              <c:numCache>
                <c:formatCode>General</c:formatCode>
                <c:ptCount val="21"/>
                <c:pt idx="0">
                  <c:v>0</c:v>
                </c:pt>
                <c:pt idx="1">
                  <c:v>0.28513528355999002</c:v>
                </c:pt>
                <c:pt idx="2">
                  <c:v>0.651572697050816</c:v>
                </c:pt>
                <c:pt idx="3">
                  <c:v>1.12249434634434</c:v>
                </c:pt>
                <c:pt idx="4">
                  <c:v>1.72769237364371</c:v>
                </c:pt>
                <c:pt idx="5">
                  <c:v>2.5054537120670299</c:v>
                </c:pt>
                <c:pt idx="6">
                  <c:v>3.50498225026368</c:v>
                </c:pt>
                <c:pt idx="7">
                  <c:v>4.7895116416253396</c:v>
                </c:pt>
                <c:pt idx="8">
                  <c:v>6.4403056852340397</c:v>
                </c:pt>
                <c:pt idx="9">
                  <c:v>8.5617993565662598</c:v>
                </c:pt>
                <c:pt idx="10">
                  <c:v>11.288205727444501</c:v>
                </c:pt>
                <c:pt idx="11">
                  <c:v>14.7920067519829</c:v>
                </c:pt>
                <c:pt idx="12">
                  <c:v>19.294865075190799</c:v>
                </c:pt>
                <c:pt idx="13">
                  <c:v>25.0816471832171</c:v>
                </c:pt>
                <c:pt idx="14">
                  <c:v>32.518445048515296</c:v>
                </c:pt>
                <c:pt idx="15">
                  <c:v>42.0757363819137</c:v>
                </c:pt>
                <c:pt idx="16">
                  <c:v>54.358148689726001</c:v>
                </c:pt>
                <c:pt idx="17">
                  <c:v>70.142710113727105</c:v>
                </c:pt>
                <c:pt idx="18">
                  <c:v>90.428006935230897</c:v>
                </c:pt>
                <c:pt idx="19">
                  <c:v>116.49735761803301</c:v>
                </c:pt>
                <c:pt idx="20">
                  <c:v>150</c:v>
                </c:pt>
              </c:numCache>
            </c:numRef>
          </c:xVal>
          <c:yVal>
            <c:numRef>
              <c:f>Implicit_Fracs!$B$213:$V$213</c:f>
              <c:numCache>
                <c:formatCode>General</c:formatCode>
                <c:ptCount val="21"/>
                <c:pt idx="0">
                  <c:v>0.79732893567823004</c:v>
                </c:pt>
                <c:pt idx="1">
                  <c:v>0.79729617029587796</c:v>
                </c:pt>
                <c:pt idx="2">
                  <c:v>0.79714413927386196</c:v>
                </c:pt>
                <c:pt idx="3">
                  <c:v>0.79676546291834704</c:v>
                </c:pt>
                <c:pt idx="4">
                  <c:v>0.79598252713265305</c:v>
                </c:pt>
                <c:pt idx="5">
                  <c:v>0.79450027356955699</c:v>
                </c:pt>
                <c:pt idx="6">
                  <c:v>0.79184659760314102</c:v>
                </c:pt>
                <c:pt idx="7">
                  <c:v>0.78728307342306203</c:v>
                </c:pt>
                <c:pt idx="8">
                  <c:v>0.77969556398545703</c:v>
                </c:pt>
                <c:pt idx="9">
                  <c:v>0.76747209410466499</c:v>
                </c:pt>
                <c:pt idx="10">
                  <c:v>0.74839837853709101</c:v>
                </c:pt>
                <c:pt idx="11">
                  <c:v>0.71965417992409797</c:v>
                </c:pt>
                <c:pt idx="12">
                  <c:v>0.67803029053721298</c:v>
                </c:pt>
                <c:pt idx="13">
                  <c:v>0.62054114735952104</c:v>
                </c:pt>
                <c:pt idx="14">
                  <c:v>0.54551592246358405</c:v>
                </c:pt>
                <c:pt idx="15">
                  <c:v>0.454054618000791</c:v>
                </c:pt>
                <c:pt idx="16">
                  <c:v>0.35191782423610801</c:v>
                </c:pt>
                <c:pt idx="17">
                  <c:v>0.24810755911804999</c:v>
                </c:pt>
                <c:pt idx="18">
                  <c:v>0.15437547219513401</c:v>
                </c:pt>
                <c:pt idx="19">
                  <c:v>8.1198510859137596E-2</c:v>
                </c:pt>
                <c:pt idx="20">
                  <c:v>3.5023018916381703E-2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102.046509029801</c:v>
                </c:pt>
                <c:pt idx="1">
                  <c:v>98.352293419591703</c:v>
                </c:pt>
                <c:pt idx="2">
                  <c:v>96.754191031298305</c:v>
                </c:pt>
                <c:pt idx="3">
                  <c:v>92.509941365845904</c:v>
                </c:pt>
                <c:pt idx="4">
                  <c:v>90.699776039036294</c:v>
                </c:pt>
                <c:pt idx="5">
                  <c:v>89.404273057767995</c:v>
                </c:pt>
                <c:pt idx="6">
                  <c:v>82.963469735785395</c:v>
                </c:pt>
                <c:pt idx="7">
                  <c:v>79.983266174974005</c:v>
                </c:pt>
                <c:pt idx="8">
                  <c:v>69.801640730841598</c:v>
                </c:pt>
                <c:pt idx="9">
                  <c:v>61.443766370711003</c:v>
                </c:pt>
                <c:pt idx="10">
                  <c:v>61.428256016542598</c:v>
                </c:pt>
                <c:pt idx="11">
                  <c:v>55.079837689509397</c:v>
                </c:pt>
                <c:pt idx="12">
                  <c:v>53.249396148134103</c:v>
                </c:pt>
                <c:pt idx="13">
                  <c:v>49.286382129631498</c:v>
                </c:pt>
                <c:pt idx="14">
                  <c:v>43.880131996391398</c:v>
                </c:pt>
                <c:pt idx="15">
                  <c:v>42.416520788835797</c:v>
                </c:pt>
                <c:pt idx="16">
                  <c:v>38.542540841014201</c:v>
                </c:pt>
                <c:pt idx="17">
                  <c:v>34.4194765030499</c:v>
                </c:pt>
                <c:pt idx="18">
                  <c:v>33.113781771726103</c:v>
                </c:pt>
                <c:pt idx="19">
                  <c:v>31.8323724173604</c:v>
                </c:pt>
                <c:pt idx="20">
                  <c:v>27.188847958890499</c:v>
                </c:pt>
                <c:pt idx="21">
                  <c:v>25.823053498719499</c:v>
                </c:pt>
                <c:pt idx="22">
                  <c:v>25.783707736327798</c:v>
                </c:pt>
                <c:pt idx="23">
                  <c:v>25.073923488046798</c:v>
                </c:pt>
                <c:pt idx="24">
                  <c:v>24.149067599903798</c:v>
                </c:pt>
                <c:pt idx="25">
                  <c:v>23.100822824988601</c:v>
                </c:pt>
                <c:pt idx="26">
                  <c:v>22.928607104097502</c:v>
                </c:pt>
                <c:pt idx="27">
                  <c:v>21.4861610883362</c:v>
                </c:pt>
                <c:pt idx="28">
                  <c:v>21.482739696157601</c:v>
                </c:pt>
                <c:pt idx="29">
                  <c:v>21.245286842636698</c:v>
                </c:pt>
                <c:pt idx="30">
                  <c:v>18.013854934169</c:v>
                </c:pt>
                <c:pt idx="31">
                  <c:v>14.8740453294254</c:v>
                </c:pt>
                <c:pt idx="32">
                  <c:v>11.567786588954</c:v>
                </c:pt>
                <c:pt idx="33">
                  <c:v>10.829330457987901</c:v>
                </c:pt>
                <c:pt idx="34">
                  <c:v>10.4990188049476</c:v>
                </c:pt>
                <c:pt idx="35">
                  <c:v>10.168667214452</c:v>
                </c:pt>
                <c:pt idx="36">
                  <c:v>10.1594348007434</c:v>
                </c:pt>
                <c:pt idx="37">
                  <c:v>9.6380981872940605</c:v>
                </c:pt>
                <c:pt idx="38">
                  <c:v>9.2714067066665802</c:v>
                </c:pt>
                <c:pt idx="39">
                  <c:v>8.8432337649264703</c:v>
                </c:pt>
                <c:pt idx="40">
                  <c:v>8.6862631598222304</c:v>
                </c:pt>
                <c:pt idx="41">
                  <c:v>8.0440660815066405</c:v>
                </c:pt>
                <c:pt idx="42">
                  <c:v>7.6660160798019596</c:v>
                </c:pt>
                <c:pt idx="43">
                  <c:v>7.6422942158387199</c:v>
                </c:pt>
                <c:pt idx="44">
                  <c:v>7.2865524093523204</c:v>
                </c:pt>
                <c:pt idx="45">
                  <c:v>2.8007141025914701</c:v>
                </c:pt>
                <c:pt idx="46">
                  <c:v>2.5636174501082398</c:v>
                </c:pt>
                <c:pt idx="47">
                  <c:v>2.1451801219937598</c:v>
                </c:pt>
                <c:pt idx="48">
                  <c:v>1.5774667939537199</c:v>
                </c:pt>
                <c:pt idx="49">
                  <c:v>0.62946746334262105</c:v>
                </c:pt>
                <c:pt idx="50">
                  <c:v>0.58252287450581297</c:v>
                </c:pt>
                <c:pt idx="51">
                  <c:v>0.14600231386526699</c:v>
                </c:pt>
                <c:pt idx="52">
                  <c:v>0</c:v>
                </c:pt>
                <c:pt idx="53">
                  <c:v>0</c:v>
                </c:pt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  <c:pt idx="0">
                  <c:v>6.377906814362562E-2</c:v>
                </c:pt>
                <c:pt idx="1">
                  <c:v>0.12524925153087044</c:v>
                </c:pt>
                <c:pt idx="2">
                  <c:v>0.18572062092543187</c:v>
                </c:pt>
                <c:pt idx="3">
                  <c:v>0.24353933427908556</c:v>
                </c:pt>
                <c:pt idx="4">
                  <c:v>0.30022669430348325</c:v>
                </c:pt>
                <c:pt idx="5">
                  <c:v>0.35610436496458825</c:v>
                </c:pt>
                <c:pt idx="6">
                  <c:v>0.4079565335494541</c:v>
                </c:pt>
                <c:pt idx="7">
                  <c:v>0.45794607490881284</c:v>
                </c:pt>
                <c:pt idx="8">
                  <c:v>0.50157210036558886</c:v>
                </c:pt>
                <c:pt idx="9">
                  <c:v>0.53997445434728319</c:v>
                </c:pt>
                <c:pt idx="10">
                  <c:v>0.57836711435762234</c:v>
                </c:pt>
                <c:pt idx="11">
                  <c:v>0.61279201291356566</c:v>
                </c:pt>
                <c:pt idx="12">
                  <c:v>0.6460728855061495</c:v>
                </c:pt>
                <c:pt idx="13">
                  <c:v>0.67687687433716914</c:v>
                </c:pt>
                <c:pt idx="14">
                  <c:v>0.70430195683491381</c:v>
                </c:pt>
                <c:pt idx="15">
                  <c:v>0.73081228232793616</c:v>
                </c:pt>
                <c:pt idx="16">
                  <c:v>0.75490137035357008</c:v>
                </c:pt>
                <c:pt idx="17">
                  <c:v>0.77641354316797628</c:v>
                </c:pt>
                <c:pt idx="18">
                  <c:v>0.7971096567753051</c:v>
                </c:pt>
                <c:pt idx="19">
                  <c:v>0.81700488953615535</c:v>
                </c:pt>
                <c:pt idx="20">
                  <c:v>0.83399791951046187</c:v>
                </c:pt>
                <c:pt idx="21">
                  <c:v>0.85013732794716157</c:v>
                </c:pt>
                <c:pt idx="22">
                  <c:v>0.86625214528236649</c:v>
                </c:pt>
                <c:pt idx="23">
                  <c:v>0.88192334746239576</c:v>
                </c:pt>
                <c:pt idx="24">
                  <c:v>0.89701651471233568</c:v>
                </c:pt>
                <c:pt idx="25">
                  <c:v>0.91145452897795354</c:v>
                </c:pt>
                <c:pt idx="26">
                  <c:v>0.92578490841801453</c:v>
                </c:pt>
                <c:pt idx="27">
                  <c:v>0.93921375909822469</c:v>
                </c:pt>
                <c:pt idx="28">
                  <c:v>0.9526404714083232</c:v>
                </c:pt>
                <c:pt idx="29">
                  <c:v>0.96591877568497109</c:v>
                </c:pt>
                <c:pt idx="30">
                  <c:v>0.9771774350188267</c:v>
                </c:pt>
                <c:pt idx="31">
                  <c:v>0.98647371334971756</c:v>
                </c:pt>
                <c:pt idx="32">
                  <c:v>0.99370357996781378</c:v>
                </c:pt>
                <c:pt idx="33">
                  <c:v>1.0004719115040561</c:v>
                </c:pt>
                <c:pt idx="34">
                  <c:v>1.0070337982571484</c:v>
                </c:pt>
                <c:pt idx="35">
                  <c:v>1.013389215266181</c:v>
                </c:pt>
                <c:pt idx="36">
                  <c:v>1.0197388620166457</c:v>
                </c:pt>
                <c:pt idx="37">
                  <c:v>1.0257626733837044</c:v>
                </c:pt>
                <c:pt idx="38">
                  <c:v>1.031557302575371</c:v>
                </c:pt>
                <c:pt idx="39">
                  <c:v>1.0370843236784502</c:v>
                </c:pt>
                <c:pt idx="40">
                  <c:v>1.0425132381533391</c:v>
                </c:pt>
                <c:pt idx="41">
                  <c:v>1.0475407794542808</c:v>
                </c:pt>
                <c:pt idx="42">
                  <c:v>1.0523320395041571</c:v>
                </c:pt>
                <c:pt idx="43">
                  <c:v>1.0571084733890563</c:v>
                </c:pt>
                <c:pt idx="44">
                  <c:v>1.0616625686449015</c:v>
                </c:pt>
                <c:pt idx="45">
                  <c:v>1.0634130149590211</c:v>
                </c:pt>
                <c:pt idx="46">
                  <c:v>1.0650152758653386</c:v>
                </c:pt>
                <c:pt idx="47">
                  <c:v>1.0663560134415848</c:v>
                </c:pt>
                <c:pt idx="48">
                  <c:v>1.067341930187806</c:v>
                </c:pt>
                <c:pt idx="49">
                  <c:v>1.0677353473523952</c:v>
                </c:pt>
                <c:pt idx="50">
                  <c:v>1.0680994241489612</c:v>
                </c:pt>
                <c:pt idx="51">
                  <c:v>1.0681906755951269</c:v>
                </c:pt>
                <c:pt idx="52">
                  <c:v>1.0681906755951269</c:v>
                </c:pt>
                <c:pt idx="53">
                  <c:v>1.0681906755951269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Implicit_Fracs!$A$211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Implicit_Fracs!$B$209:$V$209</c:f>
              <c:numCache>
                <c:formatCode>General</c:formatCode>
                <c:ptCount val="21"/>
                <c:pt idx="0">
                  <c:v>0</c:v>
                </c:pt>
                <c:pt idx="1">
                  <c:v>0.28513528355999002</c:v>
                </c:pt>
                <c:pt idx="2">
                  <c:v>0.651572697050816</c:v>
                </c:pt>
                <c:pt idx="3">
                  <c:v>1.12249434634434</c:v>
                </c:pt>
                <c:pt idx="4">
                  <c:v>1.72769237364371</c:v>
                </c:pt>
                <c:pt idx="5">
                  <c:v>2.5054537120670299</c:v>
                </c:pt>
                <c:pt idx="6">
                  <c:v>3.50498225026368</c:v>
                </c:pt>
                <c:pt idx="7">
                  <c:v>4.7895116416253396</c:v>
                </c:pt>
                <c:pt idx="8">
                  <c:v>6.4403056852340397</c:v>
                </c:pt>
                <c:pt idx="9">
                  <c:v>8.5617993565662598</c:v>
                </c:pt>
                <c:pt idx="10">
                  <c:v>11.288205727444501</c:v>
                </c:pt>
                <c:pt idx="11">
                  <c:v>14.7920067519829</c:v>
                </c:pt>
                <c:pt idx="12">
                  <c:v>19.294865075190799</c:v>
                </c:pt>
                <c:pt idx="13">
                  <c:v>25.0816471832171</c:v>
                </c:pt>
                <c:pt idx="14">
                  <c:v>32.518445048515296</c:v>
                </c:pt>
                <c:pt idx="15">
                  <c:v>42.0757363819137</c:v>
                </c:pt>
                <c:pt idx="16">
                  <c:v>54.358148689726001</c:v>
                </c:pt>
                <c:pt idx="17">
                  <c:v>70.142710113727105</c:v>
                </c:pt>
                <c:pt idx="18">
                  <c:v>90.428006935230897</c:v>
                </c:pt>
                <c:pt idx="19">
                  <c:v>116.49735761803301</c:v>
                </c:pt>
                <c:pt idx="20">
                  <c:v>150</c:v>
                </c:pt>
              </c:numCache>
            </c:numRef>
          </c:xVal>
          <c:yVal>
            <c:numRef>
              <c:f>Implicit_Fracs!$B$211:$V$211</c:f>
              <c:numCache>
                <c:formatCode>General</c:formatCode>
                <c:ptCount val="21"/>
                <c:pt idx="0">
                  <c:v>4.3786956762684709E-2</c:v>
                </c:pt>
                <c:pt idx="1">
                  <c:v>2.7557482371845902E-2</c:v>
                </c:pt>
                <c:pt idx="2">
                  <c:v>2.7234310969186104E-2</c:v>
                </c:pt>
                <c:pt idx="3">
                  <c:v>2.6807517917293303E-2</c:v>
                </c:pt>
                <c:pt idx="4">
                  <c:v>2.6258081060418503E-2</c:v>
                </c:pt>
                <c:pt idx="5">
                  <c:v>2.5557505907241304E-2</c:v>
                </c:pt>
                <c:pt idx="6">
                  <c:v>2.4673903971477805E-2</c:v>
                </c:pt>
                <c:pt idx="7">
                  <c:v>2.3572470735060202E-2</c:v>
                </c:pt>
                <c:pt idx="8">
                  <c:v>2.2219383314903803E-2</c:v>
                </c:pt>
                <c:pt idx="9">
                  <c:v>2.0586986946239904E-2</c:v>
                </c:pt>
                <c:pt idx="10">
                  <c:v>1.8660906238285004E-2</c:v>
                </c:pt>
                <c:pt idx="11">
                  <c:v>1.6450282039641002E-2</c:v>
                </c:pt>
                <c:pt idx="12">
                  <c:v>1.3999047217657101E-2</c:v>
                </c:pt>
                <c:pt idx="13">
                  <c:v>1.1395883967699902E-2</c:v>
                </c:pt>
                <c:pt idx="14">
                  <c:v>8.7753464314162914E-3</c:v>
                </c:pt>
                <c:pt idx="15">
                  <c:v>6.3047811595479909E-3</c:v>
                </c:pt>
                <c:pt idx="16">
                  <c:v>4.1545363054724107E-3</c:v>
                </c:pt>
                <c:pt idx="17">
                  <c:v>2.4547670940616604E-3</c:v>
                </c:pt>
                <c:pt idx="18">
                  <c:v>1.2623702293677803E-3</c:v>
                </c:pt>
                <c:pt idx="19">
                  <c:v>5.3816395172915006E-4</c:v>
                </c:pt>
                <c:pt idx="20">
                  <c:v>1.8216753910278003E-4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102.046509029801</c:v>
                </c:pt>
                <c:pt idx="1">
                  <c:v>98.352293419591703</c:v>
                </c:pt>
                <c:pt idx="2">
                  <c:v>96.754191031298305</c:v>
                </c:pt>
                <c:pt idx="3">
                  <c:v>92.509941365845904</c:v>
                </c:pt>
                <c:pt idx="4">
                  <c:v>90.699776039036294</c:v>
                </c:pt>
                <c:pt idx="5">
                  <c:v>89.404273057767995</c:v>
                </c:pt>
                <c:pt idx="6">
                  <c:v>82.963469735785395</c:v>
                </c:pt>
                <c:pt idx="7">
                  <c:v>79.983266174974005</c:v>
                </c:pt>
                <c:pt idx="8">
                  <c:v>69.801640730841598</c:v>
                </c:pt>
                <c:pt idx="9">
                  <c:v>61.443766370711003</c:v>
                </c:pt>
                <c:pt idx="10">
                  <c:v>61.428256016542598</c:v>
                </c:pt>
                <c:pt idx="11">
                  <c:v>55.079837689509397</c:v>
                </c:pt>
                <c:pt idx="12">
                  <c:v>53.249396148134103</c:v>
                </c:pt>
                <c:pt idx="13">
                  <c:v>49.286382129631498</c:v>
                </c:pt>
                <c:pt idx="14">
                  <c:v>43.880131996391398</c:v>
                </c:pt>
                <c:pt idx="15">
                  <c:v>42.416520788835797</c:v>
                </c:pt>
                <c:pt idx="16">
                  <c:v>38.542540841014201</c:v>
                </c:pt>
                <c:pt idx="17">
                  <c:v>34.4194765030499</c:v>
                </c:pt>
                <c:pt idx="18">
                  <c:v>33.113781771726103</c:v>
                </c:pt>
                <c:pt idx="19">
                  <c:v>31.8323724173604</c:v>
                </c:pt>
                <c:pt idx="20">
                  <c:v>27.188847958890499</c:v>
                </c:pt>
                <c:pt idx="21">
                  <c:v>25.823053498719499</c:v>
                </c:pt>
                <c:pt idx="22">
                  <c:v>25.783707736327798</c:v>
                </c:pt>
                <c:pt idx="23">
                  <c:v>25.073923488046798</c:v>
                </c:pt>
                <c:pt idx="24">
                  <c:v>24.149067599903798</c:v>
                </c:pt>
                <c:pt idx="25">
                  <c:v>23.100822824988601</c:v>
                </c:pt>
                <c:pt idx="26">
                  <c:v>22.928607104097502</c:v>
                </c:pt>
                <c:pt idx="27">
                  <c:v>21.4861610883362</c:v>
                </c:pt>
                <c:pt idx="28">
                  <c:v>21.482739696157601</c:v>
                </c:pt>
                <c:pt idx="29">
                  <c:v>21.245286842636698</c:v>
                </c:pt>
                <c:pt idx="30">
                  <c:v>18.013854934169</c:v>
                </c:pt>
                <c:pt idx="31">
                  <c:v>14.8740453294254</c:v>
                </c:pt>
                <c:pt idx="32">
                  <c:v>11.567786588954</c:v>
                </c:pt>
                <c:pt idx="33">
                  <c:v>10.829330457987901</c:v>
                </c:pt>
                <c:pt idx="34">
                  <c:v>10.4990188049476</c:v>
                </c:pt>
                <c:pt idx="35">
                  <c:v>10.168667214452</c:v>
                </c:pt>
                <c:pt idx="36">
                  <c:v>10.1594348007434</c:v>
                </c:pt>
                <c:pt idx="37">
                  <c:v>9.6380981872940605</c:v>
                </c:pt>
                <c:pt idx="38">
                  <c:v>9.2714067066665802</c:v>
                </c:pt>
                <c:pt idx="39">
                  <c:v>8.8432337649264703</c:v>
                </c:pt>
                <c:pt idx="40">
                  <c:v>8.6862631598222304</c:v>
                </c:pt>
                <c:pt idx="41">
                  <c:v>8.0440660815066405</c:v>
                </c:pt>
                <c:pt idx="42">
                  <c:v>7.6660160798019596</c:v>
                </c:pt>
                <c:pt idx="43">
                  <c:v>7.6422942158387199</c:v>
                </c:pt>
                <c:pt idx="44">
                  <c:v>7.2865524093523204</c:v>
                </c:pt>
                <c:pt idx="45">
                  <c:v>2.8007141025914701</c:v>
                </c:pt>
                <c:pt idx="46">
                  <c:v>2.5636174501082398</c:v>
                </c:pt>
                <c:pt idx="47">
                  <c:v>2.1451801219937598</c:v>
                </c:pt>
                <c:pt idx="48">
                  <c:v>1.5774667939537199</c:v>
                </c:pt>
                <c:pt idx="49">
                  <c:v>0.62946746334262105</c:v>
                </c:pt>
                <c:pt idx="50">
                  <c:v>0.58252287450581297</c:v>
                </c:pt>
                <c:pt idx="51">
                  <c:v>0.14600231386526699</c:v>
                </c:pt>
                <c:pt idx="52">
                  <c:v>0</c:v>
                </c:pt>
                <c:pt idx="53">
                  <c:v>0</c:v>
                </c:pt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  <c:pt idx="0">
                  <c:v>6.2500000000000001E-4</c:v>
                </c:pt>
                <c:pt idx="1">
                  <c:v>1.25E-3</c:v>
                </c:pt>
                <c:pt idx="2">
                  <c:v>1.8749999999999999E-3</c:v>
                </c:pt>
                <c:pt idx="3">
                  <c:v>2.5000000000000001E-3</c:v>
                </c:pt>
                <c:pt idx="4">
                  <c:v>3.1250000000000002E-3</c:v>
                </c:pt>
                <c:pt idx="5">
                  <c:v>3.7499999999999999E-3</c:v>
                </c:pt>
                <c:pt idx="6">
                  <c:v>4.3750000000000004E-3</c:v>
                </c:pt>
                <c:pt idx="7">
                  <c:v>5.0000000000000001E-3</c:v>
                </c:pt>
                <c:pt idx="8">
                  <c:v>5.6249999999999998E-3</c:v>
                </c:pt>
                <c:pt idx="9">
                  <c:v>6.2500000000000003E-3</c:v>
                </c:pt>
                <c:pt idx="10">
                  <c:v>6.875E-3</c:v>
                </c:pt>
                <c:pt idx="11">
                  <c:v>7.4999999999999997E-3</c:v>
                </c:pt>
                <c:pt idx="12">
                  <c:v>8.1250000000000003E-3</c:v>
                </c:pt>
                <c:pt idx="13">
                  <c:v>8.7500000000000008E-3</c:v>
                </c:pt>
                <c:pt idx="14">
                  <c:v>9.3749999999999997E-3</c:v>
                </c:pt>
                <c:pt idx="15">
                  <c:v>0.01</c:v>
                </c:pt>
                <c:pt idx="16">
                  <c:v>1.0625000000000001E-2</c:v>
                </c:pt>
                <c:pt idx="17">
                  <c:v>1.125E-2</c:v>
                </c:pt>
                <c:pt idx="18">
                  <c:v>1.1875E-2</c:v>
                </c:pt>
                <c:pt idx="19">
                  <c:v>1.2500000000000001E-2</c:v>
                </c:pt>
                <c:pt idx="20">
                  <c:v>1.3125E-2</c:v>
                </c:pt>
                <c:pt idx="21">
                  <c:v>1.375E-2</c:v>
                </c:pt>
                <c:pt idx="22">
                  <c:v>1.4375000000000001E-2</c:v>
                </c:pt>
                <c:pt idx="23">
                  <c:v>1.4999999999999999E-2</c:v>
                </c:pt>
                <c:pt idx="24">
                  <c:v>1.5625E-2</c:v>
                </c:pt>
                <c:pt idx="25">
                  <c:v>1.6250000000000001E-2</c:v>
                </c:pt>
                <c:pt idx="26">
                  <c:v>1.6875000000000001E-2</c:v>
                </c:pt>
                <c:pt idx="27">
                  <c:v>1.7500000000000002E-2</c:v>
                </c:pt>
                <c:pt idx="28">
                  <c:v>1.8124999999999999E-2</c:v>
                </c:pt>
                <c:pt idx="29">
                  <c:v>1.8749999999999999E-2</c:v>
                </c:pt>
                <c:pt idx="30">
                  <c:v>1.9375E-2</c:v>
                </c:pt>
                <c:pt idx="31">
                  <c:v>0.02</c:v>
                </c:pt>
                <c:pt idx="32">
                  <c:v>2.0625000000000001E-2</c:v>
                </c:pt>
                <c:pt idx="33">
                  <c:v>2.1250000000000002E-2</c:v>
                </c:pt>
                <c:pt idx="34">
                  <c:v>2.1874999999999999E-2</c:v>
                </c:pt>
                <c:pt idx="35">
                  <c:v>2.2499999999999999E-2</c:v>
                </c:pt>
                <c:pt idx="36">
                  <c:v>2.3125E-2</c:v>
                </c:pt>
                <c:pt idx="37">
                  <c:v>2.375E-2</c:v>
                </c:pt>
                <c:pt idx="38">
                  <c:v>2.4375000000000001E-2</c:v>
                </c:pt>
                <c:pt idx="39">
                  <c:v>2.5000000000000001E-2</c:v>
                </c:pt>
                <c:pt idx="40">
                  <c:v>2.5624999999999998E-2</c:v>
                </c:pt>
                <c:pt idx="41">
                  <c:v>2.6249999999999999E-2</c:v>
                </c:pt>
                <c:pt idx="42">
                  <c:v>2.6875E-2</c:v>
                </c:pt>
                <c:pt idx="43">
                  <c:v>2.75E-2</c:v>
                </c:pt>
                <c:pt idx="44">
                  <c:v>2.8125000000000001E-2</c:v>
                </c:pt>
                <c:pt idx="45">
                  <c:v>2.8750000000000001E-2</c:v>
                </c:pt>
                <c:pt idx="46">
                  <c:v>2.9374999999999998E-2</c:v>
                </c:pt>
                <c:pt idx="47">
                  <c:v>0.03</c:v>
                </c:pt>
                <c:pt idx="48">
                  <c:v>3.0624999999999999E-2</c:v>
                </c:pt>
                <c:pt idx="49">
                  <c:v>3.125E-2</c:v>
                </c:pt>
                <c:pt idx="50">
                  <c:v>3.1875000000000001E-2</c:v>
                </c:pt>
                <c:pt idx="51">
                  <c:v>3.2500000000000001E-2</c:v>
                </c:pt>
                <c:pt idx="52">
                  <c:v>3.3125000000000002E-2</c:v>
                </c:pt>
                <c:pt idx="53">
                  <c:v>3.3750000000000002E-2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Implicit_Fracs!$A$224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Implicit_Fracs!$B$220:$V$220</c:f>
              <c:numCache>
                <c:formatCode>General</c:formatCode>
                <c:ptCount val="21"/>
                <c:pt idx="0">
                  <c:v>0</c:v>
                </c:pt>
                <c:pt idx="1">
                  <c:v>9.3723547726442397E-2</c:v>
                </c:pt>
                <c:pt idx="2">
                  <c:v>0.19623119885131499</c:v>
                </c:pt>
                <c:pt idx="3">
                  <c:v>0.30834623070871597</c:v>
                </c:pt>
                <c:pt idx="4">
                  <c:v>0.430969081105256</c:v>
                </c:pt>
                <c:pt idx="5">
                  <c:v>0.56508458007328699</c:v>
                </c:pt>
                <c:pt idx="6">
                  <c:v>0.71176985940970505</c:v>
                </c:pt>
                <c:pt idx="7">
                  <c:v>0.87220300352477598</c:v>
                </c:pt>
                <c:pt idx="8">
                  <c:v>1.04767251107922</c:v>
                </c:pt>
                <c:pt idx="9">
                  <c:v>1.2395876433994799</c:v>
                </c:pt>
                <c:pt idx="10">
                  <c:v>1.4494897427831801</c:v>
                </c:pt>
                <c:pt idx="11">
                  <c:v>1.6790646115963499</c:v>
                </c:pt>
                <c:pt idx="12">
                  <c:v>1.9301560515835201</c:v>
                </c:pt>
                <c:pt idx="13">
                  <c:v>2.2047806721300298</c:v>
                </c:pt>
                <c:pt idx="14">
                  <c:v>2.5051440864071899</c:v>
                </c:pt>
                <c:pt idx="15">
                  <c:v>2.8336586254776401</c:v>
                </c:pt>
                <c:pt idx="16">
                  <c:v>3.1929627126294799</c:v>
                </c:pt>
                <c:pt idx="17">
                  <c:v>3.5859420535418001</c:v>
                </c:pt>
                <c:pt idx="18">
                  <c:v>4.0157528124676203</c:v>
                </c:pt>
                <c:pt idx="19">
                  <c:v>4.4858469605709699</c:v>
                </c:pt>
                <c:pt idx="20">
                  <c:v>5</c:v>
                </c:pt>
              </c:numCache>
            </c:numRef>
          </c:xVal>
          <c:yVal>
            <c:numRef>
              <c:f>Implicit_Fracs!$B$224:$V$224</c:f>
              <c:numCache>
                <c:formatCode>General</c:formatCode>
                <c:ptCount val="21"/>
                <c:pt idx="0">
                  <c:v>2.8733818403817401E-2</c:v>
                </c:pt>
                <c:pt idx="1">
                  <c:v>2.8542396590009001E-2</c:v>
                </c:pt>
                <c:pt idx="2">
                  <c:v>2.8042591049542102E-2</c:v>
                </c:pt>
                <c:pt idx="3">
                  <c:v>2.70990838300753E-2</c:v>
                </c:pt>
                <c:pt idx="4">
                  <c:v>2.5628857374376798E-2</c:v>
                </c:pt>
                <c:pt idx="5">
                  <c:v>2.3496779518898701E-2</c:v>
                </c:pt>
                <c:pt idx="6">
                  <c:v>2.0576479367404001E-2</c:v>
                </c:pt>
                <c:pt idx="7">
                  <c:v>1.7646145418617299E-2</c:v>
                </c:pt>
                <c:pt idx="8">
                  <c:v>1.47476700718631E-2</c:v>
                </c:pt>
                <c:pt idx="9">
                  <c:v>1.1501717927309901E-2</c:v>
                </c:pt>
                <c:pt idx="10">
                  <c:v>7.7933934053376203E-3</c:v>
                </c:pt>
                <c:pt idx="11">
                  <c:v>3.3647801919542402E-3</c:v>
                </c:pt>
                <c:pt idx="12">
                  <c:v>2.3067291773795299E-3</c:v>
                </c:pt>
                <c:pt idx="13">
                  <c:v>1.50707205835252E-3</c:v>
                </c:pt>
                <c:pt idx="14">
                  <c:v>9.3459566797760301E-4</c:v>
                </c:pt>
                <c:pt idx="15">
                  <c:v>5.4768154546949201E-4</c:v>
                </c:pt>
                <c:pt idx="16">
                  <c:v>3.0178909215539199E-4</c:v>
                </c:pt>
                <c:pt idx="17">
                  <c:v>1.55519681082601E-4</c:v>
                </c:pt>
                <c:pt idx="18">
                  <c:v>7.4502364375679395E-5</c:v>
                </c:pt>
                <c:pt idx="19">
                  <c:v>3.2960627714051903E-5</c:v>
                </c:pt>
                <c:pt idx="20">
                  <c:v>1.3369606907845699E-5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  <c:pt idx="0">
                  <c:v>2.2725923170801301</c:v>
                </c:pt>
                <c:pt idx="1">
                  <c:v>2.0221581138719098</c:v>
                </c:pt>
                <c:pt idx="2">
                  <c:v>1.9167665605444499</c:v>
                </c:pt>
                <c:pt idx="3">
                  <c:v>1.69760472625581</c:v>
                </c:pt>
                <c:pt idx="4">
                  <c:v>1.60463906815552</c:v>
                </c:pt>
                <c:pt idx="5">
                  <c:v>1.5481715601385</c:v>
                </c:pt>
                <c:pt idx="6">
                  <c:v>1.48723228795607</c:v>
                </c:pt>
                <c:pt idx="7">
                  <c:v>1.39542463098277</c:v>
                </c:pt>
                <c:pt idx="8">
                  <c:v>1.33766548669442</c:v>
                </c:pt>
                <c:pt idx="9">
                  <c:v>1.2815700563247301</c:v>
                </c:pt>
                <c:pt idx="10">
                  <c:v>1.22727602506656</c:v>
                </c:pt>
                <c:pt idx="11">
                  <c:v>1.21014204697711</c:v>
                </c:pt>
                <c:pt idx="12">
                  <c:v>1.1646507472340399</c:v>
                </c:pt>
                <c:pt idx="13">
                  <c:v>1.1241589527617399</c:v>
                </c:pt>
                <c:pt idx="14">
                  <c:v>1.1137553983286199</c:v>
                </c:pt>
                <c:pt idx="15">
                  <c:v>1.10928424331679</c:v>
                </c:pt>
                <c:pt idx="16">
                  <c:v>1.09235773967468</c:v>
                </c:pt>
                <c:pt idx="17">
                  <c:v>1.0359013445963901</c:v>
                </c:pt>
                <c:pt idx="18">
                  <c:v>0.98499639740484901</c:v>
                </c:pt>
                <c:pt idx="19">
                  <c:v>0.97495170033789003</c:v>
                </c:pt>
                <c:pt idx="20">
                  <c:v>0.97242470042353801</c:v>
                </c:pt>
                <c:pt idx="21">
                  <c:v>0.96231228851759498</c:v>
                </c:pt>
                <c:pt idx="22">
                  <c:v>0.95639572709177401</c:v>
                </c:pt>
                <c:pt idx="23">
                  <c:v>0.92961598173496196</c:v>
                </c:pt>
                <c:pt idx="24">
                  <c:v>0.88862604773298803</c:v>
                </c:pt>
                <c:pt idx="25">
                  <c:v>0.88546126392581603</c:v>
                </c:pt>
                <c:pt idx="26">
                  <c:v>0.86996255063211703</c:v>
                </c:pt>
                <c:pt idx="27">
                  <c:v>0.82507062517325003</c:v>
                </c:pt>
                <c:pt idx="28">
                  <c:v>0.812359761273726</c:v>
                </c:pt>
                <c:pt idx="29">
                  <c:v>0.80927968275406703</c:v>
                </c:pt>
                <c:pt idx="30">
                  <c:v>0.77740013579777001</c:v>
                </c:pt>
                <c:pt idx="31">
                  <c:v>0.76813240600538502</c:v>
                </c:pt>
                <c:pt idx="32">
                  <c:v>0.75576875969786195</c:v>
                </c:pt>
                <c:pt idx="33">
                  <c:v>0.73681364262527904</c:v>
                </c:pt>
                <c:pt idx="34">
                  <c:v>0.70344614727979105</c:v>
                </c:pt>
                <c:pt idx="35">
                  <c:v>0.68983576097269494</c:v>
                </c:pt>
                <c:pt idx="36">
                  <c:v>0.68696903441008295</c:v>
                </c:pt>
                <c:pt idx="37">
                  <c:v>0.56114913409032896</c:v>
                </c:pt>
                <c:pt idx="38">
                  <c:v>0.54968891206649995</c:v>
                </c:pt>
                <c:pt idx="39">
                  <c:v>0.54464050986603496</c:v>
                </c:pt>
                <c:pt idx="40">
                  <c:v>0.53276955363230605</c:v>
                </c:pt>
                <c:pt idx="41">
                  <c:v>0.52960936317323304</c:v>
                </c:pt>
                <c:pt idx="42">
                  <c:v>0.47885499218350702</c:v>
                </c:pt>
                <c:pt idx="43">
                  <c:v>0.46433505712879303</c:v>
                </c:pt>
                <c:pt idx="44">
                  <c:v>0.45907052062069897</c:v>
                </c:pt>
                <c:pt idx="45">
                  <c:v>0.44077529807256599</c:v>
                </c:pt>
                <c:pt idx="46">
                  <c:v>0.43716328022616602</c:v>
                </c:pt>
                <c:pt idx="47">
                  <c:v>0.42525277839481701</c:v>
                </c:pt>
                <c:pt idx="48">
                  <c:v>0.40829680488595699</c:v>
                </c:pt>
                <c:pt idx="49">
                  <c:v>0.36179470517712498</c:v>
                </c:pt>
                <c:pt idx="50">
                  <c:v>0.36155762915419498</c:v>
                </c:pt>
                <c:pt idx="51">
                  <c:v>0.32026514334149397</c:v>
                </c:pt>
                <c:pt idx="52">
                  <c:v>0.31892921995190798</c:v>
                </c:pt>
                <c:pt idx="53">
                  <c:v>0.25614691218136398</c:v>
                </c:pt>
                <c:pt idx="54">
                  <c:v>0.225064500425255</c:v>
                </c:pt>
                <c:pt idx="55">
                  <c:v>0.21135156227462901</c:v>
                </c:pt>
                <c:pt idx="56">
                  <c:v>0.199583306057114</c:v>
                </c:pt>
                <c:pt idx="57">
                  <c:v>0.19620414954888701</c:v>
                </c:pt>
                <c:pt idx="58">
                  <c:v>0.177889104811157</c:v>
                </c:pt>
                <c:pt idx="59">
                  <c:v>0.169522329760461</c:v>
                </c:pt>
                <c:pt idx="60">
                  <c:v>0.15118519085444901</c:v>
                </c:pt>
                <c:pt idx="61">
                  <c:v>0.13867435984923299</c:v>
                </c:pt>
                <c:pt idx="62">
                  <c:v>0.123112294573932</c:v>
                </c:pt>
                <c:pt idx="63">
                  <c:v>8.7223265233436806E-2</c:v>
                </c:pt>
                <c:pt idx="64">
                  <c:v>6.8726264647885699E-2</c:v>
                </c:pt>
                <c:pt idx="65">
                  <c:v>5.26043377587442E-2</c:v>
                </c:pt>
                <c:pt idx="66">
                  <c:v>3.05360832321355E-2</c:v>
                </c:pt>
                <c:pt idx="67">
                  <c:v>2.5859034279733399E-2</c:v>
                </c:pt>
                <c:pt idx="68">
                  <c:v>1.19331557625131E-2</c:v>
                </c:pt>
                <c:pt idx="69">
                  <c:v>2.8258144851243099E-3</c:v>
                </c:pt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  <c:pt idx="0">
                  <c:v>1.4203701981750814E-3</c:v>
                </c:pt>
                <c:pt idx="1">
                  <c:v>2.684219019345025E-3</c:v>
                </c:pt>
                <c:pt idx="2">
                  <c:v>3.8821981196853063E-3</c:v>
                </c:pt>
                <c:pt idx="3">
                  <c:v>4.9432010735951876E-3</c:v>
                </c:pt>
                <c:pt idx="4">
                  <c:v>5.9461004911923881E-3</c:v>
                </c:pt>
                <c:pt idx="5">
                  <c:v>6.9137077162789509E-3</c:v>
                </c:pt>
                <c:pt idx="6">
                  <c:v>7.8432278962514944E-3</c:v>
                </c:pt>
                <c:pt idx="7">
                  <c:v>8.7153682906157253E-3</c:v>
                </c:pt>
                <c:pt idx="8">
                  <c:v>9.5514092197997377E-3</c:v>
                </c:pt>
                <c:pt idx="9">
                  <c:v>1.0352390505002694E-2</c:v>
                </c:pt>
                <c:pt idx="10">
                  <c:v>1.1119438020669293E-2</c:v>
                </c:pt>
                <c:pt idx="11">
                  <c:v>1.1875776800029988E-2</c:v>
                </c:pt>
                <c:pt idx="12">
                  <c:v>1.2603683517051262E-2</c:v>
                </c:pt>
                <c:pt idx="13">
                  <c:v>1.3306282862527349E-2</c:v>
                </c:pt>
                <c:pt idx="14">
                  <c:v>1.4002379986482736E-2</c:v>
                </c:pt>
                <c:pt idx="15">
                  <c:v>1.4695682638555731E-2</c:v>
                </c:pt>
                <c:pt idx="16">
                  <c:v>1.5378406225852405E-2</c:v>
                </c:pt>
                <c:pt idx="17">
                  <c:v>1.6025844566225148E-2</c:v>
                </c:pt>
                <c:pt idx="18">
                  <c:v>1.6641467314603177E-2</c:v>
                </c:pt>
                <c:pt idx="19">
                  <c:v>1.7250812127314358E-2</c:v>
                </c:pt>
                <c:pt idx="20">
                  <c:v>1.7858577565079067E-2</c:v>
                </c:pt>
                <c:pt idx="21">
                  <c:v>1.8460022745402566E-2</c:v>
                </c:pt>
                <c:pt idx="22">
                  <c:v>1.9057770074834925E-2</c:v>
                </c:pt>
                <c:pt idx="23">
                  <c:v>1.9638780063419275E-2</c:v>
                </c:pt>
                <c:pt idx="24">
                  <c:v>2.0194171343252392E-2</c:v>
                </c:pt>
                <c:pt idx="25">
                  <c:v>2.0747584633206029E-2</c:v>
                </c:pt>
                <c:pt idx="26">
                  <c:v>2.1291311227351103E-2</c:v>
                </c:pt>
                <c:pt idx="27">
                  <c:v>2.1806980368084386E-2</c:v>
                </c:pt>
                <c:pt idx="28">
                  <c:v>2.2314705218880466E-2</c:v>
                </c:pt>
                <c:pt idx="29">
                  <c:v>2.2820505020601758E-2</c:v>
                </c:pt>
                <c:pt idx="30">
                  <c:v>2.3306380105475363E-2</c:v>
                </c:pt>
                <c:pt idx="31">
                  <c:v>2.3786462859228728E-2</c:v>
                </c:pt>
                <c:pt idx="32">
                  <c:v>2.4258818334039891E-2</c:v>
                </c:pt>
                <c:pt idx="33">
                  <c:v>2.471932686068069E-2</c:v>
                </c:pt>
                <c:pt idx="34">
                  <c:v>2.5158980702730559E-2</c:v>
                </c:pt>
                <c:pt idx="35">
                  <c:v>2.5590128053338494E-2</c:v>
                </c:pt>
                <c:pt idx="36">
                  <c:v>2.6019483699844796E-2</c:v>
                </c:pt>
                <c:pt idx="37">
                  <c:v>2.6370201908651251E-2</c:v>
                </c:pt>
                <c:pt idx="38">
                  <c:v>2.6713757478692812E-2</c:v>
                </c:pt>
                <c:pt idx="39">
                  <c:v>2.7054157797359084E-2</c:v>
                </c:pt>
                <c:pt idx="40">
                  <c:v>2.7387138768379275E-2</c:v>
                </c:pt>
                <c:pt idx="41">
                  <c:v>2.7718144620362546E-2</c:v>
                </c:pt>
                <c:pt idx="42">
                  <c:v>2.8017428990477239E-2</c:v>
                </c:pt>
                <c:pt idx="43">
                  <c:v>2.8307638401182736E-2</c:v>
                </c:pt>
                <c:pt idx="44">
                  <c:v>2.8594557476570671E-2</c:v>
                </c:pt>
                <c:pt idx="45">
                  <c:v>2.8870042037866025E-2</c:v>
                </c:pt>
                <c:pt idx="46">
                  <c:v>2.9143269088007379E-2</c:v>
                </c:pt>
                <c:pt idx="47">
                  <c:v>2.940905207450414E-2</c:v>
                </c:pt>
                <c:pt idx="48">
                  <c:v>2.9664237577557862E-2</c:v>
                </c:pt>
                <c:pt idx="49">
                  <c:v>2.9890359268293566E-2</c:v>
                </c:pt>
                <c:pt idx="50">
                  <c:v>3.0116332786514939E-2</c:v>
                </c:pt>
                <c:pt idx="51">
                  <c:v>3.0316498501103371E-2</c:v>
                </c:pt>
                <c:pt idx="52">
                  <c:v>3.0515829263573314E-2</c:v>
                </c:pt>
                <c:pt idx="53">
                  <c:v>3.0675921083686667E-2</c:v>
                </c:pt>
                <c:pt idx="54">
                  <c:v>3.0816586396452451E-2</c:v>
                </c:pt>
                <c:pt idx="55">
                  <c:v>3.0948681122874095E-2</c:v>
                </c:pt>
                <c:pt idx="56">
                  <c:v>3.1073420689159793E-2</c:v>
                </c:pt>
                <c:pt idx="57">
                  <c:v>3.1196048282627849E-2</c:v>
                </c:pt>
                <c:pt idx="58">
                  <c:v>3.1307228973134822E-2</c:v>
                </c:pt>
                <c:pt idx="59">
                  <c:v>3.1413180429235112E-2</c:v>
                </c:pt>
                <c:pt idx="60">
                  <c:v>3.1507671173519144E-2</c:v>
                </c:pt>
                <c:pt idx="61">
                  <c:v>3.1594342648424915E-2</c:v>
                </c:pt>
                <c:pt idx="62">
                  <c:v>3.1671287832533625E-2</c:v>
                </c:pt>
                <c:pt idx="63">
                  <c:v>3.1725802373304524E-2</c:v>
                </c:pt>
                <c:pt idx="64">
                  <c:v>3.1768756288709454E-2</c:v>
                </c:pt>
                <c:pt idx="65">
                  <c:v>3.1801633999808669E-2</c:v>
                </c:pt>
                <c:pt idx="66">
                  <c:v>3.1820719051828754E-2</c:v>
                </c:pt>
                <c:pt idx="67">
                  <c:v>3.1836880948253585E-2</c:v>
                </c:pt>
                <c:pt idx="68">
                  <c:v>3.1844339170605154E-2</c:v>
                </c:pt>
                <c:pt idx="69">
                  <c:v>3.1846105304658354E-2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Implicit_Fracs!$A$222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Implicit_Fracs!$B$220:$V$220</c:f>
              <c:numCache>
                <c:formatCode>General</c:formatCode>
                <c:ptCount val="21"/>
                <c:pt idx="0">
                  <c:v>0</c:v>
                </c:pt>
                <c:pt idx="1">
                  <c:v>9.3723547726442397E-2</c:v>
                </c:pt>
                <c:pt idx="2">
                  <c:v>0.19623119885131499</c:v>
                </c:pt>
                <c:pt idx="3">
                  <c:v>0.30834623070871597</c:v>
                </c:pt>
                <c:pt idx="4">
                  <c:v>0.430969081105256</c:v>
                </c:pt>
                <c:pt idx="5">
                  <c:v>0.56508458007328699</c:v>
                </c:pt>
                <c:pt idx="6">
                  <c:v>0.71176985940970505</c:v>
                </c:pt>
                <c:pt idx="7">
                  <c:v>0.87220300352477598</c:v>
                </c:pt>
                <c:pt idx="8">
                  <c:v>1.04767251107922</c:v>
                </c:pt>
                <c:pt idx="9">
                  <c:v>1.2395876433994799</c:v>
                </c:pt>
                <c:pt idx="10">
                  <c:v>1.4494897427831801</c:v>
                </c:pt>
                <c:pt idx="11">
                  <c:v>1.6790646115963499</c:v>
                </c:pt>
                <c:pt idx="12">
                  <c:v>1.9301560515835201</c:v>
                </c:pt>
                <c:pt idx="13">
                  <c:v>2.2047806721300298</c:v>
                </c:pt>
                <c:pt idx="14">
                  <c:v>2.5051440864071899</c:v>
                </c:pt>
                <c:pt idx="15">
                  <c:v>2.8336586254776401</c:v>
                </c:pt>
                <c:pt idx="16">
                  <c:v>3.1929627126294799</c:v>
                </c:pt>
                <c:pt idx="17">
                  <c:v>3.5859420535418001</c:v>
                </c:pt>
                <c:pt idx="18">
                  <c:v>4.0157528124676203</c:v>
                </c:pt>
                <c:pt idx="19">
                  <c:v>4.4858469605709699</c:v>
                </c:pt>
                <c:pt idx="20">
                  <c:v>5</c:v>
                </c:pt>
              </c:numCache>
            </c:numRef>
          </c:xVal>
          <c:yVal>
            <c:numRef>
              <c:f>Implicit_Fracs!$B$222:$V$222</c:f>
              <c:numCache>
                <c:formatCode>General</c:formatCode>
                <c:ptCount val="21"/>
                <c:pt idx="0">
                  <c:v>5.5858920098325986E-2</c:v>
                </c:pt>
                <c:pt idx="1">
                  <c:v>3.6564781024899906E-2</c:v>
                </c:pt>
                <c:pt idx="2">
                  <c:v>3.2985152011678794E-2</c:v>
                </c:pt>
                <c:pt idx="3">
                  <c:v>2.9102533993564519E-2</c:v>
                </c:pt>
                <c:pt idx="4">
                  <c:v>2.4968713646602535E-2</c:v>
                </c:pt>
                <c:pt idx="5">
                  <c:v>2.0522352139974949E-2</c:v>
                </c:pt>
                <c:pt idx="6">
                  <c:v>1.5767882214592868E-2</c:v>
                </c:pt>
                <c:pt idx="7">
                  <c:v>1.188756401538326E-2</c:v>
                </c:pt>
                <c:pt idx="8">
                  <c:v>8.681138462005196E-3</c:v>
                </c:pt>
                <c:pt idx="9">
                  <c:v>5.7052887218403178E-3</c:v>
                </c:pt>
                <c:pt idx="10">
                  <c:v>2.9390282996304136E-3</c:v>
                </c:pt>
                <c:pt idx="11">
                  <c:v>1.5811092464551048E-3</c:v>
                </c:pt>
                <c:pt idx="12">
                  <c:v>9.6953762701513114E-4</c:v>
                </c:pt>
                <c:pt idx="13">
                  <c:v>5.6788559885323476E-4</c:v>
                </c:pt>
                <c:pt idx="14">
                  <c:v>3.1636230096327485E-4</c:v>
                </c:pt>
                <c:pt idx="15">
                  <c:v>1.6683828005756938E-4</c:v>
                </c:pt>
                <c:pt idx="16">
                  <c:v>8.2863250770949561E-5</c:v>
                </c:pt>
                <c:pt idx="17">
                  <c:v>3.8542733913331066E-5</c:v>
                </c:pt>
                <c:pt idx="18">
                  <c:v>1.6686589357010906E-5</c:v>
                </c:pt>
                <c:pt idx="19">
                  <c:v>6.679087871822269E-6</c:v>
                </c:pt>
                <c:pt idx="20">
                  <c:v>2.453565111902325E-6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  <c:pt idx="0">
                  <c:v>2.2725923170801301</c:v>
                </c:pt>
                <c:pt idx="1">
                  <c:v>2.0221581138719098</c:v>
                </c:pt>
                <c:pt idx="2">
                  <c:v>1.9167665605444499</c:v>
                </c:pt>
                <c:pt idx="3">
                  <c:v>1.69760472625581</c:v>
                </c:pt>
                <c:pt idx="4">
                  <c:v>1.60463906815552</c:v>
                </c:pt>
                <c:pt idx="5">
                  <c:v>1.5481715601385</c:v>
                </c:pt>
                <c:pt idx="6">
                  <c:v>1.48723228795607</c:v>
                </c:pt>
                <c:pt idx="7">
                  <c:v>1.39542463098277</c:v>
                </c:pt>
                <c:pt idx="8">
                  <c:v>1.33766548669442</c:v>
                </c:pt>
                <c:pt idx="9">
                  <c:v>1.2815700563247301</c:v>
                </c:pt>
                <c:pt idx="10">
                  <c:v>1.22727602506656</c:v>
                </c:pt>
                <c:pt idx="11">
                  <c:v>1.21014204697711</c:v>
                </c:pt>
                <c:pt idx="12">
                  <c:v>1.1646507472340399</c:v>
                </c:pt>
                <c:pt idx="13">
                  <c:v>1.1241589527617399</c:v>
                </c:pt>
                <c:pt idx="14">
                  <c:v>1.1137553983286199</c:v>
                </c:pt>
                <c:pt idx="15">
                  <c:v>1.10928424331679</c:v>
                </c:pt>
                <c:pt idx="16">
                  <c:v>1.09235773967468</c:v>
                </c:pt>
                <c:pt idx="17">
                  <c:v>1.0359013445963901</c:v>
                </c:pt>
                <c:pt idx="18">
                  <c:v>0.98499639740484901</c:v>
                </c:pt>
                <c:pt idx="19">
                  <c:v>0.97495170033789003</c:v>
                </c:pt>
                <c:pt idx="20">
                  <c:v>0.97242470042353801</c:v>
                </c:pt>
                <c:pt idx="21">
                  <c:v>0.96231228851759498</c:v>
                </c:pt>
                <c:pt idx="22">
                  <c:v>0.95639572709177401</c:v>
                </c:pt>
                <c:pt idx="23">
                  <c:v>0.92961598173496196</c:v>
                </c:pt>
                <c:pt idx="24">
                  <c:v>0.88862604773298803</c:v>
                </c:pt>
                <c:pt idx="25">
                  <c:v>0.88546126392581603</c:v>
                </c:pt>
                <c:pt idx="26">
                  <c:v>0.86996255063211703</c:v>
                </c:pt>
                <c:pt idx="27">
                  <c:v>0.82507062517325003</c:v>
                </c:pt>
                <c:pt idx="28">
                  <c:v>0.812359761273726</c:v>
                </c:pt>
                <c:pt idx="29">
                  <c:v>0.80927968275406703</c:v>
                </c:pt>
                <c:pt idx="30">
                  <c:v>0.77740013579777001</c:v>
                </c:pt>
                <c:pt idx="31">
                  <c:v>0.76813240600538502</c:v>
                </c:pt>
                <c:pt idx="32">
                  <c:v>0.75576875969786195</c:v>
                </c:pt>
                <c:pt idx="33">
                  <c:v>0.73681364262527904</c:v>
                </c:pt>
                <c:pt idx="34">
                  <c:v>0.70344614727979105</c:v>
                </c:pt>
                <c:pt idx="35">
                  <c:v>0.68983576097269494</c:v>
                </c:pt>
                <c:pt idx="36">
                  <c:v>0.68696903441008295</c:v>
                </c:pt>
                <c:pt idx="37">
                  <c:v>0.56114913409032896</c:v>
                </c:pt>
                <c:pt idx="38">
                  <c:v>0.54968891206649995</c:v>
                </c:pt>
                <c:pt idx="39">
                  <c:v>0.54464050986603496</c:v>
                </c:pt>
                <c:pt idx="40">
                  <c:v>0.53276955363230605</c:v>
                </c:pt>
                <c:pt idx="41">
                  <c:v>0.52960936317323304</c:v>
                </c:pt>
                <c:pt idx="42">
                  <c:v>0.47885499218350702</c:v>
                </c:pt>
                <c:pt idx="43">
                  <c:v>0.46433505712879303</c:v>
                </c:pt>
                <c:pt idx="44">
                  <c:v>0.45907052062069897</c:v>
                </c:pt>
                <c:pt idx="45">
                  <c:v>0.44077529807256599</c:v>
                </c:pt>
                <c:pt idx="46">
                  <c:v>0.43716328022616602</c:v>
                </c:pt>
                <c:pt idx="47">
                  <c:v>0.42525277839481701</c:v>
                </c:pt>
                <c:pt idx="48">
                  <c:v>0.40829680488595699</c:v>
                </c:pt>
                <c:pt idx="49">
                  <c:v>0.36179470517712498</c:v>
                </c:pt>
                <c:pt idx="50">
                  <c:v>0.36155762915419498</c:v>
                </c:pt>
                <c:pt idx="51">
                  <c:v>0.32026514334149397</c:v>
                </c:pt>
                <c:pt idx="52">
                  <c:v>0.31892921995190798</c:v>
                </c:pt>
                <c:pt idx="53">
                  <c:v>0.25614691218136398</c:v>
                </c:pt>
                <c:pt idx="54">
                  <c:v>0.225064500425255</c:v>
                </c:pt>
                <c:pt idx="55">
                  <c:v>0.21135156227462901</c:v>
                </c:pt>
                <c:pt idx="56">
                  <c:v>0.199583306057114</c:v>
                </c:pt>
                <c:pt idx="57">
                  <c:v>0.19620414954888701</c:v>
                </c:pt>
                <c:pt idx="58">
                  <c:v>0.177889104811157</c:v>
                </c:pt>
                <c:pt idx="59">
                  <c:v>0.169522329760461</c:v>
                </c:pt>
                <c:pt idx="60">
                  <c:v>0.15118519085444901</c:v>
                </c:pt>
                <c:pt idx="61">
                  <c:v>0.13867435984923299</c:v>
                </c:pt>
                <c:pt idx="62">
                  <c:v>0.123112294573932</c:v>
                </c:pt>
                <c:pt idx="63">
                  <c:v>8.7223265233436806E-2</c:v>
                </c:pt>
                <c:pt idx="64">
                  <c:v>6.8726264647885699E-2</c:v>
                </c:pt>
                <c:pt idx="65">
                  <c:v>5.26043377587442E-2</c:v>
                </c:pt>
                <c:pt idx="66">
                  <c:v>3.05360832321355E-2</c:v>
                </c:pt>
                <c:pt idx="67">
                  <c:v>2.5859034279733399E-2</c:v>
                </c:pt>
                <c:pt idx="68">
                  <c:v>1.19331557625131E-2</c:v>
                </c:pt>
                <c:pt idx="69">
                  <c:v>2.8258144851243099E-3</c:v>
                </c:pt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  <c:pt idx="0">
                  <c:v>6.2500000000000001E-4</c:v>
                </c:pt>
                <c:pt idx="1">
                  <c:v>1.25E-3</c:v>
                </c:pt>
                <c:pt idx="2">
                  <c:v>1.8749999999999999E-3</c:v>
                </c:pt>
                <c:pt idx="3">
                  <c:v>2.5000000000000001E-3</c:v>
                </c:pt>
                <c:pt idx="4">
                  <c:v>3.1250000000000002E-3</c:v>
                </c:pt>
                <c:pt idx="5">
                  <c:v>3.7499999999999999E-3</c:v>
                </c:pt>
                <c:pt idx="6">
                  <c:v>4.3750000000000004E-3</c:v>
                </c:pt>
                <c:pt idx="7">
                  <c:v>5.0000000000000001E-3</c:v>
                </c:pt>
                <c:pt idx="8">
                  <c:v>5.6249999999999998E-3</c:v>
                </c:pt>
                <c:pt idx="9">
                  <c:v>6.2500000000000003E-3</c:v>
                </c:pt>
                <c:pt idx="10">
                  <c:v>6.875E-3</c:v>
                </c:pt>
                <c:pt idx="11">
                  <c:v>7.4999999999999997E-3</c:v>
                </c:pt>
                <c:pt idx="12">
                  <c:v>8.1250000000000003E-3</c:v>
                </c:pt>
                <c:pt idx="13">
                  <c:v>8.7500000000000008E-3</c:v>
                </c:pt>
                <c:pt idx="14">
                  <c:v>9.3749999999999997E-3</c:v>
                </c:pt>
                <c:pt idx="15">
                  <c:v>0.01</c:v>
                </c:pt>
                <c:pt idx="16">
                  <c:v>1.0625000000000001E-2</c:v>
                </c:pt>
                <c:pt idx="17">
                  <c:v>1.125E-2</c:v>
                </c:pt>
                <c:pt idx="18">
                  <c:v>1.1875E-2</c:v>
                </c:pt>
                <c:pt idx="19">
                  <c:v>1.2500000000000001E-2</c:v>
                </c:pt>
                <c:pt idx="20">
                  <c:v>1.3125E-2</c:v>
                </c:pt>
                <c:pt idx="21">
                  <c:v>1.375E-2</c:v>
                </c:pt>
                <c:pt idx="22">
                  <c:v>1.4375000000000001E-2</c:v>
                </c:pt>
                <c:pt idx="23">
                  <c:v>1.4999999999999999E-2</c:v>
                </c:pt>
                <c:pt idx="24">
                  <c:v>1.5625E-2</c:v>
                </c:pt>
                <c:pt idx="25">
                  <c:v>1.6250000000000001E-2</c:v>
                </c:pt>
                <c:pt idx="26">
                  <c:v>1.6875000000000001E-2</c:v>
                </c:pt>
                <c:pt idx="27">
                  <c:v>1.7500000000000002E-2</c:v>
                </c:pt>
                <c:pt idx="28">
                  <c:v>1.8124999999999999E-2</c:v>
                </c:pt>
                <c:pt idx="29">
                  <c:v>1.8749999999999999E-2</c:v>
                </c:pt>
                <c:pt idx="30">
                  <c:v>1.9375E-2</c:v>
                </c:pt>
                <c:pt idx="31">
                  <c:v>0.02</c:v>
                </c:pt>
                <c:pt idx="32">
                  <c:v>2.0625000000000001E-2</c:v>
                </c:pt>
                <c:pt idx="33">
                  <c:v>2.1250000000000002E-2</c:v>
                </c:pt>
                <c:pt idx="34">
                  <c:v>2.1874999999999999E-2</c:v>
                </c:pt>
                <c:pt idx="35">
                  <c:v>2.2499999999999999E-2</c:v>
                </c:pt>
                <c:pt idx="36">
                  <c:v>2.3125E-2</c:v>
                </c:pt>
                <c:pt idx="37">
                  <c:v>2.375E-2</c:v>
                </c:pt>
                <c:pt idx="38">
                  <c:v>2.4375000000000001E-2</c:v>
                </c:pt>
                <c:pt idx="39">
                  <c:v>2.5000000000000001E-2</c:v>
                </c:pt>
                <c:pt idx="40">
                  <c:v>2.5624999999999998E-2</c:v>
                </c:pt>
                <c:pt idx="41">
                  <c:v>2.6249999999999999E-2</c:v>
                </c:pt>
                <c:pt idx="42">
                  <c:v>2.6875E-2</c:v>
                </c:pt>
                <c:pt idx="43">
                  <c:v>2.75E-2</c:v>
                </c:pt>
                <c:pt idx="44">
                  <c:v>2.8125000000000001E-2</c:v>
                </c:pt>
                <c:pt idx="45">
                  <c:v>2.8750000000000001E-2</c:v>
                </c:pt>
                <c:pt idx="46">
                  <c:v>2.9374999999999998E-2</c:v>
                </c:pt>
                <c:pt idx="47">
                  <c:v>0.03</c:v>
                </c:pt>
                <c:pt idx="48">
                  <c:v>3.0624999999999999E-2</c:v>
                </c:pt>
                <c:pt idx="49">
                  <c:v>3.125E-2</c:v>
                </c:pt>
                <c:pt idx="50">
                  <c:v>3.1875000000000001E-2</c:v>
                </c:pt>
                <c:pt idx="51">
                  <c:v>3.2500000000000001E-2</c:v>
                </c:pt>
                <c:pt idx="52">
                  <c:v>3.3125000000000002E-2</c:v>
                </c:pt>
                <c:pt idx="53">
                  <c:v>3.3750000000000002E-2</c:v>
                </c:pt>
                <c:pt idx="54">
                  <c:v>3.4375000000000003E-2</c:v>
                </c:pt>
                <c:pt idx="55">
                  <c:v>3.5000000000000003E-2</c:v>
                </c:pt>
                <c:pt idx="56">
                  <c:v>3.5624999999999997E-2</c:v>
                </c:pt>
                <c:pt idx="57">
                  <c:v>3.6249999999999998E-2</c:v>
                </c:pt>
                <c:pt idx="58">
                  <c:v>3.6874999999999998E-2</c:v>
                </c:pt>
                <c:pt idx="59">
                  <c:v>3.7499999999999999E-2</c:v>
                </c:pt>
                <c:pt idx="60">
                  <c:v>3.8124999999999999E-2</c:v>
                </c:pt>
                <c:pt idx="61">
                  <c:v>3.875E-2</c:v>
                </c:pt>
                <c:pt idx="62">
                  <c:v>3.9375E-2</c:v>
                </c:pt>
                <c:pt idx="63">
                  <c:v>0.04</c:v>
                </c:pt>
                <c:pt idx="64">
                  <c:v>4.0625000000000001E-2</c:v>
                </c:pt>
                <c:pt idx="65">
                  <c:v>4.1250000000000002E-2</c:v>
                </c:pt>
                <c:pt idx="66">
                  <c:v>4.1875000000000002E-2</c:v>
                </c:pt>
                <c:pt idx="67">
                  <c:v>4.2500000000000003E-2</c:v>
                </c:pt>
                <c:pt idx="68">
                  <c:v>4.3124999999999997E-2</c:v>
                </c:pt>
                <c:pt idx="69">
                  <c:v>4.3749999999999997E-2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Implicit_Fracs!$A$214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Implicit_Fracs!$B$209:$V$209</c:f>
              <c:numCache>
                <c:formatCode>General</c:formatCode>
                <c:ptCount val="21"/>
                <c:pt idx="0">
                  <c:v>0</c:v>
                </c:pt>
                <c:pt idx="1">
                  <c:v>0.28513528355999002</c:v>
                </c:pt>
                <c:pt idx="2">
                  <c:v>0.651572697050816</c:v>
                </c:pt>
                <c:pt idx="3">
                  <c:v>1.12249434634434</c:v>
                </c:pt>
                <c:pt idx="4">
                  <c:v>1.72769237364371</c:v>
                </c:pt>
                <c:pt idx="5">
                  <c:v>2.5054537120670299</c:v>
                </c:pt>
                <c:pt idx="6">
                  <c:v>3.50498225026368</c:v>
                </c:pt>
                <c:pt idx="7">
                  <c:v>4.7895116416253396</c:v>
                </c:pt>
                <c:pt idx="8">
                  <c:v>6.4403056852340397</c:v>
                </c:pt>
                <c:pt idx="9">
                  <c:v>8.5617993565662598</c:v>
                </c:pt>
                <c:pt idx="10">
                  <c:v>11.288205727444501</c:v>
                </c:pt>
                <c:pt idx="11">
                  <c:v>14.7920067519829</c:v>
                </c:pt>
                <c:pt idx="12">
                  <c:v>19.294865075190799</c:v>
                </c:pt>
                <c:pt idx="13">
                  <c:v>25.0816471832171</c:v>
                </c:pt>
                <c:pt idx="14">
                  <c:v>32.518445048515296</c:v>
                </c:pt>
                <c:pt idx="15">
                  <c:v>42.0757363819137</c:v>
                </c:pt>
                <c:pt idx="16">
                  <c:v>54.358148689726001</c:v>
                </c:pt>
                <c:pt idx="17">
                  <c:v>70.142710113727105</c:v>
                </c:pt>
                <c:pt idx="18">
                  <c:v>90.428006935230897</c:v>
                </c:pt>
                <c:pt idx="19">
                  <c:v>116.49735761803301</c:v>
                </c:pt>
                <c:pt idx="20">
                  <c:v>150</c:v>
                </c:pt>
              </c:numCache>
            </c:numRef>
          </c:xVal>
          <c:yVal>
            <c:numRef>
              <c:f>Implicit_Fracs!$B$214:$V$214</c:f>
              <c:numCache>
                <c:formatCode>General</c:formatCode>
                <c:ptCount val="21"/>
                <c:pt idx="0">
                  <c:v>0.36540561808659922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Implicit_Fracs!$A$215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Implicit_Fracs!$B$209:$V$209</c:f>
              <c:numCache>
                <c:formatCode>General</c:formatCode>
                <c:ptCount val="21"/>
                <c:pt idx="0">
                  <c:v>0</c:v>
                </c:pt>
                <c:pt idx="1">
                  <c:v>0.28513528355999002</c:v>
                </c:pt>
                <c:pt idx="2">
                  <c:v>0.651572697050816</c:v>
                </c:pt>
                <c:pt idx="3">
                  <c:v>1.12249434634434</c:v>
                </c:pt>
                <c:pt idx="4">
                  <c:v>1.72769237364371</c:v>
                </c:pt>
                <c:pt idx="5">
                  <c:v>2.5054537120670299</c:v>
                </c:pt>
                <c:pt idx="6">
                  <c:v>3.50498225026368</c:v>
                </c:pt>
                <c:pt idx="7">
                  <c:v>4.7895116416253396</c:v>
                </c:pt>
                <c:pt idx="8">
                  <c:v>6.4403056852340397</c:v>
                </c:pt>
                <c:pt idx="9">
                  <c:v>8.5617993565662598</c:v>
                </c:pt>
                <c:pt idx="10">
                  <c:v>11.288205727444501</c:v>
                </c:pt>
                <c:pt idx="11">
                  <c:v>14.7920067519829</c:v>
                </c:pt>
                <c:pt idx="12">
                  <c:v>19.294865075190799</c:v>
                </c:pt>
                <c:pt idx="13">
                  <c:v>25.0816471832171</c:v>
                </c:pt>
                <c:pt idx="14">
                  <c:v>32.518445048515296</c:v>
                </c:pt>
                <c:pt idx="15">
                  <c:v>42.0757363819137</c:v>
                </c:pt>
                <c:pt idx="16">
                  <c:v>54.358148689726001</c:v>
                </c:pt>
                <c:pt idx="17">
                  <c:v>70.142710113727105</c:v>
                </c:pt>
                <c:pt idx="18">
                  <c:v>90.428006935230897</c:v>
                </c:pt>
                <c:pt idx="19">
                  <c:v>116.49735761803301</c:v>
                </c:pt>
                <c:pt idx="20">
                  <c:v>150</c:v>
                </c:pt>
              </c:numCache>
            </c:numRef>
          </c:xVal>
          <c:yVal>
            <c:numRef>
              <c:f>Implicit_Fracs!$B$215:$V$215</c:f>
              <c:numCache>
                <c:formatCode>General</c:formatCode>
                <c:ptCount val="21"/>
                <c:pt idx="0">
                  <c:v>0.99999999999999989</c:v>
                </c:pt>
                <c:pt idx="1">
                  <c:v>0.99999999999999989</c:v>
                </c:pt>
                <c:pt idx="2">
                  <c:v>0.99999999999999989</c:v>
                </c:pt>
                <c:pt idx="3">
                  <c:v>0.99999999999999989</c:v>
                </c:pt>
                <c:pt idx="4">
                  <c:v>0.99999999999999989</c:v>
                </c:pt>
                <c:pt idx="5">
                  <c:v>0.99999999999999989</c:v>
                </c:pt>
                <c:pt idx="6">
                  <c:v>0.99999999999999989</c:v>
                </c:pt>
                <c:pt idx="7">
                  <c:v>0.99999999999999989</c:v>
                </c:pt>
                <c:pt idx="8">
                  <c:v>0.99999999999999989</c:v>
                </c:pt>
                <c:pt idx="9">
                  <c:v>0.99999999999999978</c:v>
                </c:pt>
                <c:pt idx="10">
                  <c:v>0.99999999999999978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0.99999999999999978</c:v>
                </c:pt>
                <c:pt idx="15">
                  <c:v>0.99999999999999989</c:v>
                </c:pt>
                <c:pt idx="16">
                  <c:v>0.99999999999999978</c:v>
                </c:pt>
                <c:pt idx="17">
                  <c:v>0.99999999999999978</c:v>
                </c:pt>
                <c:pt idx="18">
                  <c:v>0.99999999999999978</c:v>
                </c:pt>
                <c:pt idx="19">
                  <c:v>0.99999999999999978</c:v>
                </c:pt>
                <c:pt idx="20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Implicit_Fracs!$A$225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Implicit_Fracs!$B$220:$V$220</c:f>
              <c:numCache>
                <c:formatCode>General</c:formatCode>
                <c:ptCount val="21"/>
                <c:pt idx="0">
                  <c:v>0</c:v>
                </c:pt>
                <c:pt idx="1">
                  <c:v>9.3723547726442397E-2</c:v>
                </c:pt>
                <c:pt idx="2">
                  <c:v>0.19623119885131499</c:v>
                </c:pt>
                <c:pt idx="3">
                  <c:v>0.30834623070871597</c:v>
                </c:pt>
                <c:pt idx="4">
                  <c:v>0.430969081105256</c:v>
                </c:pt>
                <c:pt idx="5">
                  <c:v>0.56508458007328699</c:v>
                </c:pt>
                <c:pt idx="6">
                  <c:v>0.71176985940970505</c:v>
                </c:pt>
                <c:pt idx="7">
                  <c:v>0.87220300352477598</c:v>
                </c:pt>
                <c:pt idx="8">
                  <c:v>1.04767251107922</c:v>
                </c:pt>
                <c:pt idx="9">
                  <c:v>1.2395876433994799</c:v>
                </c:pt>
                <c:pt idx="10">
                  <c:v>1.4494897427831801</c:v>
                </c:pt>
                <c:pt idx="11">
                  <c:v>1.6790646115963499</c:v>
                </c:pt>
                <c:pt idx="12">
                  <c:v>1.9301560515835201</c:v>
                </c:pt>
                <c:pt idx="13">
                  <c:v>2.2047806721300298</c:v>
                </c:pt>
                <c:pt idx="14">
                  <c:v>2.5051440864071899</c:v>
                </c:pt>
                <c:pt idx="15">
                  <c:v>2.8336586254776401</c:v>
                </c:pt>
                <c:pt idx="16">
                  <c:v>3.1929627126294799</c:v>
                </c:pt>
                <c:pt idx="17">
                  <c:v>3.5859420535418001</c:v>
                </c:pt>
                <c:pt idx="18">
                  <c:v>4.0157528124676203</c:v>
                </c:pt>
                <c:pt idx="19">
                  <c:v>4.4858469605709699</c:v>
                </c:pt>
                <c:pt idx="20">
                  <c:v>5</c:v>
                </c:pt>
              </c:numCache>
            </c:numRef>
          </c:xVal>
          <c:yVal>
            <c:numRef>
              <c:f>Implicit_Fracs!$B$225:$V$225</c:f>
              <c:numCache>
                <c:formatCode>General</c:formatCode>
                <c:ptCount val="21"/>
                <c:pt idx="0">
                  <c:v>0.28643589907996625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Implicit_Fracs!$A$226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Implicit_Fracs!$B$220:$V$220</c:f>
              <c:numCache>
                <c:formatCode>General</c:formatCode>
                <c:ptCount val="21"/>
                <c:pt idx="0">
                  <c:v>0</c:v>
                </c:pt>
                <c:pt idx="1">
                  <c:v>9.3723547726442397E-2</c:v>
                </c:pt>
                <c:pt idx="2">
                  <c:v>0.19623119885131499</c:v>
                </c:pt>
                <c:pt idx="3">
                  <c:v>0.30834623070871597</c:v>
                </c:pt>
                <c:pt idx="4">
                  <c:v>0.430969081105256</c:v>
                </c:pt>
                <c:pt idx="5">
                  <c:v>0.56508458007328699</c:v>
                </c:pt>
                <c:pt idx="6">
                  <c:v>0.71176985940970505</c:v>
                </c:pt>
                <c:pt idx="7">
                  <c:v>0.87220300352477598</c:v>
                </c:pt>
                <c:pt idx="8">
                  <c:v>1.04767251107922</c:v>
                </c:pt>
                <c:pt idx="9">
                  <c:v>1.2395876433994799</c:v>
                </c:pt>
                <c:pt idx="10">
                  <c:v>1.4494897427831801</c:v>
                </c:pt>
                <c:pt idx="11">
                  <c:v>1.6790646115963499</c:v>
                </c:pt>
                <c:pt idx="12">
                  <c:v>1.9301560515835201</c:v>
                </c:pt>
                <c:pt idx="13">
                  <c:v>2.2047806721300298</c:v>
                </c:pt>
                <c:pt idx="14">
                  <c:v>2.5051440864071899</c:v>
                </c:pt>
                <c:pt idx="15">
                  <c:v>2.8336586254776401</c:v>
                </c:pt>
                <c:pt idx="16">
                  <c:v>3.1929627126294799</c:v>
                </c:pt>
                <c:pt idx="17">
                  <c:v>3.5859420535418001</c:v>
                </c:pt>
                <c:pt idx="18">
                  <c:v>4.0157528124676203</c:v>
                </c:pt>
                <c:pt idx="19">
                  <c:v>4.4858469605709699</c:v>
                </c:pt>
                <c:pt idx="20">
                  <c:v>5</c:v>
                </c:pt>
              </c:numCache>
            </c:numRef>
          </c:xVal>
          <c:yVal>
            <c:numRef>
              <c:f>Implicit_Fracs!$B$226:$V$226</c:f>
              <c:numCache>
                <c:formatCode>General</c:formatCode>
                <c:ptCount val="21"/>
                <c:pt idx="0">
                  <c:v>0.29506749940330362</c:v>
                </c:pt>
                <c:pt idx="1">
                  <c:v>1.1638662332067609E-2</c:v>
                </c:pt>
                <c:pt idx="2">
                  <c:v>1.1050140289723136E-2</c:v>
                </c:pt>
                <c:pt idx="3">
                  <c:v>1.0279126453650742E-2</c:v>
                </c:pt>
                <c:pt idx="4">
                  <c:v>9.809436460634896E-3</c:v>
                </c:pt>
                <c:pt idx="5">
                  <c:v>9.3446422346879724E-3</c:v>
                </c:pt>
                <c:pt idx="6">
                  <c:v>8.5842313829882274E-3</c:v>
                </c:pt>
                <c:pt idx="7">
                  <c:v>8.1902220217504439E-3</c:v>
                </c:pt>
                <c:pt idx="8">
                  <c:v>8.1730152668348516E-3</c:v>
                </c:pt>
                <c:pt idx="9">
                  <c:v>8.0808258970769525E-3</c:v>
                </c:pt>
                <c:pt idx="10">
                  <c:v>7.725593841783957E-3</c:v>
                </c:pt>
                <c:pt idx="11">
                  <c:v>7.4330832762405262E-3</c:v>
                </c:pt>
                <c:pt idx="12">
                  <c:v>7.4329134338751157E-3</c:v>
                </c:pt>
                <c:pt idx="13">
                  <c:v>7.4327277974777905E-3</c:v>
                </c:pt>
                <c:pt idx="14">
                  <c:v>7.4325249110570243E-3</c:v>
                </c:pt>
                <c:pt idx="15">
                  <c:v>7.4323031868976158E-3</c:v>
                </c:pt>
                <c:pt idx="16">
                  <c:v>7.4320608941360004E-3</c:v>
                </c:pt>
                <c:pt idx="17">
                  <c:v>7.4317961464429811E-3</c:v>
                </c:pt>
                <c:pt idx="18">
                  <c:v>7.4315068887643243E-3</c:v>
                </c:pt>
                <c:pt idx="19">
                  <c:v>7.4311908830714448E-3</c:v>
                </c:pt>
                <c:pt idx="20">
                  <c:v>7.4308456930776206E-3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Implicit_Fracs!$F$4:$F$150</c:f>
              <c:numCache>
                <c:formatCode>General</c:formatCode>
                <c:ptCount val="147"/>
                <c:pt idx="0">
                  <c:v>-5.4549090422587303E-4</c:v>
                </c:pt>
                <c:pt idx="1">
                  <c:v>-6.5264358172878304E-4</c:v>
                </c:pt>
                <c:pt idx="2">
                  <c:v>-9.5654928193278398E-4</c:v>
                </c:pt>
                <c:pt idx="3">
                  <c:v>-9.5940236144888497E-4</c:v>
                </c:pt>
                <c:pt idx="4">
                  <c:v>-9.61170067002304E-4</c:v>
                </c:pt>
                <c:pt idx="5">
                  <c:v>-9.6246045395184405E-4</c:v>
                </c:pt>
                <c:pt idx="6">
                  <c:v>-9.6348050389714901E-4</c:v>
                </c:pt>
                <c:pt idx="7">
                  <c:v>-9.6432615616439603E-4</c:v>
                </c:pt>
                <c:pt idx="8">
                  <c:v>-9.6504985648747897E-4</c:v>
                </c:pt>
                <c:pt idx="9">
                  <c:v>-9.6568344484260096E-4</c:v>
                </c:pt>
                <c:pt idx="10">
                  <c:v>-9.6624771835736398E-4</c:v>
                </c:pt>
                <c:pt idx="11">
                  <c:v>-9.66757016858451E-4</c:v>
                </c:pt>
                <c:pt idx="12">
                  <c:v>-9.6722164953426696E-4</c:v>
                </c:pt>
                <c:pt idx="13">
                  <c:v>-9.6764927844012003E-4</c:v>
                </c:pt>
                <c:pt idx="14">
                  <c:v>-9.6804575476413103E-4</c:v>
                </c:pt>
                <c:pt idx="15">
                  <c:v>-9.6841564874625E-4</c:v>
                </c:pt>
                <c:pt idx="16">
                  <c:v>-9.6876259881600803E-4</c:v>
                </c:pt>
                <c:pt idx="17">
                  <c:v>-9.6908954927759901E-4</c:v>
                </c:pt>
                <c:pt idx="18">
                  <c:v>-9.6939891670041502E-4</c:v>
                </c:pt>
                <c:pt idx="19">
                  <c:v>-9.6969270924017004E-4</c:v>
                </c:pt>
                <c:pt idx="20">
                  <c:v>-9.69972614022665E-4</c:v>
                </c:pt>
                <c:pt idx="21">
                  <c:v>-9.7024006233288997E-4</c:v>
                </c:pt>
                <c:pt idx="22">
                  <c:v>-9.7049627905100697E-4</c:v>
                </c:pt>
                <c:pt idx="23">
                  <c:v>-9.7074232069541003E-4</c:v>
                </c:pt>
                <c:pt idx="24">
                  <c:v>-9.70979105086608E-4</c:v>
                </c:pt>
                <c:pt idx="25">
                  <c:v>-9.7120743475452099E-4</c:v>
                </c:pt>
                <c:pt idx="26">
                  <c:v>-9.7142801560966795E-4</c:v>
                </c:pt>
                <c:pt idx="27">
                  <c:v>-9.7164147205116799E-4</c:v>
                </c:pt>
                <c:pt idx="28">
                  <c:v>-9.7184835924468899E-4</c:v>
                </c:pt>
                <c:pt idx="29">
                  <c:v>-9.7204917312612498E-4</c:v>
                </c:pt>
                <c:pt idx="30">
                  <c:v>-9.7224435866633799E-4</c:v>
                </c:pt>
                <c:pt idx="31">
                  <c:v>-9.7243431674802895E-4</c:v>
                </c:pt>
                <c:pt idx="32">
                  <c:v>-9.7261940992578297E-4</c:v>
                </c:pt>
                <c:pt idx="33">
                  <c:v>-9.72799967280569E-4</c:v>
                </c:pt>
                <c:pt idx="34">
                  <c:v>-9.7297628853473101E-4</c:v>
                </c:pt>
                <c:pt idx="35">
                  <c:v>-9.7314864755910905E-4</c:v>
                </c:pt>
                <c:pt idx="36">
                  <c:v>-9.7331729537735302E-4</c:v>
                </c:pt>
                <c:pt idx="37">
                  <c:v>-9.7348246275195396E-4</c:v>
                </c:pt>
                <c:pt idx="38">
                  <c:v>-9.7364436242040301E-4</c:v>
                </c:pt>
                <c:pt idx="39">
                  <c:v>-9.7380319103720101E-4</c:v>
                </c:pt>
                <c:pt idx="40">
                  <c:v>-9.7395913086741298E-4</c:v>
                </c:pt>
                <c:pt idx="41">
                  <c:v>-9.7411235126937704E-4</c:v>
                </c:pt>
                <c:pt idx="42">
                  <c:v>-9.7426300999777404E-4</c:v>
                </c:pt>
                <c:pt idx="43">
                  <c:v>-9.7441125435301403E-4</c:v>
                </c:pt>
                <c:pt idx="44">
                  <c:v>-9.7455722219866997E-4</c:v>
                </c:pt>
                <c:pt idx="45">
                  <c:v>-9.7470104286522398E-4</c:v>
                </c:pt>
                <c:pt idx="46">
                  <c:v>-9.7484283795555397E-4</c:v>
                </c:pt>
                <c:pt idx="47">
                  <c:v>-9.7498272206523301E-4</c:v>
                </c:pt>
                <c:pt idx="48">
                  <c:v>-9.75120803428802E-4</c:v>
                </c:pt>
                <c:pt idx="49">
                  <c:v>-9.7525718450151995E-4</c:v>
                </c:pt>
                <c:pt idx="50">
                  <c:v>-9.7539196248478798E-4</c:v>
                </c:pt>
                <c:pt idx="51">
                  <c:v>-9.7552522980230998E-4</c:v>
                </c:pt>
                <c:pt idx="52">
                  <c:v>-9.7565707453306895E-4</c:v>
                </c:pt>
                <c:pt idx="53">
                  <c:v>-9.7578758080646205E-4</c:v>
                </c:pt>
                <c:pt idx="54">
                  <c:v>-9.7591682916420297E-4</c:v>
                </c:pt>
                <c:pt idx="55">
                  <c:v>-9.7604489689307795E-4</c:v>
                </c:pt>
                <c:pt idx="56">
                  <c:v>-9.7617185833211899E-4</c:v>
                </c:pt>
                <c:pt idx="57">
                  <c:v>-9.76297785157392E-4</c:v>
                </c:pt>
                <c:pt idx="58">
                  <c:v>-9.7642274664720295E-4</c:v>
                </c:pt>
                <c:pt idx="59">
                  <c:v>-9.7654680993027303E-4</c:v>
                </c:pt>
                <c:pt idx="60">
                  <c:v>-9.7667004021917002E-4</c:v>
                </c:pt>
                <c:pt idx="61">
                  <c:v>-9.7679250103106991E-4</c:v>
                </c:pt>
                <c:pt idx="62">
                  <c:v>-9.7691425439775693E-4</c:v>
                </c:pt>
                <c:pt idx="63">
                  <c:v>-9.7703536106665098E-4</c:v>
                </c:pt>
                <c:pt idx="64">
                  <c:v>-9.7715588069448691E-4</c:v>
                </c:pt>
                <c:pt idx="65">
                  <c:v>-9.7727587203525097E-4</c:v>
                </c:pt>
                <c:pt idx="66">
                  <c:v>-9.7739539312385209E-4</c:v>
                </c:pt>
                <c:pt idx="67">
                  <c:v>-9.7751450145702095E-4</c:v>
                </c:pt>
                <c:pt idx="68">
                  <c:v>-9.7763325417286298E-4</c:v>
                </c:pt>
                <c:pt idx="69">
                  <c:v>-9.7775170823054605E-4</c:v>
                </c:pt>
                <c:pt idx="70">
                  <c:v>-9.778699205915801E-4</c:v>
                </c:pt>
                <c:pt idx="71">
                  <c:v>-9.7798794840424602E-4</c:v>
                </c:pt>
                <c:pt idx="72">
                  <c:v>-9.7810584919275708E-4</c:v>
                </c:pt>
                <c:pt idx="73">
                  <c:v>-9.782236810528921E-4</c:v>
                </c:pt>
                <c:pt idx="74">
                  <c:v>-9.78341502855932E-4</c:v>
                </c:pt>
                <c:pt idx="75">
                  <c:v>-9.7845937446292496E-4</c:v>
                </c:pt>
                <c:pt idx="76">
                  <c:v>-9.7857735695151696E-4</c:v>
                </c:pt>
                <c:pt idx="77">
                  <c:v>-9.7869551285783099E-4</c:v>
                </c:pt>
                <c:pt idx="78">
                  <c:v>-9.7881390643619307E-4</c:v>
                </c:pt>
                <c:pt idx="79">
                  <c:v>-9.7893260393991811E-4</c:v>
                </c:pt>
                <c:pt idx="80">
                  <c:v>-9.7905167392675998E-4</c:v>
                </c:pt>
                <c:pt idx="81">
                  <c:v>-9.7917118759327493E-4</c:v>
                </c:pt>
                <c:pt idx="82">
                  <c:v>-9.7929121914292904E-4</c:v>
                </c:pt>
                <c:pt idx="83">
                  <c:v>-9.7941184619368296E-4</c:v>
                </c:pt>
                <c:pt idx="84">
                  <c:v>-9.7953315023171302E-4</c:v>
                </c:pt>
                <c:pt idx="85">
                  <c:v>-9.7965521711917102E-4</c:v>
                </c:pt>
                <c:pt idx="86">
                  <c:v>-9.7977813766536603E-4</c:v>
                </c:pt>
                <c:pt idx="87">
                  <c:v>-9.7990200827255901E-4</c:v>
                </c:pt>
                <c:pt idx="88">
                  <c:v>-9.8002693166983909E-4</c:v>
                </c:pt>
                <c:pt idx="89">
                  <c:v>-9.8015301775131007E-4</c:v>
                </c:pt>
                <c:pt idx="90">
                  <c:v>-9.8028038453837211E-4</c:v>
                </c:pt>
                <c:pt idx="91">
                  <c:v>-9.8040915929021189E-4</c:v>
                </c:pt>
                <c:pt idx="92">
                  <c:v>-9.8053947979225204E-4</c:v>
                </c:pt>
                <c:pt idx="93">
                  <c:v>-9.8067149585934796E-4</c:v>
                </c:pt>
                <c:pt idx="94">
                  <c:v>-9.8080537109967894E-4</c:v>
                </c:pt>
                <c:pt idx="95">
                  <c:v>-9.8094128499704196E-4</c:v>
                </c:pt>
                <c:pt idx="96">
                  <c:v>-9.8107943538468896E-4</c:v>
                </c:pt>
                <c:pt idx="97">
                  <c:v>-9.8122004140413694E-4</c:v>
                </c:pt>
                <c:pt idx="98">
                  <c:v>-9.813633470693989E-4</c:v>
                </c:pt>
                <c:pt idx="99">
                  <c:v>-9.8150962559342405E-4</c:v>
                </c:pt>
                <c:pt idx="100">
                  <c:v>-9.8165918468299607E-4</c:v>
                </c:pt>
                <c:pt idx="101">
                  <c:v>-9.8181237307639496E-4</c:v>
                </c:pt>
                <c:pt idx="102">
                  <c:v>-9.8196958869323702E-4</c:v>
                </c:pt>
                <c:pt idx="103">
                  <c:v>-9.8213128890046802E-4</c:v>
                </c:pt>
                <c:pt idx="104">
                  <c:v>-9.82298003592184E-4</c:v>
                </c:pt>
                <c:pt idx="105">
                  <c:v>-9.8247035206441391E-4</c:v>
                </c:pt>
                <c:pt idx="106">
                  <c:v>-9.8264906508888908E-4</c:v>
                </c:pt>
                <c:pt idx="107">
                  <c:v>-9.8283501423392897E-4</c:v>
                </c:pt>
                <c:pt idx="108">
                  <c:v>-9.8302925148480093E-4</c:v>
                </c:pt>
                <c:pt idx="109">
                  <c:v>-9.832330638223179E-4</c:v>
                </c:pt>
                <c:pt idx="110">
                  <c:v>-9.8344805006395498E-4</c:v>
                </c:pt>
                <c:pt idx="111">
                  <c:v>-9.836762317731449E-4</c:v>
                </c:pt>
                <c:pt idx="112">
                  <c:v>-9.8392021799252691E-4</c:v>
                </c:pt>
                <c:pt idx="113">
                  <c:v>-9.8418345821106893E-4</c:v>
                </c:pt>
                <c:pt idx="114">
                  <c:v>-9.8447064636032798E-4</c:v>
                </c:pt>
                <c:pt idx="115">
                  <c:v>-9.847883969144051E-4</c:v>
                </c:pt>
                <c:pt idx="116">
                  <c:v>-9.8514644241327496E-4</c:v>
                </c:pt>
                <c:pt idx="117">
                  <c:v>-9.8555990865747695E-4</c:v>
                </c:pt>
                <c:pt idx="118">
                  <c:v>-9.8605403888521806E-4</c:v>
                </c:pt>
                <c:pt idx="119">
                  <c:v>-9.8667520989107198E-4</c:v>
                </c:pt>
                <c:pt idx="120">
                  <c:v>-9.8752103704584392E-4</c:v>
                </c:pt>
                <c:pt idx="121">
                  <c:v>-9.8884454987361692E-4</c:v>
                </c:pt>
                <c:pt idx="122">
                  <c:v>-9.9160892815511196E-4</c:v>
                </c:pt>
                <c:pt idx="123">
                  <c:v>-9.940913015304509E-4</c:v>
                </c:pt>
                <c:pt idx="124">
                  <c:v>-9.9655849602708294E-4</c:v>
                </c:pt>
                <c:pt idx="125">
                  <c:v>-9.9905501975847502E-4</c:v>
                </c:pt>
                <c:pt idx="126">
                  <c:v>-1.0015840485708199E-3</c:v>
                </c:pt>
                <c:pt idx="127">
                  <c:v>-1.0041483439924099E-3</c:v>
                </c:pt>
                <c:pt idx="128">
                  <c:v>-1.0067501011496601E-3</c:v>
                </c:pt>
                <c:pt idx="129">
                  <c:v>-1.00939116894578E-3</c:v>
                </c:pt>
                <c:pt idx="130">
                  <c:v>-1.01207318985896E-3</c:v>
                </c:pt>
                <c:pt idx="131">
                  <c:v>-1.01479769132194E-3</c:v>
                </c:pt>
                <c:pt idx="132">
                  <c:v>-1.01756614544319E-3</c:v>
                </c:pt>
                <c:pt idx="133">
                  <c:v>-1.02038000817788E-3</c:v>
                </c:pt>
                <c:pt idx="134">
                  <c:v>-1.16397999320224E-3</c:v>
                </c:pt>
                <c:pt idx="135">
                  <c:v>-1.1688130151815499E-3</c:v>
                </c:pt>
                <c:pt idx="136">
                  <c:v>-1.1729622544086201E-3</c:v>
                </c:pt>
                <c:pt idx="137">
                  <c:v>-1.1791540478711599E-3</c:v>
                </c:pt>
                <c:pt idx="138">
                  <c:v>-1.18875991032302E-3</c:v>
                </c:pt>
                <c:pt idx="139">
                  <c:v>-1.1981255500092399E-3</c:v>
                </c:pt>
                <c:pt idx="140">
                  <c:v>-1.20725054102833E-3</c:v>
                </c:pt>
                <c:pt idx="141">
                  <c:v>-1.21614386811381E-3</c:v>
                </c:pt>
                <c:pt idx="142">
                  <c:v>-1.22481387577661E-3</c:v>
                </c:pt>
                <c:pt idx="143">
                  <c:v>-1.23326882848347E-3</c:v>
                </c:pt>
                <c:pt idx="144">
                  <c:v>-1.2415169348547401E-3</c:v>
                </c:pt>
                <c:pt idx="145">
                  <c:v>-1.24956628383694E-3</c:v>
                </c:pt>
                <c:pt idx="146">
                  <c:v>-1.25742478699443E-3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17-4E86-8435-030297F544E3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Implicit_Fracs!$C$4:$C$150</c:f>
              <c:numCache>
                <c:formatCode>General</c:formatCode>
                <c:ptCount val="147"/>
                <c:pt idx="0">
                  <c:v>5.45490904225873E-2</c:v>
                </c:pt>
                <c:pt idx="1">
                  <c:v>6.5264358172878303E-2</c:v>
                </c:pt>
                <c:pt idx="2">
                  <c:v>9.5654928193278393E-2</c:v>
                </c:pt>
                <c:pt idx="3">
                  <c:v>9.5940236144888405E-2</c:v>
                </c:pt>
                <c:pt idx="4">
                  <c:v>9.6117006700230295E-2</c:v>
                </c:pt>
                <c:pt idx="5">
                  <c:v>9.6246045395184304E-2</c:v>
                </c:pt>
                <c:pt idx="6">
                  <c:v>9.6348050389714904E-2</c:v>
                </c:pt>
                <c:pt idx="7">
                  <c:v>9.6432615616439593E-2</c:v>
                </c:pt>
                <c:pt idx="8">
                  <c:v>9.6504985648747904E-2</c:v>
                </c:pt>
                <c:pt idx="9">
                  <c:v>9.6568344484260105E-2</c:v>
                </c:pt>
                <c:pt idx="10">
                  <c:v>9.6624771835736395E-2</c:v>
                </c:pt>
                <c:pt idx="11">
                  <c:v>9.6675701685845106E-2</c:v>
                </c:pt>
                <c:pt idx="12">
                  <c:v>9.6722164953426698E-2</c:v>
                </c:pt>
                <c:pt idx="13">
                  <c:v>9.6764927844012E-2</c:v>
                </c:pt>
                <c:pt idx="14">
                  <c:v>9.6804575476413093E-2</c:v>
                </c:pt>
                <c:pt idx="15">
                  <c:v>9.6841564874625002E-2</c:v>
                </c:pt>
                <c:pt idx="16">
                  <c:v>9.6876259881600799E-2</c:v>
                </c:pt>
                <c:pt idx="17">
                  <c:v>9.6908954927759902E-2</c:v>
                </c:pt>
                <c:pt idx="18">
                  <c:v>9.6939891670041495E-2</c:v>
                </c:pt>
                <c:pt idx="19">
                  <c:v>9.6969270924016998E-2</c:v>
                </c:pt>
                <c:pt idx="20">
                  <c:v>9.6997261402266499E-2</c:v>
                </c:pt>
                <c:pt idx="21">
                  <c:v>9.7024006233288995E-2</c:v>
                </c:pt>
                <c:pt idx="22">
                  <c:v>9.7049627905100702E-2</c:v>
                </c:pt>
                <c:pt idx="23">
                  <c:v>9.7074232069540994E-2</c:v>
                </c:pt>
                <c:pt idx="24">
                  <c:v>9.7097910508660804E-2</c:v>
                </c:pt>
                <c:pt idx="25">
                  <c:v>9.7120743475452104E-2</c:v>
                </c:pt>
                <c:pt idx="26">
                  <c:v>9.7142801560966802E-2</c:v>
                </c:pt>
                <c:pt idx="27">
                  <c:v>9.7164147205116805E-2</c:v>
                </c:pt>
                <c:pt idx="28">
                  <c:v>9.7184835924468901E-2</c:v>
                </c:pt>
                <c:pt idx="29">
                  <c:v>9.7204917312612493E-2</c:v>
                </c:pt>
                <c:pt idx="30">
                  <c:v>9.7224435866633804E-2</c:v>
                </c:pt>
                <c:pt idx="31">
                  <c:v>9.7243431674802899E-2</c:v>
                </c:pt>
                <c:pt idx="32">
                  <c:v>9.72619409925784E-2</c:v>
                </c:pt>
                <c:pt idx="33">
                  <c:v>9.72799967280569E-2</c:v>
                </c:pt>
                <c:pt idx="34">
                  <c:v>9.7297628853473095E-2</c:v>
                </c:pt>
                <c:pt idx="35">
                  <c:v>9.7314864755910904E-2</c:v>
                </c:pt>
                <c:pt idx="36">
                  <c:v>9.7331729537735306E-2</c:v>
                </c:pt>
                <c:pt idx="37">
                  <c:v>9.7348246275195394E-2</c:v>
                </c:pt>
                <c:pt idx="38">
                  <c:v>9.7364436242040303E-2</c:v>
                </c:pt>
                <c:pt idx="39">
                  <c:v>9.7380319103720206E-2</c:v>
                </c:pt>
                <c:pt idx="40">
                  <c:v>9.7395913086741406E-2</c:v>
                </c:pt>
                <c:pt idx="41">
                  <c:v>9.7411235126937806E-2</c:v>
                </c:pt>
                <c:pt idx="42">
                  <c:v>9.7426300999777393E-2</c:v>
                </c:pt>
                <c:pt idx="43">
                  <c:v>9.7441125435301396E-2</c:v>
                </c:pt>
                <c:pt idx="44">
                  <c:v>9.7455722219866994E-2</c:v>
                </c:pt>
                <c:pt idx="45">
                  <c:v>9.7470104286522502E-2</c:v>
                </c:pt>
                <c:pt idx="46">
                  <c:v>9.7484283795555404E-2</c:v>
                </c:pt>
                <c:pt idx="47">
                  <c:v>9.7498272206523406E-2</c:v>
                </c:pt>
                <c:pt idx="48">
                  <c:v>9.7512080342880295E-2</c:v>
                </c:pt>
                <c:pt idx="49">
                  <c:v>9.7525718450151996E-2</c:v>
                </c:pt>
                <c:pt idx="50">
                  <c:v>9.7539196248478802E-2</c:v>
                </c:pt>
                <c:pt idx="51">
                  <c:v>9.7552522980230996E-2</c:v>
                </c:pt>
                <c:pt idx="52">
                  <c:v>9.7565707453306894E-2</c:v>
                </c:pt>
                <c:pt idx="53">
                  <c:v>9.75787580806462E-2</c:v>
                </c:pt>
                <c:pt idx="54">
                  <c:v>9.7591682916420397E-2</c:v>
                </c:pt>
                <c:pt idx="55">
                  <c:v>9.7604489689307794E-2</c:v>
                </c:pt>
                <c:pt idx="56">
                  <c:v>9.7617185833211995E-2</c:v>
                </c:pt>
                <c:pt idx="57">
                  <c:v>9.7629778515739299E-2</c:v>
                </c:pt>
                <c:pt idx="58">
                  <c:v>9.7642274664720294E-2</c:v>
                </c:pt>
                <c:pt idx="59">
                  <c:v>9.7654680993027307E-2</c:v>
                </c:pt>
                <c:pt idx="60">
                  <c:v>9.7667004021917095E-2</c:v>
                </c:pt>
                <c:pt idx="61">
                  <c:v>9.7679250103107004E-2</c:v>
                </c:pt>
                <c:pt idx="62">
                  <c:v>9.7691425439775798E-2</c:v>
                </c:pt>
                <c:pt idx="63">
                  <c:v>9.7703536106665101E-2</c:v>
                </c:pt>
                <c:pt idx="64">
                  <c:v>9.7715588069448703E-2</c:v>
                </c:pt>
                <c:pt idx="65">
                  <c:v>9.7727587203525104E-2</c:v>
                </c:pt>
                <c:pt idx="66">
                  <c:v>9.7739539312385298E-2</c:v>
                </c:pt>
                <c:pt idx="67">
                  <c:v>9.7751450145702204E-2</c:v>
                </c:pt>
                <c:pt idx="68">
                  <c:v>9.7763325417286398E-2</c:v>
                </c:pt>
                <c:pt idx="69">
                  <c:v>9.7775170823054605E-2</c:v>
                </c:pt>
                <c:pt idx="70">
                  <c:v>9.7786992059158098E-2</c:v>
                </c:pt>
                <c:pt idx="71">
                  <c:v>9.7798794840424697E-2</c:v>
                </c:pt>
                <c:pt idx="72">
                  <c:v>9.78105849192758E-2</c:v>
                </c:pt>
                <c:pt idx="73">
                  <c:v>9.7822368105289298E-2</c:v>
                </c:pt>
                <c:pt idx="74">
                  <c:v>9.7834150285593197E-2</c:v>
                </c:pt>
                <c:pt idx="75">
                  <c:v>9.7845937446292497E-2</c:v>
                </c:pt>
                <c:pt idx="76">
                  <c:v>9.7857735695151798E-2</c:v>
                </c:pt>
                <c:pt idx="77">
                  <c:v>9.7869551285783105E-2</c:v>
                </c:pt>
                <c:pt idx="78">
                  <c:v>9.7881390643619406E-2</c:v>
                </c:pt>
                <c:pt idx="79">
                  <c:v>9.7893260393991793E-2</c:v>
                </c:pt>
                <c:pt idx="80">
                  <c:v>9.7905167392676101E-2</c:v>
                </c:pt>
                <c:pt idx="81">
                  <c:v>9.7917118759327501E-2</c:v>
                </c:pt>
                <c:pt idx="82">
                  <c:v>9.7929121914292899E-2</c:v>
                </c:pt>
                <c:pt idx="83">
                  <c:v>9.7941184619368404E-2</c:v>
                </c:pt>
                <c:pt idx="84">
                  <c:v>9.7953315023171394E-2</c:v>
                </c:pt>
                <c:pt idx="85">
                  <c:v>9.7965521711917206E-2</c:v>
                </c:pt>
                <c:pt idx="86">
                  <c:v>9.7977813766536706E-2</c:v>
                </c:pt>
                <c:pt idx="87">
                  <c:v>9.7990200827255999E-2</c:v>
                </c:pt>
                <c:pt idx="88">
                  <c:v>9.8002693166983901E-2</c:v>
                </c:pt>
                <c:pt idx="89">
                  <c:v>9.8015301775131097E-2</c:v>
                </c:pt>
                <c:pt idx="90">
                  <c:v>9.8028038453837299E-2</c:v>
                </c:pt>
                <c:pt idx="91">
                  <c:v>9.8040915929021297E-2</c:v>
                </c:pt>
                <c:pt idx="92">
                  <c:v>9.8053947979225203E-2</c:v>
                </c:pt>
                <c:pt idx="93">
                  <c:v>9.8067149585934904E-2</c:v>
                </c:pt>
                <c:pt idx="94">
                  <c:v>9.8080537109968002E-2</c:v>
                </c:pt>
                <c:pt idx="95">
                  <c:v>9.8094128499704294E-2</c:v>
                </c:pt>
                <c:pt idx="96">
                  <c:v>9.8107943538468995E-2</c:v>
                </c:pt>
                <c:pt idx="97">
                  <c:v>9.8122004140413804E-2</c:v>
                </c:pt>
                <c:pt idx="98">
                  <c:v>9.8136334706939998E-2</c:v>
                </c:pt>
                <c:pt idx="99">
                  <c:v>9.8150962559342594E-2</c:v>
                </c:pt>
                <c:pt idx="100">
                  <c:v>9.8165918468299695E-2</c:v>
                </c:pt>
                <c:pt idx="101">
                  <c:v>9.8181237307639599E-2</c:v>
                </c:pt>
                <c:pt idx="102">
                  <c:v>9.8196958869323794E-2</c:v>
                </c:pt>
                <c:pt idx="103">
                  <c:v>9.8213128890047005E-2</c:v>
                </c:pt>
                <c:pt idx="104">
                  <c:v>9.8229800359218494E-2</c:v>
                </c:pt>
                <c:pt idx="105">
                  <c:v>9.8247035206441499E-2</c:v>
                </c:pt>
                <c:pt idx="106">
                  <c:v>9.8264906508888999E-2</c:v>
                </c:pt>
                <c:pt idx="107">
                  <c:v>9.8283501423392997E-2</c:v>
                </c:pt>
                <c:pt idx="108">
                  <c:v>9.83029251484802E-2</c:v>
                </c:pt>
                <c:pt idx="109">
                  <c:v>9.8323306382231898E-2</c:v>
                </c:pt>
                <c:pt idx="110">
                  <c:v>9.83448050063956E-2</c:v>
                </c:pt>
                <c:pt idx="111">
                  <c:v>9.8367623177314595E-2</c:v>
                </c:pt>
                <c:pt idx="112">
                  <c:v>9.8392021799252799E-2</c:v>
                </c:pt>
                <c:pt idx="113">
                  <c:v>9.8418345821107006E-2</c:v>
                </c:pt>
                <c:pt idx="114">
                  <c:v>9.8447064636032894E-2</c:v>
                </c:pt>
                <c:pt idx="115">
                  <c:v>9.8478839691440598E-2</c:v>
                </c:pt>
                <c:pt idx="116">
                  <c:v>9.8514644241327595E-2</c:v>
                </c:pt>
                <c:pt idx="117">
                  <c:v>9.8555990865747706E-2</c:v>
                </c:pt>
                <c:pt idx="118">
                  <c:v>9.8605403888521903E-2</c:v>
                </c:pt>
                <c:pt idx="119">
                  <c:v>9.8667520989107305E-2</c:v>
                </c:pt>
                <c:pt idx="120">
                  <c:v>9.8752103704584399E-2</c:v>
                </c:pt>
                <c:pt idx="121">
                  <c:v>9.88844549873618E-2</c:v>
                </c:pt>
                <c:pt idx="122">
                  <c:v>9.9160892815511298E-2</c:v>
                </c:pt>
                <c:pt idx="123">
                  <c:v>9.94091301530452E-2</c:v>
                </c:pt>
                <c:pt idx="124">
                  <c:v>9.9655849602708402E-2</c:v>
                </c:pt>
                <c:pt idx="125">
                  <c:v>9.9905501975847605E-2</c:v>
                </c:pt>
                <c:pt idx="126">
                  <c:v>0.100158404857082</c:v>
                </c:pt>
                <c:pt idx="127">
                  <c:v>0.100414834399242</c:v>
                </c:pt>
                <c:pt idx="128">
                  <c:v>0.100675010114966</c:v>
                </c:pt>
                <c:pt idx="129">
                  <c:v>0.100939116894578</c:v>
                </c:pt>
                <c:pt idx="130">
                  <c:v>0.10120731898589599</c:v>
                </c:pt>
                <c:pt idx="131">
                  <c:v>0.101479769132194</c:v>
                </c:pt>
                <c:pt idx="132">
                  <c:v>0.101756614544319</c:v>
                </c:pt>
                <c:pt idx="133">
                  <c:v>0.10203800081778799</c:v>
                </c:pt>
                <c:pt idx="134">
                  <c:v>0.116397999320224</c:v>
                </c:pt>
                <c:pt idx="135">
                  <c:v>0.116881301518155</c:v>
                </c:pt>
                <c:pt idx="136">
                  <c:v>0.117296225440862</c:v>
                </c:pt>
                <c:pt idx="137">
                  <c:v>0.117915404787116</c:v>
                </c:pt>
                <c:pt idx="138">
                  <c:v>0.11887599103230199</c:v>
                </c:pt>
                <c:pt idx="139">
                  <c:v>0.119812555000924</c:v>
                </c:pt>
                <c:pt idx="140">
                  <c:v>0.120725054102833</c:v>
                </c:pt>
                <c:pt idx="141">
                  <c:v>0.121614386811381</c:v>
                </c:pt>
                <c:pt idx="142">
                  <c:v>0.122481387577661</c:v>
                </c:pt>
                <c:pt idx="143">
                  <c:v>0.123326882848347</c:v>
                </c:pt>
                <c:pt idx="144">
                  <c:v>0.124151693485474</c:v>
                </c:pt>
                <c:pt idx="145">
                  <c:v>0.12495662838369399</c:v>
                </c:pt>
                <c:pt idx="146">
                  <c:v>0.12574247869944299</c:v>
                </c:pt>
              </c:numCache>
            </c:numRef>
          </c:xVal>
          <c:yVal>
            <c:numRef>
              <c:f>Implicit_Fracs!$G$4:$G$150</c:f>
              <c:numCache>
                <c:formatCode>General</c:formatCode>
                <c:ptCount val="147"/>
                <c:pt idx="0">
                  <c:v>-4.3639272338069803E-4</c:v>
                </c:pt>
                <c:pt idx="1">
                  <c:v>-5.2211486538302604E-4</c:v>
                </c:pt>
                <c:pt idx="2">
                  <c:v>-7.6523942554622697E-4</c:v>
                </c:pt>
                <c:pt idx="3">
                  <c:v>-7.6752188915910795E-4</c:v>
                </c:pt>
                <c:pt idx="4">
                  <c:v>-7.6893605360184303E-4</c:v>
                </c:pt>
                <c:pt idx="5">
                  <c:v>-7.6996836316147496E-4</c:v>
                </c:pt>
                <c:pt idx="6">
                  <c:v>-7.7078440311771905E-4</c:v>
                </c:pt>
                <c:pt idx="7">
                  <c:v>-7.7146092493151697E-4</c:v>
                </c:pt>
                <c:pt idx="8">
                  <c:v>-7.7203988518998303E-4</c:v>
                </c:pt>
                <c:pt idx="9">
                  <c:v>-7.7254675587408103E-4</c:v>
                </c:pt>
                <c:pt idx="10">
                  <c:v>-7.7299817468589097E-4</c:v>
                </c:pt>
                <c:pt idx="11">
                  <c:v>-7.7340561348676097E-4</c:v>
                </c:pt>
                <c:pt idx="12">
                  <c:v>-7.7377731962741299E-4</c:v>
                </c:pt>
                <c:pt idx="13">
                  <c:v>-7.74119422752096E-4</c:v>
                </c:pt>
                <c:pt idx="14">
                  <c:v>-7.74436603811304E-4</c:v>
                </c:pt>
                <c:pt idx="15">
                  <c:v>-7.7473251899699998E-4</c:v>
                </c:pt>
                <c:pt idx="16">
                  <c:v>-7.7501007905280599E-4</c:v>
                </c:pt>
                <c:pt idx="17">
                  <c:v>-7.7527163942207899E-4</c:v>
                </c:pt>
                <c:pt idx="18">
                  <c:v>-7.7551913336033201E-4</c:v>
                </c:pt>
                <c:pt idx="19">
                  <c:v>-7.7575416739213599E-4</c:v>
                </c:pt>
                <c:pt idx="20">
                  <c:v>-7.7597809121813198E-4</c:v>
                </c:pt>
                <c:pt idx="21">
                  <c:v>-7.7619204986631202E-4</c:v>
                </c:pt>
                <c:pt idx="22">
                  <c:v>-7.7639702324080605E-4</c:v>
                </c:pt>
                <c:pt idx="23">
                  <c:v>-7.7659385655632805E-4</c:v>
                </c:pt>
                <c:pt idx="24">
                  <c:v>-7.7678328406928596E-4</c:v>
                </c:pt>
                <c:pt idx="25">
                  <c:v>-7.7696594780361696E-4</c:v>
                </c:pt>
                <c:pt idx="26">
                  <c:v>-7.7714241248773405E-4</c:v>
                </c:pt>
                <c:pt idx="27">
                  <c:v>-7.7731317764093404E-4</c:v>
                </c:pt>
                <c:pt idx="28">
                  <c:v>-7.7747868739575096E-4</c:v>
                </c:pt>
                <c:pt idx="29">
                  <c:v>-7.7763933850090005E-4</c:v>
                </c:pt>
                <c:pt idx="30">
                  <c:v>-7.7779548693307097E-4</c:v>
                </c:pt>
                <c:pt idx="31">
                  <c:v>-7.7794745339842305E-4</c:v>
                </c:pt>
                <c:pt idx="32">
                  <c:v>-7.78095527940627E-4</c:v>
                </c:pt>
                <c:pt idx="33">
                  <c:v>-7.7823997382445501E-4</c:v>
                </c:pt>
                <c:pt idx="34">
                  <c:v>-7.7838103082778496E-4</c:v>
                </c:pt>
                <c:pt idx="35">
                  <c:v>-7.7851891804728702E-4</c:v>
                </c:pt>
                <c:pt idx="36">
                  <c:v>-7.7865383630188205E-4</c:v>
                </c:pt>
                <c:pt idx="37">
                  <c:v>-7.7878597020156301E-4</c:v>
                </c:pt>
                <c:pt idx="38">
                  <c:v>-7.7891548993632201E-4</c:v>
                </c:pt>
                <c:pt idx="39">
                  <c:v>-7.79042552829761E-4</c:v>
                </c:pt>
                <c:pt idx="40">
                  <c:v>-7.7916730469393099E-4</c:v>
                </c:pt>
                <c:pt idx="41">
                  <c:v>-7.7928988101550205E-4</c:v>
                </c:pt>
                <c:pt idx="42">
                  <c:v>-7.79410407998219E-4</c:v>
                </c:pt>
                <c:pt idx="43">
                  <c:v>-7.7952900348241103E-4</c:v>
                </c:pt>
                <c:pt idx="44">
                  <c:v>-7.7964577775893596E-4</c:v>
                </c:pt>
                <c:pt idx="45">
                  <c:v>-7.7976083429217896E-4</c:v>
                </c:pt>
                <c:pt idx="46">
                  <c:v>-7.7987427036444303E-4</c:v>
                </c:pt>
                <c:pt idx="47">
                  <c:v>-7.79986177652187E-4</c:v>
                </c:pt>
                <c:pt idx="48">
                  <c:v>-7.8009664274304204E-4</c:v>
                </c:pt>
                <c:pt idx="49">
                  <c:v>-7.8020574760121505E-4</c:v>
                </c:pt>
                <c:pt idx="50">
                  <c:v>-7.8031356998782997E-4</c:v>
                </c:pt>
                <c:pt idx="51">
                  <c:v>-7.8042018384184798E-4</c:v>
                </c:pt>
                <c:pt idx="52">
                  <c:v>-7.8052565962645503E-4</c:v>
                </c:pt>
                <c:pt idx="53">
                  <c:v>-7.8063006464516903E-4</c:v>
                </c:pt>
                <c:pt idx="54">
                  <c:v>-7.8073346333136203E-4</c:v>
                </c:pt>
                <c:pt idx="55">
                  <c:v>-7.8083591751446199E-4</c:v>
                </c:pt>
                <c:pt idx="56">
                  <c:v>-7.8093748666569504E-4</c:v>
                </c:pt>
                <c:pt idx="57">
                  <c:v>-7.8103822812591395E-4</c:v>
                </c:pt>
                <c:pt idx="58">
                  <c:v>-7.8113819731776197E-4</c:v>
                </c:pt>
                <c:pt idx="59">
                  <c:v>-7.8123744794421802E-4</c:v>
                </c:pt>
                <c:pt idx="60">
                  <c:v>-7.8133603217533595E-4</c:v>
                </c:pt>
                <c:pt idx="61">
                  <c:v>-7.8143400082485604E-4</c:v>
                </c:pt>
                <c:pt idx="62">
                  <c:v>-7.8153140351820596E-4</c:v>
                </c:pt>
                <c:pt idx="63">
                  <c:v>-7.8162828885331998E-4</c:v>
                </c:pt>
                <c:pt idx="64">
                  <c:v>-7.8172470455558903E-4</c:v>
                </c:pt>
                <c:pt idx="65">
                  <c:v>-7.8182069762820002E-4</c:v>
                </c:pt>
                <c:pt idx="66">
                  <c:v>-7.8191631449908195E-4</c:v>
                </c:pt>
                <c:pt idx="67">
                  <c:v>-7.8201160116561695E-4</c:v>
                </c:pt>
                <c:pt idx="68">
                  <c:v>-7.8210660333829E-4</c:v>
                </c:pt>
                <c:pt idx="69">
                  <c:v>-7.8220136658443604E-4</c:v>
                </c:pt>
                <c:pt idx="70">
                  <c:v>-7.8229593647326397E-4</c:v>
                </c:pt>
                <c:pt idx="71">
                  <c:v>-7.8239035872339701E-4</c:v>
                </c:pt>
                <c:pt idx="72">
                  <c:v>-7.8248467935420599E-4</c:v>
                </c:pt>
                <c:pt idx="73">
                  <c:v>-7.8257894484231401E-4</c:v>
                </c:pt>
                <c:pt idx="74">
                  <c:v>-7.8267320228474495E-4</c:v>
                </c:pt>
                <c:pt idx="75">
                  <c:v>-7.8276749957034003E-4</c:v>
                </c:pt>
                <c:pt idx="76">
                  <c:v>-7.8286188556121402E-4</c:v>
                </c:pt>
                <c:pt idx="77">
                  <c:v>-7.8295641028626396E-4</c:v>
                </c:pt>
                <c:pt idx="78">
                  <c:v>-7.8305112514895402E-4</c:v>
                </c:pt>
                <c:pt idx="79">
                  <c:v>-7.8314608315193399E-4</c:v>
                </c:pt>
                <c:pt idx="80">
                  <c:v>-7.8324133914140805E-4</c:v>
                </c:pt>
                <c:pt idx="81">
                  <c:v>-7.8333695007462003E-4</c:v>
                </c:pt>
                <c:pt idx="82">
                  <c:v>-7.8343297531434299E-4</c:v>
                </c:pt>
                <c:pt idx="83">
                  <c:v>-7.8352947695494596E-4</c:v>
                </c:pt>
                <c:pt idx="84">
                  <c:v>-7.8362652018536998E-4</c:v>
                </c:pt>
                <c:pt idx="85">
                  <c:v>-7.8372417369533705E-4</c:v>
                </c:pt>
                <c:pt idx="86">
                  <c:v>-7.8382251013229295E-4</c:v>
                </c:pt>
                <c:pt idx="87">
                  <c:v>-7.8392160661804695E-4</c:v>
                </c:pt>
                <c:pt idx="88">
                  <c:v>-7.8402154533587095E-4</c:v>
                </c:pt>
                <c:pt idx="89">
                  <c:v>-7.8412241420104797E-4</c:v>
                </c:pt>
                <c:pt idx="90">
                  <c:v>-7.8422430763069797E-4</c:v>
                </c:pt>
                <c:pt idx="91">
                  <c:v>-7.8432732743216897E-4</c:v>
                </c:pt>
                <c:pt idx="92">
                  <c:v>-7.84431583833801E-4</c:v>
                </c:pt>
                <c:pt idx="93">
                  <c:v>-7.8453719668747802E-4</c:v>
                </c:pt>
                <c:pt idx="94">
                  <c:v>-7.8464429687974304E-4</c:v>
                </c:pt>
                <c:pt idx="95">
                  <c:v>-7.8475302799763298E-4</c:v>
                </c:pt>
                <c:pt idx="96">
                  <c:v>-7.8486354830775099E-4</c:v>
                </c:pt>
                <c:pt idx="97">
                  <c:v>-7.8497603312330895E-4</c:v>
                </c:pt>
                <c:pt idx="98">
                  <c:v>-7.8509067765551905E-4</c:v>
                </c:pt>
                <c:pt idx="99">
                  <c:v>-7.8520770047473898E-4</c:v>
                </c:pt>
                <c:pt idx="100">
                  <c:v>-7.8532734774639705E-4</c:v>
                </c:pt>
                <c:pt idx="101">
                  <c:v>-7.8544989846111597E-4</c:v>
                </c:pt>
                <c:pt idx="102">
                  <c:v>-7.8557567095459001E-4</c:v>
                </c:pt>
                <c:pt idx="103">
                  <c:v>-7.8570503112037498E-4</c:v>
                </c:pt>
                <c:pt idx="104">
                  <c:v>-7.8583840287374702E-4</c:v>
                </c:pt>
                <c:pt idx="105">
                  <c:v>-7.8597628165153095E-4</c:v>
                </c:pt>
                <c:pt idx="106">
                  <c:v>-7.86119252071111E-4</c:v>
                </c:pt>
                <c:pt idx="107">
                  <c:v>-7.8626801138714298E-4</c:v>
                </c:pt>
                <c:pt idx="108">
                  <c:v>-7.8642340118783996E-4</c:v>
                </c:pt>
                <c:pt idx="109">
                  <c:v>-7.8658645105785397E-4</c:v>
                </c:pt>
                <c:pt idx="110">
                  <c:v>-7.8675844005116405E-4</c:v>
                </c:pt>
                <c:pt idx="111">
                  <c:v>-7.8694098541851596E-4</c:v>
                </c:pt>
                <c:pt idx="112">
                  <c:v>-7.8713617439402203E-4</c:v>
                </c:pt>
                <c:pt idx="113">
                  <c:v>-7.8734676656885502E-4</c:v>
                </c:pt>
                <c:pt idx="114">
                  <c:v>-7.8757651708826198E-4</c:v>
                </c:pt>
                <c:pt idx="115">
                  <c:v>-7.8783071753152399E-4</c:v>
                </c:pt>
                <c:pt idx="116">
                  <c:v>-7.8811715393061995E-4</c:v>
                </c:pt>
                <c:pt idx="117">
                  <c:v>-7.8844792692598102E-4</c:v>
                </c:pt>
                <c:pt idx="118">
                  <c:v>-7.8884323110817395E-4</c:v>
                </c:pt>
                <c:pt idx="119">
                  <c:v>-7.8934016791285802E-4</c:v>
                </c:pt>
                <c:pt idx="120">
                  <c:v>-7.9001682963667505E-4</c:v>
                </c:pt>
                <c:pt idx="121">
                  <c:v>-7.9107563989889301E-4</c:v>
                </c:pt>
                <c:pt idx="122">
                  <c:v>-7.9328714252409002E-4</c:v>
                </c:pt>
                <c:pt idx="123">
                  <c:v>-7.9527304122436104E-4</c:v>
                </c:pt>
                <c:pt idx="124">
                  <c:v>-7.9724679682166599E-4</c:v>
                </c:pt>
                <c:pt idx="125">
                  <c:v>-7.9924401580677999E-4</c:v>
                </c:pt>
                <c:pt idx="126">
                  <c:v>-8.01267238856654E-4</c:v>
                </c:pt>
                <c:pt idx="127">
                  <c:v>-8.0331867519393095E-4</c:v>
                </c:pt>
                <c:pt idx="128">
                  <c:v>-8.0540008091972497E-4</c:v>
                </c:pt>
                <c:pt idx="129">
                  <c:v>-8.0751293515662697E-4</c:v>
                </c:pt>
                <c:pt idx="130">
                  <c:v>-8.0965855188716497E-4</c:v>
                </c:pt>
                <c:pt idx="131">
                  <c:v>-8.1183815305755096E-4</c:v>
                </c:pt>
                <c:pt idx="132">
                  <c:v>-8.1405291635454802E-4</c:v>
                </c:pt>
                <c:pt idx="133">
                  <c:v>-8.1630400654230599E-4</c:v>
                </c:pt>
                <c:pt idx="134">
                  <c:v>-9.3118399456178799E-4</c:v>
                </c:pt>
                <c:pt idx="135">
                  <c:v>-9.3505041214523698E-4</c:v>
                </c:pt>
                <c:pt idx="136">
                  <c:v>-9.3836980352689702E-4</c:v>
                </c:pt>
                <c:pt idx="137">
                  <c:v>-9.4332323829692704E-4</c:v>
                </c:pt>
                <c:pt idx="138">
                  <c:v>-9.5100792825841699E-4</c:v>
                </c:pt>
                <c:pt idx="139">
                  <c:v>-9.58500440007392E-4</c:v>
                </c:pt>
                <c:pt idx="140">
                  <c:v>-9.6580043282266503E-4</c:v>
                </c:pt>
                <c:pt idx="141">
                  <c:v>-9.7291509449104897E-4</c:v>
                </c:pt>
                <c:pt idx="142">
                  <c:v>-9.7985110062128789E-4</c:v>
                </c:pt>
                <c:pt idx="143">
                  <c:v>-9.866150627867781E-4</c:v>
                </c:pt>
                <c:pt idx="144">
                  <c:v>-9.9321354788379406E-4</c:v>
                </c:pt>
                <c:pt idx="145">
                  <c:v>-9.9965302706955393E-4</c:v>
                </c:pt>
                <c:pt idx="146">
                  <c:v>-1.00593982959555E-3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0 Vertical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Implicit_Fracs!$C$3:$C$150</c:f>
              <c:numCache>
                <c:formatCode>General</c:formatCode>
                <c:ptCount val="148"/>
                <c:pt idx="0">
                  <c:v>0</c:v>
                </c:pt>
                <c:pt idx="1">
                  <c:v>5.45490904225873E-2</c:v>
                </c:pt>
                <c:pt idx="2">
                  <c:v>6.5264358172878303E-2</c:v>
                </c:pt>
                <c:pt idx="3">
                  <c:v>9.5654928193278393E-2</c:v>
                </c:pt>
                <c:pt idx="4">
                  <c:v>9.5940236144888405E-2</c:v>
                </c:pt>
                <c:pt idx="5">
                  <c:v>9.6117006700230295E-2</c:v>
                </c:pt>
                <c:pt idx="6">
                  <c:v>9.6246045395184304E-2</c:v>
                </c:pt>
                <c:pt idx="7">
                  <c:v>9.6348050389714904E-2</c:v>
                </c:pt>
                <c:pt idx="8">
                  <c:v>9.6432615616439593E-2</c:v>
                </c:pt>
                <c:pt idx="9">
                  <c:v>9.6504985648747904E-2</c:v>
                </c:pt>
                <c:pt idx="10">
                  <c:v>9.6568344484260105E-2</c:v>
                </c:pt>
                <c:pt idx="11">
                  <c:v>9.6624771835736395E-2</c:v>
                </c:pt>
                <c:pt idx="12">
                  <c:v>9.6675701685845106E-2</c:v>
                </c:pt>
                <c:pt idx="13">
                  <c:v>9.6722164953426698E-2</c:v>
                </c:pt>
                <c:pt idx="14">
                  <c:v>9.6764927844012E-2</c:v>
                </c:pt>
                <c:pt idx="15">
                  <c:v>9.6804575476413093E-2</c:v>
                </c:pt>
                <c:pt idx="16">
                  <c:v>9.6841564874625002E-2</c:v>
                </c:pt>
                <c:pt idx="17">
                  <c:v>9.6876259881600799E-2</c:v>
                </c:pt>
                <c:pt idx="18">
                  <c:v>9.6908954927759902E-2</c:v>
                </c:pt>
                <c:pt idx="19">
                  <c:v>9.6939891670041495E-2</c:v>
                </c:pt>
                <c:pt idx="20">
                  <c:v>9.6969270924016998E-2</c:v>
                </c:pt>
                <c:pt idx="21">
                  <c:v>9.6997261402266499E-2</c:v>
                </c:pt>
                <c:pt idx="22">
                  <c:v>9.7024006233288995E-2</c:v>
                </c:pt>
                <c:pt idx="23">
                  <c:v>9.7049627905100702E-2</c:v>
                </c:pt>
                <c:pt idx="24">
                  <c:v>9.7074232069540994E-2</c:v>
                </c:pt>
                <c:pt idx="25">
                  <c:v>9.7097910508660804E-2</c:v>
                </c:pt>
                <c:pt idx="26">
                  <c:v>9.7120743475452104E-2</c:v>
                </c:pt>
                <c:pt idx="27">
                  <c:v>9.7142801560966802E-2</c:v>
                </c:pt>
                <c:pt idx="28">
                  <c:v>9.7164147205116805E-2</c:v>
                </c:pt>
                <c:pt idx="29">
                  <c:v>9.7184835924468901E-2</c:v>
                </c:pt>
                <c:pt idx="30">
                  <c:v>9.7204917312612493E-2</c:v>
                </c:pt>
                <c:pt idx="31">
                  <c:v>9.7224435866633804E-2</c:v>
                </c:pt>
                <c:pt idx="32">
                  <c:v>9.7243431674802899E-2</c:v>
                </c:pt>
                <c:pt idx="33">
                  <c:v>9.72619409925784E-2</c:v>
                </c:pt>
                <c:pt idx="34">
                  <c:v>9.72799967280569E-2</c:v>
                </c:pt>
                <c:pt idx="35">
                  <c:v>9.7297628853473095E-2</c:v>
                </c:pt>
                <c:pt idx="36">
                  <c:v>9.7314864755910904E-2</c:v>
                </c:pt>
                <c:pt idx="37">
                  <c:v>9.7331729537735306E-2</c:v>
                </c:pt>
                <c:pt idx="38">
                  <c:v>9.7348246275195394E-2</c:v>
                </c:pt>
                <c:pt idx="39">
                  <c:v>9.7364436242040303E-2</c:v>
                </c:pt>
                <c:pt idx="40">
                  <c:v>9.7380319103720206E-2</c:v>
                </c:pt>
                <c:pt idx="41">
                  <c:v>9.7395913086741406E-2</c:v>
                </c:pt>
                <c:pt idx="42">
                  <c:v>9.7411235126937806E-2</c:v>
                </c:pt>
                <c:pt idx="43">
                  <c:v>9.7426300999777393E-2</c:v>
                </c:pt>
                <c:pt idx="44">
                  <c:v>9.7441125435301396E-2</c:v>
                </c:pt>
                <c:pt idx="45">
                  <c:v>9.7455722219866994E-2</c:v>
                </c:pt>
                <c:pt idx="46">
                  <c:v>9.7470104286522502E-2</c:v>
                </c:pt>
                <c:pt idx="47">
                  <c:v>9.7484283795555404E-2</c:v>
                </c:pt>
                <c:pt idx="48">
                  <c:v>9.7498272206523406E-2</c:v>
                </c:pt>
                <c:pt idx="49">
                  <c:v>9.7512080342880295E-2</c:v>
                </c:pt>
                <c:pt idx="50">
                  <c:v>9.7525718450151996E-2</c:v>
                </c:pt>
                <c:pt idx="51">
                  <c:v>9.7539196248478802E-2</c:v>
                </c:pt>
                <c:pt idx="52">
                  <c:v>9.7552522980230996E-2</c:v>
                </c:pt>
                <c:pt idx="53">
                  <c:v>9.7565707453306894E-2</c:v>
                </c:pt>
                <c:pt idx="54">
                  <c:v>9.75787580806462E-2</c:v>
                </c:pt>
                <c:pt idx="55">
                  <c:v>9.7591682916420397E-2</c:v>
                </c:pt>
                <c:pt idx="56">
                  <c:v>9.7604489689307794E-2</c:v>
                </c:pt>
                <c:pt idx="57">
                  <c:v>9.7617185833211995E-2</c:v>
                </c:pt>
                <c:pt idx="58">
                  <c:v>9.7629778515739299E-2</c:v>
                </c:pt>
                <c:pt idx="59">
                  <c:v>9.7642274664720294E-2</c:v>
                </c:pt>
                <c:pt idx="60">
                  <c:v>9.7654680993027307E-2</c:v>
                </c:pt>
                <c:pt idx="61">
                  <c:v>9.7667004021917095E-2</c:v>
                </c:pt>
                <c:pt idx="62">
                  <c:v>9.7679250103107004E-2</c:v>
                </c:pt>
                <c:pt idx="63">
                  <c:v>9.7691425439775798E-2</c:v>
                </c:pt>
                <c:pt idx="64">
                  <c:v>9.7703536106665101E-2</c:v>
                </c:pt>
                <c:pt idx="65">
                  <c:v>9.7715588069448703E-2</c:v>
                </c:pt>
                <c:pt idx="66">
                  <c:v>9.7727587203525104E-2</c:v>
                </c:pt>
                <c:pt idx="67">
                  <c:v>9.7739539312385298E-2</c:v>
                </c:pt>
                <c:pt idx="68">
                  <c:v>9.7751450145702204E-2</c:v>
                </c:pt>
                <c:pt idx="69">
                  <c:v>9.7763325417286398E-2</c:v>
                </c:pt>
                <c:pt idx="70">
                  <c:v>9.7775170823054605E-2</c:v>
                </c:pt>
                <c:pt idx="71">
                  <c:v>9.7786992059158098E-2</c:v>
                </c:pt>
                <c:pt idx="72">
                  <c:v>9.7798794840424697E-2</c:v>
                </c:pt>
                <c:pt idx="73">
                  <c:v>9.78105849192758E-2</c:v>
                </c:pt>
                <c:pt idx="74">
                  <c:v>9.7822368105289298E-2</c:v>
                </c:pt>
                <c:pt idx="75">
                  <c:v>9.7834150285593197E-2</c:v>
                </c:pt>
                <c:pt idx="76">
                  <c:v>9.7845937446292497E-2</c:v>
                </c:pt>
                <c:pt idx="77">
                  <c:v>9.7857735695151798E-2</c:v>
                </c:pt>
                <c:pt idx="78">
                  <c:v>9.7869551285783105E-2</c:v>
                </c:pt>
                <c:pt idx="79">
                  <c:v>9.7881390643619406E-2</c:v>
                </c:pt>
                <c:pt idx="80">
                  <c:v>9.7893260393991793E-2</c:v>
                </c:pt>
                <c:pt idx="81">
                  <c:v>9.7905167392676101E-2</c:v>
                </c:pt>
                <c:pt idx="82">
                  <c:v>9.7917118759327501E-2</c:v>
                </c:pt>
                <c:pt idx="83">
                  <c:v>9.7929121914292899E-2</c:v>
                </c:pt>
                <c:pt idx="84">
                  <c:v>9.7941184619368404E-2</c:v>
                </c:pt>
                <c:pt idx="85">
                  <c:v>9.7953315023171394E-2</c:v>
                </c:pt>
                <c:pt idx="86">
                  <c:v>9.7965521711917206E-2</c:v>
                </c:pt>
                <c:pt idx="87">
                  <c:v>9.7977813766536706E-2</c:v>
                </c:pt>
                <c:pt idx="88">
                  <c:v>9.7990200827255999E-2</c:v>
                </c:pt>
                <c:pt idx="89">
                  <c:v>9.8002693166983901E-2</c:v>
                </c:pt>
                <c:pt idx="90">
                  <c:v>9.8015301775131097E-2</c:v>
                </c:pt>
                <c:pt idx="91">
                  <c:v>9.8028038453837299E-2</c:v>
                </c:pt>
                <c:pt idx="92">
                  <c:v>9.8040915929021297E-2</c:v>
                </c:pt>
                <c:pt idx="93">
                  <c:v>9.8053947979225203E-2</c:v>
                </c:pt>
                <c:pt idx="94">
                  <c:v>9.8067149585934904E-2</c:v>
                </c:pt>
                <c:pt idx="95">
                  <c:v>9.8080537109968002E-2</c:v>
                </c:pt>
                <c:pt idx="96">
                  <c:v>9.8094128499704294E-2</c:v>
                </c:pt>
                <c:pt idx="97">
                  <c:v>9.8107943538468995E-2</c:v>
                </c:pt>
                <c:pt idx="98">
                  <c:v>9.8122004140413804E-2</c:v>
                </c:pt>
                <c:pt idx="99">
                  <c:v>9.8136334706939998E-2</c:v>
                </c:pt>
                <c:pt idx="100">
                  <c:v>9.8150962559342594E-2</c:v>
                </c:pt>
                <c:pt idx="101">
                  <c:v>9.8165918468299695E-2</c:v>
                </c:pt>
                <c:pt idx="102">
                  <c:v>9.8181237307639599E-2</c:v>
                </c:pt>
                <c:pt idx="103">
                  <c:v>9.8196958869323794E-2</c:v>
                </c:pt>
                <c:pt idx="104">
                  <c:v>9.8213128890047005E-2</c:v>
                </c:pt>
                <c:pt idx="105">
                  <c:v>9.8229800359218494E-2</c:v>
                </c:pt>
                <c:pt idx="106">
                  <c:v>9.8247035206441499E-2</c:v>
                </c:pt>
                <c:pt idx="107">
                  <c:v>9.8264906508888999E-2</c:v>
                </c:pt>
                <c:pt idx="108">
                  <c:v>9.8283501423392997E-2</c:v>
                </c:pt>
                <c:pt idx="109">
                  <c:v>9.83029251484802E-2</c:v>
                </c:pt>
                <c:pt idx="110">
                  <c:v>9.8323306382231898E-2</c:v>
                </c:pt>
                <c:pt idx="111">
                  <c:v>9.83448050063956E-2</c:v>
                </c:pt>
                <c:pt idx="112">
                  <c:v>9.8367623177314595E-2</c:v>
                </c:pt>
                <c:pt idx="113">
                  <c:v>9.8392021799252799E-2</c:v>
                </c:pt>
                <c:pt idx="114">
                  <c:v>9.8418345821107006E-2</c:v>
                </c:pt>
                <c:pt idx="115">
                  <c:v>9.8447064636032894E-2</c:v>
                </c:pt>
                <c:pt idx="116">
                  <c:v>9.8478839691440598E-2</c:v>
                </c:pt>
                <c:pt idx="117">
                  <c:v>9.8514644241327595E-2</c:v>
                </c:pt>
                <c:pt idx="118">
                  <c:v>9.8555990865747706E-2</c:v>
                </c:pt>
                <c:pt idx="119">
                  <c:v>9.8605403888521903E-2</c:v>
                </c:pt>
                <c:pt idx="120">
                  <c:v>9.8667520989107305E-2</c:v>
                </c:pt>
                <c:pt idx="121">
                  <c:v>9.8752103704584399E-2</c:v>
                </c:pt>
                <c:pt idx="122">
                  <c:v>9.88844549873618E-2</c:v>
                </c:pt>
                <c:pt idx="123">
                  <c:v>9.9160892815511298E-2</c:v>
                </c:pt>
                <c:pt idx="124">
                  <c:v>9.94091301530452E-2</c:v>
                </c:pt>
                <c:pt idx="125">
                  <c:v>9.9655849602708402E-2</c:v>
                </c:pt>
                <c:pt idx="126">
                  <c:v>9.9905501975847605E-2</c:v>
                </c:pt>
                <c:pt idx="127">
                  <c:v>0.100158404857082</c:v>
                </c:pt>
                <c:pt idx="128">
                  <c:v>0.100414834399242</c:v>
                </c:pt>
                <c:pt idx="129">
                  <c:v>0.100675010114966</c:v>
                </c:pt>
                <c:pt idx="130">
                  <c:v>0.100939116894578</c:v>
                </c:pt>
                <c:pt idx="131">
                  <c:v>0.10120731898589599</c:v>
                </c:pt>
                <c:pt idx="132">
                  <c:v>0.101479769132194</c:v>
                </c:pt>
                <c:pt idx="133">
                  <c:v>0.101756614544319</c:v>
                </c:pt>
                <c:pt idx="134">
                  <c:v>0.10203800081778799</c:v>
                </c:pt>
                <c:pt idx="135">
                  <c:v>0.116397999320224</c:v>
                </c:pt>
                <c:pt idx="136">
                  <c:v>0.116881301518155</c:v>
                </c:pt>
                <c:pt idx="137">
                  <c:v>0.117296225440862</c:v>
                </c:pt>
                <c:pt idx="138">
                  <c:v>0.117915404787116</c:v>
                </c:pt>
                <c:pt idx="139">
                  <c:v>0.11887599103230199</c:v>
                </c:pt>
                <c:pt idx="140">
                  <c:v>0.119812555000924</c:v>
                </c:pt>
                <c:pt idx="141">
                  <c:v>0.120725054102833</c:v>
                </c:pt>
                <c:pt idx="142">
                  <c:v>0.121614386811381</c:v>
                </c:pt>
                <c:pt idx="143">
                  <c:v>0.122481387577661</c:v>
                </c:pt>
                <c:pt idx="144">
                  <c:v>0.123326882848347</c:v>
                </c:pt>
                <c:pt idx="145">
                  <c:v>0.124151693485474</c:v>
                </c:pt>
                <c:pt idx="146">
                  <c:v>0.12495662838369399</c:v>
                </c:pt>
                <c:pt idx="147">
                  <c:v>0.12574247869944299</c:v>
                </c:pt>
              </c:numCache>
            </c:numRef>
          </c:xVal>
          <c:yVal>
            <c:numRef>
              <c:f>Implicit_Fracs!$I$3:$I$150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F17-4E86-8435-030297F544E3}"/>
            </c:ext>
          </c:extLst>
        </c:ser>
        <c:ser>
          <c:idx val="7"/>
          <c:order val="3"/>
          <c:tx>
            <c:strRef>
              <c:f>Implicit_Fracs!$AJ$1</c:f>
              <c:strCache>
                <c:ptCount val="1"/>
                <c:pt idx="0">
                  <c:v>FS 1 Vertical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Implicit_Fracs!$C$3:$C$150</c:f>
              <c:numCache>
                <c:formatCode>General</c:formatCode>
                <c:ptCount val="148"/>
                <c:pt idx="0">
                  <c:v>0</c:v>
                </c:pt>
                <c:pt idx="1">
                  <c:v>5.45490904225873E-2</c:v>
                </c:pt>
                <c:pt idx="2">
                  <c:v>6.5264358172878303E-2</c:v>
                </c:pt>
                <c:pt idx="3">
                  <c:v>9.5654928193278393E-2</c:v>
                </c:pt>
                <c:pt idx="4">
                  <c:v>9.5940236144888405E-2</c:v>
                </c:pt>
                <c:pt idx="5">
                  <c:v>9.6117006700230295E-2</c:v>
                </c:pt>
                <c:pt idx="6">
                  <c:v>9.6246045395184304E-2</c:v>
                </c:pt>
                <c:pt idx="7">
                  <c:v>9.6348050389714904E-2</c:v>
                </c:pt>
                <c:pt idx="8">
                  <c:v>9.6432615616439593E-2</c:v>
                </c:pt>
                <c:pt idx="9">
                  <c:v>9.6504985648747904E-2</c:v>
                </c:pt>
                <c:pt idx="10">
                  <c:v>9.6568344484260105E-2</c:v>
                </c:pt>
                <c:pt idx="11">
                  <c:v>9.6624771835736395E-2</c:v>
                </c:pt>
                <c:pt idx="12">
                  <c:v>9.6675701685845106E-2</c:v>
                </c:pt>
                <c:pt idx="13">
                  <c:v>9.6722164953426698E-2</c:v>
                </c:pt>
                <c:pt idx="14">
                  <c:v>9.6764927844012E-2</c:v>
                </c:pt>
                <c:pt idx="15">
                  <c:v>9.6804575476413093E-2</c:v>
                </c:pt>
                <c:pt idx="16">
                  <c:v>9.6841564874625002E-2</c:v>
                </c:pt>
                <c:pt idx="17">
                  <c:v>9.6876259881600799E-2</c:v>
                </c:pt>
                <c:pt idx="18">
                  <c:v>9.6908954927759902E-2</c:v>
                </c:pt>
                <c:pt idx="19">
                  <c:v>9.6939891670041495E-2</c:v>
                </c:pt>
                <c:pt idx="20">
                  <c:v>9.6969270924016998E-2</c:v>
                </c:pt>
                <c:pt idx="21">
                  <c:v>9.6997261402266499E-2</c:v>
                </c:pt>
                <c:pt idx="22">
                  <c:v>9.7024006233288995E-2</c:v>
                </c:pt>
                <c:pt idx="23">
                  <c:v>9.7049627905100702E-2</c:v>
                </c:pt>
                <c:pt idx="24">
                  <c:v>9.7074232069540994E-2</c:v>
                </c:pt>
                <c:pt idx="25">
                  <c:v>9.7097910508660804E-2</c:v>
                </c:pt>
                <c:pt idx="26">
                  <c:v>9.7120743475452104E-2</c:v>
                </c:pt>
                <c:pt idx="27">
                  <c:v>9.7142801560966802E-2</c:v>
                </c:pt>
                <c:pt idx="28">
                  <c:v>9.7164147205116805E-2</c:v>
                </c:pt>
                <c:pt idx="29">
                  <c:v>9.7184835924468901E-2</c:v>
                </c:pt>
                <c:pt idx="30">
                  <c:v>9.7204917312612493E-2</c:v>
                </c:pt>
                <c:pt idx="31">
                  <c:v>9.7224435866633804E-2</c:v>
                </c:pt>
                <c:pt idx="32">
                  <c:v>9.7243431674802899E-2</c:v>
                </c:pt>
                <c:pt idx="33">
                  <c:v>9.72619409925784E-2</c:v>
                </c:pt>
                <c:pt idx="34">
                  <c:v>9.72799967280569E-2</c:v>
                </c:pt>
                <c:pt idx="35">
                  <c:v>9.7297628853473095E-2</c:v>
                </c:pt>
                <c:pt idx="36">
                  <c:v>9.7314864755910904E-2</c:v>
                </c:pt>
                <c:pt idx="37">
                  <c:v>9.7331729537735306E-2</c:v>
                </c:pt>
                <c:pt idx="38">
                  <c:v>9.7348246275195394E-2</c:v>
                </c:pt>
                <c:pt idx="39">
                  <c:v>9.7364436242040303E-2</c:v>
                </c:pt>
                <c:pt idx="40">
                  <c:v>9.7380319103720206E-2</c:v>
                </c:pt>
                <c:pt idx="41">
                  <c:v>9.7395913086741406E-2</c:v>
                </c:pt>
                <c:pt idx="42">
                  <c:v>9.7411235126937806E-2</c:v>
                </c:pt>
                <c:pt idx="43">
                  <c:v>9.7426300999777393E-2</c:v>
                </c:pt>
                <c:pt idx="44">
                  <c:v>9.7441125435301396E-2</c:v>
                </c:pt>
                <c:pt idx="45">
                  <c:v>9.7455722219866994E-2</c:v>
                </c:pt>
                <c:pt idx="46">
                  <c:v>9.7470104286522502E-2</c:v>
                </c:pt>
                <c:pt idx="47">
                  <c:v>9.7484283795555404E-2</c:v>
                </c:pt>
                <c:pt idx="48">
                  <c:v>9.7498272206523406E-2</c:v>
                </c:pt>
                <c:pt idx="49">
                  <c:v>9.7512080342880295E-2</c:v>
                </c:pt>
                <c:pt idx="50">
                  <c:v>9.7525718450151996E-2</c:v>
                </c:pt>
                <c:pt idx="51">
                  <c:v>9.7539196248478802E-2</c:v>
                </c:pt>
                <c:pt idx="52">
                  <c:v>9.7552522980230996E-2</c:v>
                </c:pt>
                <c:pt idx="53">
                  <c:v>9.7565707453306894E-2</c:v>
                </c:pt>
                <c:pt idx="54">
                  <c:v>9.75787580806462E-2</c:v>
                </c:pt>
                <c:pt idx="55">
                  <c:v>9.7591682916420397E-2</c:v>
                </c:pt>
                <c:pt idx="56">
                  <c:v>9.7604489689307794E-2</c:v>
                </c:pt>
                <c:pt idx="57">
                  <c:v>9.7617185833211995E-2</c:v>
                </c:pt>
                <c:pt idx="58">
                  <c:v>9.7629778515739299E-2</c:v>
                </c:pt>
                <c:pt idx="59">
                  <c:v>9.7642274664720294E-2</c:v>
                </c:pt>
                <c:pt idx="60">
                  <c:v>9.7654680993027307E-2</c:v>
                </c:pt>
                <c:pt idx="61">
                  <c:v>9.7667004021917095E-2</c:v>
                </c:pt>
                <c:pt idx="62">
                  <c:v>9.7679250103107004E-2</c:v>
                </c:pt>
                <c:pt idx="63">
                  <c:v>9.7691425439775798E-2</c:v>
                </c:pt>
                <c:pt idx="64">
                  <c:v>9.7703536106665101E-2</c:v>
                </c:pt>
                <c:pt idx="65">
                  <c:v>9.7715588069448703E-2</c:v>
                </c:pt>
                <c:pt idx="66">
                  <c:v>9.7727587203525104E-2</c:v>
                </c:pt>
                <c:pt idx="67">
                  <c:v>9.7739539312385298E-2</c:v>
                </c:pt>
                <c:pt idx="68">
                  <c:v>9.7751450145702204E-2</c:v>
                </c:pt>
                <c:pt idx="69">
                  <c:v>9.7763325417286398E-2</c:v>
                </c:pt>
                <c:pt idx="70">
                  <c:v>9.7775170823054605E-2</c:v>
                </c:pt>
                <c:pt idx="71">
                  <c:v>9.7786992059158098E-2</c:v>
                </c:pt>
                <c:pt idx="72">
                  <c:v>9.7798794840424697E-2</c:v>
                </c:pt>
                <c:pt idx="73">
                  <c:v>9.78105849192758E-2</c:v>
                </c:pt>
                <c:pt idx="74">
                  <c:v>9.7822368105289298E-2</c:v>
                </c:pt>
                <c:pt idx="75">
                  <c:v>9.7834150285593197E-2</c:v>
                </c:pt>
                <c:pt idx="76">
                  <c:v>9.7845937446292497E-2</c:v>
                </c:pt>
                <c:pt idx="77">
                  <c:v>9.7857735695151798E-2</c:v>
                </c:pt>
                <c:pt idx="78">
                  <c:v>9.7869551285783105E-2</c:v>
                </c:pt>
                <c:pt idx="79">
                  <c:v>9.7881390643619406E-2</c:v>
                </c:pt>
                <c:pt idx="80">
                  <c:v>9.7893260393991793E-2</c:v>
                </c:pt>
                <c:pt idx="81">
                  <c:v>9.7905167392676101E-2</c:v>
                </c:pt>
                <c:pt idx="82">
                  <c:v>9.7917118759327501E-2</c:v>
                </c:pt>
                <c:pt idx="83">
                  <c:v>9.7929121914292899E-2</c:v>
                </c:pt>
                <c:pt idx="84">
                  <c:v>9.7941184619368404E-2</c:v>
                </c:pt>
                <c:pt idx="85">
                  <c:v>9.7953315023171394E-2</c:v>
                </c:pt>
                <c:pt idx="86">
                  <c:v>9.7965521711917206E-2</c:v>
                </c:pt>
                <c:pt idx="87">
                  <c:v>9.7977813766536706E-2</c:v>
                </c:pt>
                <c:pt idx="88">
                  <c:v>9.7990200827255999E-2</c:v>
                </c:pt>
                <c:pt idx="89">
                  <c:v>9.8002693166983901E-2</c:v>
                </c:pt>
                <c:pt idx="90">
                  <c:v>9.8015301775131097E-2</c:v>
                </c:pt>
                <c:pt idx="91">
                  <c:v>9.8028038453837299E-2</c:v>
                </c:pt>
                <c:pt idx="92">
                  <c:v>9.8040915929021297E-2</c:v>
                </c:pt>
                <c:pt idx="93">
                  <c:v>9.8053947979225203E-2</c:v>
                </c:pt>
                <c:pt idx="94">
                  <c:v>9.8067149585934904E-2</c:v>
                </c:pt>
                <c:pt idx="95">
                  <c:v>9.8080537109968002E-2</c:v>
                </c:pt>
                <c:pt idx="96">
                  <c:v>9.8094128499704294E-2</c:v>
                </c:pt>
                <c:pt idx="97">
                  <c:v>9.8107943538468995E-2</c:v>
                </c:pt>
                <c:pt idx="98">
                  <c:v>9.8122004140413804E-2</c:v>
                </c:pt>
                <c:pt idx="99">
                  <c:v>9.8136334706939998E-2</c:v>
                </c:pt>
                <c:pt idx="100">
                  <c:v>9.8150962559342594E-2</c:v>
                </c:pt>
                <c:pt idx="101">
                  <c:v>9.8165918468299695E-2</c:v>
                </c:pt>
                <c:pt idx="102">
                  <c:v>9.8181237307639599E-2</c:v>
                </c:pt>
                <c:pt idx="103">
                  <c:v>9.8196958869323794E-2</c:v>
                </c:pt>
                <c:pt idx="104">
                  <c:v>9.8213128890047005E-2</c:v>
                </c:pt>
                <c:pt idx="105">
                  <c:v>9.8229800359218494E-2</c:v>
                </c:pt>
                <c:pt idx="106">
                  <c:v>9.8247035206441499E-2</c:v>
                </c:pt>
                <c:pt idx="107">
                  <c:v>9.8264906508888999E-2</c:v>
                </c:pt>
                <c:pt idx="108">
                  <c:v>9.8283501423392997E-2</c:v>
                </c:pt>
                <c:pt idx="109">
                  <c:v>9.83029251484802E-2</c:v>
                </c:pt>
                <c:pt idx="110">
                  <c:v>9.8323306382231898E-2</c:v>
                </c:pt>
                <c:pt idx="111">
                  <c:v>9.83448050063956E-2</c:v>
                </c:pt>
                <c:pt idx="112">
                  <c:v>9.8367623177314595E-2</c:v>
                </c:pt>
                <c:pt idx="113">
                  <c:v>9.8392021799252799E-2</c:v>
                </c:pt>
                <c:pt idx="114">
                  <c:v>9.8418345821107006E-2</c:v>
                </c:pt>
                <c:pt idx="115">
                  <c:v>9.8447064636032894E-2</c:v>
                </c:pt>
                <c:pt idx="116">
                  <c:v>9.8478839691440598E-2</c:v>
                </c:pt>
                <c:pt idx="117">
                  <c:v>9.8514644241327595E-2</c:v>
                </c:pt>
                <c:pt idx="118">
                  <c:v>9.8555990865747706E-2</c:v>
                </c:pt>
                <c:pt idx="119">
                  <c:v>9.8605403888521903E-2</c:v>
                </c:pt>
                <c:pt idx="120">
                  <c:v>9.8667520989107305E-2</c:v>
                </c:pt>
                <c:pt idx="121">
                  <c:v>9.8752103704584399E-2</c:v>
                </c:pt>
                <c:pt idx="122">
                  <c:v>9.88844549873618E-2</c:v>
                </c:pt>
                <c:pt idx="123">
                  <c:v>9.9160892815511298E-2</c:v>
                </c:pt>
                <c:pt idx="124">
                  <c:v>9.94091301530452E-2</c:v>
                </c:pt>
                <c:pt idx="125">
                  <c:v>9.9655849602708402E-2</c:v>
                </c:pt>
                <c:pt idx="126">
                  <c:v>9.9905501975847605E-2</c:v>
                </c:pt>
                <c:pt idx="127">
                  <c:v>0.100158404857082</c:v>
                </c:pt>
                <c:pt idx="128">
                  <c:v>0.100414834399242</c:v>
                </c:pt>
                <c:pt idx="129">
                  <c:v>0.100675010114966</c:v>
                </c:pt>
                <c:pt idx="130">
                  <c:v>0.100939116894578</c:v>
                </c:pt>
                <c:pt idx="131">
                  <c:v>0.10120731898589599</c:v>
                </c:pt>
                <c:pt idx="132">
                  <c:v>0.101479769132194</c:v>
                </c:pt>
                <c:pt idx="133">
                  <c:v>0.101756614544319</c:v>
                </c:pt>
                <c:pt idx="134">
                  <c:v>0.10203800081778799</c:v>
                </c:pt>
                <c:pt idx="135">
                  <c:v>0.116397999320224</c:v>
                </c:pt>
                <c:pt idx="136">
                  <c:v>0.116881301518155</c:v>
                </c:pt>
                <c:pt idx="137">
                  <c:v>0.117296225440862</c:v>
                </c:pt>
                <c:pt idx="138">
                  <c:v>0.117915404787116</c:v>
                </c:pt>
                <c:pt idx="139">
                  <c:v>0.11887599103230199</c:v>
                </c:pt>
                <c:pt idx="140">
                  <c:v>0.119812555000924</c:v>
                </c:pt>
                <c:pt idx="141">
                  <c:v>0.120725054102833</c:v>
                </c:pt>
                <c:pt idx="142">
                  <c:v>0.121614386811381</c:v>
                </c:pt>
                <c:pt idx="143">
                  <c:v>0.122481387577661</c:v>
                </c:pt>
                <c:pt idx="144">
                  <c:v>0.123326882848347</c:v>
                </c:pt>
                <c:pt idx="145">
                  <c:v>0.124151693485474</c:v>
                </c:pt>
                <c:pt idx="146">
                  <c:v>0.12495662838369399</c:v>
                </c:pt>
                <c:pt idx="147">
                  <c:v>0.12574247869944299</c:v>
                </c:pt>
              </c:numCache>
            </c:numRef>
          </c:xVal>
          <c:yVal>
            <c:numRef>
              <c:f>Implicit_Fracs!$AK$3:$AK$150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F17-4E86-8435-030297F544E3}"/>
            </c:ext>
          </c:extLst>
        </c:ser>
        <c:ser>
          <c:idx val="2"/>
          <c:order val="4"/>
          <c:tx>
            <c:strRef>
              <c:f>Implicit_Fracs!$V$1</c:f>
              <c:strCache>
                <c:ptCount val="1"/>
                <c:pt idx="0">
                  <c:v>FS 0 InclinedSteep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Implicit_Fracs!$C$3:$C$150</c:f>
              <c:numCache>
                <c:formatCode>General</c:formatCode>
                <c:ptCount val="148"/>
                <c:pt idx="0">
                  <c:v>0</c:v>
                </c:pt>
                <c:pt idx="1">
                  <c:v>5.45490904225873E-2</c:v>
                </c:pt>
                <c:pt idx="2">
                  <c:v>6.5264358172878303E-2</c:v>
                </c:pt>
                <c:pt idx="3">
                  <c:v>9.5654928193278393E-2</c:v>
                </c:pt>
                <c:pt idx="4">
                  <c:v>9.5940236144888405E-2</c:v>
                </c:pt>
                <c:pt idx="5">
                  <c:v>9.6117006700230295E-2</c:v>
                </c:pt>
                <c:pt idx="6">
                  <c:v>9.6246045395184304E-2</c:v>
                </c:pt>
                <c:pt idx="7">
                  <c:v>9.6348050389714904E-2</c:v>
                </c:pt>
                <c:pt idx="8">
                  <c:v>9.6432615616439593E-2</c:v>
                </c:pt>
                <c:pt idx="9">
                  <c:v>9.6504985648747904E-2</c:v>
                </c:pt>
                <c:pt idx="10">
                  <c:v>9.6568344484260105E-2</c:v>
                </c:pt>
                <c:pt idx="11">
                  <c:v>9.6624771835736395E-2</c:v>
                </c:pt>
                <c:pt idx="12">
                  <c:v>9.6675701685845106E-2</c:v>
                </c:pt>
                <c:pt idx="13">
                  <c:v>9.6722164953426698E-2</c:v>
                </c:pt>
                <c:pt idx="14">
                  <c:v>9.6764927844012E-2</c:v>
                </c:pt>
                <c:pt idx="15">
                  <c:v>9.6804575476413093E-2</c:v>
                </c:pt>
                <c:pt idx="16">
                  <c:v>9.6841564874625002E-2</c:v>
                </c:pt>
                <c:pt idx="17">
                  <c:v>9.6876259881600799E-2</c:v>
                </c:pt>
                <c:pt idx="18">
                  <c:v>9.6908954927759902E-2</c:v>
                </c:pt>
                <c:pt idx="19">
                  <c:v>9.6939891670041495E-2</c:v>
                </c:pt>
                <c:pt idx="20">
                  <c:v>9.6969270924016998E-2</c:v>
                </c:pt>
                <c:pt idx="21">
                  <c:v>9.6997261402266499E-2</c:v>
                </c:pt>
                <c:pt idx="22">
                  <c:v>9.7024006233288995E-2</c:v>
                </c:pt>
                <c:pt idx="23">
                  <c:v>9.7049627905100702E-2</c:v>
                </c:pt>
                <c:pt idx="24">
                  <c:v>9.7074232069540994E-2</c:v>
                </c:pt>
                <c:pt idx="25">
                  <c:v>9.7097910508660804E-2</c:v>
                </c:pt>
                <c:pt idx="26">
                  <c:v>9.7120743475452104E-2</c:v>
                </c:pt>
                <c:pt idx="27">
                  <c:v>9.7142801560966802E-2</c:v>
                </c:pt>
                <c:pt idx="28">
                  <c:v>9.7164147205116805E-2</c:v>
                </c:pt>
                <c:pt idx="29">
                  <c:v>9.7184835924468901E-2</c:v>
                </c:pt>
                <c:pt idx="30">
                  <c:v>9.7204917312612493E-2</c:v>
                </c:pt>
                <c:pt idx="31">
                  <c:v>9.7224435866633804E-2</c:v>
                </c:pt>
                <c:pt idx="32">
                  <c:v>9.7243431674802899E-2</c:v>
                </c:pt>
                <c:pt idx="33">
                  <c:v>9.72619409925784E-2</c:v>
                </c:pt>
                <c:pt idx="34">
                  <c:v>9.72799967280569E-2</c:v>
                </c:pt>
                <c:pt idx="35">
                  <c:v>9.7297628853473095E-2</c:v>
                </c:pt>
                <c:pt idx="36">
                  <c:v>9.7314864755910904E-2</c:v>
                </c:pt>
                <c:pt idx="37">
                  <c:v>9.7331729537735306E-2</c:v>
                </c:pt>
                <c:pt idx="38">
                  <c:v>9.7348246275195394E-2</c:v>
                </c:pt>
                <c:pt idx="39">
                  <c:v>9.7364436242040303E-2</c:v>
                </c:pt>
                <c:pt idx="40">
                  <c:v>9.7380319103720206E-2</c:v>
                </c:pt>
                <c:pt idx="41">
                  <c:v>9.7395913086741406E-2</c:v>
                </c:pt>
                <c:pt idx="42">
                  <c:v>9.7411235126937806E-2</c:v>
                </c:pt>
                <c:pt idx="43">
                  <c:v>9.7426300999777393E-2</c:v>
                </c:pt>
                <c:pt idx="44">
                  <c:v>9.7441125435301396E-2</c:v>
                </c:pt>
                <c:pt idx="45">
                  <c:v>9.7455722219866994E-2</c:v>
                </c:pt>
                <c:pt idx="46">
                  <c:v>9.7470104286522502E-2</c:v>
                </c:pt>
                <c:pt idx="47">
                  <c:v>9.7484283795555404E-2</c:v>
                </c:pt>
                <c:pt idx="48">
                  <c:v>9.7498272206523406E-2</c:v>
                </c:pt>
                <c:pt idx="49">
                  <c:v>9.7512080342880295E-2</c:v>
                </c:pt>
                <c:pt idx="50">
                  <c:v>9.7525718450151996E-2</c:v>
                </c:pt>
                <c:pt idx="51">
                  <c:v>9.7539196248478802E-2</c:v>
                </c:pt>
                <c:pt idx="52">
                  <c:v>9.7552522980230996E-2</c:v>
                </c:pt>
                <c:pt idx="53">
                  <c:v>9.7565707453306894E-2</c:v>
                </c:pt>
                <c:pt idx="54">
                  <c:v>9.75787580806462E-2</c:v>
                </c:pt>
                <c:pt idx="55">
                  <c:v>9.7591682916420397E-2</c:v>
                </c:pt>
                <c:pt idx="56">
                  <c:v>9.7604489689307794E-2</c:v>
                </c:pt>
                <c:pt idx="57">
                  <c:v>9.7617185833211995E-2</c:v>
                </c:pt>
                <c:pt idx="58">
                  <c:v>9.7629778515739299E-2</c:v>
                </c:pt>
                <c:pt idx="59">
                  <c:v>9.7642274664720294E-2</c:v>
                </c:pt>
                <c:pt idx="60">
                  <c:v>9.7654680993027307E-2</c:v>
                </c:pt>
                <c:pt idx="61">
                  <c:v>9.7667004021917095E-2</c:v>
                </c:pt>
                <c:pt idx="62">
                  <c:v>9.7679250103107004E-2</c:v>
                </c:pt>
                <c:pt idx="63">
                  <c:v>9.7691425439775798E-2</c:v>
                </c:pt>
                <c:pt idx="64">
                  <c:v>9.7703536106665101E-2</c:v>
                </c:pt>
                <c:pt idx="65">
                  <c:v>9.7715588069448703E-2</c:v>
                </c:pt>
                <c:pt idx="66">
                  <c:v>9.7727587203525104E-2</c:v>
                </c:pt>
                <c:pt idx="67">
                  <c:v>9.7739539312385298E-2</c:v>
                </c:pt>
                <c:pt idx="68">
                  <c:v>9.7751450145702204E-2</c:v>
                </c:pt>
                <c:pt idx="69">
                  <c:v>9.7763325417286398E-2</c:v>
                </c:pt>
                <c:pt idx="70">
                  <c:v>9.7775170823054605E-2</c:v>
                </c:pt>
                <c:pt idx="71">
                  <c:v>9.7786992059158098E-2</c:v>
                </c:pt>
                <c:pt idx="72">
                  <c:v>9.7798794840424697E-2</c:v>
                </c:pt>
                <c:pt idx="73">
                  <c:v>9.78105849192758E-2</c:v>
                </c:pt>
                <c:pt idx="74">
                  <c:v>9.7822368105289298E-2</c:v>
                </c:pt>
                <c:pt idx="75">
                  <c:v>9.7834150285593197E-2</c:v>
                </c:pt>
                <c:pt idx="76">
                  <c:v>9.7845937446292497E-2</c:v>
                </c:pt>
                <c:pt idx="77">
                  <c:v>9.7857735695151798E-2</c:v>
                </c:pt>
                <c:pt idx="78">
                  <c:v>9.7869551285783105E-2</c:v>
                </c:pt>
                <c:pt idx="79">
                  <c:v>9.7881390643619406E-2</c:v>
                </c:pt>
                <c:pt idx="80">
                  <c:v>9.7893260393991793E-2</c:v>
                </c:pt>
                <c:pt idx="81">
                  <c:v>9.7905167392676101E-2</c:v>
                </c:pt>
                <c:pt idx="82">
                  <c:v>9.7917118759327501E-2</c:v>
                </c:pt>
                <c:pt idx="83">
                  <c:v>9.7929121914292899E-2</c:v>
                </c:pt>
                <c:pt idx="84">
                  <c:v>9.7941184619368404E-2</c:v>
                </c:pt>
                <c:pt idx="85">
                  <c:v>9.7953315023171394E-2</c:v>
                </c:pt>
                <c:pt idx="86">
                  <c:v>9.7965521711917206E-2</c:v>
                </c:pt>
                <c:pt idx="87">
                  <c:v>9.7977813766536706E-2</c:v>
                </c:pt>
                <c:pt idx="88">
                  <c:v>9.7990200827255999E-2</c:v>
                </c:pt>
                <c:pt idx="89">
                  <c:v>9.8002693166983901E-2</c:v>
                </c:pt>
                <c:pt idx="90">
                  <c:v>9.8015301775131097E-2</c:v>
                </c:pt>
                <c:pt idx="91">
                  <c:v>9.8028038453837299E-2</c:v>
                </c:pt>
                <c:pt idx="92">
                  <c:v>9.8040915929021297E-2</c:v>
                </c:pt>
                <c:pt idx="93">
                  <c:v>9.8053947979225203E-2</c:v>
                </c:pt>
                <c:pt idx="94">
                  <c:v>9.8067149585934904E-2</c:v>
                </c:pt>
                <c:pt idx="95">
                  <c:v>9.8080537109968002E-2</c:v>
                </c:pt>
                <c:pt idx="96">
                  <c:v>9.8094128499704294E-2</c:v>
                </c:pt>
                <c:pt idx="97">
                  <c:v>9.8107943538468995E-2</c:v>
                </c:pt>
                <c:pt idx="98">
                  <c:v>9.8122004140413804E-2</c:v>
                </c:pt>
                <c:pt idx="99">
                  <c:v>9.8136334706939998E-2</c:v>
                </c:pt>
                <c:pt idx="100">
                  <c:v>9.8150962559342594E-2</c:v>
                </c:pt>
                <c:pt idx="101">
                  <c:v>9.8165918468299695E-2</c:v>
                </c:pt>
                <c:pt idx="102">
                  <c:v>9.8181237307639599E-2</c:v>
                </c:pt>
                <c:pt idx="103">
                  <c:v>9.8196958869323794E-2</c:v>
                </c:pt>
                <c:pt idx="104">
                  <c:v>9.8213128890047005E-2</c:v>
                </c:pt>
                <c:pt idx="105">
                  <c:v>9.8229800359218494E-2</c:v>
                </c:pt>
                <c:pt idx="106">
                  <c:v>9.8247035206441499E-2</c:v>
                </c:pt>
                <c:pt idx="107">
                  <c:v>9.8264906508888999E-2</c:v>
                </c:pt>
                <c:pt idx="108">
                  <c:v>9.8283501423392997E-2</c:v>
                </c:pt>
                <c:pt idx="109">
                  <c:v>9.83029251484802E-2</c:v>
                </c:pt>
                <c:pt idx="110">
                  <c:v>9.8323306382231898E-2</c:v>
                </c:pt>
                <c:pt idx="111">
                  <c:v>9.83448050063956E-2</c:v>
                </c:pt>
                <c:pt idx="112">
                  <c:v>9.8367623177314595E-2</c:v>
                </c:pt>
                <c:pt idx="113">
                  <c:v>9.8392021799252799E-2</c:v>
                </c:pt>
                <c:pt idx="114">
                  <c:v>9.8418345821107006E-2</c:v>
                </c:pt>
                <c:pt idx="115">
                  <c:v>9.8447064636032894E-2</c:v>
                </c:pt>
                <c:pt idx="116">
                  <c:v>9.8478839691440598E-2</c:v>
                </c:pt>
                <c:pt idx="117">
                  <c:v>9.8514644241327595E-2</c:v>
                </c:pt>
                <c:pt idx="118">
                  <c:v>9.8555990865747706E-2</c:v>
                </c:pt>
                <c:pt idx="119">
                  <c:v>9.8605403888521903E-2</c:v>
                </c:pt>
                <c:pt idx="120">
                  <c:v>9.8667520989107305E-2</c:v>
                </c:pt>
                <c:pt idx="121">
                  <c:v>9.8752103704584399E-2</c:v>
                </c:pt>
                <c:pt idx="122">
                  <c:v>9.88844549873618E-2</c:v>
                </c:pt>
                <c:pt idx="123">
                  <c:v>9.9160892815511298E-2</c:v>
                </c:pt>
                <c:pt idx="124">
                  <c:v>9.94091301530452E-2</c:v>
                </c:pt>
                <c:pt idx="125">
                  <c:v>9.9655849602708402E-2</c:v>
                </c:pt>
                <c:pt idx="126">
                  <c:v>9.9905501975847605E-2</c:v>
                </c:pt>
                <c:pt idx="127">
                  <c:v>0.100158404857082</c:v>
                </c:pt>
                <c:pt idx="128">
                  <c:v>0.100414834399242</c:v>
                </c:pt>
                <c:pt idx="129">
                  <c:v>0.100675010114966</c:v>
                </c:pt>
                <c:pt idx="130">
                  <c:v>0.100939116894578</c:v>
                </c:pt>
                <c:pt idx="131">
                  <c:v>0.10120731898589599</c:v>
                </c:pt>
                <c:pt idx="132">
                  <c:v>0.101479769132194</c:v>
                </c:pt>
                <c:pt idx="133">
                  <c:v>0.101756614544319</c:v>
                </c:pt>
                <c:pt idx="134">
                  <c:v>0.10203800081778799</c:v>
                </c:pt>
                <c:pt idx="135">
                  <c:v>0.116397999320224</c:v>
                </c:pt>
                <c:pt idx="136">
                  <c:v>0.116881301518155</c:v>
                </c:pt>
                <c:pt idx="137">
                  <c:v>0.117296225440862</c:v>
                </c:pt>
                <c:pt idx="138">
                  <c:v>0.117915404787116</c:v>
                </c:pt>
                <c:pt idx="139">
                  <c:v>0.11887599103230199</c:v>
                </c:pt>
                <c:pt idx="140">
                  <c:v>0.119812555000924</c:v>
                </c:pt>
                <c:pt idx="141">
                  <c:v>0.120725054102833</c:v>
                </c:pt>
                <c:pt idx="142">
                  <c:v>0.121614386811381</c:v>
                </c:pt>
                <c:pt idx="143">
                  <c:v>0.122481387577661</c:v>
                </c:pt>
                <c:pt idx="144">
                  <c:v>0.123326882848347</c:v>
                </c:pt>
                <c:pt idx="145">
                  <c:v>0.124151693485474</c:v>
                </c:pt>
                <c:pt idx="146">
                  <c:v>0.12495662838369399</c:v>
                </c:pt>
                <c:pt idx="147">
                  <c:v>0.12574247869944299</c:v>
                </c:pt>
              </c:numCache>
            </c:numRef>
          </c:xVal>
          <c:yVal>
            <c:numRef>
              <c:f>Implicit_Fracs!$W$3:$W$150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806969.43871211295</c:v>
                </c:pt>
                <c:pt idx="3">
                  <c:v>2973069.4042033898</c:v>
                </c:pt>
                <c:pt idx="4">
                  <c:v>2990314.8142096801</c:v>
                </c:pt>
                <c:pt idx="5">
                  <c:v>3000984.4499762398</c:v>
                </c:pt>
                <c:pt idx="6">
                  <c:v>3008766.1701130299</c:v>
                </c:pt>
                <c:pt idx="7">
                  <c:v>3014913.64535107</c:v>
                </c:pt>
                <c:pt idx="8">
                  <c:v>3020007.4890079801</c:v>
                </c:pt>
                <c:pt idx="9">
                  <c:v>3024364.9036686001</c:v>
                </c:pt>
                <c:pt idx="10">
                  <c:v>3028178.37189689</c:v>
                </c:pt>
                <c:pt idx="11">
                  <c:v>3031573.5691304202</c:v>
                </c:pt>
                <c:pt idx="12">
                  <c:v>3034637.1206787601</c:v>
                </c:pt>
                <c:pt idx="13">
                  <c:v>3037431.28495759</c:v>
                </c:pt>
                <c:pt idx="14">
                  <c:v>3040002.3220127798</c:v>
                </c:pt>
                <c:pt idx="15">
                  <c:v>3042385.5504468</c:v>
                </c:pt>
                <c:pt idx="16">
                  <c:v>3044608.5510325702</c:v>
                </c:pt>
                <c:pt idx="17">
                  <c:v>3046693.2769310102</c:v>
                </c:pt>
                <c:pt idx="18">
                  <c:v>3048657.4899784802</c:v>
                </c:pt>
                <c:pt idx="19">
                  <c:v>3050515.7659615302</c:v>
                </c:pt>
                <c:pt idx="20">
                  <c:v>3052280.2153869201</c:v>
                </c:pt>
                <c:pt idx="21">
                  <c:v>3053961.0112445601</c:v>
                </c:pt>
                <c:pt idx="22">
                  <c:v>3055566.78266337</c:v>
                </c:pt>
                <c:pt idx="23">
                  <c:v>3057104.9133963799</c:v>
                </c:pt>
                <c:pt idx="24">
                  <c:v>3058581.7714865501</c:v>
                </c:pt>
                <c:pt idx="25">
                  <c:v>3060002.8883247599</c:v>
                </c:pt>
                <c:pt idx="26">
                  <c:v>3061373.0999245299</c:v>
                </c:pt>
                <c:pt idx="27">
                  <c:v>3062696.6595990602</c:v>
                </c:pt>
                <c:pt idx="28">
                  <c:v>3063977.3291229098</c:v>
                </c:pt>
                <c:pt idx="29">
                  <c:v>3065218.4528091801</c:v>
                </c:pt>
                <c:pt idx="30">
                  <c:v>3066423.0178612298</c:v>
                </c:pt>
                <c:pt idx="31">
                  <c:v>3067593.7042285302</c:v>
                </c:pt>
                <c:pt idx="32">
                  <c:v>3068732.9260865599</c:v>
                </c:pt>
                <c:pt idx="33">
                  <c:v>3069842.8665771401</c:v>
                </c:pt>
                <c:pt idx="34">
                  <c:v>3070925.5070845401</c:v>
                </c:pt>
                <c:pt idx="35">
                  <c:v>3071982.6520497599</c:v>
                </c:pt>
                <c:pt idx="36">
                  <c:v>3073015.9501174502</c:v>
                </c:pt>
                <c:pt idx="37">
                  <c:v>3074026.91224954</c:v>
                </c:pt>
                <c:pt idx="38">
                  <c:v>3075016.9273157502</c:v>
                </c:pt>
                <c:pt idx="39">
                  <c:v>3075987.2755736602</c:v>
                </c:pt>
                <c:pt idx="40">
                  <c:v>3076939.1403747499</c:v>
                </c:pt>
                <c:pt idx="41">
                  <c:v>3077873.6183718699</c:v>
                </c:pt>
                <c:pt idx="42">
                  <c:v>3078791.7284553102</c:v>
                </c:pt>
                <c:pt idx="43">
                  <c:v>3079694.41960548</c:v>
                </c:pt>
                <c:pt idx="44">
                  <c:v>3080582.5778188799</c:v>
                </c:pt>
                <c:pt idx="45">
                  <c:v>3081457.03223851</c:v>
                </c:pt>
                <c:pt idx="46">
                  <c:v>3082318.5605986901</c:v>
                </c:pt>
                <c:pt idx="47">
                  <c:v>3083167.8940775199</c:v>
                </c:pt>
                <c:pt idx="48">
                  <c:v>3084005.7216357002</c:v>
                </c:pt>
                <c:pt idx="49">
                  <c:v>3084832.69390905</c:v>
                </c:pt>
                <c:pt idx="50">
                  <c:v>3085649.4267120198</c:v>
                </c:pt>
                <c:pt idx="51">
                  <c:v>3086456.5042016599</c:v>
                </c:pt>
                <c:pt idx="52">
                  <c:v>3087254.4817444901</c:v>
                </c:pt>
                <c:pt idx="53">
                  <c:v>3088043.8885230799</c:v>
                </c:pt>
                <c:pt idx="54">
                  <c:v>3088825.2299144398</c:v>
                </c:pt>
                <c:pt idx="55">
                  <c:v>3089598.9896680498</c:v>
                </c:pt>
                <c:pt idx="56">
                  <c:v>3090365.6319080298</c:v>
                </c:pt>
                <c:pt idx="57">
                  <c:v>3091125.6029811599</c:v>
                </c:pt>
                <c:pt idx="58">
                  <c:v>3091879.3331697099</c:v>
                </c:pt>
                <c:pt idx="59">
                  <c:v>3092627.2382862</c:v>
                </c:pt>
                <c:pt idx="60">
                  <c:v>3093369.7211653702</c:v>
                </c:pt>
                <c:pt idx="61">
                  <c:v>3094107.1730670799</c:v>
                </c:pt>
                <c:pt idx="62">
                  <c:v>3094839.9750025999</c:v>
                </c:pt>
                <c:pt idx="63">
                  <c:v>3095568.4989960101</c:v>
                </c:pt>
                <c:pt idx="64">
                  <c:v>3096293.1092910301</c:v>
                </c:pt>
                <c:pt idx="65">
                  <c:v>3097014.16351349</c:v>
                </c:pt>
                <c:pt idx="66">
                  <c:v>3097732.01379875</c:v>
                </c:pt>
                <c:pt idx="67">
                  <c:v>3098447.00789314</c:v>
                </c:pt>
                <c:pt idx="68">
                  <c:v>3099159.4902382302</c:v>
                </c:pt>
                <c:pt idx="69">
                  <c:v>3099869.8030466498</c:v>
                </c:pt>
                <c:pt idx="70">
                  <c:v>3100578.2873780602</c:v>
                </c:pt>
                <c:pt idx="71">
                  <c:v>3101285.28422437</c:v>
                </c:pt>
                <c:pt idx="72">
                  <c:v>3101991.1356130801</c:v>
                </c:pt>
                <c:pt idx="73">
                  <c:v>3102696.1857386199</c:v>
                </c:pt>
                <c:pt idx="74">
                  <c:v>3103400.7821317902</c:v>
                </c:pt>
                <c:pt idx="75">
                  <c:v>3104105.2768783802</c:v>
                </c:pt>
                <c:pt idx="76">
                  <c:v>3104810.0278989901</c:v>
                </c:pt>
                <c:pt idx="77">
                  <c:v>3105515.4003034201</c:v>
                </c:pt>
                <c:pt idx="78">
                  <c:v>3106221.7678344501</c:v>
                </c:pt>
                <c:pt idx="79">
                  <c:v>3106929.51441772</c:v>
                </c:pt>
                <c:pt idx="80">
                  <c:v>3107639.0358366598</c:v>
                </c:pt>
                <c:pt idx="81">
                  <c:v>3108350.7415543399</c:v>
                </c:pt>
                <c:pt idx="82">
                  <c:v>3109065.05670708</c:v>
                </c:pt>
                <c:pt idx="83">
                  <c:v>3109782.4242990301</c:v>
                </c:pt>
                <c:pt idx="84">
                  <c:v>3110503.3076315601</c:v>
                </c:pt>
                <c:pt idx="85">
                  <c:v>3111228.1930072401</c:v>
                </c:pt>
                <c:pt idx="86">
                  <c:v>3111957.5927555701</c:v>
                </c:pt>
                <c:pt idx="87">
                  <c:v>3112692.04863607</c:v>
                </c:pt>
                <c:pt idx="88">
                  <c:v>3113432.1356857098</c:v>
                </c:pt>
                <c:pt idx="89">
                  <c:v>3114178.46659052</c:v>
                </c:pt>
                <c:pt idx="90">
                  <c:v>3114931.6966783102</c:v>
                </c:pt>
                <c:pt idx="91">
                  <c:v>3115692.5296501401</c:v>
                </c:pt>
                <c:pt idx="92">
                  <c:v>3116461.7241941099</c:v>
                </c:pt>
                <c:pt idx="93">
                  <c:v>3117240.1016586102</c:v>
                </c:pt>
                <c:pt idx="94">
                  <c:v>3118028.5550041101</c:v>
                </c:pt>
                <c:pt idx="95">
                  <c:v>3118828.0593069</c:v>
                </c:pt>
                <c:pt idx="96">
                  <c:v>3119639.6841584402</c:v>
                </c:pt>
                <c:pt idx="97">
                  <c:v>3120464.60839561</c:v>
                </c:pt>
                <c:pt idx="98">
                  <c:v>3121304.1377181699</c:v>
                </c:pt>
                <c:pt idx="99">
                  <c:v>3122159.7259101998</c:v>
                </c:pt>
                <c:pt idx="100">
                  <c:v>3123033.0005991198</c:v>
                </c:pt>
                <c:pt idx="101">
                  <c:v>3123925.7947796299</c:v>
                </c:pt>
                <c:pt idx="102">
                  <c:v>3124840.1857354799</c:v>
                </c:pt>
                <c:pt idx="103">
                  <c:v>3125778.54355786</c:v>
                </c:pt>
                <c:pt idx="104">
                  <c:v>3126743.5922598299</c:v>
                </c:pt>
                <c:pt idx="105">
                  <c:v>3127738.4876393802</c:v>
                </c:pt>
                <c:pt idx="106">
                  <c:v>3128766.9177300502</c:v>
                </c:pt>
                <c:pt idx="107">
                  <c:v>3129833.2341951299</c:v>
                </c:pt>
                <c:pt idx="108">
                  <c:v>3130942.6268537799</c:v>
                </c:pt>
                <c:pt idx="109">
                  <c:v>3132101.3595032101</c:v>
                </c:pt>
                <c:pt idx="110">
                  <c:v>3133317.09475921</c:v>
                </c:pt>
                <c:pt idx="111">
                  <c:v>3134599.3513775002</c:v>
                </c:pt>
                <c:pt idx="112">
                  <c:v>3135960.16429934</c:v>
                </c:pt>
                <c:pt idx="113">
                  <c:v>3137415.0649610399</c:v>
                </c:pt>
                <c:pt idx="114">
                  <c:v>3138984.5865806099</c:v>
                </c:pt>
                <c:pt idx="115">
                  <c:v>3140696.6679796502</c:v>
                </c:pt>
                <c:pt idx="116">
                  <c:v>3142590.6761316899</c:v>
                </c:pt>
                <c:pt idx="117">
                  <c:v>3144724.5303299301</c:v>
                </c:pt>
                <c:pt idx="118">
                  <c:v>3147188.2360215299</c:v>
                </c:pt>
                <c:pt idx="119">
                  <c:v>3150131.9824492401</c:v>
                </c:pt>
                <c:pt idx="120">
                  <c:v>3153831.6511822999</c:v>
                </c:pt>
                <c:pt idx="121">
                  <c:v>3158867.7979752398</c:v>
                </c:pt>
                <c:pt idx="122">
                  <c:v>3166744.8044714201</c:v>
                </c:pt>
                <c:pt idx="123">
                  <c:v>3183186.3647356499</c:v>
                </c:pt>
                <c:pt idx="124">
                  <c:v>3197930.2508846</c:v>
                </c:pt>
                <c:pt idx="125">
                  <c:v>3212565.79510871</c:v>
                </c:pt>
                <c:pt idx="126">
                  <c:v>3227357.0531028798</c:v>
                </c:pt>
                <c:pt idx="127">
                  <c:v>3242322.1915433798</c:v>
                </c:pt>
                <c:pt idx="128">
                  <c:v>3257476.8271938902</c:v>
                </c:pt>
                <c:pt idx="129">
                  <c:v>3272833.1422437802</c:v>
                </c:pt>
                <c:pt idx="130">
                  <c:v>3288401.20139575</c:v>
                </c:pt>
                <c:pt idx="131">
                  <c:v>3304189.7861857498</c:v>
                </c:pt>
                <c:pt idx="132">
                  <c:v>3320206.9384801202</c:v>
                </c:pt>
                <c:pt idx="133">
                  <c:v>3336460.3139825002</c:v>
                </c:pt>
                <c:pt idx="134">
                  <c:v>3352957.4124844</c:v>
                </c:pt>
                <c:pt idx="135">
                  <c:v>4193670.0997163998</c:v>
                </c:pt>
                <c:pt idx="136">
                  <c:v>4219933.6567324596</c:v>
                </c:pt>
                <c:pt idx="137">
                  <c:v>4242426.9218447497</c:v>
                </c:pt>
                <c:pt idx="138">
                  <c:v>4275923.3544236803</c:v>
                </c:pt>
                <c:pt idx="139">
                  <c:v>4327728.3740216596</c:v>
                </c:pt>
                <c:pt idx="140">
                  <c:v>4377995.2635811102</c:v>
                </c:pt>
                <c:pt idx="141">
                  <c:v>4426741.2107088901</c:v>
                </c:pt>
                <c:pt idx="142">
                  <c:v>4474032.8460547104</c:v>
                </c:pt>
                <c:pt idx="143">
                  <c:v>4519931.93658402</c:v>
                </c:pt>
                <c:pt idx="144">
                  <c:v>4564498.4871213604</c:v>
                </c:pt>
                <c:pt idx="145">
                  <c:v>4607790.9436935596</c:v>
                </c:pt>
                <c:pt idx="146">
                  <c:v>4649865.92935583</c:v>
                </c:pt>
                <c:pt idx="147">
                  <c:v>4690778.0160654597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17-4E86-8435-030297F544E3}"/>
            </c:ext>
          </c:extLst>
        </c:ser>
        <c:ser>
          <c:idx val="3"/>
          <c:order val="5"/>
          <c:tx>
            <c:strRef>
              <c:f>Implicit_Fracs!$AX$1</c:f>
              <c:strCache>
                <c:ptCount val="1"/>
                <c:pt idx="0">
                  <c:v>FS 1 InclinedSteep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Implicit_Fracs!$C$3:$C$150</c:f>
              <c:numCache>
                <c:formatCode>General</c:formatCode>
                <c:ptCount val="148"/>
                <c:pt idx="0">
                  <c:v>0</c:v>
                </c:pt>
                <c:pt idx="1">
                  <c:v>5.45490904225873E-2</c:v>
                </c:pt>
                <c:pt idx="2">
                  <c:v>6.5264358172878303E-2</c:v>
                </c:pt>
                <c:pt idx="3">
                  <c:v>9.5654928193278393E-2</c:v>
                </c:pt>
                <c:pt idx="4">
                  <c:v>9.5940236144888405E-2</c:v>
                </c:pt>
                <c:pt idx="5">
                  <c:v>9.6117006700230295E-2</c:v>
                </c:pt>
                <c:pt idx="6">
                  <c:v>9.6246045395184304E-2</c:v>
                </c:pt>
                <c:pt idx="7">
                  <c:v>9.6348050389714904E-2</c:v>
                </c:pt>
                <c:pt idx="8">
                  <c:v>9.6432615616439593E-2</c:v>
                </c:pt>
                <c:pt idx="9">
                  <c:v>9.6504985648747904E-2</c:v>
                </c:pt>
                <c:pt idx="10">
                  <c:v>9.6568344484260105E-2</c:v>
                </c:pt>
                <c:pt idx="11">
                  <c:v>9.6624771835736395E-2</c:v>
                </c:pt>
                <c:pt idx="12">
                  <c:v>9.6675701685845106E-2</c:v>
                </c:pt>
                <c:pt idx="13">
                  <c:v>9.6722164953426698E-2</c:v>
                </c:pt>
                <c:pt idx="14">
                  <c:v>9.6764927844012E-2</c:v>
                </c:pt>
                <c:pt idx="15">
                  <c:v>9.6804575476413093E-2</c:v>
                </c:pt>
                <c:pt idx="16">
                  <c:v>9.6841564874625002E-2</c:v>
                </c:pt>
                <c:pt idx="17">
                  <c:v>9.6876259881600799E-2</c:v>
                </c:pt>
                <c:pt idx="18">
                  <c:v>9.6908954927759902E-2</c:v>
                </c:pt>
                <c:pt idx="19">
                  <c:v>9.6939891670041495E-2</c:v>
                </c:pt>
                <c:pt idx="20">
                  <c:v>9.6969270924016998E-2</c:v>
                </c:pt>
                <c:pt idx="21">
                  <c:v>9.6997261402266499E-2</c:v>
                </c:pt>
                <c:pt idx="22">
                  <c:v>9.7024006233288995E-2</c:v>
                </c:pt>
                <c:pt idx="23">
                  <c:v>9.7049627905100702E-2</c:v>
                </c:pt>
                <c:pt idx="24">
                  <c:v>9.7074232069540994E-2</c:v>
                </c:pt>
                <c:pt idx="25">
                  <c:v>9.7097910508660804E-2</c:v>
                </c:pt>
                <c:pt idx="26">
                  <c:v>9.7120743475452104E-2</c:v>
                </c:pt>
                <c:pt idx="27">
                  <c:v>9.7142801560966802E-2</c:v>
                </c:pt>
                <c:pt idx="28">
                  <c:v>9.7164147205116805E-2</c:v>
                </c:pt>
                <c:pt idx="29">
                  <c:v>9.7184835924468901E-2</c:v>
                </c:pt>
                <c:pt idx="30">
                  <c:v>9.7204917312612493E-2</c:v>
                </c:pt>
                <c:pt idx="31">
                  <c:v>9.7224435866633804E-2</c:v>
                </c:pt>
                <c:pt idx="32">
                  <c:v>9.7243431674802899E-2</c:v>
                </c:pt>
                <c:pt idx="33">
                  <c:v>9.72619409925784E-2</c:v>
                </c:pt>
                <c:pt idx="34">
                  <c:v>9.72799967280569E-2</c:v>
                </c:pt>
                <c:pt idx="35">
                  <c:v>9.7297628853473095E-2</c:v>
                </c:pt>
                <c:pt idx="36">
                  <c:v>9.7314864755910904E-2</c:v>
                </c:pt>
                <c:pt idx="37">
                  <c:v>9.7331729537735306E-2</c:v>
                </c:pt>
                <c:pt idx="38">
                  <c:v>9.7348246275195394E-2</c:v>
                </c:pt>
                <c:pt idx="39">
                  <c:v>9.7364436242040303E-2</c:v>
                </c:pt>
                <c:pt idx="40">
                  <c:v>9.7380319103720206E-2</c:v>
                </c:pt>
                <c:pt idx="41">
                  <c:v>9.7395913086741406E-2</c:v>
                </c:pt>
                <c:pt idx="42">
                  <c:v>9.7411235126937806E-2</c:v>
                </c:pt>
                <c:pt idx="43">
                  <c:v>9.7426300999777393E-2</c:v>
                </c:pt>
                <c:pt idx="44">
                  <c:v>9.7441125435301396E-2</c:v>
                </c:pt>
                <c:pt idx="45">
                  <c:v>9.7455722219866994E-2</c:v>
                </c:pt>
                <c:pt idx="46">
                  <c:v>9.7470104286522502E-2</c:v>
                </c:pt>
                <c:pt idx="47">
                  <c:v>9.7484283795555404E-2</c:v>
                </c:pt>
                <c:pt idx="48">
                  <c:v>9.7498272206523406E-2</c:v>
                </c:pt>
                <c:pt idx="49">
                  <c:v>9.7512080342880295E-2</c:v>
                </c:pt>
                <c:pt idx="50">
                  <c:v>9.7525718450151996E-2</c:v>
                </c:pt>
                <c:pt idx="51">
                  <c:v>9.7539196248478802E-2</c:v>
                </c:pt>
                <c:pt idx="52">
                  <c:v>9.7552522980230996E-2</c:v>
                </c:pt>
                <c:pt idx="53">
                  <c:v>9.7565707453306894E-2</c:v>
                </c:pt>
                <c:pt idx="54">
                  <c:v>9.75787580806462E-2</c:v>
                </c:pt>
                <c:pt idx="55">
                  <c:v>9.7591682916420397E-2</c:v>
                </c:pt>
                <c:pt idx="56">
                  <c:v>9.7604489689307794E-2</c:v>
                </c:pt>
                <c:pt idx="57">
                  <c:v>9.7617185833211995E-2</c:v>
                </c:pt>
                <c:pt idx="58">
                  <c:v>9.7629778515739299E-2</c:v>
                </c:pt>
                <c:pt idx="59">
                  <c:v>9.7642274664720294E-2</c:v>
                </c:pt>
                <c:pt idx="60">
                  <c:v>9.7654680993027307E-2</c:v>
                </c:pt>
                <c:pt idx="61">
                  <c:v>9.7667004021917095E-2</c:v>
                </c:pt>
                <c:pt idx="62">
                  <c:v>9.7679250103107004E-2</c:v>
                </c:pt>
                <c:pt idx="63">
                  <c:v>9.7691425439775798E-2</c:v>
                </c:pt>
                <c:pt idx="64">
                  <c:v>9.7703536106665101E-2</c:v>
                </c:pt>
                <c:pt idx="65">
                  <c:v>9.7715588069448703E-2</c:v>
                </c:pt>
                <c:pt idx="66">
                  <c:v>9.7727587203525104E-2</c:v>
                </c:pt>
                <c:pt idx="67">
                  <c:v>9.7739539312385298E-2</c:v>
                </c:pt>
                <c:pt idx="68">
                  <c:v>9.7751450145702204E-2</c:v>
                </c:pt>
                <c:pt idx="69">
                  <c:v>9.7763325417286398E-2</c:v>
                </c:pt>
                <c:pt idx="70">
                  <c:v>9.7775170823054605E-2</c:v>
                </c:pt>
                <c:pt idx="71">
                  <c:v>9.7786992059158098E-2</c:v>
                </c:pt>
                <c:pt idx="72">
                  <c:v>9.7798794840424697E-2</c:v>
                </c:pt>
                <c:pt idx="73">
                  <c:v>9.78105849192758E-2</c:v>
                </c:pt>
                <c:pt idx="74">
                  <c:v>9.7822368105289298E-2</c:v>
                </c:pt>
                <c:pt idx="75">
                  <c:v>9.7834150285593197E-2</c:v>
                </c:pt>
                <c:pt idx="76">
                  <c:v>9.7845937446292497E-2</c:v>
                </c:pt>
                <c:pt idx="77">
                  <c:v>9.7857735695151798E-2</c:v>
                </c:pt>
                <c:pt idx="78">
                  <c:v>9.7869551285783105E-2</c:v>
                </c:pt>
                <c:pt idx="79">
                  <c:v>9.7881390643619406E-2</c:v>
                </c:pt>
                <c:pt idx="80">
                  <c:v>9.7893260393991793E-2</c:v>
                </c:pt>
                <c:pt idx="81">
                  <c:v>9.7905167392676101E-2</c:v>
                </c:pt>
                <c:pt idx="82">
                  <c:v>9.7917118759327501E-2</c:v>
                </c:pt>
                <c:pt idx="83">
                  <c:v>9.7929121914292899E-2</c:v>
                </c:pt>
                <c:pt idx="84">
                  <c:v>9.7941184619368404E-2</c:v>
                </c:pt>
                <c:pt idx="85">
                  <c:v>9.7953315023171394E-2</c:v>
                </c:pt>
                <c:pt idx="86">
                  <c:v>9.7965521711917206E-2</c:v>
                </c:pt>
                <c:pt idx="87">
                  <c:v>9.7977813766536706E-2</c:v>
                </c:pt>
                <c:pt idx="88">
                  <c:v>9.7990200827255999E-2</c:v>
                </c:pt>
                <c:pt idx="89">
                  <c:v>9.8002693166983901E-2</c:v>
                </c:pt>
                <c:pt idx="90">
                  <c:v>9.8015301775131097E-2</c:v>
                </c:pt>
                <c:pt idx="91">
                  <c:v>9.8028038453837299E-2</c:v>
                </c:pt>
                <c:pt idx="92">
                  <c:v>9.8040915929021297E-2</c:v>
                </c:pt>
                <c:pt idx="93">
                  <c:v>9.8053947979225203E-2</c:v>
                </c:pt>
                <c:pt idx="94">
                  <c:v>9.8067149585934904E-2</c:v>
                </c:pt>
                <c:pt idx="95">
                  <c:v>9.8080537109968002E-2</c:v>
                </c:pt>
                <c:pt idx="96">
                  <c:v>9.8094128499704294E-2</c:v>
                </c:pt>
                <c:pt idx="97">
                  <c:v>9.8107943538468995E-2</c:v>
                </c:pt>
                <c:pt idx="98">
                  <c:v>9.8122004140413804E-2</c:v>
                </c:pt>
                <c:pt idx="99">
                  <c:v>9.8136334706939998E-2</c:v>
                </c:pt>
                <c:pt idx="100">
                  <c:v>9.8150962559342594E-2</c:v>
                </c:pt>
                <c:pt idx="101">
                  <c:v>9.8165918468299695E-2</c:v>
                </c:pt>
                <c:pt idx="102">
                  <c:v>9.8181237307639599E-2</c:v>
                </c:pt>
                <c:pt idx="103">
                  <c:v>9.8196958869323794E-2</c:v>
                </c:pt>
                <c:pt idx="104">
                  <c:v>9.8213128890047005E-2</c:v>
                </c:pt>
                <c:pt idx="105">
                  <c:v>9.8229800359218494E-2</c:v>
                </c:pt>
                <c:pt idx="106">
                  <c:v>9.8247035206441499E-2</c:v>
                </c:pt>
                <c:pt idx="107">
                  <c:v>9.8264906508888999E-2</c:v>
                </c:pt>
                <c:pt idx="108">
                  <c:v>9.8283501423392997E-2</c:v>
                </c:pt>
                <c:pt idx="109">
                  <c:v>9.83029251484802E-2</c:v>
                </c:pt>
                <c:pt idx="110">
                  <c:v>9.8323306382231898E-2</c:v>
                </c:pt>
                <c:pt idx="111">
                  <c:v>9.83448050063956E-2</c:v>
                </c:pt>
                <c:pt idx="112">
                  <c:v>9.8367623177314595E-2</c:v>
                </c:pt>
                <c:pt idx="113">
                  <c:v>9.8392021799252799E-2</c:v>
                </c:pt>
                <c:pt idx="114">
                  <c:v>9.8418345821107006E-2</c:v>
                </c:pt>
                <c:pt idx="115">
                  <c:v>9.8447064636032894E-2</c:v>
                </c:pt>
                <c:pt idx="116">
                  <c:v>9.8478839691440598E-2</c:v>
                </c:pt>
                <c:pt idx="117">
                  <c:v>9.8514644241327595E-2</c:v>
                </c:pt>
                <c:pt idx="118">
                  <c:v>9.8555990865747706E-2</c:v>
                </c:pt>
                <c:pt idx="119">
                  <c:v>9.8605403888521903E-2</c:v>
                </c:pt>
                <c:pt idx="120">
                  <c:v>9.8667520989107305E-2</c:v>
                </c:pt>
                <c:pt idx="121">
                  <c:v>9.8752103704584399E-2</c:v>
                </c:pt>
                <c:pt idx="122">
                  <c:v>9.88844549873618E-2</c:v>
                </c:pt>
                <c:pt idx="123">
                  <c:v>9.9160892815511298E-2</c:v>
                </c:pt>
                <c:pt idx="124">
                  <c:v>9.94091301530452E-2</c:v>
                </c:pt>
                <c:pt idx="125">
                  <c:v>9.9655849602708402E-2</c:v>
                </c:pt>
                <c:pt idx="126">
                  <c:v>9.9905501975847605E-2</c:v>
                </c:pt>
                <c:pt idx="127">
                  <c:v>0.100158404857082</c:v>
                </c:pt>
                <c:pt idx="128">
                  <c:v>0.100414834399242</c:v>
                </c:pt>
                <c:pt idx="129">
                  <c:v>0.100675010114966</c:v>
                </c:pt>
                <c:pt idx="130">
                  <c:v>0.100939116894578</c:v>
                </c:pt>
                <c:pt idx="131">
                  <c:v>0.10120731898589599</c:v>
                </c:pt>
                <c:pt idx="132">
                  <c:v>0.101479769132194</c:v>
                </c:pt>
                <c:pt idx="133">
                  <c:v>0.101756614544319</c:v>
                </c:pt>
                <c:pt idx="134">
                  <c:v>0.10203800081778799</c:v>
                </c:pt>
                <c:pt idx="135">
                  <c:v>0.116397999320224</c:v>
                </c:pt>
                <c:pt idx="136">
                  <c:v>0.116881301518155</c:v>
                </c:pt>
                <c:pt idx="137">
                  <c:v>0.117296225440862</c:v>
                </c:pt>
                <c:pt idx="138">
                  <c:v>0.117915404787116</c:v>
                </c:pt>
                <c:pt idx="139">
                  <c:v>0.11887599103230199</c:v>
                </c:pt>
                <c:pt idx="140">
                  <c:v>0.119812555000924</c:v>
                </c:pt>
                <c:pt idx="141">
                  <c:v>0.120725054102833</c:v>
                </c:pt>
                <c:pt idx="142">
                  <c:v>0.121614386811381</c:v>
                </c:pt>
                <c:pt idx="143">
                  <c:v>0.122481387577661</c:v>
                </c:pt>
                <c:pt idx="144">
                  <c:v>0.123326882848347</c:v>
                </c:pt>
                <c:pt idx="145">
                  <c:v>0.124151693485474</c:v>
                </c:pt>
                <c:pt idx="146">
                  <c:v>0.12495662838369399</c:v>
                </c:pt>
                <c:pt idx="147">
                  <c:v>0.12574247869944299</c:v>
                </c:pt>
              </c:numCache>
            </c:numRef>
          </c:xVal>
          <c:yVal>
            <c:numRef>
              <c:f>Implicit_Fracs!$AY$3:$AY$150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1895337.46980487</c:v>
                </c:pt>
                <c:pt idx="4">
                  <c:v>1910427.20356037</c:v>
                </c:pt>
                <c:pt idx="5">
                  <c:v>1919763.13485611</c:v>
                </c:pt>
                <c:pt idx="6">
                  <c:v>1926572.1399757999</c:v>
                </c:pt>
                <c:pt idx="7">
                  <c:v>1931951.1808090899</c:v>
                </c:pt>
                <c:pt idx="8">
                  <c:v>1936408.2940088799</c:v>
                </c:pt>
                <c:pt idx="9">
                  <c:v>1940221.03183693</c:v>
                </c:pt>
                <c:pt idx="10">
                  <c:v>1943557.8165366801</c:v>
                </c:pt>
                <c:pt idx="11">
                  <c:v>1946528.61411602</c:v>
                </c:pt>
                <c:pt idx="12">
                  <c:v>1949209.2217208201</c:v>
                </c:pt>
                <c:pt idx="13">
                  <c:v>1951654.11546479</c:v>
                </c:pt>
                <c:pt idx="14">
                  <c:v>1953903.77288809</c:v>
                </c:pt>
                <c:pt idx="15">
                  <c:v>1955989.0977678499</c:v>
                </c:pt>
                <c:pt idx="16">
                  <c:v>1957934.2232804</c:v>
                </c:pt>
                <c:pt idx="17">
                  <c:v>1959758.35844153</c:v>
                </c:pt>
                <c:pt idx="18">
                  <c:v>1961477.0448580701</c:v>
                </c:pt>
                <c:pt idx="19">
                  <c:v>1963103.0363432399</c:v>
                </c:pt>
                <c:pt idx="20">
                  <c:v>1964646.9295904599</c:v>
                </c:pt>
                <c:pt idx="21">
                  <c:v>1966117.62596589</c:v>
                </c:pt>
                <c:pt idx="22">
                  <c:v>1967522.67595734</c:v>
                </c:pt>
                <c:pt idx="23">
                  <c:v>1968868.5403487301</c:v>
                </c:pt>
                <c:pt idx="24">
                  <c:v>1970160.79117763</c:v>
                </c:pt>
                <c:pt idx="25">
                  <c:v>1971404.2684110601</c:v>
                </c:pt>
                <c:pt idx="26">
                  <c:v>1972603.2035608599</c:v>
                </c:pt>
                <c:pt idx="27">
                  <c:v>1973761.3182760801</c:v>
                </c:pt>
                <c:pt idx="28">
                  <c:v>1974881.90410944</c:v>
                </c:pt>
                <c:pt idx="29">
                  <c:v>1975967.88733494</c:v>
                </c:pt>
                <c:pt idx="30">
                  <c:v>1977021.8817554801</c:v>
                </c:pt>
                <c:pt idx="31">
                  <c:v>1978046.2323268601</c:v>
                </c:pt>
                <c:pt idx="32">
                  <c:v>1979043.05145264</c:v>
                </c:pt>
                <c:pt idx="33">
                  <c:v>1980014.2493819001</c:v>
                </c:pt>
                <c:pt idx="34">
                  <c:v>1980961.55982587</c:v>
                </c:pt>
                <c:pt idx="35">
                  <c:v>1981886.56167044</c:v>
                </c:pt>
                <c:pt idx="36">
                  <c:v>1982790.6974796599</c:v>
                </c:pt>
                <c:pt idx="37">
                  <c:v>1983675.28934525</c:v>
                </c:pt>
                <c:pt idx="38">
                  <c:v>1984541.5525281799</c:v>
                </c:pt>
                <c:pt idx="39">
                  <c:v>1985390.60725385</c:v>
                </c:pt>
                <c:pt idx="40">
                  <c:v>1986223.48895481</c:v>
                </c:pt>
                <c:pt idx="41">
                  <c:v>1987041.1572022899</c:v>
                </c:pt>
                <c:pt idx="42">
                  <c:v>1987844.5035253</c:v>
                </c:pt>
                <c:pt idx="43">
                  <c:v>1988634.3582816899</c:v>
                </c:pt>
                <c:pt idx="44">
                  <c:v>1989411.4967184199</c:v>
                </c:pt>
                <c:pt idx="45">
                  <c:v>1990176.6443356001</c:v>
                </c:pt>
                <c:pt idx="46">
                  <c:v>1990930.4816507499</c:v>
                </c:pt>
                <c:pt idx="47">
                  <c:v>1991673.6484447301</c:v>
                </c:pt>
                <c:pt idx="48">
                  <c:v>1992406.74755814</c:v>
                </c:pt>
                <c:pt idx="49">
                  <c:v>1993130.3482973201</c:v>
                </c:pt>
                <c:pt idx="50">
                  <c:v>1993844.98949992</c:v>
                </c:pt>
                <c:pt idx="51">
                  <c:v>1994551.18230335</c:v>
                </c:pt>
                <c:pt idx="52">
                  <c:v>1995249.41265332</c:v>
                </c:pt>
                <c:pt idx="53">
                  <c:v>1995940.1435845899</c:v>
                </c:pt>
                <c:pt idx="54">
                  <c:v>1996623.8173020401</c:v>
                </c:pt>
                <c:pt idx="55">
                  <c:v>1997300.8570864401</c:v>
                </c:pt>
                <c:pt idx="56">
                  <c:v>1997971.6690464299</c:v>
                </c:pt>
                <c:pt idx="57">
                  <c:v>1998636.64373542</c:v>
                </c:pt>
                <c:pt idx="58">
                  <c:v>1999296.1576503899</c:v>
                </c:pt>
                <c:pt idx="59">
                  <c:v>1999950.57462732</c:v>
                </c:pt>
                <c:pt idx="60">
                  <c:v>2000600.2471465999</c:v>
                </c:pt>
                <c:pt idx="61">
                  <c:v>2001245.5175605901</c:v>
                </c:pt>
                <c:pt idx="62">
                  <c:v>2001886.7192541801</c:v>
                </c:pt>
                <c:pt idx="63">
                  <c:v>2002524.17774841</c:v>
                </c:pt>
                <c:pt idx="64">
                  <c:v>2003158.21175655</c:v>
                </c:pt>
                <c:pt idx="65">
                  <c:v>2003789.13420121</c:v>
                </c:pt>
                <c:pt idx="66">
                  <c:v>2004417.2532008099</c:v>
                </c:pt>
                <c:pt idx="67">
                  <c:v>2005042.8730333999</c:v>
                </c:pt>
                <c:pt idx="68">
                  <c:v>2005666.2950853601</c:v>
                </c:pt>
                <c:pt idx="69">
                  <c:v>2006287.8187927201</c:v>
                </c:pt>
                <c:pt idx="70">
                  <c:v>2006907.7425827</c:v>
                </c:pt>
                <c:pt idx="71">
                  <c:v>2007526.3648232201</c:v>
                </c:pt>
                <c:pt idx="72">
                  <c:v>2008143.9847883401</c:v>
                </c:pt>
                <c:pt idx="73">
                  <c:v>2008760.90364819</c:v>
                </c:pt>
                <c:pt idx="74">
                  <c:v>2009377.4254922201</c:v>
                </c:pt>
                <c:pt idx="75">
                  <c:v>2009993.8583954901</c:v>
                </c:pt>
                <c:pt idx="76">
                  <c:v>2010610.5155385199</c:v>
                </c:pt>
                <c:pt idx="77">
                  <c:v>2011227.71639239</c:v>
                </c:pt>
                <c:pt idx="78">
                  <c:v>2011845.7879820401</c:v>
                </c:pt>
                <c:pt idx="79">
                  <c:v>2012465.0662424001</c:v>
                </c:pt>
                <c:pt idx="80">
                  <c:v>2013085.8974839801</c:v>
                </c:pt>
                <c:pt idx="81">
                  <c:v>2013708.63998695</c:v>
                </c:pt>
                <c:pt idx="82">
                  <c:v>2014333.6657455901</c:v>
                </c:pt>
                <c:pt idx="83">
                  <c:v>2014961.3623885501</c:v>
                </c:pt>
                <c:pt idx="84">
                  <c:v>2015592.1353045099</c:v>
                </c:pt>
                <c:pt idx="85">
                  <c:v>2016226.41000824</c:v>
                </c:pt>
                <c:pt idx="86">
                  <c:v>2016864.63478802</c:v>
                </c:pt>
                <c:pt idx="87">
                  <c:v>2017507.28368346</c:v>
                </c:pt>
                <c:pt idx="88">
                  <c:v>2018154.8598519</c:v>
                </c:pt>
                <c:pt idx="89">
                  <c:v>2018807.8993935999</c:v>
                </c:pt>
                <c:pt idx="90">
                  <c:v>2019466.97572042</c:v>
                </c:pt>
                <c:pt idx="91">
                  <c:v>2020132.70457078</c:v>
                </c:pt>
                <c:pt idx="92">
                  <c:v>2020805.74979675</c:v>
                </c:pt>
                <c:pt idx="93">
                  <c:v>2021486.8300781799</c:v>
                </c:pt>
                <c:pt idx="94">
                  <c:v>2022176.7267554901</c:v>
                </c:pt>
                <c:pt idx="95">
                  <c:v>2022876.29302044</c:v>
                </c:pt>
                <c:pt idx="96">
                  <c:v>2023586.4647655301</c:v>
                </c:pt>
                <c:pt idx="97">
                  <c:v>2024308.27347306</c:v>
                </c:pt>
                <c:pt idx="98">
                  <c:v>2025042.86163029</c:v>
                </c:pt>
                <c:pt idx="99">
                  <c:v>2025791.50129832</c:v>
                </c:pt>
                <c:pt idx="100">
                  <c:v>2026555.6166511299</c:v>
                </c:pt>
                <c:pt idx="101">
                  <c:v>2027336.8115590699</c:v>
                </c:pt>
                <c:pt idx="102">
                  <c:v>2028136.90364545</c:v>
                </c:pt>
                <c:pt idx="103">
                  <c:v>2028957.9667400301</c:v>
                </c:pt>
                <c:pt idx="104">
                  <c:v>2029802.38435425</c:v>
                </c:pt>
                <c:pt idx="105">
                  <c:v>2030672.91781135</c:v>
                </c:pt>
                <c:pt idx="106">
                  <c:v>2031572.79414069</c:v>
                </c:pt>
                <c:pt idx="107">
                  <c:v>2032505.8210476399</c:v>
                </c:pt>
                <c:pt idx="108">
                  <c:v>2033476.5396239599</c:v>
                </c:pt>
                <c:pt idx="109">
                  <c:v>2034490.4306922101</c:v>
                </c:pt>
                <c:pt idx="110">
                  <c:v>2035554.1990412101</c:v>
                </c:pt>
                <c:pt idx="111">
                  <c:v>2036676.17358222</c:v>
                </c:pt>
                <c:pt idx="112">
                  <c:v>2037866.8848888299</c:v>
                </c:pt>
                <c:pt idx="113">
                  <c:v>2039139.92296781</c:v>
                </c:pt>
                <c:pt idx="114">
                  <c:v>2040513.25438493</c:v>
                </c:pt>
                <c:pt idx="115">
                  <c:v>2042011.32560909</c:v>
                </c:pt>
                <c:pt idx="116">
                  <c:v>2043668.5827421299</c:v>
                </c:pt>
                <c:pt idx="117">
                  <c:v>2045535.7051655899</c:v>
                </c:pt>
                <c:pt idx="118">
                  <c:v>2047691.4476457399</c:v>
                </c:pt>
                <c:pt idx="119">
                  <c:v>2050267.2257699801</c:v>
                </c:pt>
                <c:pt idx="120">
                  <c:v>2053504.43591141</c:v>
                </c:pt>
                <c:pt idx="121">
                  <c:v>2057911.06435523</c:v>
                </c:pt>
                <c:pt idx="122">
                  <c:v>2064803.4450393899</c:v>
                </c:pt>
                <c:pt idx="123">
                  <c:v>2079189.8102706</c:v>
                </c:pt>
                <c:pt idx="124">
                  <c:v>2092090.7106509199</c:v>
                </c:pt>
                <c:pt idx="125">
                  <c:v>2104896.8118470199</c:v>
                </c:pt>
                <c:pt idx="126">
                  <c:v>2117839.1625919198</c:v>
                </c:pt>
                <c:pt idx="127">
                  <c:v>2130933.65872736</c:v>
                </c:pt>
                <c:pt idx="128">
                  <c:v>2144193.9649215499</c:v>
                </c:pt>
                <c:pt idx="129">
                  <c:v>2157630.7405902101</c:v>
                </c:pt>
                <c:pt idx="130">
                  <c:v>2171252.79234818</c:v>
                </c:pt>
                <c:pt idx="131">
                  <c:v>2185067.8040394299</c:v>
                </c:pt>
                <c:pt idx="132">
                  <c:v>2199082.8122970001</c:v>
                </c:pt>
                <c:pt idx="133">
                  <c:v>2213304.5158615801</c:v>
                </c:pt>
                <c:pt idx="134">
                  <c:v>2227739.4770507501</c:v>
                </c:pt>
                <c:pt idx="135">
                  <c:v>2963363.07837875</c:v>
                </c:pt>
                <c:pt idx="136">
                  <c:v>2986343.6907678102</c:v>
                </c:pt>
                <c:pt idx="137">
                  <c:v>3006025.2977410499</c:v>
                </c:pt>
                <c:pt idx="138">
                  <c:v>3035334.67624762</c:v>
                </c:pt>
                <c:pt idx="139">
                  <c:v>3080664.0683958498</c:v>
                </c:pt>
                <c:pt idx="140">
                  <c:v>3124647.5967603698</c:v>
                </c:pt>
                <c:pt idx="141">
                  <c:v>3167300.3004971799</c:v>
                </c:pt>
                <c:pt idx="142">
                  <c:v>3208680.4814247699</c:v>
                </c:pt>
                <c:pt idx="143">
                  <c:v>3248842.1856379202</c:v>
                </c:pt>
                <c:pt idx="144">
                  <c:v>3287837.9173580902</c:v>
                </c:pt>
                <c:pt idx="145">
                  <c:v>3325718.8168587601</c:v>
                </c:pt>
                <c:pt idx="146">
                  <c:v>3362534.4293132601</c:v>
                </c:pt>
                <c:pt idx="147">
                  <c:v>3398332.5051841699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Implicit_Fracs!$C$5:$C$150</c:f>
              <c:numCache>
                <c:formatCode>General</c:formatCode>
                <c:ptCount val="146"/>
                <c:pt idx="0">
                  <c:v>6.5264358172878303E-2</c:v>
                </c:pt>
                <c:pt idx="1">
                  <c:v>9.5654928193278393E-2</c:v>
                </c:pt>
                <c:pt idx="2">
                  <c:v>9.5940236144888405E-2</c:v>
                </c:pt>
                <c:pt idx="3">
                  <c:v>9.6117006700230295E-2</c:v>
                </c:pt>
                <c:pt idx="4">
                  <c:v>9.6246045395184304E-2</c:v>
                </c:pt>
                <c:pt idx="5">
                  <c:v>9.6348050389714904E-2</c:v>
                </c:pt>
                <c:pt idx="6">
                  <c:v>9.6432615616439593E-2</c:v>
                </c:pt>
                <c:pt idx="7">
                  <c:v>9.6504985648747904E-2</c:v>
                </c:pt>
                <c:pt idx="8">
                  <c:v>9.6568344484260105E-2</c:v>
                </c:pt>
                <c:pt idx="9">
                  <c:v>9.6624771835736395E-2</c:v>
                </c:pt>
                <c:pt idx="10">
                  <c:v>9.6675701685845106E-2</c:v>
                </c:pt>
                <c:pt idx="11">
                  <c:v>9.6722164953426698E-2</c:v>
                </c:pt>
                <c:pt idx="12">
                  <c:v>9.6764927844012E-2</c:v>
                </c:pt>
                <c:pt idx="13">
                  <c:v>9.6804575476413093E-2</c:v>
                </c:pt>
                <c:pt idx="14">
                  <c:v>9.6841564874625002E-2</c:v>
                </c:pt>
                <c:pt idx="15">
                  <c:v>9.6876259881600799E-2</c:v>
                </c:pt>
                <c:pt idx="16">
                  <c:v>9.6908954927759902E-2</c:v>
                </c:pt>
                <c:pt idx="17">
                  <c:v>9.6939891670041495E-2</c:v>
                </c:pt>
                <c:pt idx="18">
                  <c:v>9.6969270924016998E-2</c:v>
                </c:pt>
                <c:pt idx="19">
                  <c:v>9.6997261402266499E-2</c:v>
                </c:pt>
                <c:pt idx="20">
                  <c:v>9.7024006233288995E-2</c:v>
                </c:pt>
                <c:pt idx="21">
                  <c:v>9.7049627905100702E-2</c:v>
                </c:pt>
                <c:pt idx="22">
                  <c:v>9.7074232069540994E-2</c:v>
                </c:pt>
                <c:pt idx="23">
                  <c:v>9.7097910508660804E-2</c:v>
                </c:pt>
                <c:pt idx="24">
                  <c:v>9.7120743475452104E-2</c:v>
                </c:pt>
                <c:pt idx="25">
                  <c:v>9.7142801560966802E-2</c:v>
                </c:pt>
                <c:pt idx="26">
                  <c:v>9.7164147205116805E-2</c:v>
                </c:pt>
                <c:pt idx="27">
                  <c:v>9.7184835924468901E-2</c:v>
                </c:pt>
                <c:pt idx="28">
                  <c:v>9.7204917312612493E-2</c:v>
                </c:pt>
                <c:pt idx="29">
                  <c:v>9.7224435866633804E-2</c:v>
                </c:pt>
                <c:pt idx="30">
                  <c:v>9.7243431674802899E-2</c:v>
                </c:pt>
                <c:pt idx="31">
                  <c:v>9.72619409925784E-2</c:v>
                </c:pt>
                <c:pt idx="32">
                  <c:v>9.72799967280569E-2</c:v>
                </c:pt>
                <c:pt idx="33">
                  <c:v>9.7297628853473095E-2</c:v>
                </c:pt>
                <c:pt idx="34">
                  <c:v>9.7314864755910904E-2</c:v>
                </c:pt>
                <c:pt idx="35">
                  <c:v>9.7331729537735306E-2</c:v>
                </c:pt>
                <c:pt idx="36">
                  <c:v>9.7348246275195394E-2</c:v>
                </c:pt>
                <c:pt idx="37">
                  <c:v>9.7364436242040303E-2</c:v>
                </c:pt>
                <c:pt idx="38">
                  <c:v>9.7380319103720206E-2</c:v>
                </c:pt>
                <c:pt idx="39">
                  <c:v>9.7395913086741406E-2</c:v>
                </c:pt>
                <c:pt idx="40">
                  <c:v>9.7411235126937806E-2</c:v>
                </c:pt>
                <c:pt idx="41">
                  <c:v>9.7426300999777393E-2</c:v>
                </c:pt>
                <c:pt idx="42">
                  <c:v>9.7441125435301396E-2</c:v>
                </c:pt>
                <c:pt idx="43">
                  <c:v>9.7455722219866994E-2</c:v>
                </c:pt>
                <c:pt idx="44">
                  <c:v>9.7470104286522502E-2</c:v>
                </c:pt>
                <c:pt idx="45">
                  <c:v>9.7484283795555404E-2</c:v>
                </c:pt>
                <c:pt idx="46">
                  <c:v>9.7498272206523406E-2</c:v>
                </c:pt>
                <c:pt idx="47">
                  <c:v>9.7512080342880295E-2</c:v>
                </c:pt>
                <c:pt idx="48">
                  <c:v>9.7525718450151996E-2</c:v>
                </c:pt>
                <c:pt idx="49">
                  <c:v>9.7539196248478802E-2</c:v>
                </c:pt>
                <c:pt idx="50">
                  <c:v>9.7552522980230996E-2</c:v>
                </c:pt>
                <c:pt idx="51">
                  <c:v>9.7565707453306894E-2</c:v>
                </c:pt>
                <c:pt idx="52">
                  <c:v>9.75787580806462E-2</c:v>
                </c:pt>
                <c:pt idx="53">
                  <c:v>9.7591682916420397E-2</c:v>
                </c:pt>
                <c:pt idx="54">
                  <c:v>9.7604489689307794E-2</c:v>
                </c:pt>
                <c:pt idx="55">
                  <c:v>9.7617185833211995E-2</c:v>
                </c:pt>
                <c:pt idx="56">
                  <c:v>9.7629778515739299E-2</c:v>
                </c:pt>
                <c:pt idx="57">
                  <c:v>9.7642274664720294E-2</c:v>
                </c:pt>
                <c:pt idx="58">
                  <c:v>9.7654680993027307E-2</c:v>
                </c:pt>
                <c:pt idx="59">
                  <c:v>9.7667004021917095E-2</c:v>
                </c:pt>
                <c:pt idx="60">
                  <c:v>9.7679250103107004E-2</c:v>
                </c:pt>
                <c:pt idx="61">
                  <c:v>9.7691425439775798E-2</c:v>
                </c:pt>
                <c:pt idx="62">
                  <c:v>9.7703536106665101E-2</c:v>
                </c:pt>
                <c:pt idx="63">
                  <c:v>9.7715588069448703E-2</c:v>
                </c:pt>
                <c:pt idx="64">
                  <c:v>9.7727587203525104E-2</c:v>
                </c:pt>
                <c:pt idx="65">
                  <c:v>9.7739539312385298E-2</c:v>
                </c:pt>
                <c:pt idx="66">
                  <c:v>9.7751450145702204E-2</c:v>
                </c:pt>
                <c:pt idx="67">
                  <c:v>9.7763325417286398E-2</c:v>
                </c:pt>
                <c:pt idx="68">
                  <c:v>9.7775170823054605E-2</c:v>
                </c:pt>
                <c:pt idx="69">
                  <c:v>9.7786992059158098E-2</c:v>
                </c:pt>
                <c:pt idx="70">
                  <c:v>9.7798794840424697E-2</c:v>
                </c:pt>
                <c:pt idx="71">
                  <c:v>9.78105849192758E-2</c:v>
                </c:pt>
                <c:pt idx="72">
                  <c:v>9.7822368105289298E-2</c:v>
                </c:pt>
                <c:pt idx="73">
                  <c:v>9.7834150285593197E-2</c:v>
                </c:pt>
                <c:pt idx="74">
                  <c:v>9.7845937446292497E-2</c:v>
                </c:pt>
                <c:pt idx="75">
                  <c:v>9.7857735695151798E-2</c:v>
                </c:pt>
                <c:pt idx="76">
                  <c:v>9.7869551285783105E-2</c:v>
                </c:pt>
                <c:pt idx="77">
                  <c:v>9.7881390643619406E-2</c:v>
                </c:pt>
                <c:pt idx="78">
                  <c:v>9.7893260393991793E-2</c:v>
                </c:pt>
                <c:pt idx="79">
                  <c:v>9.7905167392676101E-2</c:v>
                </c:pt>
                <c:pt idx="80">
                  <c:v>9.7917118759327501E-2</c:v>
                </c:pt>
                <c:pt idx="81">
                  <c:v>9.7929121914292899E-2</c:v>
                </c:pt>
                <c:pt idx="82">
                  <c:v>9.7941184619368404E-2</c:v>
                </c:pt>
                <c:pt idx="83">
                  <c:v>9.7953315023171394E-2</c:v>
                </c:pt>
                <c:pt idx="84">
                  <c:v>9.7965521711917206E-2</c:v>
                </c:pt>
                <c:pt idx="85">
                  <c:v>9.7977813766536706E-2</c:v>
                </c:pt>
                <c:pt idx="86">
                  <c:v>9.7990200827255999E-2</c:v>
                </c:pt>
                <c:pt idx="87">
                  <c:v>9.8002693166983901E-2</c:v>
                </c:pt>
                <c:pt idx="88">
                  <c:v>9.8015301775131097E-2</c:v>
                </c:pt>
                <c:pt idx="89">
                  <c:v>9.8028038453837299E-2</c:v>
                </c:pt>
                <c:pt idx="90">
                  <c:v>9.8040915929021297E-2</c:v>
                </c:pt>
                <c:pt idx="91">
                  <c:v>9.8053947979225203E-2</c:v>
                </c:pt>
                <c:pt idx="92">
                  <c:v>9.8067149585934904E-2</c:v>
                </c:pt>
                <c:pt idx="93">
                  <c:v>9.8080537109968002E-2</c:v>
                </c:pt>
                <c:pt idx="94">
                  <c:v>9.8094128499704294E-2</c:v>
                </c:pt>
                <c:pt idx="95">
                  <c:v>9.8107943538468995E-2</c:v>
                </c:pt>
                <c:pt idx="96">
                  <c:v>9.8122004140413804E-2</c:v>
                </c:pt>
                <c:pt idx="97">
                  <c:v>9.8136334706939998E-2</c:v>
                </c:pt>
                <c:pt idx="98">
                  <c:v>9.8150962559342594E-2</c:v>
                </c:pt>
                <c:pt idx="99">
                  <c:v>9.8165918468299695E-2</c:v>
                </c:pt>
                <c:pt idx="100">
                  <c:v>9.8181237307639599E-2</c:v>
                </c:pt>
                <c:pt idx="101">
                  <c:v>9.8196958869323794E-2</c:v>
                </c:pt>
                <c:pt idx="102">
                  <c:v>9.8213128890047005E-2</c:v>
                </c:pt>
                <c:pt idx="103">
                  <c:v>9.8229800359218494E-2</c:v>
                </c:pt>
                <c:pt idx="104">
                  <c:v>9.8247035206441499E-2</c:v>
                </c:pt>
                <c:pt idx="105">
                  <c:v>9.8264906508888999E-2</c:v>
                </c:pt>
                <c:pt idx="106">
                  <c:v>9.8283501423392997E-2</c:v>
                </c:pt>
                <c:pt idx="107">
                  <c:v>9.83029251484802E-2</c:v>
                </c:pt>
                <c:pt idx="108">
                  <c:v>9.8323306382231898E-2</c:v>
                </c:pt>
                <c:pt idx="109">
                  <c:v>9.83448050063956E-2</c:v>
                </c:pt>
                <c:pt idx="110">
                  <c:v>9.8367623177314595E-2</c:v>
                </c:pt>
                <c:pt idx="111">
                  <c:v>9.8392021799252799E-2</c:v>
                </c:pt>
                <c:pt idx="112">
                  <c:v>9.8418345821107006E-2</c:v>
                </c:pt>
                <c:pt idx="113">
                  <c:v>9.8447064636032894E-2</c:v>
                </c:pt>
                <c:pt idx="114">
                  <c:v>9.8478839691440598E-2</c:v>
                </c:pt>
                <c:pt idx="115">
                  <c:v>9.8514644241327595E-2</c:v>
                </c:pt>
                <c:pt idx="116">
                  <c:v>9.8555990865747706E-2</c:v>
                </c:pt>
                <c:pt idx="117">
                  <c:v>9.8605403888521903E-2</c:v>
                </c:pt>
                <c:pt idx="118">
                  <c:v>9.8667520989107305E-2</c:v>
                </c:pt>
                <c:pt idx="119">
                  <c:v>9.8752103704584399E-2</c:v>
                </c:pt>
                <c:pt idx="120">
                  <c:v>9.88844549873618E-2</c:v>
                </c:pt>
                <c:pt idx="121">
                  <c:v>9.9160892815511298E-2</c:v>
                </c:pt>
                <c:pt idx="122">
                  <c:v>9.94091301530452E-2</c:v>
                </c:pt>
                <c:pt idx="123">
                  <c:v>9.9655849602708402E-2</c:v>
                </c:pt>
                <c:pt idx="124">
                  <c:v>9.9905501975847605E-2</c:v>
                </c:pt>
                <c:pt idx="125">
                  <c:v>0.100158404857082</c:v>
                </c:pt>
                <c:pt idx="126">
                  <c:v>0.100414834399242</c:v>
                </c:pt>
                <c:pt idx="127">
                  <c:v>0.100675010114966</c:v>
                </c:pt>
                <c:pt idx="128">
                  <c:v>0.100939116894578</c:v>
                </c:pt>
                <c:pt idx="129">
                  <c:v>0.10120731898589599</c:v>
                </c:pt>
                <c:pt idx="130">
                  <c:v>0.101479769132194</c:v>
                </c:pt>
                <c:pt idx="131">
                  <c:v>0.101756614544319</c:v>
                </c:pt>
                <c:pt idx="132">
                  <c:v>0.10203800081778799</c:v>
                </c:pt>
                <c:pt idx="133">
                  <c:v>0.116397999320224</c:v>
                </c:pt>
                <c:pt idx="134">
                  <c:v>0.116881301518155</c:v>
                </c:pt>
                <c:pt idx="135">
                  <c:v>0.117296225440862</c:v>
                </c:pt>
                <c:pt idx="136">
                  <c:v>0.117915404787116</c:v>
                </c:pt>
                <c:pt idx="137">
                  <c:v>0.11887599103230199</c:v>
                </c:pt>
                <c:pt idx="138">
                  <c:v>0.119812555000924</c:v>
                </c:pt>
                <c:pt idx="139">
                  <c:v>0.120725054102833</c:v>
                </c:pt>
                <c:pt idx="140">
                  <c:v>0.121614386811381</c:v>
                </c:pt>
                <c:pt idx="141">
                  <c:v>0.122481387577661</c:v>
                </c:pt>
                <c:pt idx="142">
                  <c:v>0.123326882848347</c:v>
                </c:pt>
                <c:pt idx="143">
                  <c:v>0.124151693485474</c:v>
                </c:pt>
                <c:pt idx="144">
                  <c:v>0.12495662838369399</c:v>
                </c:pt>
                <c:pt idx="145">
                  <c:v>0.12574247869944299</c:v>
                </c:pt>
              </c:numCache>
            </c:numRef>
          </c:xVal>
          <c:yVal>
            <c:numRef>
              <c:f>Implicit_Fracs!$BL$5:$BL$150</c:f>
              <c:numCache>
                <c:formatCode>General</c:formatCode>
                <c:ptCount val="146"/>
                <c:pt idx="0">
                  <c:v>1.16490692484951E-4</c:v>
                </c:pt>
                <c:pt idx="1">
                  <c:v>1.15656270677709E-4</c:v>
                </c:pt>
                <c:pt idx="2">
                  <c:v>1.15306993216613E-4</c:v>
                </c:pt>
                <c:pt idx="3">
                  <c:v>1.15006863850389E-4</c:v>
                </c:pt>
                <c:pt idx="4">
                  <c:v>1.1472746369613E-4</c:v>
                </c:pt>
                <c:pt idx="5">
                  <c:v>1.14459516814123E-4</c:v>
                </c:pt>
                <c:pt idx="6">
                  <c:v>1.1419888996913E-4</c:v>
                </c:pt>
                <c:pt idx="7">
                  <c:v>1.1394327663351901E-4</c:v>
                </c:pt>
                <c:pt idx="8">
                  <c:v>1.13691426505723E-4</c:v>
                </c:pt>
                <c:pt idx="9">
                  <c:v>1.13442418542555E-4</c:v>
                </c:pt>
                <c:pt idx="10">
                  <c:v>1.13195610240559E-4</c:v>
                </c:pt>
                <c:pt idx="11">
                  <c:v>1.12950643488092E-4</c:v>
                </c:pt>
                <c:pt idx="12">
                  <c:v>1.1270716065629099E-4</c:v>
                </c:pt>
                <c:pt idx="13">
                  <c:v>1.1246491796700901E-4</c:v>
                </c:pt>
                <c:pt idx="14">
                  <c:v>1.12223762047504E-4</c:v>
                </c:pt>
                <c:pt idx="15">
                  <c:v>1.11983541538261E-4</c:v>
                </c:pt>
                <c:pt idx="16">
                  <c:v>1.11744098008854E-4</c:v>
                </c:pt>
                <c:pt idx="17">
                  <c:v>1.1150540299758499E-4</c:v>
                </c:pt>
                <c:pt idx="18">
                  <c:v>1.11267301449229E-4</c:v>
                </c:pt>
                <c:pt idx="19">
                  <c:v>1.1102979400870701E-4</c:v>
                </c:pt>
                <c:pt idx="20">
                  <c:v>1.10792820362559E-4</c:v>
                </c:pt>
                <c:pt idx="21">
                  <c:v>1.10556259471633E-4</c:v>
                </c:pt>
                <c:pt idx="22">
                  <c:v>1.10320136215877E-4</c:v>
                </c:pt>
                <c:pt idx="23">
                  <c:v>1.1008437736533E-4</c:v>
                </c:pt>
                <c:pt idx="24">
                  <c:v>1.09848982706959E-4</c:v>
                </c:pt>
                <c:pt idx="25">
                  <c:v>1.09613921934714E-4</c:v>
                </c:pt>
                <c:pt idx="26">
                  <c:v>1.09379168288892E-4</c:v>
                </c:pt>
                <c:pt idx="27">
                  <c:v>1.09144632394242E-4</c:v>
                </c:pt>
                <c:pt idx="28">
                  <c:v>1.0891039107298601E-4</c:v>
                </c:pt>
                <c:pt idx="29">
                  <c:v>1.08676456144746E-4</c:v>
                </c:pt>
                <c:pt idx="30">
                  <c:v>1.0844268168377899E-4</c:v>
                </c:pt>
                <c:pt idx="31">
                  <c:v>1.08209146888961E-4</c:v>
                </c:pt>
                <c:pt idx="32">
                  <c:v>1.0797577416131E-4</c:v>
                </c:pt>
                <c:pt idx="33">
                  <c:v>1.07742642512896E-4</c:v>
                </c:pt>
                <c:pt idx="34">
                  <c:v>1.0750970758994699E-4</c:v>
                </c:pt>
                <c:pt idx="35">
                  <c:v>1.07276897034113E-4</c:v>
                </c:pt>
                <c:pt idx="36">
                  <c:v>1.07044289547117E-4</c:v>
                </c:pt>
                <c:pt idx="37">
                  <c:v>1.0681181504101601E-4</c:v>
                </c:pt>
                <c:pt idx="38">
                  <c:v>1.06579492966556E-4</c:v>
                </c:pt>
                <c:pt idx="39">
                  <c:v>1.0634734231585701E-4</c:v>
                </c:pt>
                <c:pt idx="40">
                  <c:v>1.0611529693130999E-4</c:v>
                </c:pt>
                <c:pt idx="41">
                  <c:v>1.0588340468393001E-4</c:v>
                </c:pt>
                <c:pt idx="42">
                  <c:v>1.0565165676564801E-4</c:v>
                </c:pt>
                <c:pt idx="43">
                  <c:v>1.05419990518129E-4</c:v>
                </c:pt>
                <c:pt idx="44">
                  <c:v>1.05188479657825E-4</c:v>
                </c:pt>
                <c:pt idx="45">
                  <c:v>1.04957089371592E-4</c:v>
                </c:pt>
                <c:pt idx="46">
                  <c:v>1.04725812298801E-4</c:v>
                </c:pt>
                <c:pt idx="47">
                  <c:v>1.0449461569680201E-4</c:v>
                </c:pt>
                <c:pt idx="48">
                  <c:v>1.0426354411491599E-4</c:v>
                </c:pt>
                <c:pt idx="49">
                  <c:v>1.04032590289944E-4</c:v>
                </c:pt>
                <c:pt idx="50">
                  <c:v>1.03801747190649E-4</c:v>
                </c:pt>
                <c:pt idx="51">
                  <c:v>1.03570959608922E-4</c:v>
                </c:pt>
                <c:pt idx="52">
                  <c:v>1.0334031777202301E-4</c:v>
                </c:pt>
                <c:pt idx="53">
                  <c:v>1.03109743429472E-4</c:v>
                </c:pt>
                <c:pt idx="54">
                  <c:v>1.02879300413589E-4</c:v>
                </c:pt>
                <c:pt idx="55">
                  <c:v>1.02648913074525E-4</c:v>
                </c:pt>
                <c:pt idx="56">
                  <c:v>1.03558134665214E-4</c:v>
                </c:pt>
                <c:pt idx="57">
                  <c:v>1.03327931551999E-4</c:v>
                </c:pt>
                <c:pt idx="58">
                  <c:v>1.03097832757938E-4</c:v>
                </c:pt>
                <c:pt idx="59">
                  <c:v>1.0286783148916E-4</c:v>
                </c:pt>
                <c:pt idx="60">
                  <c:v>1.02637900246036E-4</c:v>
                </c:pt>
                <c:pt idx="61">
                  <c:v>1.0240807430372801E-4</c:v>
                </c:pt>
                <c:pt idx="62">
                  <c:v>1.02178326485355E-4</c:v>
                </c:pt>
                <c:pt idx="63">
                  <c:v>1.01948670393479E-4</c:v>
                </c:pt>
                <c:pt idx="64">
                  <c:v>1.0171911868907701E-4</c:v>
                </c:pt>
                <c:pt idx="65">
                  <c:v>1.01489626038124E-4</c:v>
                </c:pt>
                <c:pt idx="66">
                  <c:v>1.01260242700251E-4</c:v>
                </c:pt>
                <c:pt idx="67">
                  <c:v>1.0103094269298001E-4</c:v>
                </c:pt>
                <c:pt idx="68">
                  <c:v>1.00801737114966E-4</c:v>
                </c:pt>
                <c:pt idx="69">
                  <c:v>1.00572618599889E-4</c:v>
                </c:pt>
                <c:pt idx="70">
                  <c:v>1.00343597123457E-4</c:v>
                </c:pt>
                <c:pt idx="71">
                  <c:v>1.00114664966517E-4</c:v>
                </c:pt>
                <c:pt idx="72" formatCode="0.00E+00">
                  <c:v>9.9885814605797107E-5</c:v>
                </c:pt>
                <c:pt idx="73" formatCode="0.00E+00">
                  <c:v>9.9657054779514202E-5</c:v>
                </c:pt>
                <c:pt idx="74" formatCode="0.00E+00">
                  <c:v>9.9428393332033906E-5</c:v>
                </c:pt>
                <c:pt idx="75" formatCode="0.00E+00">
                  <c:v>9.9199852540123306E-5</c:v>
                </c:pt>
                <c:pt idx="76" formatCode="0.00E+00">
                  <c:v>9.8971393011595407E-5</c:v>
                </c:pt>
                <c:pt idx="77" formatCode="0.00E+00">
                  <c:v>9.8743036076191405E-5</c:v>
                </c:pt>
                <c:pt idx="78" formatCode="0.00E+00">
                  <c:v>9.8514786953431103E-5</c:v>
                </c:pt>
                <c:pt idx="79" formatCode="0.00E+00">
                  <c:v>9.8286650076482405E-5</c:v>
                </c:pt>
                <c:pt idx="80" formatCode="0.00E+00">
                  <c:v>9.8058602221009201E-5</c:v>
                </c:pt>
                <c:pt idx="81" formatCode="0.00E+00">
                  <c:v>9.7830687057298197E-5</c:v>
                </c:pt>
                <c:pt idx="82" formatCode="0.00E+00">
                  <c:v>9.7602880672618603E-5</c:v>
                </c:pt>
                <c:pt idx="83" formatCode="0.00E+00">
                  <c:v>9.7375197760010999E-5</c:v>
                </c:pt>
                <c:pt idx="84" formatCode="0.00E+00">
                  <c:v>9.7147651303469405E-5</c:v>
                </c:pt>
                <c:pt idx="85" formatCode="0.00E+00">
                  <c:v>9.6920217784911701E-5</c:v>
                </c:pt>
                <c:pt idx="86" formatCode="0.00E+00">
                  <c:v>9.6692942908398606E-5</c:v>
                </c:pt>
                <c:pt idx="87" formatCode="0.00E+00">
                  <c:v>9.6465791351527905E-5</c:v>
                </c:pt>
                <c:pt idx="88" formatCode="0.00E+00">
                  <c:v>9.6238783355518794E-5</c:v>
                </c:pt>
                <c:pt idx="89" formatCode="0.00E+00">
                  <c:v>9.6011936732406702E-5</c:v>
                </c:pt>
                <c:pt idx="90" formatCode="0.00E+00">
                  <c:v>9.5785247369690993E-5</c:v>
                </c:pt>
                <c:pt idx="91" formatCode="0.00E+00">
                  <c:v>9.5558739463985699E-5</c:v>
                </c:pt>
                <c:pt idx="92" formatCode="0.00E+00">
                  <c:v>9.53324159230279E-5</c:v>
                </c:pt>
                <c:pt idx="93" formatCode="0.00E+00">
                  <c:v>9.5106278871375503E-5</c:v>
                </c:pt>
                <c:pt idx="94" formatCode="0.00E+00">
                  <c:v>9.4880346592122298E-5</c:v>
                </c:pt>
                <c:pt idx="95" formatCode="0.00E+00">
                  <c:v>9.4654642903812698E-5</c:v>
                </c:pt>
                <c:pt idx="96" formatCode="0.00E+00">
                  <c:v>9.4429165392474401E-5</c:v>
                </c:pt>
                <c:pt idx="97" formatCode="0.00E+00">
                  <c:v>9.4203948478353304E-5</c:v>
                </c:pt>
                <c:pt idx="98" formatCode="0.00E+00">
                  <c:v>9.3978994181337299E-5</c:v>
                </c:pt>
                <c:pt idx="99" formatCode="0.00E+00">
                  <c:v>9.3754337724889894E-5</c:v>
                </c:pt>
                <c:pt idx="100" formatCode="0.00E+00">
                  <c:v>9.3530009894833604E-5</c:v>
                </c:pt>
                <c:pt idx="101" formatCode="0.00E+00">
                  <c:v>9.3607317007314699E-5</c:v>
                </c:pt>
                <c:pt idx="102" formatCode="0.00E+00">
                  <c:v>9.3383725339869205E-5</c:v>
                </c:pt>
                <c:pt idx="103" formatCode="0.00E+00">
                  <c:v>9.3160563398085003E-5</c:v>
                </c:pt>
                <c:pt idx="104" formatCode="0.00E+00">
                  <c:v>9.2937885486167796E-5</c:v>
                </c:pt>
                <c:pt idx="105" formatCode="0.00E+00">
                  <c:v>9.2715732138088798E-5</c:v>
                </c:pt>
                <c:pt idx="106" formatCode="0.00E+00">
                  <c:v>9.2494194527124198E-5</c:v>
                </c:pt>
                <c:pt idx="107" formatCode="0.00E+00">
                  <c:v>9.2273344108299095E-5</c:v>
                </c:pt>
                <c:pt idx="108" formatCode="0.00E+00">
                  <c:v>9.2053284320564699E-5</c:v>
                </c:pt>
                <c:pt idx="109" formatCode="0.00E+00">
                  <c:v>9.1834152337177204E-5</c:v>
                </c:pt>
                <c:pt idx="110" formatCode="0.00E+00">
                  <c:v>9.1616106333838502E-5</c:v>
                </c:pt>
                <c:pt idx="111" formatCode="0.00E+00">
                  <c:v>9.1399353209706299E-5</c:v>
                </c:pt>
                <c:pt idx="112" formatCode="0.00E+00">
                  <c:v>9.1184171676397802E-5</c:v>
                </c:pt>
                <c:pt idx="113" formatCode="0.00E+00">
                  <c:v>9.0970933913320394E-5</c:v>
                </c:pt>
                <c:pt idx="114" formatCode="0.00E+00">
                  <c:v>9.0927025186203402E-5</c:v>
                </c:pt>
                <c:pt idx="115" formatCode="0.00E+00">
                  <c:v>9.0719406869773194E-5</c:v>
                </c:pt>
                <c:pt idx="116" formatCode="0.00E+00">
                  <c:v>9.0516008466613504E-5</c:v>
                </c:pt>
                <c:pt idx="117" formatCode="0.00E+00">
                  <c:v>9.0318376931156804E-5</c:v>
                </c:pt>
                <c:pt idx="118" formatCode="0.00E+00">
                  <c:v>9.0156456096301903E-5</c:v>
                </c:pt>
                <c:pt idx="119" formatCode="0.00E+00">
                  <c:v>8.9977355657345096E-5</c:v>
                </c:pt>
                <c:pt idx="120" formatCode="0.00E+00">
                  <c:v>8.9820870787192194E-5</c:v>
                </c:pt>
                <c:pt idx="121" formatCode="0.00E+00">
                  <c:v>8.9751668186568496E-5</c:v>
                </c:pt>
                <c:pt idx="122" formatCode="0.00E+00">
                  <c:v>8.9594963294083304E-5</c:v>
                </c:pt>
                <c:pt idx="123" formatCode="0.00E+00">
                  <c:v>8.9441435166559295E-5</c:v>
                </c:pt>
                <c:pt idx="124" formatCode="0.00E+00">
                  <c:v>8.9289111812304104E-5</c:v>
                </c:pt>
                <c:pt idx="125" formatCode="0.00E+00">
                  <c:v>8.9136896559411003E-5</c:v>
                </c:pt>
                <c:pt idx="126" formatCode="0.00E+00">
                  <c:v>8.8985819682517E-5</c:v>
                </c:pt>
                <c:pt idx="127" formatCode="0.00E+00">
                  <c:v>8.8836411852211895E-5</c:v>
                </c:pt>
                <c:pt idx="128" formatCode="0.00E+00">
                  <c:v>8.8688986780267594E-5</c:v>
                </c:pt>
                <c:pt idx="129" formatCode="0.00E+00">
                  <c:v>8.8543368725654701E-5</c:v>
                </c:pt>
                <c:pt idx="130" formatCode="0.00E+00">
                  <c:v>8.8399782021503006E-5</c:v>
                </c:pt>
                <c:pt idx="131" formatCode="0.00E+00">
                  <c:v>8.82586182190321E-5</c:v>
                </c:pt>
                <c:pt idx="132" formatCode="0.00E+00">
                  <c:v>8.8283775516563397E-5</c:v>
                </c:pt>
                <c:pt idx="133" formatCode="0.00E+00">
                  <c:v>8.7480769610082405E-5</c:v>
                </c:pt>
                <c:pt idx="134" formatCode="0.00E+00">
                  <c:v>8.7152173797724701E-5</c:v>
                </c:pt>
                <c:pt idx="135" formatCode="0.00E+00">
                  <c:v>8.6877523278721395E-5</c:v>
                </c:pt>
                <c:pt idx="136" formatCode="0.00E+00">
                  <c:v>8.6693123380008404E-5</c:v>
                </c:pt>
                <c:pt idx="137" formatCode="0.00E+00">
                  <c:v>8.6359604214278305E-5</c:v>
                </c:pt>
                <c:pt idx="138" formatCode="0.00E+00">
                  <c:v>8.6023532577587594E-5</c:v>
                </c:pt>
                <c:pt idx="139" formatCode="0.00E+00">
                  <c:v>8.5685998166659005E-5</c:v>
                </c:pt>
                <c:pt idx="140" formatCode="0.00E+00">
                  <c:v>8.5357519465980704E-5</c:v>
                </c:pt>
                <c:pt idx="141" formatCode="0.00E+00">
                  <c:v>8.5038828453205798E-5</c:v>
                </c:pt>
                <c:pt idx="142" formatCode="0.00E+00">
                  <c:v>8.47218084166266E-5</c:v>
                </c:pt>
                <c:pt idx="143" formatCode="0.00E+00">
                  <c:v>8.4402902694594701E-5</c:v>
                </c:pt>
                <c:pt idx="144" formatCode="0.00E+00">
                  <c:v>8.4084971825902903E-5</c:v>
                </c:pt>
                <c:pt idx="145" formatCode="0.00E+00">
                  <c:v>8.3845019461434303E-5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Implicit_Fracs!$C$5:$C$150</c:f>
              <c:numCache>
                <c:formatCode>General</c:formatCode>
                <c:ptCount val="146"/>
                <c:pt idx="0">
                  <c:v>6.5264358172878303E-2</c:v>
                </c:pt>
                <c:pt idx="1">
                  <c:v>9.5654928193278393E-2</c:v>
                </c:pt>
                <c:pt idx="2">
                  <c:v>9.5940236144888405E-2</c:v>
                </c:pt>
                <c:pt idx="3">
                  <c:v>9.6117006700230295E-2</c:v>
                </c:pt>
                <c:pt idx="4">
                  <c:v>9.6246045395184304E-2</c:v>
                </c:pt>
                <c:pt idx="5">
                  <c:v>9.6348050389714904E-2</c:v>
                </c:pt>
                <c:pt idx="6">
                  <c:v>9.6432615616439593E-2</c:v>
                </c:pt>
                <c:pt idx="7">
                  <c:v>9.6504985648747904E-2</c:v>
                </c:pt>
                <c:pt idx="8">
                  <c:v>9.6568344484260105E-2</c:v>
                </c:pt>
                <c:pt idx="9">
                  <c:v>9.6624771835736395E-2</c:v>
                </c:pt>
                <c:pt idx="10">
                  <c:v>9.6675701685845106E-2</c:v>
                </c:pt>
                <c:pt idx="11">
                  <c:v>9.6722164953426698E-2</c:v>
                </c:pt>
                <c:pt idx="12">
                  <c:v>9.6764927844012E-2</c:v>
                </c:pt>
                <c:pt idx="13">
                  <c:v>9.6804575476413093E-2</c:v>
                </c:pt>
                <c:pt idx="14">
                  <c:v>9.6841564874625002E-2</c:v>
                </c:pt>
                <c:pt idx="15">
                  <c:v>9.6876259881600799E-2</c:v>
                </c:pt>
                <c:pt idx="16">
                  <c:v>9.6908954927759902E-2</c:v>
                </c:pt>
                <c:pt idx="17">
                  <c:v>9.6939891670041495E-2</c:v>
                </c:pt>
                <c:pt idx="18">
                  <c:v>9.6969270924016998E-2</c:v>
                </c:pt>
                <c:pt idx="19">
                  <c:v>9.6997261402266499E-2</c:v>
                </c:pt>
                <c:pt idx="20">
                  <c:v>9.7024006233288995E-2</c:v>
                </c:pt>
                <c:pt idx="21">
                  <c:v>9.7049627905100702E-2</c:v>
                </c:pt>
                <c:pt idx="22">
                  <c:v>9.7074232069540994E-2</c:v>
                </c:pt>
                <c:pt idx="23">
                  <c:v>9.7097910508660804E-2</c:v>
                </c:pt>
                <c:pt idx="24">
                  <c:v>9.7120743475452104E-2</c:v>
                </c:pt>
                <c:pt idx="25">
                  <c:v>9.7142801560966802E-2</c:v>
                </c:pt>
                <c:pt idx="26">
                  <c:v>9.7164147205116805E-2</c:v>
                </c:pt>
                <c:pt idx="27">
                  <c:v>9.7184835924468901E-2</c:v>
                </c:pt>
                <c:pt idx="28">
                  <c:v>9.7204917312612493E-2</c:v>
                </c:pt>
                <c:pt idx="29">
                  <c:v>9.7224435866633804E-2</c:v>
                </c:pt>
                <c:pt idx="30">
                  <c:v>9.7243431674802899E-2</c:v>
                </c:pt>
                <c:pt idx="31">
                  <c:v>9.72619409925784E-2</c:v>
                </c:pt>
                <c:pt idx="32">
                  <c:v>9.72799967280569E-2</c:v>
                </c:pt>
                <c:pt idx="33">
                  <c:v>9.7297628853473095E-2</c:v>
                </c:pt>
                <c:pt idx="34">
                  <c:v>9.7314864755910904E-2</c:v>
                </c:pt>
                <c:pt idx="35">
                  <c:v>9.7331729537735306E-2</c:v>
                </c:pt>
                <c:pt idx="36">
                  <c:v>9.7348246275195394E-2</c:v>
                </c:pt>
                <c:pt idx="37">
                  <c:v>9.7364436242040303E-2</c:v>
                </c:pt>
                <c:pt idx="38">
                  <c:v>9.7380319103720206E-2</c:v>
                </c:pt>
                <c:pt idx="39">
                  <c:v>9.7395913086741406E-2</c:v>
                </c:pt>
                <c:pt idx="40">
                  <c:v>9.7411235126937806E-2</c:v>
                </c:pt>
                <c:pt idx="41">
                  <c:v>9.7426300999777393E-2</c:v>
                </c:pt>
                <c:pt idx="42">
                  <c:v>9.7441125435301396E-2</c:v>
                </c:pt>
                <c:pt idx="43">
                  <c:v>9.7455722219866994E-2</c:v>
                </c:pt>
                <c:pt idx="44">
                  <c:v>9.7470104286522502E-2</c:v>
                </c:pt>
                <c:pt idx="45">
                  <c:v>9.7484283795555404E-2</c:v>
                </c:pt>
                <c:pt idx="46">
                  <c:v>9.7498272206523406E-2</c:v>
                </c:pt>
                <c:pt idx="47">
                  <c:v>9.7512080342880295E-2</c:v>
                </c:pt>
                <c:pt idx="48">
                  <c:v>9.7525718450151996E-2</c:v>
                </c:pt>
                <c:pt idx="49">
                  <c:v>9.7539196248478802E-2</c:v>
                </c:pt>
                <c:pt idx="50">
                  <c:v>9.7552522980230996E-2</c:v>
                </c:pt>
                <c:pt idx="51">
                  <c:v>9.7565707453306894E-2</c:v>
                </c:pt>
                <c:pt idx="52">
                  <c:v>9.75787580806462E-2</c:v>
                </c:pt>
                <c:pt idx="53">
                  <c:v>9.7591682916420397E-2</c:v>
                </c:pt>
                <c:pt idx="54">
                  <c:v>9.7604489689307794E-2</c:v>
                </c:pt>
                <c:pt idx="55">
                  <c:v>9.7617185833211995E-2</c:v>
                </c:pt>
                <c:pt idx="56">
                  <c:v>9.7629778515739299E-2</c:v>
                </c:pt>
                <c:pt idx="57">
                  <c:v>9.7642274664720294E-2</c:v>
                </c:pt>
                <c:pt idx="58">
                  <c:v>9.7654680993027307E-2</c:v>
                </c:pt>
                <c:pt idx="59">
                  <c:v>9.7667004021917095E-2</c:v>
                </c:pt>
                <c:pt idx="60">
                  <c:v>9.7679250103107004E-2</c:v>
                </c:pt>
                <c:pt idx="61">
                  <c:v>9.7691425439775798E-2</c:v>
                </c:pt>
                <c:pt idx="62">
                  <c:v>9.7703536106665101E-2</c:v>
                </c:pt>
                <c:pt idx="63">
                  <c:v>9.7715588069448703E-2</c:v>
                </c:pt>
                <c:pt idx="64">
                  <c:v>9.7727587203525104E-2</c:v>
                </c:pt>
                <c:pt idx="65">
                  <c:v>9.7739539312385298E-2</c:v>
                </c:pt>
                <c:pt idx="66">
                  <c:v>9.7751450145702204E-2</c:v>
                </c:pt>
                <c:pt idx="67">
                  <c:v>9.7763325417286398E-2</c:v>
                </c:pt>
                <c:pt idx="68">
                  <c:v>9.7775170823054605E-2</c:v>
                </c:pt>
                <c:pt idx="69">
                  <c:v>9.7786992059158098E-2</c:v>
                </c:pt>
                <c:pt idx="70">
                  <c:v>9.7798794840424697E-2</c:v>
                </c:pt>
                <c:pt idx="71">
                  <c:v>9.78105849192758E-2</c:v>
                </c:pt>
                <c:pt idx="72">
                  <c:v>9.7822368105289298E-2</c:v>
                </c:pt>
                <c:pt idx="73">
                  <c:v>9.7834150285593197E-2</c:v>
                </c:pt>
                <c:pt idx="74">
                  <c:v>9.7845937446292497E-2</c:v>
                </c:pt>
                <c:pt idx="75">
                  <c:v>9.7857735695151798E-2</c:v>
                </c:pt>
                <c:pt idx="76">
                  <c:v>9.7869551285783105E-2</c:v>
                </c:pt>
                <c:pt idx="77">
                  <c:v>9.7881390643619406E-2</c:v>
                </c:pt>
                <c:pt idx="78">
                  <c:v>9.7893260393991793E-2</c:v>
                </c:pt>
                <c:pt idx="79">
                  <c:v>9.7905167392676101E-2</c:v>
                </c:pt>
                <c:pt idx="80">
                  <c:v>9.7917118759327501E-2</c:v>
                </c:pt>
                <c:pt idx="81">
                  <c:v>9.7929121914292899E-2</c:v>
                </c:pt>
                <c:pt idx="82">
                  <c:v>9.7941184619368404E-2</c:v>
                </c:pt>
                <c:pt idx="83">
                  <c:v>9.7953315023171394E-2</c:v>
                </c:pt>
                <c:pt idx="84">
                  <c:v>9.7965521711917206E-2</c:v>
                </c:pt>
                <c:pt idx="85">
                  <c:v>9.7977813766536706E-2</c:v>
                </c:pt>
                <c:pt idx="86">
                  <c:v>9.7990200827255999E-2</c:v>
                </c:pt>
                <c:pt idx="87">
                  <c:v>9.8002693166983901E-2</c:v>
                </c:pt>
                <c:pt idx="88">
                  <c:v>9.8015301775131097E-2</c:v>
                </c:pt>
                <c:pt idx="89">
                  <c:v>9.8028038453837299E-2</c:v>
                </c:pt>
                <c:pt idx="90">
                  <c:v>9.8040915929021297E-2</c:v>
                </c:pt>
                <c:pt idx="91">
                  <c:v>9.8053947979225203E-2</c:v>
                </c:pt>
                <c:pt idx="92">
                  <c:v>9.8067149585934904E-2</c:v>
                </c:pt>
                <c:pt idx="93">
                  <c:v>9.8080537109968002E-2</c:v>
                </c:pt>
                <c:pt idx="94">
                  <c:v>9.8094128499704294E-2</c:v>
                </c:pt>
                <c:pt idx="95">
                  <c:v>9.8107943538468995E-2</c:v>
                </c:pt>
                <c:pt idx="96">
                  <c:v>9.8122004140413804E-2</c:v>
                </c:pt>
                <c:pt idx="97">
                  <c:v>9.8136334706939998E-2</c:v>
                </c:pt>
                <c:pt idx="98">
                  <c:v>9.8150962559342594E-2</c:v>
                </c:pt>
                <c:pt idx="99">
                  <c:v>9.8165918468299695E-2</c:v>
                </c:pt>
                <c:pt idx="100">
                  <c:v>9.8181237307639599E-2</c:v>
                </c:pt>
                <c:pt idx="101">
                  <c:v>9.8196958869323794E-2</c:v>
                </c:pt>
                <c:pt idx="102">
                  <c:v>9.8213128890047005E-2</c:v>
                </c:pt>
                <c:pt idx="103">
                  <c:v>9.8229800359218494E-2</c:v>
                </c:pt>
                <c:pt idx="104">
                  <c:v>9.8247035206441499E-2</c:v>
                </c:pt>
                <c:pt idx="105">
                  <c:v>9.8264906508888999E-2</c:v>
                </c:pt>
                <c:pt idx="106">
                  <c:v>9.8283501423392997E-2</c:v>
                </c:pt>
                <c:pt idx="107">
                  <c:v>9.83029251484802E-2</c:v>
                </c:pt>
                <c:pt idx="108">
                  <c:v>9.8323306382231898E-2</c:v>
                </c:pt>
                <c:pt idx="109">
                  <c:v>9.83448050063956E-2</c:v>
                </c:pt>
                <c:pt idx="110">
                  <c:v>9.8367623177314595E-2</c:v>
                </c:pt>
                <c:pt idx="111">
                  <c:v>9.8392021799252799E-2</c:v>
                </c:pt>
                <c:pt idx="112">
                  <c:v>9.8418345821107006E-2</c:v>
                </c:pt>
                <c:pt idx="113">
                  <c:v>9.8447064636032894E-2</c:v>
                </c:pt>
                <c:pt idx="114">
                  <c:v>9.8478839691440598E-2</c:v>
                </c:pt>
                <c:pt idx="115">
                  <c:v>9.8514644241327595E-2</c:v>
                </c:pt>
                <c:pt idx="116">
                  <c:v>9.8555990865747706E-2</c:v>
                </c:pt>
                <c:pt idx="117">
                  <c:v>9.8605403888521903E-2</c:v>
                </c:pt>
                <c:pt idx="118">
                  <c:v>9.8667520989107305E-2</c:v>
                </c:pt>
                <c:pt idx="119">
                  <c:v>9.8752103704584399E-2</c:v>
                </c:pt>
                <c:pt idx="120">
                  <c:v>9.88844549873618E-2</c:v>
                </c:pt>
                <c:pt idx="121">
                  <c:v>9.9160892815511298E-2</c:v>
                </c:pt>
                <c:pt idx="122">
                  <c:v>9.94091301530452E-2</c:v>
                </c:pt>
                <c:pt idx="123">
                  <c:v>9.9655849602708402E-2</c:v>
                </c:pt>
                <c:pt idx="124">
                  <c:v>9.9905501975847605E-2</c:v>
                </c:pt>
                <c:pt idx="125">
                  <c:v>0.100158404857082</c:v>
                </c:pt>
                <c:pt idx="126">
                  <c:v>0.100414834399242</c:v>
                </c:pt>
                <c:pt idx="127">
                  <c:v>0.100675010114966</c:v>
                </c:pt>
                <c:pt idx="128">
                  <c:v>0.100939116894578</c:v>
                </c:pt>
                <c:pt idx="129">
                  <c:v>0.10120731898589599</c:v>
                </c:pt>
                <c:pt idx="130">
                  <c:v>0.101479769132194</c:v>
                </c:pt>
                <c:pt idx="131">
                  <c:v>0.101756614544319</c:v>
                </c:pt>
                <c:pt idx="132">
                  <c:v>0.10203800081778799</c:v>
                </c:pt>
                <c:pt idx="133">
                  <c:v>0.116397999320224</c:v>
                </c:pt>
                <c:pt idx="134">
                  <c:v>0.116881301518155</c:v>
                </c:pt>
                <c:pt idx="135">
                  <c:v>0.117296225440862</c:v>
                </c:pt>
                <c:pt idx="136">
                  <c:v>0.117915404787116</c:v>
                </c:pt>
                <c:pt idx="137">
                  <c:v>0.11887599103230199</c:v>
                </c:pt>
                <c:pt idx="138">
                  <c:v>0.119812555000924</c:v>
                </c:pt>
                <c:pt idx="139">
                  <c:v>0.120725054102833</c:v>
                </c:pt>
                <c:pt idx="140">
                  <c:v>0.121614386811381</c:v>
                </c:pt>
                <c:pt idx="141">
                  <c:v>0.122481387577661</c:v>
                </c:pt>
                <c:pt idx="142">
                  <c:v>0.123326882848347</c:v>
                </c:pt>
                <c:pt idx="143">
                  <c:v>0.124151693485474</c:v>
                </c:pt>
                <c:pt idx="144">
                  <c:v>0.12495662838369399</c:v>
                </c:pt>
                <c:pt idx="145">
                  <c:v>0.12574247869944299</c:v>
                </c:pt>
              </c:numCache>
            </c:numRef>
          </c:xVal>
          <c:yVal>
            <c:numRef>
              <c:f>Implicit_Fracs!$BM$5:$BM$150</c:f>
              <c:numCache>
                <c:formatCode>0.00E+00</c:formatCode>
                <c:ptCount val="146"/>
                <c:pt idx="0" formatCode="General">
                  <c:v>0</c:v>
                </c:pt>
                <c:pt idx="1">
                  <c:v>3.1684174377556102E-6</c:v>
                </c:pt>
                <c:pt idx="2">
                  <c:v>6.3358389375540397E-6</c:v>
                </c:pt>
                <c:pt idx="3">
                  <c:v>9.5030236296600508E-6</c:v>
                </c:pt>
                <c:pt idx="4">
                  <c:v>1.2670020025864001E-5</c:v>
                </c:pt>
                <c:pt idx="5">
                  <c:v>1.5836853055322699E-5</c:v>
                </c:pt>
                <c:pt idx="6">
                  <c:v>1.9003534826173699E-5</c:v>
                </c:pt>
                <c:pt idx="7">
                  <c:v>2.2170070736458699E-5</c:v>
                </c:pt>
                <c:pt idx="8">
                  <c:v>2.5336462584293501E-5</c:v>
                </c:pt>
                <c:pt idx="9">
                  <c:v>2.85027101865041E-5</c:v>
                </c:pt>
                <c:pt idx="10">
                  <c:v>3.1668812244071301E-5</c:v>
                </c:pt>
                <c:pt idx="11">
                  <c:v>3.4834766814468102E-5</c:v>
                </c:pt>
                <c:pt idx="12">
                  <c:v>3.8000571573134697E-5</c:v>
                </c:pt>
                <c:pt idx="13">
                  <c:v>4.1166223959461103E-5</c:v>
                </c:pt>
                <c:pt idx="14">
                  <c:v>4.4331721258462101E-5</c:v>
                </c:pt>
                <c:pt idx="15">
                  <c:v>4.7497060646175503E-5</c:v>
                </c:pt>
                <c:pt idx="16">
                  <c:v>5.0662239214342701E-5</c:v>
                </c:pt>
                <c:pt idx="17">
                  <c:v>5.38272539831669E-5</c:v>
                </c:pt>
                <c:pt idx="18">
                  <c:v>5.6992101907126102E-5</c:v>
                </c:pt>
                <c:pt idx="19">
                  <c:v>6.0156779876717497E-5</c:v>
                </c:pt>
                <c:pt idx="20">
                  <c:v>6.3321284717798301E-5</c:v>
                </c:pt>
                <c:pt idx="21">
                  <c:v>6.6485613189481204E-5</c:v>
                </c:pt>
                <c:pt idx="22">
                  <c:v>6.9649761981164997E-5</c:v>
                </c:pt>
                <c:pt idx="23">
                  <c:v>7.2813727709015004E-5</c:v>
                </c:pt>
                <c:pt idx="24">
                  <c:v>7.5977506912086804E-5</c:v>
                </c:pt>
                <c:pt idx="25">
                  <c:v>7.91410955430104E-5</c:v>
                </c:pt>
                <c:pt idx="26">
                  <c:v>8.2304488987166503E-5</c:v>
                </c:pt>
                <c:pt idx="27">
                  <c:v>8.5467682543998602E-5</c:v>
                </c:pt>
                <c:pt idx="28">
                  <c:v>8.8630671414885898E-5</c:v>
                </c:pt>
                <c:pt idx="29">
                  <c:v>9.1793450691790901E-5</c:v>
                </c:pt>
                <c:pt idx="30">
                  <c:v>9.4956015346439794E-5</c:v>
                </c:pt>
                <c:pt idx="31">
                  <c:v>9.811836021985E-5</c:v>
                </c:pt>
                <c:pt idx="32" formatCode="General">
                  <c:v>1.0128048001204E-4</c:v>
                </c:pt>
                <c:pt idx="33" formatCode="General">
                  <c:v>1.0444236927181E-4</c:v>
                </c:pt>
                <c:pt idx="34" formatCode="General">
                  <c:v>1.07604022386455E-4</c:v>
                </c:pt>
                <c:pt idx="35" formatCode="General">
                  <c:v>1.10765433571351E-4</c:v>
                </c:pt>
                <c:pt idx="36" formatCode="General">
                  <c:v>1.1392659685928301E-4</c:v>
                </c:pt>
                <c:pt idx="37" formatCode="General">
                  <c:v>1.1708750608948699E-4</c:v>
                </c:pt>
                <c:pt idx="38" formatCode="General">
                  <c:v>1.20248154896281E-4</c:v>
                </c:pt>
                <c:pt idx="39" formatCode="General">
                  <c:v>1.23408536697261E-4</c:v>
                </c:pt>
                <c:pt idx="40" formatCode="General">
                  <c:v>1.2656864468095299E-4</c:v>
                </c:pt>
                <c:pt idx="41" formatCode="General">
                  <c:v>1.2972847179387899E-4</c:v>
                </c:pt>
                <c:pt idx="42" formatCode="General">
                  <c:v>1.3288801072694001E-4</c:v>
                </c:pt>
                <c:pt idx="43" formatCode="General">
                  <c:v>1.3604725390107199E-4</c:v>
                </c:pt>
                <c:pt idx="44" formatCode="General">
                  <c:v>1.3920619345207899E-4</c:v>
                </c:pt>
                <c:pt idx="45" formatCode="General">
                  <c:v>1.42364821214551E-4</c:v>
                </c:pt>
                <c:pt idx="46" formatCode="General">
                  <c:v>1.4552312870482799E-4</c:v>
                </c:pt>
                <c:pt idx="47" formatCode="General">
                  <c:v>1.4868110710282499E-4</c:v>
                </c:pt>
                <c:pt idx="48" formatCode="General">
                  <c:v>1.5183874723275899E-4</c:v>
                </c:pt>
                <c:pt idx="49" formatCode="General">
                  <c:v>1.5499603954250601E-4</c:v>
                </c:pt>
                <c:pt idx="50" formatCode="General">
                  <c:v>1.5815297408160899E-4</c:v>
                </c:pt>
                <c:pt idx="51" formatCode="General">
                  <c:v>1.6130954047772399E-4</c:v>
                </c:pt>
                <c:pt idx="52" formatCode="General">
                  <c:v>1.64465727911383E-4</c:v>
                </c:pt>
                <c:pt idx="53" formatCode="General">
                  <c:v>1.67621525088958E-4</c:v>
                </c:pt>
                <c:pt idx="54" formatCode="General">
                  <c:v>1.70776920213587E-4</c:v>
                </c:pt>
                <c:pt idx="55" formatCode="General">
                  <c:v>1.7393190095393101E-4</c:v>
                </c:pt>
                <c:pt idx="56" formatCode="General">
                  <c:v>1.77086454410512E-4</c:v>
                </c:pt>
                <c:pt idx="57" formatCode="General">
                  <c:v>1.80240567079453E-4</c:v>
                </c:pt>
                <c:pt idx="58" formatCode="General">
                  <c:v>1.8339422481329499E-4</c:v>
                </c:pt>
                <c:pt idx="59" formatCode="General">
                  <c:v>1.8654741277866399E-4</c:v>
                </c:pt>
                <c:pt idx="60" formatCode="General">
                  <c:v>1.89700115410441E-4</c:v>
                </c:pt>
                <c:pt idx="61" formatCode="General">
                  <c:v>1.9285231636209299E-4</c:v>
                </c:pt>
                <c:pt idx="62" formatCode="General">
                  <c:v>1.9600399845174E-4</c:v>
                </c:pt>
                <c:pt idx="63" formatCode="General">
                  <c:v>1.99155143603555E-4</c:v>
                </c:pt>
                <c:pt idx="64" formatCode="General">
                  <c:v>2.0230573278396999E-4</c:v>
                </c:pt>
                <c:pt idx="65" formatCode="General">
                  <c:v>2.0545574593211201E-4</c:v>
                </c:pt>
                <c:pt idx="66" formatCode="General">
                  <c:v>2.0860516188384999E-4</c:v>
                </c:pt>
                <c:pt idx="67" formatCode="General">
                  <c:v>2.11753958288753E-4</c:v>
                </c:pt>
                <c:pt idx="68" formatCode="General">
                  <c:v>2.1490211151908899E-4</c:v>
                </c:pt>
                <c:pt idx="69" formatCode="General">
                  <c:v>2.1804959656998899E-4</c:v>
                </c:pt>
                <c:pt idx="70" formatCode="General">
                  <c:v>2.21196386949696E-4</c:v>
                </c:pt>
                <c:pt idx="71" formatCode="General">
                  <c:v>2.2434245455870601E-4</c:v>
                </c:pt>
                <c:pt idx="72" formatCode="General">
                  <c:v>2.27487769556408E-4</c:v>
                </c:pt>
                <c:pt idx="73" formatCode="General">
                  <c:v>2.3063230021366801E-4</c:v>
                </c:pt>
                <c:pt idx="74" formatCode="General">
                  <c:v>2.3377601274951601E-4</c:v>
                </c:pt>
                <c:pt idx="75" formatCode="General">
                  <c:v>2.3691887114986199E-4</c:v>
                </c:pt>
                <c:pt idx="76" formatCode="General">
                  <c:v>2.40060836965792E-4</c:v>
                </c:pt>
                <c:pt idx="77" formatCode="General">
                  <c:v>2.4320186908865799E-4</c:v>
                </c:pt>
                <c:pt idx="78" formatCode="General">
                  <c:v>2.4634192349867398E-4</c:v>
                </c:pt>
                <c:pt idx="79" formatCode="General">
                  <c:v>2.4948095298318499E-4</c:v>
                </c:pt>
                <c:pt idx="80" formatCode="General">
                  <c:v>2.5261890682016E-4</c:v>
                </c:pt>
                <c:pt idx="81" formatCode="General">
                  <c:v>2.5575573042159602E-4</c:v>
                </c:pt>
                <c:pt idx="82" formatCode="General">
                  <c:v>2.58891364930662E-4</c:v>
                </c:pt>
                <c:pt idx="83" formatCode="General">
                  <c:v>2.6202574676518001E-4</c:v>
                </c:pt>
                <c:pt idx="84" formatCode="General">
                  <c:v>2.6515880709866301E-4</c:v>
                </c:pt>
                <c:pt idx="85" formatCode="General">
                  <c:v>2.6829047126845701E-4</c:v>
                </c:pt>
                <c:pt idx="86" formatCode="General">
                  <c:v>2.7142065809839601E-4</c:v>
                </c:pt>
                <c:pt idx="87" formatCode="General">
                  <c:v>2.7454927912073701E-4</c:v>
                </c:pt>
                <c:pt idx="88" formatCode="General">
                  <c:v>2.77676237679042E-4</c:v>
                </c:pt>
                <c:pt idx="89" formatCode="General">
                  <c:v>2.8080142788950699E-4</c:v>
                </c:pt>
                <c:pt idx="90" formatCode="General">
                  <c:v>2.8392473343327301E-4</c:v>
                </c:pt>
                <c:pt idx="91" formatCode="General">
                  <c:v>2.8704602614579799E-4</c:v>
                </c:pt>
                <c:pt idx="92" formatCode="General">
                  <c:v>2.9016516436122298E-4</c:v>
                </c:pt>
                <c:pt idx="93" formatCode="General">
                  <c:v>2.9328199095924901E-4</c:v>
                </c:pt>
                <c:pt idx="94" formatCode="General">
                  <c:v>2.9639633104840498E-4</c:v>
                </c:pt>
                <c:pt idx="95" formatCode="General">
                  <c:v>2.99507989202072E-4</c:v>
                </c:pt>
                <c:pt idx="96" formatCode="General">
                  <c:v>3.0261674614036202E-4</c:v>
                </c:pt>
                <c:pt idx="97" formatCode="General">
                  <c:v>3.0572235472022099E-4</c:v>
                </c:pt>
                <c:pt idx="98" formatCode="General">
                  <c:v>3.0882453505483E-4</c:v>
                </c:pt>
                <c:pt idx="99" formatCode="General">
                  <c:v>3.1192296852762698E-4</c:v>
                </c:pt>
                <c:pt idx="100" formatCode="General">
                  <c:v>3.15017290389603E-4</c:v>
                </c:pt>
                <c:pt idx="101" formatCode="General">
                  <c:v>3.1810708052261601E-4</c:v>
                </c:pt>
                <c:pt idx="102" formatCode="General">
                  <c:v>3.2119185180223998E-4</c:v>
                </c:pt>
                <c:pt idx="103" formatCode="General">
                  <c:v>3.2427103528161102E-4</c:v>
                </c:pt>
                <c:pt idx="104" formatCode="General">
                  <c:v>3.27343961110554E-4</c:v>
                </c:pt>
                <c:pt idx="105" formatCode="General">
                  <c:v>3.3040983365330398E-4</c:v>
                </c:pt>
                <c:pt idx="106" formatCode="General">
                  <c:v>3.3346769859313901E-4</c:v>
                </c:pt>
                <c:pt idx="107" formatCode="General">
                  <c:v>3.3651639878385698E-4</c:v>
                </c:pt>
                <c:pt idx="108" formatCode="General">
                  <c:v>3.3955451400819099E-4</c:v>
                </c:pt>
                <c:pt idx="109" formatCode="General">
                  <c:v>3.4258027726090601E-4</c:v>
                </c:pt>
                <c:pt idx="110" formatCode="General">
                  <c:v>3.4559145604127502E-4</c:v>
                </c:pt>
                <c:pt idx="111" formatCode="General">
                  <c:v>3.48585180263694E-4</c:v>
                </c:pt>
                <c:pt idx="112" formatCode="General">
                  <c:v>3.5155768670195502E-4</c:v>
                </c:pt>
                <c:pt idx="113" formatCode="General">
                  <c:v>3.5450392965088198E-4</c:v>
                </c:pt>
                <c:pt idx="114" formatCode="General">
                  <c:v>3.5741697236909301E-4</c:v>
                </c:pt>
                <c:pt idx="115" formatCode="General">
                  <c:v>3.6028701519447701E-4</c:v>
                </c:pt>
                <c:pt idx="116" formatCode="General">
                  <c:v>3.6309983583373998E-4</c:v>
                </c:pt>
                <c:pt idx="117" formatCode="General">
                  <c:v>3.65834424599367E-4</c:v>
                </c:pt>
                <c:pt idx="118" formatCode="General">
                  <c:v>3.6846057691693402E-4</c:v>
                </c:pt>
                <c:pt idx="119" formatCode="General">
                  <c:v>3.70945938462272E-4</c:v>
                </c:pt>
                <c:pt idx="120" formatCode="General">
                  <c:v>3.73364247857253E-4</c:v>
                </c:pt>
                <c:pt idx="121" formatCode="General">
                  <c:v>3.7445170368324702E-4</c:v>
                </c:pt>
                <c:pt idx="122" formatCode="General">
                  <c:v>3.7683006061993998E-4</c:v>
                </c:pt>
                <c:pt idx="123" formatCode="General">
                  <c:v>3.79211216356648E-4</c:v>
                </c:pt>
                <c:pt idx="124" formatCode="General">
                  <c:v>3.8162354260596698E-4</c:v>
                </c:pt>
                <c:pt idx="125" formatCode="General">
                  <c:v>3.8405276681351201E-4</c:v>
                </c:pt>
                <c:pt idx="126" formatCode="General">
                  <c:v>3.8649020531299102E-4</c:v>
                </c:pt>
                <c:pt idx="127" formatCode="General">
                  <c:v>3.8893034671094398E-4</c:v>
                </c:pt>
                <c:pt idx="128" formatCode="General">
                  <c:v>3.9136969825030602E-4</c:v>
                </c:pt>
                <c:pt idx="129" formatCode="General">
                  <c:v>3.9380603815828802E-4</c:v>
                </c:pt>
                <c:pt idx="130" formatCode="General">
                  <c:v>3.9623793926365998E-4</c:v>
                </c:pt>
                <c:pt idx="131" formatCode="General">
                  <c:v>3.9866446783911501E-4</c:v>
                </c:pt>
                <c:pt idx="132" formatCode="General">
                  <c:v>3.9866446783911599E-4</c:v>
                </c:pt>
                <c:pt idx="133" formatCode="General">
                  <c:v>4.0139683100474499E-4</c:v>
                </c:pt>
                <c:pt idx="134" formatCode="General">
                  <c:v>4.0386413226722097E-4</c:v>
                </c:pt>
                <c:pt idx="135" formatCode="General">
                  <c:v>4.05917458401998E-4</c:v>
                </c:pt>
                <c:pt idx="136" formatCode="General">
                  <c:v>4.05917458401998E-4</c:v>
                </c:pt>
                <c:pt idx="137" formatCode="General">
                  <c:v>4.0659879370328001E-4</c:v>
                </c:pt>
                <c:pt idx="138" formatCode="General">
                  <c:v>4.0740222067690499E-4</c:v>
                </c:pt>
                <c:pt idx="139" formatCode="General">
                  <c:v>4.0825910217803498E-4</c:v>
                </c:pt>
                <c:pt idx="140" formatCode="General">
                  <c:v>4.0915302295907598E-4</c:v>
                </c:pt>
                <c:pt idx="141" formatCode="General">
                  <c:v>4.1007906938657801E-4</c:v>
                </c:pt>
                <c:pt idx="142" formatCode="General">
                  <c:v>4.1103507901365502E-4</c:v>
                </c:pt>
                <c:pt idx="143" formatCode="General">
                  <c:v>4.12019597463033E-4</c:v>
                </c:pt>
                <c:pt idx="144" formatCode="General">
                  <c:v>4.1303137704102401E-4</c:v>
                </c:pt>
                <c:pt idx="145" formatCode="General">
                  <c:v>4.1303137704102401E-4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Implicit_Fracs!$C$5:$C$150</c:f>
              <c:numCache>
                <c:formatCode>General</c:formatCode>
                <c:ptCount val="146"/>
                <c:pt idx="0">
                  <c:v>6.5264358172878303E-2</c:v>
                </c:pt>
                <c:pt idx="1">
                  <c:v>9.5654928193278393E-2</c:v>
                </c:pt>
                <c:pt idx="2">
                  <c:v>9.5940236144888405E-2</c:v>
                </c:pt>
                <c:pt idx="3">
                  <c:v>9.6117006700230295E-2</c:v>
                </c:pt>
                <c:pt idx="4">
                  <c:v>9.6246045395184304E-2</c:v>
                </c:pt>
                <c:pt idx="5">
                  <c:v>9.6348050389714904E-2</c:v>
                </c:pt>
                <c:pt idx="6">
                  <c:v>9.6432615616439593E-2</c:v>
                </c:pt>
                <c:pt idx="7">
                  <c:v>9.6504985648747904E-2</c:v>
                </c:pt>
                <c:pt idx="8">
                  <c:v>9.6568344484260105E-2</c:v>
                </c:pt>
                <c:pt idx="9">
                  <c:v>9.6624771835736395E-2</c:v>
                </c:pt>
                <c:pt idx="10">
                  <c:v>9.6675701685845106E-2</c:v>
                </c:pt>
                <c:pt idx="11">
                  <c:v>9.6722164953426698E-2</c:v>
                </c:pt>
                <c:pt idx="12">
                  <c:v>9.6764927844012E-2</c:v>
                </c:pt>
                <c:pt idx="13">
                  <c:v>9.6804575476413093E-2</c:v>
                </c:pt>
                <c:pt idx="14">
                  <c:v>9.6841564874625002E-2</c:v>
                </c:pt>
                <c:pt idx="15">
                  <c:v>9.6876259881600799E-2</c:v>
                </c:pt>
                <c:pt idx="16">
                  <c:v>9.6908954927759902E-2</c:v>
                </c:pt>
                <c:pt idx="17">
                  <c:v>9.6939891670041495E-2</c:v>
                </c:pt>
                <c:pt idx="18">
                  <c:v>9.6969270924016998E-2</c:v>
                </c:pt>
                <c:pt idx="19">
                  <c:v>9.6997261402266499E-2</c:v>
                </c:pt>
                <c:pt idx="20">
                  <c:v>9.7024006233288995E-2</c:v>
                </c:pt>
                <c:pt idx="21">
                  <c:v>9.7049627905100702E-2</c:v>
                </c:pt>
                <c:pt idx="22">
                  <c:v>9.7074232069540994E-2</c:v>
                </c:pt>
                <c:pt idx="23">
                  <c:v>9.7097910508660804E-2</c:v>
                </c:pt>
                <c:pt idx="24">
                  <c:v>9.7120743475452104E-2</c:v>
                </c:pt>
                <c:pt idx="25">
                  <c:v>9.7142801560966802E-2</c:v>
                </c:pt>
                <c:pt idx="26">
                  <c:v>9.7164147205116805E-2</c:v>
                </c:pt>
                <c:pt idx="27">
                  <c:v>9.7184835924468901E-2</c:v>
                </c:pt>
                <c:pt idx="28">
                  <c:v>9.7204917312612493E-2</c:v>
                </c:pt>
                <c:pt idx="29">
                  <c:v>9.7224435866633804E-2</c:v>
                </c:pt>
                <c:pt idx="30">
                  <c:v>9.7243431674802899E-2</c:v>
                </c:pt>
                <c:pt idx="31">
                  <c:v>9.72619409925784E-2</c:v>
                </c:pt>
                <c:pt idx="32">
                  <c:v>9.72799967280569E-2</c:v>
                </c:pt>
                <c:pt idx="33">
                  <c:v>9.7297628853473095E-2</c:v>
                </c:pt>
                <c:pt idx="34">
                  <c:v>9.7314864755910904E-2</c:v>
                </c:pt>
                <c:pt idx="35">
                  <c:v>9.7331729537735306E-2</c:v>
                </c:pt>
                <c:pt idx="36">
                  <c:v>9.7348246275195394E-2</c:v>
                </c:pt>
                <c:pt idx="37">
                  <c:v>9.7364436242040303E-2</c:v>
                </c:pt>
                <c:pt idx="38">
                  <c:v>9.7380319103720206E-2</c:v>
                </c:pt>
                <c:pt idx="39">
                  <c:v>9.7395913086741406E-2</c:v>
                </c:pt>
                <c:pt idx="40">
                  <c:v>9.7411235126937806E-2</c:v>
                </c:pt>
                <c:pt idx="41">
                  <c:v>9.7426300999777393E-2</c:v>
                </c:pt>
                <c:pt idx="42">
                  <c:v>9.7441125435301396E-2</c:v>
                </c:pt>
                <c:pt idx="43">
                  <c:v>9.7455722219866994E-2</c:v>
                </c:pt>
                <c:pt idx="44">
                  <c:v>9.7470104286522502E-2</c:v>
                </c:pt>
                <c:pt idx="45">
                  <c:v>9.7484283795555404E-2</c:v>
                </c:pt>
                <c:pt idx="46">
                  <c:v>9.7498272206523406E-2</c:v>
                </c:pt>
                <c:pt idx="47">
                  <c:v>9.7512080342880295E-2</c:v>
                </c:pt>
                <c:pt idx="48">
                  <c:v>9.7525718450151996E-2</c:v>
                </c:pt>
                <c:pt idx="49">
                  <c:v>9.7539196248478802E-2</c:v>
                </c:pt>
                <c:pt idx="50">
                  <c:v>9.7552522980230996E-2</c:v>
                </c:pt>
                <c:pt idx="51">
                  <c:v>9.7565707453306894E-2</c:v>
                </c:pt>
                <c:pt idx="52">
                  <c:v>9.75787580806462E-2</c:v>
                </c:pt>
                <c:pt idx="53">
                  <c:v>9.7591682916420397E-2</c:v>
                </c:pt>
                <c:pt idx="54">
                  <c:v>9.7604489689307794E-2</c:v>
                </c:pt>
                <c:pt idx="55">
                  <c:v>9.7617185833211995E-2</c:v>
                </c:pt>
                <c:pt idx="56">
                  <c:v>9.7629778515739299E-2</c:v>
                </c:pt>
                <c:pt idx="57">
                  <c:v>9.7642274664720294E-2</c:v>
                </c:pt>
                <c:pt idx="58">
                  <c:v>9.7654680993027307E-2</c:v>
                </c:pt>
                <c:pt idx="59">
                  <c:v>9.7667004021917095E-2</c:v>
                </c:pt>
                <c:pt idx="60">
                  <c:v>9.7679250103107004E-2</c:v>
                </c:pt>
                <c:pt idx="61">
                  <c:v>9.7691425439775798E-2</c:v>
                </c:pt>
                <c:pt idx="62">
                  <c:v>9.7703536106665101E-2</c:v>
                </c:pt>
                <c:pt idx="63">
                  <c:v>9.7715588069448703E-2</c:v>
                </c:pt>
                <c:pt idx="64">
                  <c:v>9.7727587203525104E-2</c:v>
                </c:pt>
                <c:pt idx="65">
                  <c:v>9.7739539312385298E-2</c:v>
                </c:pt>
                <c:pt idx="66">
                  <c:v>9.7751450145702204E-2</c:v>
                </c:pt>
                <c:pt idx="67">
                  <c:v>9.7763325417286398E-2</c:v>
                </c:pt>
                <c:pt idx="68">
                  <c:v>9.7775170823054605E-2</c:v>
                </c:pt>
                <c:pt idx="69">
                  <c:v>9.7786992059158098E-2</c:v>
                </c:pt>
                <c:pt idx="70">
                  <c:v>9.7798794840424697E-2</c:v>
                </c:pt>
                <c:pt idx="71">
                  <c:v>9.78105849192758E-2</c:v>
                </c:pt>
                <c:pt idx="72">
                  <c:v>9.7822368105289298E-2</c:v>
                </c:pt>
                <c:pt idx="73">
                  <c:v>9.7834150285593197E-2</c:v>
                </c:pt>
                <c:pt idx="74">
                  <c:v>9.7845937446292497E-2</c:v>
                </c:pt>
                <c:pt idx="75">
                  <c:v>9.7857735695151798E-2</c:v>
                </c:pt>
                <c:pt idx="76">
                  <c:v>9.7869551285783105E-2</c:v>
                </c:pt>
                <c:pt idx="77">
                  <c:v>9.7881390643619406E-2</c:v>
                </c:pt>
                <c:pt idx="78">
                  <c:v>9.7893260393991793E-2</c:v>
                </c:pt>
                <c:pt idx="79">
                  <c:v>9.7905167392676101E-2</c:v>
                </c:pt>
                <c:pt idx="80">
                  <c:v>9.7917118759327501E-2</c:v>
                </c:pt>
                <c:pt idx="81">
                  <c:v>9.7929121914292899E-2</c:v>
                </c:pt>
                <c:pt idx="82">
                  <c:v>9.7941184619368404E-2</c:v>
                </c:pt>
                <c:pt idx="83">
                  <c:v>9.7953315023171394E-2</c:v>
                </c:pt>
                <c:pt idx="84">
                  <c:v>9.7965521711917206E-2</c:v>
                </c:pt>
                <c:pt idx="85">
                  <c:v>9.7977813766536706E-2</c:v>
                </c:pt>
                <c:pt idx="86">
                  <c:v>9.7990200827255999E-2</c:v>
                </c:pt>
                <c:pt idx="87">
                  <c:v>9.8002693166983901E-2</c:v>
                </c:pt>
                <c:pt idx="88">
                  <c:v>9.8015301775131097E-2</c:v>
                </c:pt>
                <c:pt idx="89">
                  <c:v>9.8028038453837299E-2</c:v>
                </c:pt>
                <c:pt idx="90">
                  <c:v>9.8040915929021297E-2</c:v>
                </c:pt>
                <c:pt idx="91">
                  <c:v>9.8053947979225203E-2</c:v>
                </c:pt>
                <c:pt idx="92">
                  <c:v>9.8067149585934904E-2</c:v>
                </c:pt>
                <c:pt idx="93">
                  <c:v>9.8080537109968002E-2</c:v>
                </c:pt>
                <c:pt idx="94">
                  <c:v>9.8094128499704294E-2</c:v>
                </c:pt>
                <c:pt idx="95">
                  <c:v>9.8107943538468995E-2</c:v>
                </c:pt>
                <c:pt idx="96">
                  <c:v>9.8122004140413804E-2</c:v>
                </c:pt>
                <c:pt idx="97">
                  <c:v>9.8136334706939998E-2</c:v>
                </c:pt>
                <c:pt idx="98">
                  <c:v>9.8150962559342594E-2</c:v>
                </c:pt>
                <c:pt idx="99">
                  <c:v>9.8165918468299695E-2</c:v>
                </c:pt>
                <c:pt idx="100">
                  <c:v>9.8181237307639599E-2</c:v>
                </c:pt>
                <c:pt idx="101">
                  <c:v>9.8196958869323794E-2</c:v>
                </c:pt>
                <c:pt idx="102">
                  <c:v>9.8213128890047005E-2</c:v>
                </c:pt>
                <c:pt idx="103">
                  <c:v>9.8229800359218494E-2</c:v>
                </c:pt>
                <c:pt idx="104">
                  <c:v>9.8247035206441499E-2</c:v>
                </c:pt>
                <c:pt idx="105">
                  <c:v>9.8264906508888999E-2</c:v>
                </c:pt>
                <c:pt idx="106">
                  <c:v>9.8283501423392997E-2</c:v>
                </c:pt>
                <c:pt idx="107">
                  <c:v>9.83029251484802E-2</c:v>
                </c:pt>
                <c:pt idx="108">
                  <c:v>9.8323306382231898E-2</c:v>
                </c:pt>
                <c:pt idx="109">
                  <c:v>9.83448050063956E-2</c:v>
                </c:pt>
                <c:pt idx="110">
                  <c:v>9.8367623177314595E-2</c:v>
                </c:pt>
                <c:pt idx="111">
                  <c:v>9.8392021799252799E-2</c:v>
                </c:pt>
                <c:pt idx="112">
                  <c:v>9.8418345821107006E-2</c:v>
                </c:pt>
                <c:pt idx="113">
                  <c:v>9.8447064636032894E-2</c:v>
                </c:pt>
                <c:pt idx="114">
                  <c:v>9.8478839691440598E-2</c:v>
                </c:pt>
                <c:pt idx="115">
                  <c:v>9.8514644241327595E-2</c:v>
                </c:pt>
                <c:pt idx="116">
                  <c:v>9.8555990865747706E-2</c:v>
                </c:pt>
                <c:pt idx="117">
                  <c:v>9.8605403888521903E-2</c:v>
                </c:pt>
                <c:pt idx="118">
                  <c:v>9.8667520989107305E-2</c:v>
                </c:pt>
                <c:pt idx="119">
                  <c:v>9.8752103704584399E-2</c:v>
                </c:pt>
                <c:pt idx="120">
                  <c:v>9.88844549873618E-2</c:v>
                </c:pt>
                <c:pt idx="121">
                  <c:v>9.9160892815511298E-2</c:v>
                </c:pt>
                <c:pt idx="122">
                  <c:v>9.94091301530452E-2</c:v>
                </c:pt>
                <c:pt idx="123">
                  <c:v>9.9655849602708402E-2</c:v>
                </c:pt>
                <c:pt idx="124">
                  <c:v>9.9905501975847605E-2</c:v>
                </c:pt>
                <c:pt idx="125">
                  <c:v>0.100158404857082</c:v>
                </c:pt>
                <c:pt idx="126">
                  <c:v>0.100414834399242</c:v>
                </c:pt>
                <c:pt idx="127">
                  <c:v>0.100675010114966</c:v>
                </c:pt>
                <c:pt idx="128">
                  <c:v>0.100939116894578</c:v>
                </c:pt>
                <c:pt idx="129">
                  <c:v>0.10120731898589599</c:v>
                </c:pt>
                <c:pt idx="130">
                  <c:v>0.101479769132194</c:v>
                </c:pt>
                <c:pt idx="131">
                  <c:v>0.101756614544319</c:v>
                </c:pt>
                <c:pt idx="132">
                  <c:v>0.10203800081778799</c:v>
                </c:pt>
                <c:pt idx="133">
                  <c:v>0.116397999320224</c:v>
                </c:pt>
                <c:pt idx="134">
                  <c:v>0.116881301518155</c:v>
                </c:pt>
                <c:pt idx="135">
                  <c:v>0.117296225440862</c:v>
                </c:pt>
                <c:pt idx="136">
                  <c:v>0.117915404787116</c:v>
                </c:pt>
                <c:pt idx="137">
                  <c:v>0.11887599103230199</c:v>
                </c:pt>
                <c:pt idx="138">
                  <c:v>0.119812555000924</c:v>
                </c:pt>
                <c:pt idx="139">
                  <c:v>0.120725054102833</c:v>
                </c:pt>
                <c:pt idx="140">
                  <c:v>0.121614386811381</c:v>
                </c:pt>
                <c:pt idx="141">
                  <c:v>0.122481387577661</c:v>
                </c:pt>
                <c:pt idx="142">
                  <c:v>0.123326882848347</c:v>
                </c:pt>
                <c:pt idx="143">
                  <c:v>0.124151693485474</c:v>
                </c:pt>
                <c:pt idx="144">
                  <c:v>0.12495662838369399</c:v>
                </c:pt>
                <c:pt idx="145">
                  <c:v>0.12574247869944299</c:v>
                </c:pt>
              </c:numCache>
            </c:numRef>
          </c:xVal>
          <c:yVal>
            <c:numRef>
              <c:f>Implicit_Fracs!$BN$5:$BN$150</c:f>
              <c:numCache>
                <c:formatCode>0.00E+00</c:formatCode>
                <c:ptCount val="146"/>
                <c:pt idx="0">
                  <c:v>4.3481320615740699E-7</c:v>
                </c:pt>
                <c:pt idx="1">
                  <c:v>4.2862994276221699E-7</c:v>
                </c:pt>
                <c:pt idx="2">
                  <c:v>4.2680688806143798E-7</c:v>
                </c:pt>
                <c:pt idx="3">
                  <c:v>4.2542323485985998E-7</c:v>
                </c:pt>
                <c:pt idx="4">
                  <c:v>4.2422394525942601E-7</c:v>
                </c:pt>
                <c:pt idx="5">
                  <c:v>4.2312608897220102E-7</c:v>
                </c:pt>
                <c:pt idx="6">
                  <c:v>4.22092670943033E-7</c:v>
                </c:pt>
                <c:pt idx="7">
                  <c:v>4.2110328465797501E-7</c:v>
                </c:pt>
                <c:pt idx="8">
                  <c:v>4.2014662934041599E-7</c:v>
                </c:pt>
                <c:pt idx="9">
                  <c:v>4.1921465776000202E-7</c:v>
                </c:pt>
                <c:pt idx="10">
                  <c:v>4.1830179674053003E-7</c:v>
                </c:pt>
                <c:pt idx="11">
                  <c:v>4.1740475999716601E-7</c:v>
                </c:pt>
                <c:pt idx="12">
                  <c:v>4.1652049652712102E-7</c:v>
                </c:pt>
                <c:pt idx="13">
                  <c:v>4.1564688312111699E-7</c:v>
                </c:pt>
                <c:pt idx="14">
                  <c:v>4.1478251812136499E-7</c:v>
                </c:pt>
                <c:pt idx="15">
                  <c:v>4.1392609149978698E-7</c:v>
                </c:pt>
                <c:pt idx="16">
                  <c:v>4.1307630262755699E-7</c:v>
                </c:pt>
                <c:pt idx="17">
                  <c:v>4.1223277476891701E-7</c:v>
                </c:pt>
                <c:pt idx="18">
                  <c:v>4.1139430604273798E-7</c:v>
                </c:pt>
                <c:pt idx="19">
                  <c:v>4.10560775395408E-7</c:v>
                </c:pt>
                <c:pt idx="20">
                  <c:v>4.09731668742646E-7</c:v>
                </c:pt>
                <c:pt idx="21">
                  <c:v>4.0890607645486498E-7</c:v>
                </c:pt>
                <c:pt idx="22">
                  <c:v>4.0808409088910899E-7</c:v>
                </c:pt>
                <c:pt idx="23">
                  <c:v>4.07265149981688E-7</c:v>
                </c:pt>
                <c:pt idx="24">
                  <c:v>4.0644919528771097E-7</c:v>
                </c:pt>
                <c:pt idx="25">
                  <c:v>4.05635972203662E-7</c:v>
                </c:pt>
                <c:pt idx="26">
                  <c:v>4.04825256665504E-7</c:v>
                </c:pt>
                <c:pt idx="27">
                  <c:v>4.04016405155658E-7</c:v>
                </c:pt>
                <c:pt idx="28">
                  <c:v>4.0320990477925098E-7</c:v>
                </c:pt>
                <c:pt idx="29">
                  <c:v>4.02405805645341E-7</c:v>
                </c:pt>
                <c:pt idx="30">
                  <c:v>4.0160309175165401E-7</c:v>
                </c:pt>
                <c:pt idx="31">
                  <c:v>4.0080227559855597E-7</c:v>
                </c:pt>
                <c:pt idx="32">
                  <c:v>4.00002809228508E-7</c:v>
                </c:pt>
                <c:pt idx="33">
                  <c:v>3.9920520815126698E-7</c:v>
                </c:pt>
                <c:pt idx="34">
                  <c:v>3.9840915346693102E-7</c:v>
                </c:pt>
                <c:pt idx="35">
                  <c:v>3.9761413799838799E-7</c:v>
                </c:pt>
                <c:pt idx="36">
                  <c:v>3.9682067976043802E-7</c:v>
                </c:pt>
                <c:pt idx="37">
                  <c:v>3.9602828948596998E-7</c:v>
                </c:pt>
                <c:pt idx="38">
                  <c:v>3.9523708582171502E-7</c:v>
                </c:pt>
                <c:pt idx="39">
                  <c:v>3.9444718523948098E-7</c:v>
                </c:pt>
                <c:pt idx="40">
                  <c:v>3.9365812790380901E-7</c:v>
                </c:pt>
                <c:pt idx="41">
                  <c:v>3.9287022756930601E-7</c:v>
                </c:pt>
                <c:pt idx="42">
                  <c:v>3.9208341448598197E-7</c:v>
                </c:pt>
                <c:pt idx="43">
                  <c:v>3.9129725449006003E-7</c:v>
                </c:pt>
                <c:pt idx="44">
                  <c:v>3.9051223826291298E-7</c:v>
                </c:pt>
                <c:pt idx="45">
                  <c:v>3.8972812134322399E-7</c:v>
                </c:pt>
                <c:pt idx="46">
                  <c:v>3.8894484575662403E-7</c:v>
                </c:pt>
                <c:pt idx="47">
                  <c:v>3.8816218184787598E-7</c:v>
                </c:pt>
                <c:pt idx="48">
                  <c:v>3.8738042415454102E-7</c:v>
                </c:pt>
                <c:pt idx="49">
                  <c:v>3.8659951633125698E-7</c:v>
                </c:pt>
                <c:pt idx="50">
                  <c:v>3.8581940384193498E-7</c:v>
                </c:pt>
                <c:pt idx="51">
                  <c:v>3.85039705840194E-7</c:v>
                </c:pt>
                <c:pt idx="52">
                  <c:v>3.8426102739928301E-7</c:v>
                </c:pt>
                <c:pt idx="53">
                  <c:v>3.8348283185187601E-7</c:v>
                </c:pt>
                <c:pt idx="54">
                  <c:v>3.8270554565610601E-7</c:v>
                </c:pt>
                <c:pt idx="55">
                  <c:v>3.8192865002174699E-7</c:v>
                </c:pt>
                <c:pt idx="56">
                  <c:v>3.8717558436314401E-7</c:v>
                </c:pt>
                <c:pt idx="57">
                  <c:v>3.8639994589768698E-7</c:v>
                </c:pt>
                <c:pt idx="58">
                  <c:v>3.8562500993173502E-7</c:v>
                </c:pt>
                <c:pt idx="59">
                  <c:v>3.8485072457473E-7</c:v>
                </c:pt>
                <c:pt idx="60">
                  <c:v>3.8407689760195302E-7</c:v>
                </c:pt>
                <c:pt idx="61">
                  <c:v>3.8330376224933398E-7</c:v>
                </c:pt>
                <c:pt idx="62">
                  <c:v>3.82531128425156E-7</c:v>
                </c:pt>
                <c:pt idx="63">
                  <c:v>3.81759082364467E-7</c:v>
                </c:pt>
                <c:pt idx="64">
                  <c:v>3.8098770386036398E-7</c:v>
                </c:pt>
                <c:pt idx="65">
                  <c:v>3.8021667951089398E-7</c:v>
                </c:pt>
                <c:pt idx="66">
                  <c:v>3.7944634370966998E-7</c:v>
                </c:pt>
                <c:pt idx="67">
                  <c:v>3.7867651395388002E-7</c:v>
                </c:pt>
                <c:pt idx="68">
                  <c:v>3.7790725890096701E-7</c:v>
                </c:pt>
                <c:pt idx="69">
                  <c:v>3.77138521850022E-7</c:v>
                </c:pt>
                <c:pt idx="70">
                  <c:v>3.76370363423016E-7</c:v>
                </c:pt>
                <c:pt idx="71">
                  <c:v>3.75602724063259E-7</c:v>
                </c:pt>
                <c:pt idx="72">
                  <c:v>3.7483554524437703E-7</c:v>
                </c:pt>
                <c:pt idx="73">
                  <c:v>3.7406887835209198E-7</c:v>
                </c:pt>
                <c:pt idx="74">
                  <c:v>3.73302768345274E-7</c:v>
                </c:pt>
                <c:pt idx="75">
                  <c:v>3.7253735761503303E-7</c:v>
                </c:pt>
                <c:pt idx="76">
                  <c:v>3.7177237013171899E-7</c:v>
                </c:pt>
                <c:pt idx="77">
                  <c:v>3.7100794093561002E-7</c:v>
                </c:pt>
                <c:pt idx="78">
                  <c:v>3.7024409532801398E-7</c:v>
                </c:pt>
                <c:pt idx="79">
                  <c:v>3.6948085267635498E-7</c:v>
                </c:pt>
                <c:pt idx="80">
                  <c:v>3.6871804422393998E-7</c:v>
                </c:pt>
                <c:pt idx="81">
                  <c:v>3.6795595386143701E-7</c:v>
                </c:pt>
                <c:pt idx="82">
                  <c:v>3.67194406578557E-7</c:v>
                </c:pt>
                <c:pt idx="83">
                  <c:v>3.6643348810647001E-7</c:v>
                </c:pt>
                <c:pt idx="84">
                  <c:v>3.6567327154710798E-7</c:v>
                </c:pt>
                <c:pt idx="85">
                  <c:v>3.6491358144252799E-7</c:v>
                </c:pt>
                <c:pt idx="86">
                  <c:v>3.6415471020126601E-7</c:v>
                </c:pt>
                <c:pt idx="87">
                  <c:v>3.6339639959198598E-7</c:v>
                </c:pt>
                <c:pt idx="88">
                  <c:v>3.6263876632463199E-7</c:v>
                </c:pt>
                <c:pt idx="89">
                  <c:v>3.6188190877803401E-7</c:v>
                </c:pt>
                <c:pt idx="90">
                  <c:v>3.6112577461717698E-7</c:v>
                </c:pt>
                <c:pt idx="91">
                  <c:v>3.6037050096344302E-7</c:v>
                </c:pt>
                <c:pt idx="92">
                  <c:v>3.5961607789207498E-7</c:v>
                </c:pt>
                <c:pt idx="93">
                  <c:v>3.58862487012196E-7</c:v>
                </c:pt>
                <c:pt idx="94">
                  <c:v>3.58109815809391E-7</c:v>
                </c:pt>
                <c:pt idx="95">
                  <c:v>3.5735818507359398E-7</c:v>
                </c:pt>
                <c:pt idx="96">
                  <c:v>3.5660753289458602E-7</c:v>
                </c:pt>
                <c:pt idx="97">
                  <c:v>3.55858041280022E-7</c:v>
                </c:pt>
                <c:pt idx="98">
                  <c:v>3.5510966589113902E-7</c:v>
                </c:pt>
                <c:pt idx="99">
                  <c:v>3.5436257944764203E-7</c:v>
                </c:pt>
                <c:pt idx="100">
                  <c:v>3.5361691506963499E-7</c:v>
                </c:pt>
                <c:pt idx="101">
                  <c:v>3.5446523660726E-7</c:v>
                </c:pt>
                <c:pt idx="102">
                  <c:v>3.5372267642952298E-7</c:v>
                </c:pt>
                <c:pt idx="103">
                  <c:v>3.5298191802391603E-7</c:v>
                </c:pt>
                <c:pt idx="104">
                  <c:v>3.5224319086271398E-7</c:v>
                </c:pt>
                <c:pt idx="105">
                  <c:v>3.5150660508814698E-7</c:v>
                </c:pt>
                <c:pt idx="106">
                  <c:v>3.5077258128423202E-7</c:v>
                </c:pt>
                <c:pt idx="107">
                  <c:v>3.5004136451653599E-7</c:v>
                </c:pt>
                <c:pt idx="108">
                  <c:v>3.4931336239036801E-7</c:v>
                </c:pt>
                <c:pt idx="109">
                  <c:v>3.4858913978467499E-7</c:v>
                </c:pt>
                <c:pt idx="110">
                  <c:v>3.47869308382754E-7</c:v>
                </c:pt>
                <c:pt idx="111">
                  <c:v>3.47154679730108E-7</c:v>
                </c:pt>
                <c:pt idx="112">
                  <c:v>3.46446370464862E-7</c:v>
                </c:pt>
                <c:pt idx="113">
                  <c:v>3.4574587200312602E-7</c:v>
                </c:pt>
                <c:pt idx="114">
                  <c:v>3.4593728647607899E-7</c:v>
                </c:pt>
                <c:pt idx="115">
                  <c:v>3.4525936491223699E-7</c:v>
                </c:pt>
                <c:pt idx="116">
                  <c:v>3.4459850543632401E-7</c:v>
                </c:pt>
                <c:pt idx="117">
                  <c:v>3.4396120951266898E-7</c:v>
                </c:pt>
                <c:pt idx="118">
                  <c:v>3.4350391257080701E-7</c:v>
                </c:pt>
                <c:pt idx="119">
                  <c:v>3.42947692157087E-7</c:v>
                </c:pt>
                <c:pt idx="120">
                  <c:v>3.42527299554004E-7</c:v>
                </c:pt>
                <c:pt idx="121">
                  <c:v>3.4246375288799902E-7</c:v>
                </c:pt>
                <c:pt idx="122">
                  <c:v>3.4211798366634598E-7</c:v>
                </c:pt>
                <c:pt idx="123">
                  <c:v>3.4180213846439003E-7</c:v>
                </c:pt>
                <c:pt idx="124">
                  <c:v>3.4151234507175701E-7</c:v>
                </c:pt>
                <c:pt idx="125">
                  <c:v>3.4124042005216399E-7</c:v>
                </c:pt>
                <c:pt idx="126">
                  <c:v>3.4098992015614598E-7</c:v>
                </c:pt>
                <c:pt idx="127">
                  <c:v>3.4076223732897902E-7</c:v>
                </c:pt>
                <c:pt idx="128">
                  <c:v>3.4055817053076398E-7</c:v>
                </c:pt>
                <c:pt idx="129">
                  <c:v>3.4037650837053898E-7</c:v>
                </c:pt>
                <c:pt idx="130">
                  <c:v>3.4021873193214003E-7</c:v>
                </c:pt>
                <c:pt idx="131">
                  <c:v>3.4008779742798301E-7</c:v>
                </c:pt>
                <c:pt idx="132">
                  <c:v>3.4051007506818899E-7</c:v>
                </c:pt>
                <c:pt idx="133">
                  <c:v>3.3443106068266598E-7</c:v>
                </c:pt>
                <c:pt idx="134">
                  <c:v>3.3251542734757499E-7</c:v>
                </c:pt>
                <c:pt idx="135">
                  <c:v>3.3092942177251102E-7</c:v>
                </c:pt>
                <c:pt idx="136">
                  <c:v>3.2937439690383302E-7</c:v>
                </c:pt>
                <c:pt idx="137">
                  <c:v>3.2688947256816501E-7</c:v>
                </c:pt>
                <c:pt idx="138">
                  <c:v>3.2446824168912501E-7</c:v>
                </c:pt>
                <c:pt idx="139">
                  <c:v>3.2210787489892201E-7</c:v>
                </c:pt>
                <c:pt idx="140">
                  <c:v>3.1990942249216699E-7</c:v>
                </c:pt>
                <c:pt idx="141">
                  <c:v>3.17872518393733E-7</c:v>
                </c:pt>
                <c:pt idx="142">
                  <c:v>3.1590368848955699E-7</c:v>
                </c:pt>
                <c:pt idx="143">
                  <c:v>3.1395686866758299E-7</c:v>
                </c:pt>
                <c:pt idx="144">
                  <c:v>3.1205502711713101E-7</c:v>
                </c:pt>
                <c:pt idx="145">
                  <c:v>3.1048711484284499E-7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Implicit_Fracs!$C$5:$C$150</c:f>
              <c:numCache>
                <c:formatCode>General</c:formatCode>
                <c:ptCount val="146"/>
                <c:pt idx="0">
                  <c:v>6.5264358172878303E-2</c:v>
                </c:pt>
                <c:pt idx="1">
                  <c:v>9.5654928193278393E-2</c:v>
                </c:pt>
                <c:pt idx="2">
                  <c:v>9.5940236144888405E-2</c:v>
                </c:pt>
                <c:pt idx="3">
                  <c:v>9.6117006700230295E-2</c:v>
                </c:pt>
                <c:pt idx="4">
                  <c:v>9.6246045395184304E-2</c:v>
                </c:pt>
                <c:pt idx="5">
                  <c:v>9.6348050389714904E-2</c:v>
                </c:pt>
                <c:pt idx="6">
                  <c:v>9.6432615616439593E-2</c:v>
                </c:pt>
                <c:pt idx="7">
                  <c:v>9.6504985648747904E-2</c:v>
                </c:pt>
                <c:pt idx="8">
                  <c:v>9.6568344484260105E-2</c:v>
                </c:pt>
                <c:pt idx="9">
                  <c:v>9.6624771835736395E-2</c:v>
                </c:pt>
                <c:pt idx="10">
                  <c:v>9.6675701685845106E-2</c:v>
                </c:pt>
                <c:pt idx="11">
                  <c:v>9.6722164953426698E-2</c:v>
                </c:pt>
                <c:pt idx="12">
                  <c:v>9.6764927844012E-2</c:v>
                </c:pt>
                <c:pt idx="13">
                  <c:v>9.6804575476413093E-2</c:v>
                </c:pt>
                <c:pt idx="14">
                  <c:v>9.6841564874625002E-2</c:v>
                </c:pt>
                <c:pt idx="15">
                  <c:v>9.6876259881600799E-2</c:v>
                </c:pt>
                <c:pt idx="16">
                  <c:v>9.6908954927759902E-2</c:v>
                </c:pt>
                <c:pt idx="17">
                  <c:v>9.6939891670041495E-2</c:v>
                </c:pt>
                <c:pt idx="18">
                  <c:v>9.6969270924016998E-2</c:v>
                </c:pt>
                <c:pt idx="19">
                  <c:v>9.6997261402266499E-2</c:v>
                </c:pt>
                <c:pt idx="20">
                  <c:v>9.7024006233288995E-2</c:v>
                </c:pt>
                <c:pt idx="21">
                  <c:v>9.7049627905100702E-2</c:v>
                </c:pt>
                <c:pt idx="22">
                  <c:v>9.7074232069540994E-2</c:v>
                </c:pt>
                <c:pt idx="23">
                  <c:v>9.7097910508660804E-2</c:v>
                </c:pt>
                <c:pt idx="24">
                  <c:v>9.7120743475452104E-2</c:v>
                </c:pt>
                <c:pt idx="25">
                  <c:v>9.7142801560966802E-2</c:v>
                </c:pt>
                <c:pt idx="26">
                  <c:v>9.7164147205116805E-2</c:v>
                </c:pt>
                <c:pt idx="27">
                  <c:v>9.7184835924468901E-2</c:v>
                </c:pt>
                <c:pt idx="28">
                  <c:v>9.7204917312612493E-2</c:v>
                </c:pt>
                <c:pt idx="29">
                  <c:v>9.7224435866633804E-2</c:v>
                </c:pt>
                <c:pt idx="30">
                  <c:v>9.7243431674802899E-2</c:v>
                </c:pt>
                <c:pt idx="31">
                  <c:v>9.72619409925784E-2</c:v>
                </c:pt>
                <c:pt idx="32">
                  <c:v>9.72799967280569E-2</c:v>
                </c:pt>
                <c:pt idx="33">
                  <c:v>9.7297628853473095E-2</c:v>
                </c:pt>
                <c:pt idx="34">
                  <c:v>9.7314864755910904E-2</c:v>
                </c:pt>
                <c:pt idx="35">
                  <c:v>9.7331729537735306E-2</c:v>
                </c:pt>
                <c:pt idx="36">
                  <c:v>9.7348246275195394E-2</c:v>
                </c:pt>
                <c:pt idx="37">
                  <c:v>9.7364436242040303E-2</c:v>
                </c:pt>
                <c:pt idx="38">
                  <c:v>9.7380319103720206E-2</c:v>
                </c:pt>
                <c:pt idx="39">
                  <c:v>9.7395913086741406E-2</c:v>
                </c:pt>
                <c:pt idx="40">
                  <c:v>9.7411235126937806E-2</c:v>
                </c:pt>
                <c:pt idx="41">
                  <c:v>9.7426300999777393E-2</c:v>
                </c:pt>
                <c:pt idx="42">
                  <c:v>9.7441125435301396E-2</c:v>
                </c:pt>
                <c:pt idx="43">
                  <c:v>9.7455722219866994E-2</c:v>
                </c:pt>
                <c:pt idx="44">
                  <c:v>9.7470104286522502E-2</c:v>
                </c:pt>
                <c:pt idx="45">
                  <c:v>9.7484283795555404E-2</c:v>
                </c:pt>
                <c:pt idx="46">
                  <c:v>9.7498272206523406E-2</c:v>
                </c:pt>
                <c:pt idx="47">
                  <c:v>9.7512080342880295E-2</c:v>
                </c:pt>
                <c:pt idx="48">
                  <c:v>9.7525718450151996E-2</c:v>
                </c:pt>
                <c:pt idx="49">
                  <c:v>9.7539196248478802E-2</c:v>
                </c:pt>
                <c:pt idx="50">
                  <c:v>9.7552522980230996E-2</c:v>
                </c:pt>
                <c:pt idx="51">
                  <c:v>9.7565707453306894E-2</c:v>
                </c:pt>
                <c:pt idx="52">
                  <c:v>9.75787580806462E-2</c:v>
                </c:pt>
                <c:pt idx="53">
                  <c:v>9.7591682916420397E-2</c:v>
                </c:pt>
                <c:pt idx="54">
                  <c:v>9.7604489689307794E-2</c:v>
                </c:pt>
                <c:pt idx="55">
                  <c:v>9.7617185833211995E-2</c:v>
                </c:pt>
                <c:pt idx="56">
                  <c:v>9.7629778515739299E-2</c:v>
                </c:pt>
                <c:pt idx="57">
                  <c:v>9.7642274664720294E-2</c:v>
                </c:pt>
                <c:pt idx="58">
                  <c:v>9.7654680993027307E-2</c:v>
                </c:pt>
                <c:pt idx="59">
                  <c:v>9.7667004021917095E-2</c:v>
                </c:pt>
                <c:pt idx="60">
                  <c:v>9.7679250103107004E-2</c:v>
                </c:pt>
                <c:pt idx="61">
                  <c:v>9.7691425439775798E-2</c:v>
                </c:pt>
                <c:pt idx="62">
                  <c:v>9.7703536106665101E-2</c:v>
                </c:pt>
                <c:pt idx="63">
                  <c:v>9.7715588069448703E-2</c:v>
                </c:pt>
                <c:pt idx="64">
                  <c:v>9.7727587203525104E-2</c:v>
                </c:pt>
                <c:pt idx="65">
                  <c:v>9.7739539312385298E-2</c:v>
                </c:pt>
                <c:pt idx="66">
                  <c:v>9.7751450145702204E-2</c:v>
                </c:pt>
                <c:pt idx="67">
                  <c:v>9.7763325417286398E-2</c:v>
                </c:pt>
                <c:pt idx="68">
                  <c:v>9.7775170823054605E-2</c:v>
                </c:pt>
                <c:pt idx="69">
                  <c:v>9.7786992059158098E-2</c:v>
                </c:pt>
                <c:pt idx="70">
                  <c:v>9.7798794840424697E-2</c:v>
                </c:pt>
                <c:pt idx="71">
                  <c:v>9.78105849192758E-2</c:v>
                </c:pt>
                <c:pt idx="72">
                  <c:v>9.7822368105289298E-2</c:v>
                </c:pt>
                <c:pt idx="73">
                  <c:v>9.7834150285593197E-2</c:v>
                </c:pt>
                <c:pt idx="74">
                  <c:v>9.7845937446292497E-2</c:v>
                </c:pt>
                <c:pt idx="75">
                  <c:v>9.7857735695151798E-2</c:v>
                </c:pt>
                <c:pt idx="76">
                  <c:v>9.7869551285783105E-2</c:v>
                </c:pt>
                <c:pt idx="77">
                  <c:v>9.7881390643619406E-2</c:v>
                </c:pt>
                <c:pt idx="78">
                  <c:v>9.7893260393991793E-2</c:v>
                </c:pt>
                <c:pt idx="79">
                  <c:v>9.7905167392676101E-2</c:v>
                </c:pt>
                <c:pt idx="80">
                  <c:v>9.7917118759327501E-2</c:v>
                </c:pt>
                <c:pt idx="81">
                  <c:v>9.7929121914292899E-2</c:v>
                </c:pt>
                <c:pt idx="82">
                  <c:v>9.7941184619368404E-2</c:v>
                </c:pt>
                <c:pt idx="83">
                  <c:v>9.7953315023171394E-2</c:v>
                </c:pt>
                <c:pt idx="84">
                  <c:v>9.7965521711917206E-2</c:v>
                </c:pt>
                <c:pt idx="85">
                  <c:v>9.7977813766536706E-2</c:v>
                </c:pt>
                <c:pt idx="86">
                  <c:v>9.7990200827255999E-2</c:v>
                </c:pt>
                <c:pt idx="87">
                  <c:v>9.8002693166983901E-2</c:v>
                </c:pt>
                <c:pt idx="88">
                  <c:v>9.8015301775131097E-2</c:v>
                </c:pt>
                <c:pt idx="89">
                  <c:v>9.8028038453837299E-2</c:v>
                </c:pt>
                <c:pt idx="90">
                  <c:v>9.8040915929021297E-2</c:v>
                </c:pt>
                <c:pt idx="91">
                  <c:v>9.8053947979225203E-2</c:v>
                </c:pt>
                <c:pt idx="92">
                  <c:v>9.8067149585934904E-2</c:v>
                </c:pt>
                <c:pt idx="93">
                  <c:v>9.8080537109968002E-2</c:v>
                </c:pt>
                <c:pt idx="94">
                  <c:v>9.8094128499704294E-2</c:v>
                </c:pt>
                <c:pt idx="95">
                  <c:v>9.8107943538468995E-2</c:v>
                </c:pt>
                <c:pt idx="96">
                  <c:v>9.8122004140413804E-2</c:v>
                </c:pt>
                <c:pt idx="97">
                  <c:v>9.8136334706939998E-2</c:v>
                </c:pt>
                <c:pt idx="98">
                  <c:v>9.8150962559342594E-2</c:v>
                </c:pt>
                <c:pt idx="99">
                  <c:v>9.8165918468299695E-2</c:v>
                </c:pt>
                <c:pt idx="100">
                  <c:v>9.8181237307639599E-2</c:v>
                </c:pt>
                <c:pt idx="101">
                  <c:v>9.8196958869323794E-2</c:v>
                </c:pt>
                <c:pt idx="102">
                  <c:v>9.8213128890047005E-2</c:v>
                </c:pt>
                <c:pt idx="103">
                  <c:v>9.8229800359218494E-2</c:v>
                </c:pt>
                <c:pt idx="104">
                  <c:v>9.8247035206441499E-2</c:v>
                </c:pt>
                <c:pt idx="105">
                  <c:v>9.8264906508888999E-2</c:v>
                </c:pt>
                <c:pt idx="106">
                  <c:v>9.8283501423392997E-2</c:v>
                </c:pt>
                <c:pt idx="107">
                  <c:v>9.83029251484802E-2</c:v>
                </c:pt>
                <c:pt idx="108">
                  <c:v>9.8323306382231898E-2</c:v>
                </c:pt>
                <c:pt idx="109">
                  <c:v>9.83448050063956E-2</c:v>
                </c:pt>
                <c:pt idx="110">
                  <c:v>9.8367623177314595E-2</c:v>
                </c:pt>
                <c:pt idx="111">
                  <c:v>9.8392021799252799E-2</c:v>
                </c:pt>
                <c:pt idx="112">
                  <c:v>9.8418345821107006E-2</c:v>
                </c:pt>
                <c:pt idx="113">
                  <c:v>9.8447064636032894E-2</c:v>
                </c:pt>
                <c:pt idx="114">
                  <c:v>9.8478839691440598E-2</c:v>
                </c:pt>
                <c:pt idx="115">
                  <c:v>9.8514644241327595E-2</c:v>
                </c:pt>
                <c:pt idx="116">
                  <c:v>9.8555990865747706E-2</c:v>
                </c:pt>
                <c:pt idx="117">
                  <c:v>9.8605403888521903E-2</c:v>
                </c:pt>
                <c:pt idx="118">
                  <c:v>9.8667520989107305E-2</c:v>
                </c:pt>
                <c:pt idx="119">
                  <c:v>9.8752103704584399E-2</c:v>
                </c:pt>
                <c:pt idx="120">
                  <c:v>9.88844549873618E-2</c:v>
                </c:pt>
                <c:pt idx="121">
                  <c:v>9.9160892815511298E-2</c:v>
                </c:pt>
                <c:pt idx="122">
                  <c:v>9.94091301530452E-2</c:v>
                </c:pt>
                <c:pt idx="123">
                  <c:v>9.9655849602708402E-2</c:v>
                </c:pt>
                <c:pt idx="124">
                  <c:v>9.9905501975847605E-2</c:v>
                </c:pt>
                <c:pt idx="125">
                  <c:v>0.100158404857082</c:v>
                </c:pt>
                <c:pt idx="126">
                  <c:v>0.100414834399242</c:v>
                </c:pt>
                <c:pt idx="127">
                  <c:v>0.100675010114966</c:v>
                </c:pt>
                <c:pt idx="128">
                  <c:v>0.100939116894578</c:v>
                </c:pt>
                <c:pt idx="129">
                  <c:v>0.10120731898589599</c:v>
                </c:pt>
                <c:pt idx="130">
                  <c:v>0.101479769132194</c:v>
                </c:pt>
                <c:pt idx="131">
                  <c:v>0.101756614544319</c:v>
                </c:pt>
                <c:pt idx="132">
                  <c:v>0.10203800081778799</c:v>
                </c:pt>
                <c:pt idx="133">
                  <c:v>0.116397999320224</c:v>
                </c:pt>
                <c:pt idx="134">
                  <c:v>0.116881301518155</c:v>
                </c:pt>
                <c:pt idx="135">
                  <c:v>0.117296225440862</c:v>
                </c:pt>
                <c:pt idx="136">
                  <c:v>0.117915404787116</c:v>
                </c:pt>
                <c:pt idx="137">
                  <c:v>0.11887599103230199</c:v>
                </c:pt>
                <c:pt idx="138">
                  <c:v>0.119812555000924</c:v>
                </c:pt>
                <c:pt idx="139">
                  <c:v>0.120725054102833</c:v>
                </c:pt>
                <c:pt idx="140">
                  <c:v>0.121614386811381</c:v>
                </c:pt>
                <c:pt idx="141">
                  <c:v>0.122481387577661</c:v>
                </c:pt>
                <c:pt idx="142">
                  <c:v>0.123326882848347</c:v>
                </c:pt>
                <c:pt idx="143">
                  <c:v>0.124151693485474</c:v>
                </c:pt>
                <c:pt idx="144">
                  <c:v>0.12495662838369399</c:v>
                </c:pt>
                <c:pt idx="145">
                  <c:v>0.12574247869944299</c:v>
                </c:pt>
              </c:numCache>
            </c:numRef>
          </c:xVal>
          <c:yVal>
            <c:numRef>
              <c:f>Implicit_Fracs!$BO$5:$BO$150</c:f>
              <c:numCache>
                <c:formatCode>0.00E+00</c:formatCode>
                <c:ptCount val="146"/>
                <c:pt idx="0" formatCode="General">
                  <c:v>0</c:v>
                </c:pt>
                <c:pt idx="1">
                  <c:v>4.9769384729794002E-8</c:v>
                </c:pt>
                <c:pt idx="2">
                  <c:v>9.9523125302739701E-8</c:v>
                </c:pt>
                <c:pt idx="3">
                  <c:v>1.4927314610915101E-7</c:v>
                </c:pt>
                <c:pt idx="4">
                  <c:v>1.9902020917045001E-7</c:v>
                </c:pt>
                <c:pt idx="5">
                  <c:v>2.4876470607291501E-7</c:v>
                </c:pt>
                <c:pt idx="6">
                  <c:v>2.98506827010726E-7</c:v>
                </c:pt>
                <c:pt idx="7">
                  <c:v>3.4824665677612401E-7</c:v>
                </c:pt>
                <c:pt idx="8">
                  <c:v>3.9798422361384598E-7</c:v>
                </c:pt>
                <c:pt idx="9">
                  <c:v>4.4771952464660098E-7</c:v>
                </c:pt>
                <c:pt idx="10">
                  <c:v>4.9745253946944397E-7</c:v>
                </c:pt>
                <c:pt idx="11">
                  <c:v>5.4718323756923303E-7</c:v>
                </c:pt>
                <c:pt idx="12">
                  <c:v>5.9691158243186497E-7</c:v>
                </c:pt>
                <c:pt idx="13">
                  <c:v>6.4663753383537605E-7</c:v>
                </c:pt>
                <c:pt idx="14">
                  <c:v>6.9636104913287603E-7</c:v>
                </c:pt>
                <c:pt idx="15">
                  <c:v>7.4608208396566897E-7</c:v>
                </c:pt>
                <c:pt idx="16">
                  <c:v>7.9580059265093899E-7</c:v>
                </c:pt>
                <c:pt idx="17">
                  <c:v>8.4551652838214603E-7</c:v>
                </c:pt>
                <c:pt idx="18">
                  <c:v>8.9522984332034105E-7</c:v>
                </c:pt>
                <c:pt idx="19">
                  <c:v>9.4494048862157E-7</c:v>
                </c:pt>
                <c:pt idx="20">
                  <c:v>9.9464841442651502E-7</c:v>
                </c:pt>
                <c:pt idx="21">
                  <c:v>1.04435356982743E-6</c:v>
                </c:pt>
                <c:pt idx="22">
                  <c:v>1.09405590282153E-6</c:v>
                </c:pt>
                <c:pt idx="23">
                  <c:v>1.14375536025565E-6</c:v>
                </c:pt>
                <c:pt idx="24">
                  <c:v>1.1934518877654001E-6</c:v>
                </c:pt>
                <c:pt idx="25">
                  <c:v>1.24314542177485E-6</c:v>
                </c:pt>
                <c:pt idx="26">
                  <c:v>1.29283588979772E-6</c:v>
                </c:pt>
                <c:pt idx="27">
                  <c:v>1.34252321799785E-6</c:v>
                </c:pt>
                <c:pt idx="28">
                  <c:v>1.3922073309986799E-6</c:v>
                </c:pt>
                <c:pt idx="29">
                  <c:v>1.44188815170494E-6</c:v>
                </c:pt>
                <c:pt idx="30">
                  <c:v>1.49156560113268E-6</c:v>
                </c:pt>
                <c:pt idx="31">
                  <c:v>1.54123959824479E-6</c:v>
                </c:pt>
                <c:pt idx="32">
                  <c:v>1.59091005978937E-6</c:v>
                </c:pt>
                <c:pt idx="33">
                  <c:v>1.64057690013915E-6</c:v>
                </c:pt>
                <c:pt idx="34">
                  <c:v>1.6902400311299901E-6</c:v>
                </c:pt>
                <c:pt idx="35">
                  <c:v>1.73989936189722E-6</c:v>
                </c:pt>
                <c:pt idx="36">
                  <c:v>1.78955479870804E-6</c:v>
                </c:pt>
                <c:pt idx="37">
                  <c:v>1.83920624478941E-6</c:v>
                </c:pt>
                <c:pt idx="38">
                  <c:v>1.8888536001494201E-6</c:v>
                </c:pt>
                <c:pt idx="39">
                  <c:v>1.9384967613918999E-6</c:v>
                </c:pt>
                <c:pt idx="40">
                  <c:v>1.9881356215224999E-6</c:v>
                </c:pt>
                <c:pt idx="41">
                  <c:v>2.0377700697454E-6</c:v>
                </c:pt>
                <c:pt idx="42">
                  <c:v>2.0873999912495801E-6</c:v>
                </c:pt>
                <c:pt idx="43">
                  <c:v>2.1370252669833599E-6</c:v>
                </c:pt>
                <c:pt idx="44">
                  <c:v>2.1866457734162501E-6</c:v>
                </c:pt>
                <c:pt idx="45">
                  <c:v>2.2362613822863001E-6</c:v>
                </c:pt>
                <c:pt idx="46">
                  <c:v>2.28587196033244E-6</c:v>
                </c:pt>
                <c:pt idx="47">
                  <c:v>2.3354773690091601E-6</c:v>
                </c:pt>
                <c:pt idx="48">
                  <c:v>2.3850774641835599E-6</c:v>
                </c:pt>
                <c:pt idx="49">
                  <c:v>2.4346720958112601E-6</c:v>
                </c:pt>
                <c:pt idx="50">
                  <c:v>2.4842611075908001E-6</c:v>
                </c:pt>
                <c:pt idx="51">
                  <c:v>2.53384433659381E-6</c:v>
                </c:pt>
                <c:pt idx="52">
                  <c:v>2.5834216128684999E-6</c:v>
                </c:pt>
                <c:pt idx="53">
                  <c:v>2.6329927590149401E-6</c:v>
                </c:pt>
                <c:pt idx="54">
                  <c:v>2.6825575897284798E-6</c:v>
                </c:pt>
                <c:pt idx="55">
                  <c:v>2.7321159113088899E-6</c:v>
                </c:pt>
                <c:pt idx="56">
                  <c:v>2.7816675211316402E-6</c:v>
                </c:pt>
                <c:pt idx="57">
                  <c:v>2.83121220707834E-6</c:v>
                </c:pt>
                <c:pt idx="58">
                  <c:v>2.8807497469212102E-6</c:v>
                </c:pt>
                <c:pt idx="59">
                  <c:v>2.9302799076581702E-6</c:v>
                </c:pt>
                <c:pt idx="60">
                  <c:v>2.97980244479289E-6</c:v>
                </c:pt>
                <c:pt idx="61">
                  <c:v>3.02931710155463E-6</c:v>
                </c:pt>
                <c:pt idx="62">
                  <c:v>3.0788236080510601E-6</c:v>
                </c:pt>
                <c:pt idx="63">
                  <c:v>3.1283216803477401E-6</c:v>
                </c:pt>
                <c:pt idx="64">
                  <c:v>3.1778110194661101E-6</c:v>
                </c:pt>
                <c:pt idx="65">
                  <c:v>3.22729131029067E-6</c:v>
                </c:pt>
                <c:pt idx="66">
                  <c:v>3.2767622203760601E-6</c:v>
                </c:pt>
                <c:pt idx="67">
                  <c:v>3.32622339864253E-6</c:v>
                </c:pt>
                <c:pt idx="68">
                  <c:v>3.3756744739465201E-6</c:v>
                </c:pt>
                <c:pt idx="69">
                  <c:v>3.4251150535124701E-6</c:v>
                </c:pt>
                <c:pt idx="70">
                  <c:v>3.4745447212088498E-6</c:v>
                </c:pt>
                <c:pt idx="71">
                  <c:v>3.5239630356496602E-6</c:v>
                </c:pt>
                <c:pt idx="72">
                  <c:v>3.5733695280996898E-6</c:v>
                </c:pt>
                <c:pt idx="73">
                  <c:v>3.6227637001588698E-6</c:v>
                </c:pt>
                <c:pt idx="74">
                  <c:v>3.6721450211969598E-6</c:v>
                </c:pt>
                <c:pt idx="75">
                  <c:v>3.7215129255059701E-6</c:v>
                </c:pt>
                <c:pt idx="76">
                  <c:v>3.7708668091317398E-6</c:v>
                </c:pt>
                <c:pt idx="77">
                  <c:v>3.8202060263411704E-6</c:v>
                </c:pt>
                <c:pt idx="78">
                  <c:v>3.8695298856730599E-6</c:v>
                </c:pt>
                <c:pt idx="79">
                  <c:v>3.9188376455127698E-6</c:v>
                </c:pt>
                <c:pt idx="80">
                  <c:v>3.9681285091204897E-6</c:v>
                </c:pt>
                <c:pt idx="81">
                  <c:v>4.0174016190298798E-6</c:v>
                </c:pt>
                <c:pt idx="82">
                  <c:v>4.0666560507200102E-6</c:v>
                </c:pt>
                <c:pt idx="83">
                  <c:v>4.1158908054443504E-6</c:v>
                </c:pt>
                <c:pt idx="84">
                  <c:v>4.16510480207896E-6</c:v>
                </c:pt>
                <c:pt idx="85">
                  <c:v>4.2142968678256396E-6</c:v>
                </c:pt>
                <c:pt idx="86">
                  <c:v>4.2634657275721401E-6</c:v>
                </c:pt>
                <c:pt idx="87">
                  <c:v>4.31260999167041E-6</c:v>
                </c:pt>
                <c:pt idx="88">
                  <c:v>4.36172814184466E-6</c:v>
                </c:pt>
                <c:pt idx="89">
                  <c:v>4.410818514876E-6</c:v>
                </c:pt>
                <c:pt idx="90">
                  <c:v>4.45987928363206E-6</c:v>
                </c:pt>
                <c:pt idx="91">
                  <c:v>4.5089084349089096E-6</c:v>
                </c:pt>
                <c:pt idx="92">
                  <c:v>4.5579037434244598E-6</c:v>
                </c:pt>
                <c:pt idx="93">
                  <c:v>4.6068627411388204E-6</c:v>
                </c:pt>
                <c:pt idx="94">
                  <c:v>4.6557826808631802E-6</c:v>
                </c:pt>
                <c:pt idx="95">
                  <c:v>4.7046604928434003E-6</c:v>
                </c:pt>
                <c:pt idx="96">
                  <c:v>4.7534927326390497E-6</c:v>
                </c:pt>
                <c:pt idx="97">
                  <c:v>4.8022755181360996E-6</c:v>
                </c:pt>
                <c:pt idx="98">
                  <c:v>4.8510044528826899E-6</c:v>
                </c:pt>
                <c:pt idx="99">
                  <c:v>4.8996745320615702E-6</c:v>
                </c:pt>
                <c:pt idx="100">
                  <c:v>4.9482800262087003E-6</c:v>
                </c:pt>
                <c:pt idx="101">
                  <c:v>4.99681433612373E-6</c:v>
                </c:pt>
                <c:pt idx="102">
                  <c:v>5.0452698100741003E-6</c:v>
                </c:pt>
                <c:pt idx="103">
                  <c:v>5.0936375110633302E-6</c:v>
                </c:pt>
                <c:pt idx="104">
                  <c:v>5.1419069171094996E-6</c:v>
                </c:pt>
                <c:pt idx="105">
                  <c:v>5.1900655303952203E-6</c:v>
                </c:pt>
                <c:pt idx="106">
                  <c:v>5.2380983605485003E-6</c:v>
                </c:pt>
                <c:pt idx="107">
                  <c:v>5.2859872311592996E-6</c:v>
                </c:pt>
                <c:pt idx="108">
                  <c:v>5.3337098335069296E-6</c:v>
                </c:pt>
                <c:pt idx="109">
                  <c:v>5.3812384115380903E-6</c:v>
                </c:pt>
                <c:pt idx="110">
                  <c:v>5.4285378972133502E-6</c:v>
                </c:pt>
                <c:pt idx="111">
                  <c:v>5.4755632073334699E-6</c:v>
                </c:pt>
                <c:pt idx="112">
                  <c:v>5.5222552292794097E-6</c:v>
                </c:pt>
                <c:pt idx="113">
                  <c:v>5.5685347052996203E-6</c:v>
                </c:pt>
                <c:pt idx="114">
                  <c:v>5.61429267331524E-6</c:v>
                </c:pt>
                <c:pt idx="115">
                  <c:v>5.6593752005938101E-6</c:v>
                </c:pt>
                <c:pt idx="116">
                  <c:v>5.7035588838746902E-6</c:v>
                </c:pt>
                <c:pt idx="117">
                  <c:v>5.7465137037580998E-6</c:v>
                </c:pt>
                <c:pt idx="118">
                  <c:v>5.7877652078984898E-6</c:v>
                </c:pt>
                <c:pt idx="119">
                  <c:v>5.8268051757602304E-6</c:v>
                </c:pt>
                <c:pt idx="120">
                  <c:v>5.8647918909071199E-6</c:v>
                </c:pt>
                <c:pt idx="121">
                  <c:v>5.8818736070773502E-6</c:v>
                </c:pt>
                <c:pt idx="122">
                  <c:v>5.9192327504770003E-6</c:v>
                </c:pt>
                <c:pt idx="123">
                  <c:v>5.9566358573244702E-6</c:v>
                </c:pt>
                <c:pt idx="124">
                  <c:v>5.9945285894390902E-6</c:v>
                </c:pt>
                <c:pt idx="125">
                  <c:v>6.0326867540608101E-6</c:v>
                </c:pt>
                <c:pt idx="126">
                  <c:v>6.07097394847851E-6</c:v>
                </c:pt>
                <c:pt idx="127">
                  <c:v>6.1093035999261697E-6</c:v>
                </c:pt>
                <c:pt idx="128">
                  <c:v>6.1476208443040696E-6</c:v>
                </c:pt>
                <c:pt idx="129">
                  <c:v>6.1858907820868896E-6</c:v>
                </c:pt>
                <c:pt idx="130">
                  <c:v>6.2240909953213701E-6</c:v>
                </c:pt>
                <c:pt idx="131">
                  <c:v>6.26220681705325E-6</c:v>
                </c:pt>
                <c:pt idx="132">
                  <c:v>6.26220681705325E-6</c:v>
                </c:pt>
                <c:pt idx="133">
                  <c:v>6.3051266772936596E-6</c:v>
                </c:pt>
                <c:pt idx="134">
                  <c:v>6.3438829548955901E-6</c:v>
                </c:pt>
                <c:pt idx="135">
                  <c:v>6.3761365263977899E-6</c:v>
                </c:pt>
                <c:pt idx="136">
                  <c:v>6.3761365263977899E-6</c:v>
                </c:pt>
                <c:pt idx="137">
                  <c:v>6.3868389162834898E-6</c:v>
                </c:pt>
                <c:pt idx="138">
                  <c:v>6.3994591176736598E-6</c:v>
                </c:pt>
                <c:pt idx="139">
                  <c:v>6.4129189808183997E-6</c:v>
                </c:pt>
                <c:pt idx="140">
                  <c:v>6.4269606556114499E-6</c:v>
                </c:pt>
                <c:pt idx="141">
                  <c:v>6.4415069588790704E-6</c:v>
                </c:pt>
                <c:pt idx="142">
                  <c:v>6.4565239229849901E-6</c:v>
                </c:pt>
                <c:pt idx="143">
                  <c:v>6.4719887026244402E-6</c:v>
                </c:pt>
                <c:pt idx="144">
                  <c:v>6.4878816990707797E-6</c:v>
                </c:pt>
                <c:pt idx="145">
                  <c:v>6.4878816990707797E-6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Implicit_Fracs!$C$5:$C$150</c:f>
              <c:numCache>
                <c:formatCode>General</c:formatCode>
                <c:ptCount val="146"/>
                <c:pt idx="0">
                  <c:v>6.5264358172878303E-2</c:v>
                </c:pt>
                <c:pt idx="1">
                  <c:v>9.5654928193278393E-2</c:v>
                </c:pt>
                <c:pt idx="2">
                  <c:v>9.5940236144888405E-2</c:v>
                </c:pt>
                <c:pt idx="3">
                  <c:v>9.6117006700230295E-2</c:v>
                </c:pt>
                <c:pt idx="4">
                  <c:v>9.6246045395184304E-2</c:v>
                </c:pt>
                <c:pt idx="5">
                  <c:v>9.6348050389714904E-2</c:v>
                </c:pt>
                <c:pt idx="6">
                  <c:v>9.6432615616439593E-2</c:v>
                </c:pt>
                <c:pt idx="7">
                  <c:v>9.6504985648747904E-2</c:v>
                </c:pt>
                <c:pt idx="8">
                  <c:v>9.6568344484260105E-2</c:v>
                </c:pt>
                <c:pt idx="9">
                  <c:v>9.6624771835736395E-2</c:v>
                </c:pt>
                <c:pt idx="10">
                  <c:v>9.6675701685845106E-2</c:v>
                </c:pt>
                <c:pt idx="11">
                  <c:v>9.6722164953426698E-2</c:v>
                </c:pt>
                <c:pt idx="12">
                  <c:v>9.6764927844012E-2</c:v>
                </c:pt>
                <c:pt idx="13">
                  <c:v>9.6804575476413093E-2</c:v>
                </c:pt>
                <c:pt idx="14">
                  <c:v>9.6841564874625002E-2</c:v>
                </c:pt>
                <c:pt idx="15">
                  <c:v>9.6876259881600799E-2</c:v>
                </c:pt>
                <c:pt idx="16">
                  <c:v>9.6908954927759902E-2</c:v>
                </c:pt>
                <c:pt idx="17">
                  <c:v>9.6939891670041495E-2</c:v>
                </c:pt>
                <c:pt idx="18">
                  <c:v>9.6969270924016998E-2</c:v>
                </c:pt>
                <c:pt idx="19">
                  <c:v>9.6997261402266499E-2</c:v>
                </c:pt>
                <c:pt idx="20">
                  <c:v>9.7024006233288995E-2</c:v>
                </c:pt>
                <c:pt idx="21">
                  <c:v>9.7049627905100702E-2</c:v>
                </c:pt>
                <c:pt idx="22">
                  <c:v>9.7074232069540994E-2</c:v>
                </c:pt>
                <c:pt idx="23">
                  <c:v>9.7097910508660804E-2</c:v>
                </c:pt>
                <c:pt idx="24">
                  <c:v>9.7120743475452104E-2</c:v>
                </c:pt>
                <c:pt idx="25">
                  <c:v>9.7142801560966802E-2</c:v>
                </c:pt>
                <c:pt idx="26">
                  <c:v>9.7164147205116805E-2</c:v>
                </c:pt>
                <c:pt idx="27">
                  <c:v>9.7184835924468901E-2</c:v>
                </c:pt>
                <c:pt idx="28">
                  <c:v>9.7204917312612493E-2</c:v>
                </c:pt>
                <c:pt idx="29">
                  <c:v>9.7224435866633804E-2</c:v>
                </c:pt>
                <c:pt idx="30">
                  <c:v>9.7243431674802899E-2</c:v>
                </c:pt>
                <c:pt idx="31">
                  <c:v>9.72619409925784E-2</c:v>
                </c:pt>
                <c:pt idx="32">
                  <c:v>9.72799967280569E-2</c:v>
                </c:pt>
                <c:pt idx="33">
                  <c:v>9.7297628853473095E-2</c:v>
                </c:pt>
                <c:pt idx="34">
                  <c:v>9.7314864755910904E-2</c:v>
                </c:pt>
                <c:pt idx="35">
                  <c:v>9.7331729537735306E-2</c:v>
                </c:pt>
                <c:pt idx="36">
                  <c:v>9.7348246275195394E-2</c:v>
                </c:pt>
                <c:pt idx="37">
                  <c:v>9.7364436242040303E-2</c:v>
                </c:pt>
                <c:pt idx="38">
                  <c:v>9.7380319103720206E-2</c:v>
                </c:pt>
                <c:pt idx="39">
                  <c:v>9.7395913086741406E-2</c:v>
                </c:pt>
                <c:pt idx="40">
                  <c:v>9.7411235126937806E-2</c:v>
                </c:pt>
                <c:pt idx="41">
                  <c:v>9.7426300999777393E-2</c:v>
                </c:pt>
                <c:pt idx="42">
                  <c:v>9.7441125435301396E-2</c:v>
                </c:pt>
                <c:pt idx="43">
                  <c:v>9.7455722219866994E-2</c:v>
                </c:pt>
                <c:pt idx="44">
                  <c:v>9.7470104286522502E-2</c:v>
                </c:pt>
                <c:pt idx="45">
                  <c:v>9.7484283795555404E-2</c:v>
                </c:pt>
                <c:pt idx="46">
                  <c:v>9.7498272206523406E-2</c:v>
                </c:pt>
                <c:pt idx="47">
                  <c:v>9.7512080342880295E-2</c:v>
                </c:pt>
                <c:pt idx="48">
                  <c:v>9.7525718450151996E-2</c:v>
                </c:pt>
                <c:pt idx="49">
                  <c:v>9.7539196248478802E-2</c:v>
                </c:pt>
                <c:pt idx="50">
                  <c:v>9.7552522980230996E-2</c:v>
                </c:pt>
                <c:pt idx="51">
                  <c:v>9.7565707453306894E-2</c:v>
                </c:pt>
                <c:pt idx="52">
                  <c:v>9.75787580806462E-2</c:v>
                </c:pt>
                <c:pt idx="53">
                  <c:v>9.7591682916420397E-2</c:v>
                </c:pt>
                <c:pt idx="54">
                  <c:v>9.7604489689307794E-2</c:v>
                </c:pt>
                <c:pt idx="55">
                  <c:v>9.7617185833211995E-2</c:v>
                </c:pt>
                <c:pt idx="56">
                  <c:v>9.7629778515739299E-2</c:v>
                </c:pt>
                <c:pt idx="57">
                  <c:v>9.7642274664720294E-2</c:v>
                </c:pt>
                <c:pt idx="58">
                  <c:v>9.7654680993027307E-2</c:v>
                </c:pt>
                <c:pt idx="59">
                  <c:v>9.7667004021917095E-2</c:v>
                </c:pt>
                <c:pt idx="60">
                  <c:v>9.7679250103107004E-2</c:v>
                </c:pt>
                <c:pt idx="61">
                  <c:v>9.7691425439775798E-2</c:v>
                </c:pt>
                <c:pt idx="62">
                  <c:v>9.7703536106665101E-2</c:v>
                </c:pt>
                <c:pt idx="63">
                  <c:v>9.7715588069448703E-2</c:v>
                </c:pt>
                <c:pt idx="64">
                  <c:v>9.7727587203525104E-2</c:v>
                </c:pt>
                <c:pt idx="65">
                  <c:v>9.7739539312385298E-2</c:v>
                </c:pt>
                <c:pt idx="66">
                  <c:v>9.7751450145702204E-2</c:v>
                </c:pt>
                <c:pt idx="67">
                  <c:v>9.7763325417286398E-2</c:v>
                </c:pt>
                <c:pt idx="68">
                  <c:v>9.7775170823054605E-2</c:v>
                </c:pt>
                <c:pt idx="69">
                  <c:v>9.7786992059158098E-2</c:v>
                </c:pt>
                <c:pt idx="70">
                  <c:v>9.7798794840424697E-2</c:v>
                </c:pt>
                <c:pt idx="71">
                  <c:v>9.78105849192758E-2</c:v>
                </c:pt>
                <c:pt idx="72">
                  <c:v>9.7822368105289298E-2</c:v>
                </c:pt>
                <c:pt idx="73">
                  <c:v>9.7834150285593197E-2</c:v>
                </c:pt>
                <c:pt idx="74">
                  <c:v>9.7845937446292497E-2</c:v>
                </c:pt>
                <c:pt idx="75">
                  <c:v>9.7857735695151798E-2</c:v>
                </c:pt>
                <c:pt idx="76">
                  <c:v>9.7869551285783105E-2</c:v>
                </c:pt>
                <c:pt idx="77">
                  <c:v>9.7881390643619406E-2</c:v>
                </c:pt>
                <c:pt idx="78">
                  <c:v>9.7893260393991793E-2</c:v>
                </c:pt>
                <c:pt idx="79">
                  <c:v>9.7905167392676101E-2</c:v>
                </c:pt>
                <c:pt idx="80">
                  <c:v>9.7917118759327501E-2</c:v>
                </c:pt>
                <c:pt idx="81">
                  <c:v>9.7929121914292899E-2</c:v>
                </c:pt>
                <c:pt idx="82">
                  <c:v>9.7941184619368404E-2</c:v>
                </c:pt>
                <c:pt idx="83">
                  <c:v>9.7953315023171394E-2</c:v>
                </c:pt>
                <c:pt idx="84">
                  <c:v>9.7965521711917206E-2</c:v>
                </c:pt>
                <c:pt idx="85">
                  <c:v>9.7977813766536706E-2</c:v>
                </c:pt>
                <c:pt idx="86">
                  <c:v>9.7990200827255999E-2</c:v>
                </c:pt>
                <c:pt idx="87">
                  <c:v>9.8002693166983901E-2</c:v>
                </c:pt>
                <c:pt idx="88">
                  <c:v>9.8015301775131097E-2</c:v>
                </c:pt>
                <c:pt idx="89">
                  <c:v>9.8028038453837299E-2</c:v>
                </c:pt>
                <c:pt idx="90">
                  <c:v>9.8040915929021297E-2</c:v>
                </c:pt>
                <c:pt idx="91">
                  <c:v>9.8053947979225203E-2</c:v>
                </c:pt>
                <c:pt idx="92">
                  <c:v>9.8067149585934904E-2</c:v>
                </c:pt>
                <c:pt idx="93">
                  <c:v>9.8080537109968002E-2</c:v>
                </c:pt>
                <c:pt idx="94">
                  <c:v>9.8094128499704294E-2</c:v>
                </c:pt>
                <c:pt idx="95">
                  <c:v>9.8107943538468995E-2</c:v>
                </c:pt>
                <c:pt idx="96">
                  <c:v>9.8122004140413804E-2</c:v>
                </c:pt>
                <c:pt idx="97">
                  <c:v>9.8136334706939998E-2</c:v>
                </c:pt>
                <c:pt idx="98">
                  <c:v>9.8150962559342594E-2</c:v>
                </c:pt>
                <c:pt idx="99">
                  <c:v>9.8165918468299695E-2</c:v>
                </c:pt>
                <c:pt idx="100">
                  <c:v>9.8181237307639599E-2</c:v>
                </c:pt>
                <c:pt idx="101">
                  <c:v>9.8196958869323794E-2</c:v>
                </c:pt>
                <c:pt idx="102">
                  <c:v>9.8213128890047005E-2</c:v>
                </c:pt>
                <c:pt idx="103">
                  <c:v>9.8229800359218494E-2</c:v>
                </c:pt>
                <c:pt idx="104">
                  <c:v>9.8247035206441499E-2</c:v>
                </c:pt>
                <c:pt idx="105">
                  <c:v>9.8264906508888999E-2</c:v>
                </c:pt>
                <c:pt idx="106">
                  <c:v>9.8283501423392997E-2</c:v>
                </c:pt>
                <c:pt idx="107">
                  <c:v>9.83029251484802E-2</c:v>
                </c:pt>
                <c:pt idx="108">
                  <c:v>9.8323306382231898E-2</c:v>
                </c:pt>
                <c:pt idx="109">
                  <c:v>9.83448050063956E-2</c:v>
                </c:pt>
                <c:pt idx="110">
                  <c:v>9.8367623177314595E-2</c:v>
                </c:pt>
                <c:pt idx="111">
                  <c:v>9.8392021799252799E-2</c:v>
                </c:pt>
                <c:pt idx="112">
                  <c:v>9.8418345821107006E-2</c:v>
                </c:pt>
                <c:pt idx="113">
                  <c:v>9.8447064636032894E-2</c:v>
                </c:pt>
                <c:pt idx="114">
                  <c:v>9.8478839691440598E-2</c:v>
                </c:pt>
                <c:pt idx="115">
                  <c:v>9.8514644241327595E-2</c:v>
                </c:pt>
                <c:pt idx="116">
                  <c:v>9.8555990865747706E-2</c:v>
                </c:pt>
                <c:pt idx="117">
                  <c:v>9.8605403888521903E-2</c:v>
                </c:pt>
                <c:pt idx="118">
                  <c:v>9.8667520989107305E-2</c:v>
                </c:pt>
                <c:pt idx="119">
                  <c:v>9.8752103704584399E-2</c:v>
                </c:pt>
                <c:pt idx="120">
                  <c:v>9.88844549873618E-2</c:v>
                </c:pt>
                <c:pt idx="121">
                  <c:v>9.9160892815511298E-2</c:v>
                </c:pt>
                <c:pt idx="122">
                  <c:v>9.94091301530452E-2</c:v>
                </c:pt>
                <c:pt idx="123">
                  <c:v>9.9655849602708402E-2</c:v>
                </c:pt>
                <c:pt idx="124">
                  <c:v>9.9905501975847605E-2</c:v>
                </c:pt>
                <c:pt idx="125">
                  <c:v>0.100158404857082</c:v>
                </c:pt>
                <c:pt idx="126">
                  <c:v>0.100414834399242</c:v>
                </c:pt>
                <c:pt idx="127">
                  <c:v>0.100675010114966</c:v>
                </c:pt>
                <c:pt idx="128">
                  <c:v>0.100939116894578</c:v>
                </c:pt>
                <c:pt idx="129">
                  <c:v>0.10120731898589599</c:v>
                </c:pt>
                <c:pt idx="130">
                  <c:v>0.101479769132194</c:v>
                </c:pt>
                <c:pt idx="131">
                  <c:v>0.101756614544319</c:v>
                </c:pt>
                <c:pt idx="132">
                  <c:v>0.10203800081778799</c:v>
                </c:pt>
                <c:pt idx="133">
                  <c:v>0.116397999320224</c:v>
                </c:pt>
                <c:pt idx="134">
                  <c:v>0.116881301518155</c:v>
                </c:pt>
                <c:pt idx="135">
                  <c:v>0.117296225440862</c:v>
                </c:pt>
                <c:pt idx="136">
                  <c:v>0.117915404787116</c:v>
                </c:pt>
                <c:pt idx="137">
                  <c:v>0.11887599103230199</c:v>
                </c:pt>
                <c:pt idx="138">
                  <c:v>0.119812555000924</c:v>
                </c:pt>
                <c:pt idx="139">
                  <c:v>0.120725054102833</c:v>
                </c:pt>
                <c:pt idx="140">
                  <c:v>0.121614386811381</c:v>
                </c:pt>
                <c:pt idx="141">
                  <c:v>0.122481387577661</c:v>
                </c:pt>
                <c:pt idx="142">
                  <c:v>0.123326882848347</c:v>
                </c:pt>
                <c:pt idx="143">
                  <c:v>0.124151693485474</c:v>
                </c:pt>
                <c:pt idx="144">
                  <c:v>0.12495662838369399</c:v>
                </c:pt>
                <c:pt idx="145">
                  <c:v>0.12574247869944299</c:v>
                </c:pt>
              </c:numCache>
            </c:numRef>
          </c:xVal>
          <c:yVal>
            <c:numRef>
              <c:f>Implicit_Fracs!$BP$5:$BP$150</c:f>
              <c:numCache>
                <c:formatCode>General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Implicit_Fracs!$C$5:$C$150</c:f>
              <c:numCache>
                <c:formatCode>General</c:formatCode>
                <c:ptCount val="146"/>
                <c:pt idx="0">
                  <c:v>6.5264358172878303E-2</c:v>
                </c:pt>
                <c:pt idx="1">
                  <c:v>9.5654928193278393E-2</c:v>
                </c:pt>
                <c:pt idx="2">
                  <c:v>9.5940236144888405E-2</c:v>
                </c:pt>
                <c:pt idx="3">
                  <c:v>9.6117006700230295E-2</c:v>
                </c:pt>
                <c:pt idx="4">
                  <c:v>9.6246045395184304E-2</c:v>
                </c:pt>
                <c:pt idx="5">
                  <c:v>9.6348050389714904E-2</c:v>
                </c:pt>
                <c:pt idx="6">
                  <c:v>9.6432615616439593E-2</c:v>
                </c:pt>
                <c:pt idx="7">
                  <c:v>9.6504985648747904E-2</c:v>
                </c:pt>
                <c:pt idx="8">
                  <c:v>9.6568344484260105E-2</c:v>
                </c:pt>
                <c:pt idx="9">
                  <c:v>9.6624771835736395E-2</c:v>
                </c:pt>
                <c:pt idx="10">
                  <c:v>9.6675701685845106E-2</c:v>
                </c:pt>
                <c:pt idx="11">
                  <c:v>9.6722164953426698E-2</c:v>
                </c:pt>
                <c:pt idx="12">
                  <c:v>9.6764927844012E-2</c:v>
                </c:pt>
                <c:pt idx="13">
                  <c:v>9.6804575476413093E-2</c:v>
                </c:pt>
                <c:pt idx="14">
                  <c:v>9.6841564874625002E-2</c:v>
                </c:pt>
                <c:pt idx="15">
                  <c:v>9.6876259881600799E-2</c:v>
                </c:pt>
                <c:pt idx="16">
                  <c:v>9.6908954927759902E-2</c:v>
                </c:pt>
                <c:pt idx="17">
                  <c:v>9.6939891670041495E-2</c:v>
                </c:pt>
                <c:pt idx="18">
                  <c:v>9.6969270924016998E-2</c:v>
                </c:pt>
                <c:pt idx="19">
                  <c:v>9.6997261402266499E-2</c:v>
                </c:pt>
                <c:pt idx="20">
                  <c:v>9.7024006233288995E-2</c:v>
                </c:pt>
                <c:pt idx="21">
                  <c:v>9.7049627905100702E-2</c:v>
                </c:pt>
                <c:pt idx="22">
                  <c:v>9.7074232069540994E-2</c:v>
                </c:pt>
                <c:pt idx="23">
                  <c:v>9.7097910508660804E-2</c:v>
                </c:pt>
                <c:pt idx="24">
                  <c:v>9.7120743475452104E-2</c:v>
                </c:pt>
                <c:pt idx="25">
                  <c:v>9.7142801560966802E-2</c:v>
                </c:pt>
                <c:pt idx="26">
                  <c:v>9.7164147205116805E-2</c:v>
                </c:pt>
                <c:pt idx="27">
                  <c:v>9.7184835924468901E-2</c:v>
                </c:pt>
                <c:pt idx="28">
                  <c:v>9.7204917312612493E-2</c:v>
                </c:pt>
                <c:pt idx="29">
                  <c:v>9.7224435866633804E-2</c:v>
                </c:pt>
                <c:pt idx="30">
                  <c:v>9.7243431674802899E-2</c:v>
                </c:pt>
                <c:pt idx="31">
                  <c:v>9.72619409925784E-2</c:v>
                </c:pt>
                <c:pt idx="32">
                  <c:v>9.72799967280569E-2</c:v>
                </c:pt>
                <c:pt idx="33">
                  <c:v>9.7297628853473095E-2</c:v>
                </c:pt>
                <c:pt idx="34">
                  <c:v>9.7314864755910904E-2</c:v>
                </c:pt>
                <c:pt idx="35">
                  <c:v>9.7331729537735306E-2</c:v>
                </c:pt>
                <c:pt idx="36">
                  <c:v>9.7348246275195394E-2</c:v>
                </c:pt>
                <c:pt idx="37">
                  <c:v>9.7364436242040303E-2</c:v>
                </c:pt>
                <c:pt idx="38">
                  <c:v>9.7380319103720206E-2</c:v>
                </c:pt>
                <c:pt idx="39">
                  <c:v>9.7395913086741406E-2</c:v>
                </c:pt>
                <c:pt idx="40">
                  <c:v>9.7411235126937806E-2</c:v>
                </c:pt>
                <c:pt idx="41">
                  <c:v>9.7426300999777393E-2</c:v>
                </c:pt>
                <c:pt idx="42">
                  <c:v>9.7441125435301396E-2</c:v>
                </c:pt>
                <c:pt idx="43">
                  <c:v>9.7455722219866994E-2</c:v>
                </c:pt>
                <c:pt idx="44">
                  <c:v>9.7470104286522502E-2</c:v>
                </c:pt>
                <c:pt idx="45">
                  <c:v>9.7484283795555404E-2</c:v>
                </c:pt>
                <c:pt idx="46">
                  <c:v>9.7498272206523406E-2</c:v>
                </c:pt>
                <c:pt idx="47">
                  <c:v>9.7512080342880295E-2</c:v>
                </c:pt>
                <c:pt idx="48">
                  <c:v>9.7525718450151996E-2</c:v>
                </c:pt>
                <c:pt idx="49">
                  <c:v>9.7539196248478802E-2</c:v>
                </c:pt>
                <c:pt idx="50">
                  <c:v>9.7552522980230996E-2</c:v>
                </c:pt>
                <c:pt idx="51">
                  <c:v>9.7565707453306894E-2</c:v>
                </c:pt>
                <c:pt idx="52">
                  <c:v>9.75787580806462E-2</c:v>
                </c:pt>
                <c:pt idx="53">
                  <c:v>9.7591682916420397E-2</c:v>
                </c:pt>
                <c:pt idx="54">
                  <c:v>9.7604489689307794E-2</c:v>
                </c:pt>
                <c:pt idx="55">
                  <c:v>9.7617185833211995E-2</c:v>
                </c:pt>
                <c:pt idx="56">
                  <c:v>9.7629778515739299E-2</c:v>
                </c:pt>
                <c:pt idx="57">
                  <c:v>9.7642274664720294E-2</c:v>
                </c:pt>
                <c:pt idx="58">
                  <c:v>9.7654680993027307E-2</c:v>
                </c:pt>
                <c:pt idx="59">
                  <c:v>9.7667004021917095E-2</c:v>
                </c:pt>
                <c:pt idx="60">
                  <c:v>9.7679250103107004E-2</c:v>
                </c:pt>
                <c:pt idx="61">
                  <c:v>9.7691425439775798E-2</c:v>
                </c:pt>
                <c:pt idx="62">
                  <c:v>9.7703536106665101E-2</c:v>
                </c:pt>
                <c:pt idx="63">
                  <c:v>9.7715588069448703E-2</c:v>
                </c:pt>
                <c:pt idx="64">
                  <c:v>9.7727587203525104E-2</c:v>
                </c:pt>
                <c:pt idx="65">
                  <c:v>9.7739539312385298E-2</c:v>
                </c:pt>
                <c:pt idx="66">
                  <c:v>9.7751450145702204E-2</c:v>
                </c:pt>
                <c:pt idx="67">
                  <c:v>9.7763325417286398E-2</c:v>
                </c:pt>
                <c:pt idx="68">
                  <c:v>9.7775170823054605E-2</c:v>
                </c:pt>
                <c:pt idx="69">
                  <c:v>9.7786992059158098E-2</c:v>
                </c:pt>
                <c:pt idx="70">
                  <c:v>9.7798794840424697E-2</c:v>
                </c:pt>
                <c:pt idx="71">
                  <c:v>9.78105849192758E-2</c:v>
                </c:pt>
                <c:pt idx="72">
                  <c:v>9.7822368105289298E-2</c:v>
                </c:pt>
                <c:pt idx="73">
                  <c:v>9.7834150285593197E-2</c:v>
                </c:pt>
                <c:pt idx="74">
                  <c:v>9.7845937446292497E-2</c:v>
                </c:pt>
                <c:pt idx="75">
                  <c:v>9.7857735695151798E-2</c:v>
                </c:pt>
                <c:pt idx="76">
                  <c:v>9.7869551285783105E-2</c:v>
                </c:pt>
                <c:pt idx="77">
                  <c:v>9.7881390643619406E-2</c:v>
                </c:pt>
                <c:pt idx="78">
                  <c:v>9.7893260393991793E-2</c:v>
                </c:pt>
                <c:pt idx="79">
                  <c:v>9.7905167392676101E-2</c:v>
                </c:pt>
                <c:pt idx="80">
                  <c:v>9.7917118759327501E-2</c:v>
                </c:pt>
                <c:pt idx="81">
                  <c:v>9.7929121914292899E-2</c:v>
                </c:pt>
                <c:pt idx="82">
                  <c:v>9.7941184619368404E-2</c:v>
                </c:pt>
                <c:pt idx="83">
                  <c:v>9.7953315023171394E-2</c:v>
                </c:pt>
                <c:pt idx="84">
                  <c:v>9.7965521711917206E-2</c:v>
                </c:pt>
                <c:pt idx="85">
                  <c:v>9.7977813766536706E-2</c:v>
                </c:pt>
                <c:pt idx="86">
                  <c:v>9.7990200827255999E-2</c:v>
                </c:pt>
                <c:pt idx="87">
                  <c:v>9.8002693166983901E-2</c:v>
                </c:pt>
                <c:pt idx="88">
                  <c:v>9.8015301775131097E-2</c:v>
                </c:pt>
                <c:pt idx="89">
                  <c:v>9.8028038453837299E-2</c:v>
                </c:pt>
                <c:pt idx="90">
                  <c:v>9.8040915929021297E-2</c:v>
                </c:pt>
                <c:pt idx="91">
                  <c:v>9.8053947979225203E-2</c:v>
                </c:pt>
                <c:pt idx="92">
                  <c:v>9.8067149585934904E-2</c:v>
                </c:pt>
                <c:pt idx="93">
                  <c:v>9.8080537109968002E-2</c:v>
                </c:pt>
                <c:pt idx="94">
                  <c:v>9.8094128499704294E-2</c:v>
                </c:pt>
                <c:pt idx="95">
                  <c:v>9.8107943538468995E-2</c:v>
                </c:pt>
                <c:pt idx="96">
                  <c:v>9.8122004140413804E-2</c:v>
                </c:pt>
                <c:pt idx="97">
                  <c:v>9.8136334706939998E-2</c:v>
                </c:pt>
                <c:pt idx="98">
                  <c:v>9.8150962559342594E-2</c:v>
                </c:pt>
                <c:pt idx="99">
                  <c:v>9.8165918468299695E-2</c:v>
                </c:pt>
                <c:pt idx="100">
                  <c:v>9.8181237307639599E-2</c:v>
                </c:pt>
                <c:pt idx="101">
                  <c:v>9.8196958869323794E-2</c:v>
                </c:pt>
                <c:pt idx="102">
                  <c:v>9.8213128890047005E-2</c:v>
                </c:pt>
                <c:pt idx="103">
                  <c:v>9.8229800359218494E-2</c:v>
                </c:pt>
                <c:pt idx="104">
                  <c:v>9.8247035206441499E-2</c:v>
                </c:pt>
                <c:pt idx="105">
                  <c:v>9.8264906508888999E-2</c:v>
                </c:pt>
                <c:pt idx="106">
                  <c:v>9.8283501423392997E-2</c:v>
                </c:pt>
                <c:pt idx="107">
                  <c:v>9.83029251484802E-2</c:v>
                </c:pt>
                <c:pt idx="108">
                  <c:v>9.8323306382231898E-2</c:v>
                </c:pt>
                <c:pt idx="109">
                  <c:v>9.83448050063956E-2</c:v>
                </c:pt>
                <c:pt idx="110">
                  <c:v>9.8367623177314595E-2</c:v>
                </c:pt>
                <c:pt idx="111">
                  <c:v>9.8392021799252799E-2</c:v>
                </c:pt>
                <c:pt idx="112">
                  <c:v>9.8418345821107006E-2</c:v>
                </c:pt>
                <c:pt idx="113">
                  <c:v>9.8447064636032894E-2</c:v>
                </c:pt>
                <c:pt idx="114">
                  <c:v>9.8478839691440598E-2</c:v>
                </c:pt>
                <c:pt idx="115">
                  <c:v>9.8514644241327595E-2</c:v>
                </c:pt>
                <c:pt idx="116">
                  <c:v>9.8555990865747706E-2</c:v>
                </c:pt>
                <c:pt idx="117">
                  <c:v>9.8605403888521903E-2</c:v>
                </c:pt>
                <c:pt idx="118">
                  <c:v>9.8667520989107305E-2</c:v>
                </c:pt>
                <c:pt idx="119">
                  <c:v>9.8752103704584399E-2</c:v>
                </c:pt>
                <c:pt idx="120">
                  <c:v>9.88844549873618E-2</c:v>
                </c:pt>
                <c:pt idx="121">
                  <c:v>9.9160892815511298E-2</c:v>
                </c:pt>
                <c:pt idx="122">
                  <c:v>9.94091301530452E-2</c:v>
                </c:pt>
                <c:pt idx="123">
                  <c:v>9.9655849602708402E-2</c:v>
                </c:pt>
                <c:pt idx="124">
                  <c:v>9.9905501975847605E-2</c:v>
                </c:pt>
                <c:pt idx="125">
                  <c:v>0.100158404857082</c:v>
                </c:pt>
                <c:pt idx="126">
                  <c:v>0.100414834399242</c:v>
                </c:pt>
                <c:pt idx="127">
                  <c:v>0.100675010114966</c:v>
                </c:pt>
                <c:pt idx="128">
                  <c:v>0.100939116894578</c:v>
                </c:pt>
                <c:pt idx="129">
                  <c:v>0.10120731898589599</c:v>
                </c:pt>
                <c:pt idx="130">
                  <c:v>0.101479769132194</c:v>
                </c:pt>
                <c:pt idx="131">
                  <c:v>0.101756614544319</c:v>
                </c:pt>
                <c:pt idx="132">
                  <c:v>0.10203800081778799</c:v>
                </c:pt>
                <c:pt idx="133">
                  <c:v>0.116397999320224</c:v>
                </c:pt>
                <c:pt idx="134">
                  <c:v>0.116881301518155</c:v>
                </c:pt>
                <c:pt idx="135">
                  <c:v>0.117296225440862</c:v>
                </c:pt>
                <c:pt idx="136">
                  <c:v>0.117915404787116</c:v>
                </c:pt>
                <c:pt idx="137">
                  <c:v>0.11887599103230199</c:v>
                </c:pt>
                <c:pt idx="138">
                  <c:v>0.119812555000924</c:v>
                </c:pt>
                <c:pt idx="139">
                  <c:v>0.120725054102833</c:v>
                </c:pt>
                <c:pt idx="140">
                  <c:v>0.121614386811381</c:v>
                </c:pt>
                <c:pt idx="141">
                  <c:v>0.122481387577661</c:v>
                </c:pt>
                <c:pt idx="142">
                  <c:v>0.123326882848347</c:v>
                </c:pt>
                <c:pt idx="143">
                  <c:v>0.124151693485474</c:v>
                </c:pt>
                <c:pt idx="144">
                  <c:v>0.12495662838369399</c:v>
                </c:pt>
                <c:pt idx="145">
                  <c:v>0.12574247869944299</c:v>
                </c:pt>
              </c:numCache>
            </c:numRef>
          </c:xVal>
          <c:yVal>
            <c:numRef>
              <c:f>Implicit_Fracs!$BQ$5:$BQ$150</c:f>
              <c:numCache>
                <c:formatCode>General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Implicit_Fracs!$C$5:$C$150</c:f>
              <c:numCache>
                <c:formatCode>General</c:formatCode>
                <c:ptCount val="146"/>
                <c:pt idx="0">
                  <c:v>6.5264358172878303E-2</c:v>
                </c:pt>
                <c:pt idx="1">
                  <c:v>9.5654928193278393E-2</c:v>
                </c:pt>
                <c:pt idx="2">
                  <c:v>9.5940236144888405E-2</c:v>
                </c:pt>
                <c:pt idx="3">
                  <c:v>9.6117006700230295E-2</c:v>
                </c:pt>
                <c:pt idx="4">
                  <c:v>9.6246045395184304E-2</c:v>
                </c:pt>
                <c:pt idx="5">
                  <c:v>9.6348050389714904E-2</c:v>
                </c:pt>
                <c:pt idx="6">
                  <c:v>9.6432615616439593E-2</c:v>
                </c:pt>
                <c:pt idx="7">
                  <c:v>9.6504985648747904E-2</c:v>
                </c:pt>
                <c:pt idx="8">
                  <c:v>9.6568344484260105E-2</c:v>
                </c:pt>
                <c:pt idx="9">
                  <c:v>9.6624771835736395E-2</c:v>
                </c:pt>
                <c:pt idx="10">
                  <c:v>9.6675701685845106E-2</c:v>
                </c:pt>
                <c:pt idx="11">
                  <c:v>9.6722164953426698E-2</c:v>
                </c:pt>
                <c:pt idx="12">
                  <c:v>9.6764927844012E-2</c:v>
                </c:pt>
                <c:pt idx="13">
                  <c:v>9.6804575476413093E-2</c:v>
                </c:pt>
                <c:pt idx="14">
                  <c:v>9.6841564874625002E-2</c:v>
                </c:pt>
                <c:pt idx="15">
                  <c:v>9.6876259881600799E-2</c:v>
                </c:pt>
                <c:pt idx="16">
                  <c:v>9.6908954927759902E-2</c:v>
                </c:pt>
                <c:pt idx="17">
                  <c:v>9.6939891670041495E-2</c:v>
                </c:pt>
                <c:pt idx="18">
                  <c:v>9.6969270924016998E-2</c:v>
                </c:pt>
                <c:pt idx="19">
                  <c:v>9.6997261402266499E-2</c:v>
                </c:pt>
                <c:pt idx="20">
                  <c:v>9.7024006233288995E-2</c:v>
                </c:pt>
                <c:pt idx="21">
                  <c:v>9.7049627905100702E-2</c:v>
                </c:pt>
                <c:pt idx="22">
                  <c:v>9.7074232069540994E-2</c:v>
                </c:pt>
                <c:pt idx="23">
                  <c:v>9.7097910508660804E-2</c:v>
                </c:pt>
                <c:pt idx="24">
                  <c:v>9.7120743475452104E-2</c:v>
                </c:pt>
                <c:pt idx="25">
                  <c:v>9.7142801560966802E-2</c:v>
                </c:pt>
                <c:pt idx="26">
                  <c:v>9.7164147205116805E-2</c:v>
                </c:pt>
                <c:pt idx="27">
                  <c:v>9.7184835924468901E-2</c:v>
                </c:pt>
                <c:pt idx="28">
                  <c:v>9.7204917312612493E-2</c:v>
                </c:pt>
                <c:pt idx="29">
                  <c:v>9.7224435866633804E-2</c:v>
                </c:pt>
                <c:pt idx="30">
                  <c:v>9.7243431674802899E-2</c:v>
                </c:pt>
                <c:pt idx="31">
                  <c:v>9.72619409925784E-2</c:v>
                </c:pt>
                <c:pt idx="32">
                  <c:v>9.72799967280569E-2</c:v>
                </c:pt>
                <c:pt idx="33">
                  <c:v>9.7297628853473095E-2</c:v>
                </c:pt>
                <c:pt idx="34">
                  <c:v>9.7314864755910904E-2</c:v>
                </c:pt>
                <c:pt idx="35">
                  <c:v>9.7331729537735306E-2</c:v>
                </c:pt>
                <c:pt idx="36">
                  <c:v>9.7348246275195394E-2</c:v>
                </c:pt>
                <c:pt idx="37">
                  <c:v>9.7364436242040303E-2</c:v>
                </c:pt>
                <c:pt idx="38">
                  <c:v>9.7380319103720206E-2</c:v>
                </c:pt>
                <c:pt idx="39">
                  <c:v>9.7395913086741406E-2</c:v>
                </c:pt>
                <c:pt idx="40">
                  <c:v>9.7411235126937806E-2</c:v>
                </c:pt>
                <c:pt idx="41">
                  <c:v>9.7426300999777393E-2</c:v>
                </c:pt>
                <c:pt idx="42">
                  <c:v>9.7441125435301396E-2</c:v>
                </c:pt>
                <c:pt idx="43">
                  <c:v>9.7455722219866994E-2</c:v>
                </c:pt>
                <c:pt idx="44">
                  <c:v>9.7470104286522502E-2</c:v>
                </c:pt>
                <c:pt idx="45">
                  <c:v>9.7484283795555404E-2</c:v>
                </c:pt>
                <c:pt idx="46">
                  <c:v>9.7498272206523406E-2</c:v>
                </c:pt>
                <c:pt idx="47">
                  <c:v>9.7512080342880295E-2</c:v>
                </c:pt>
                <c:pt idx="48">
                  <c:v>9.7525718450151996E-2</c:v>
                </c:pt>
                <c:pt idx="49">
                  <c:v>9.7539196248478802E-2</c:v>
                </c:pt>
                <c:pt idx="50">
                  <c:v>9.7552522980230996E-2</c:v>
                </c:pt>
                <c:pt idx="51">
                  <c:v>9.7565707453306894E-2</c:v>
                </c:pt>
                <c:pt idx="52">
                  <c:v>9.75787580806462E-2</c:v>
                </c:pt>
                <c:pt idx="53">
                  <c:v>9.7591682916420397E-2</c:v>
                </c:pt>
                <c:pt idx="54">
                  <c:v>9.7604489689307794E-2</c:v>
                </c:pt>
                <c:pt idx="55">
                  <c:v>9.7617185833211995E-2</c:v>
                </c:pt>
                <c:pt idx="56">
                  <c:v>9.7629778515739299E-2</c:v>
                </c:pt>
                <c:pt idx="57">
                  <c:v>9.7642274664720294E-2</c:v>
                </c:pt>
                <c:pt idx="58">
                  <c:v>9.7654680993027307E-2</c:v>
                </c:pt>
                <c:pt idx="59">
                  <c:v>9.7667004021917095E-2</c:v>
                </c:pt>
                <c:pt idx="60">
                  <c:v>9.7679250103107004E-2</c:v>
                </c:pt>
                <c:pt idx="61">
                  <c:v>9.7691425439775798E-2</c:v>
                </c:pt>
                <c:pt idx="62">
                  <c:v>9.7703536106665101E-2</c:v>
                </c:pt>
                <c:pt idx="63">
                  <c:v>9.7715588069448703E-2</c:v>
                </c:pt>
                <c:pt idx="64">
                  <c:v>9.7727587203525104E-2</c:v>
                </c:pt>
                <c:pt idx="65">
                  <c:v>9.7739539312385298E-2</c:v>
                </c:pt>
                <c:pt idx="66">
                  <c:v>9.7751450145702204E-2</c:v>
                </c:pt>
                <c:pt idx="67">
                  <c:v>9.7763325417286398E-2</c:v>
                </c:pt>
                <c:pt idx="68">
                  <c:v>9.7775170823054605E-2</c:v>
                </c:pt>
                <c:pt idx="69">
                  <c:v>9.7786992059158098E-2</c:v>
                </c:pt>
                <c:pt idx="70">
                  <c:v>9.7798794840424697E-2</c:v>
                </c:pt>
                <c:pt idx="71">
                  <c:v>9.78105849192758E-2</c:v>
                </c:pt>
                <c:pt idx="72">
                  <c:v>9.7822368105289298E-2</c:v>
                </c:pt>
                <c:pt idx="73">
                  <c:v>9.7834150285593197E-2</c:v>
                </c:pt>
                <c:pt idx="74">
                  <c:v>9.7845937446292497E-2</c:v>
                </c:pt>
                <c:pt idx="75">
                  <c:v>9.7857735695151798E-2</c:v>
                </c:pt>
                <c:pt idx="76">
                  <c:v>9.7869551285783105E-2</c:v>
                </c:pt>
                <c:pt idx="77">
                  <c:v>9.7881390643619406E-2</c:v>
                </c:pt>
                <c:pt idx="78">
                  <c:v>9.7893260393991793E-2</c:v>
                </c:pt>
                <c:pt idx="79">
                  <c:v>9.7905167392676101E-2</c:v>
                </c:pt>
                <c:pt idx="80">
                  <c:v>9.7917118759327501E-2</c:v>
                </c:pt>
                <c:pt idx="81">
                  <c:v>9.7929121914292899E-2</c:v>
                </c:pt>
                <c:pt idx="82">
                  <c:v>9.7941184619368404E-2</c:v>
                </c:pt>
                <c:pt idx="83">
                  <c:v>9.7953315023171394E-2</c:v>
                </c:pt>
                <c:pt idx="84">
                  <c:v>9.7965521711917206E-2</c:v>
                </c:pt>
                <c:pt idx="85">
                  <c:v>9.7977813766536706E-2</c:v>
                </c:pt>
                <c:pt idx="86">
                  <c:v>9.7990200827255999E-2</c:v>
                </c:pt>
                <c:pt idx="87">
                  <c:v>9.8002693166983901E-2</c:v>
                </c:pt>
                <c:pt idx="88">
                  <c:v>9.8015301775131097E-2</c:v>
                </c:pt>
                <c:pt idx="89">
                  <c:v>9.8028038453837299E-2</c:v>
                </c:pt>
                <c:pt idx="90">
                  <c:v>9.8040915929021297E-2</c:v>
                </c:pt>
                <c:pt idx="91">
                  <c:v>9.8053947979225203E-2</c:v>
                </c:pt>
                <c:pt idx="92">
                  <c:v>9.8067149585934904E-2</c:v>
                </c:pt>
                <c:pt idx="93">
                  <c:v>9.8080537109968002E-2</c:v>
                </c:pt>
                <c:pt idx="94">
                  <c:v>9.8094128499704294E-2</c:v>
                </c:pt>
                <c:pt idx="95">
                  <c:v>9.8107943538468995E-2</c:v>
                </c:pt>
                <c:pt idx="96">
                  <c:v>9.8122004140413804E-2</c:v>
                </c:pt>
                <c:pt idx="97">
                  <c:v>9.8136334706939998E-2</c:v>
                </c:pt>
                <c:pt idx="98">
                  <c:v>9.8150962559342594E-2</c:v>
                </c:pt>
                <c:pt idx="99">
                  <c:v>9.8165918468299695E-2</c:v>
                </c:pt>
                <c:pt idx="100">
                  <c:v>9.8181237307639599E-2</c:v>
                </c:pt>
                <c:pt idx="101">
                  <c:v>9.8196958869323794E-2</c:v>
                </c:pt>
                <c:pt idx="102">
                  <c:v>9.8213128890047005E-2</c:v>
                </c:pt>
                <c:pt idx="103">
                  <c:v>9.8229800359218494E-2</c:v>
                </c:pt>
                <c:pt idx="104">
                  <c:v>9.8247035206441499E-2</c:v>
                </c:pt>
                <c:pt idx="105">
                  <c:v>9.8264906508888999E-2</c:v>
                </c:pt>
                <c:pt idx="106">
                  <c:v>9.8283501423392997E-2</c:v>
                </c:pt>
                <c:pt idx="107">
                  <c:v>9.83029251484802E-2</c:v>
                </c:pt>
                <c:pt idx="108">
                  <c:v>9.8323306382231898E-2</c:v>
                </c:pt>
                <c:pt idx="109">
                  <c:v>9.83448050063956E-2</c:v>
                </c:pt>
                <c:pt idx="110">
                  <c:v>9.8367623177314595E-2</c:v>
                </c:pt>
                <c:pt idx="111">
                  <c:v>9.8392021799252799E-2</c:v>
                </c:pt>
                <c:pt idx="112">
                  <c:v>9.8418345821107006E-2</c:v>
                </c:pt>
                <c:pt idx="113">
                  <c:v>9.8447064636032894E-2</c:v>
                </c:pt>
                <c:pt idx="114">
                  <c:v>9.8478839691440598E-2</c:v>
                </c:pt>
                <c:pt idx="115">
                  <c:v>9.8514644241327595E-2</c:v>
                </c:pt>
                <c:pt idx="116">
                  <c:v>9.8555990865747706E-2</c:v>
                </c:pt>
                <c:pt idx="117">
                  <c:v>9.8605403888521903E-2</c:v>
                </c:pt>
                <c:pt idx="118">
                  <c:v>9.8667520989107305E-2</c:v>
                </c:pt>
                <c:pt idx="119">
                  <c:v>9.8752103704584399E-2</c:v>
                </c:pt>
                <c:pt idx="120">
                  <c:v>9.88844549873618E-2</c:v>
                </c:pt>
                <c:pt idx="121">
                  <c:v>9.9160892815511298E-2</c:v>
                </c:pt>
                <c:pt idx="122">
                  <c:v>9.94091301530452E-2</c:v>
                </c:pt>
                <c:pt idx="123">
                  <c:v>9.9655849602708402E-2</c:v>
                </c:pt>
                <c:pt idx="124">
                  <c:v>9.9905501975847605E-2</c:v>
                </c:pt>
                <c:pt idx="125">
                  <c:v>0.100158404857082</c:v>
                </c:pt>
                <c:pt idx="126">
                  <c:v>0.100414834399242</c:v>
                </c:pt>
                <c:pt idx="127">
                  <c:v>0.100675010114966</c:v>
                </c:pt>
                <c:pt idx="128">
                  <c:v>0.100939116894578</c:v>
                </c:pt>
                <c:pt idx="129">
                  <c:v>0.10120731898589599</c:v>
                </c:pt>
                <c:pt idx="130">
                  <c:v>0.101479769132194</c:v>
                </c:pt>
                <c:pt idx="131">
                  <c:v>0.101756614544319</c:v>
                </c:pt>
                <c:pt idx="132">
                  <c:v>0.10203800081778799</c:v>
                </c:pt>
                <c:pt idx="133">
                  <c:v>0.116397999320224</c:v>
                </c:pt>
                <c:pt idx="134">
                  <c:v>0.116881301518155</c:v>
                </c:pt>
                <c:pt idx="135">
                  <c:v>0.117296225440862</c:v>
                </c:pt>
                <c:pt idx="136">
                  <c:v>0.117915404787116</c:v>
                </c:pt>
                <c:pt idx="137">
                  <c:v>0.11887599103230199</c:v>
                </c:pt>
                <c:pt idx="138">
                  <c:v>0.119812555000924</c:v>
                </c:pt>
                <c:pt idx="139">
                  <c:v>0.120725054102833</c:v>
                </c:pt>
                <c:pt idx="140">
                  <c:v>0.121614386811381</c:v>
                </c:pt>
                <c:pt idx="141">
                  <c:v>0.122481387577661</c:v>
                </c:pt>
                <c:pt idx="142">
                  <c:v>0.123326882848347</c:v>
                </c:pt>
                <c:pt idx="143">
                  <c:v>0.124151693485474</c:v>
                </c:pt>
                <c:pt idx="144">
                  <c:v>0.12495662838369399</c:v>
                </c:pt>
                <c:pt idx="145">
                  <c:v>0.12574247869944299</c:v>
                </c:pt>
              </c:numCache>
            </c:numRef>
          </c:xVal>
          <c:yVal>
            <c:numRef>
              <c:f>Implicit_Fracs!$BR$5:$BR$150</c:f>
              <c:numCache>
                <c:formatCode>0.00E+00</c:formatCode>
                <c:ptCount val="146"/>
                <c:pt idx="0">
                  <c:v>6.54266996728435E-5</c:v>
                </c:pt>
                <c:pt idx="1">
                  <c:v>6.9468494464063898E-5</c:v>
                </c:pt>
                <c:pt idx="2">
                  <c:v>6.9301394705630694E-5</c:v>
                </c:pt>
                <c:pt idx="3">
                  <c:v>6.9145915379439501E-5</c:v>
                </c:pt>
                <c:pt idx="4">
                  <c:v>6.8995035245466796E-5</c:v>
                </c:pt>
                <c:pt idx="5">
                  <c:v>6.8846589485361198E-5</c:v>
                </c:pt>
                <c:pt idx="6">
                  <c:v>6.8699669287903E-5</c:v>
                </c:pt>
                <c:pt idx="7">
                  <c:v>6.8553752253940704E-5</c:v>
                </c:pt>
                <c:pt idx="8">
                  <c:v>6.84086058916107E-5</c:v>
                </c:pt>
                <c:pt idx="9">
                  <c:v>6.8264020136794205E-5</c:v>
                </c:pt>
                <c:pt idx="10">
                  <c:v>6.8119846209123799E-5</c:v>
                </c:pt>
                <c:pt idx="11">
                  <c:v>6.7976035561608306E-5</c:v>
                </c:pt>
                <c:pt idx="12">
                  <c:v>6.7832500916326603E-5</c:v>
                </c:pt>
                <c:pt idx="13">
                  <c:v>6.7689192175994704E-5</c:v>
                </c:pt>
                <c:pt idx="14">
                  <c:v>6.7546091074047806E-5</c:v>
                </c:pt>
                <c:pt idx="15">
                  <c:v>6.7403166710159801E-5</c:v>
                </c:pt>
                <c:pt idx="16">
                  <c:v>6.7260373949955003E-5</c:v>
                </c:pt>
                <c:pt idx="17">
                  <c:v>6.7117732800996493E-5</c:v>
                </c:pt>
                <c:pt idx="18">
                  <c:v>6.6975186162850301E-5</c:v>
                </c:pt>
                <c:pt idx="19">
                  <c:v>6.6832759576416494E-5</c:v>
                </c:pt>
                <c:pt idx="20">
                  <c:v>6.66904405699812E-5</c:v>
                </c:pt>
                <c:pt idx="21">
                  <c:v>6.6548179513089398E-5</c:v>
                </c:pt>
                <c:pt idx="22">
                  <c:v>6.6406006192674602E-5</c:v>
                </c:pt>
                <c:pt idx="23">
                  <c:v>6.6263893252319401E-5</c:v>
                </c:pt>
                <c:pt idx="24">
                  <c:v>6.6121852613964998E-5</c:v>
                </c:pt>
                <c:pt idx="25">
                  <c:v>6.5979877866797606E-5</c:v>
                </c:pt>
                <c:pt idx="26">
                  <c:v>6.5837963377236004E-5</c:v>
                </c:pt>
                <c:pt idx="27">
                  <c:v>6.5696067317049507E-5</c:v>
                </c:pt>
                <c:pt idx="28">
                  <c:v>6.5554240296616199E-5</c:v>
                </c:pt>
                <c:pt idx="29">
                  <c:v>6.5412495666932794E-5</c:v>
                </c:pt>
                <c:pt idx="30">
                  <c:v>6.52707575339553E-5</c:v>
                </c:pt>
                <c:pt idx="31">
                  <c:v>6.51290758502729E-5</c:v>
                </c:pt>
                <c:pt idx="32">
                  <c:v>6.4987412012802896E-5</c:v>
                </c:pt>
                <c:pt idx="33">
                  <c:v>6.4845814930377906E-5</c:v>
                </c:pt>
                <c:pt idx="34">
                  <c:v>6.4704263841584305E-5</c:v>
                </c:pt>
                <c:pt idx="35">
                  <c:v>6.4562721910642698E-5</c:v>
                </c:pt>
                <c:pt idx="36">
                  <c:v>6.4421236838251998E-5</c:v>
                </c:pt>
                <c:pt idx="37">
                  <c:v>6.4279772486384998E-5</c:v>
                </c:pt>
                <c:pt idx="38">
                  <c:v>6.4138342764002594E-5</c:v>
                </c:pt>
                <c:pt idx="39">
                  <c:v>6.3996961106440895E-5</c:v>
                </c:pt>
                <c:pt idx="40">
                  <c:v>6.3855592925356495E-5</c:v>
                </c:pt>
                <c:pt idx="41">
                  <c:v>6.3714267506548102E-5</c:v>
                </c:pt>
                <c:pt idx="42">
                  <c:v>6.3572982141142997E-5</c:v>
                </c:pt>
                <c:pt idx="43">
                  <c:v>6.3431703726516496E-5</c:v>
                </c:pt>
                <c:pt idx="44">
                  <c:v>6.3290475637559895E-5</c:v>
                </c:pt>
                <c:pt idx="45">
                  <c:v>6.3149280166279893E-5</c:v>
                </c:pt>
                <c:pt idx="46">
                  <c:v>6.3008114918779805E-5</c:v>
                </c:pt>
                <c:pt idx="47">
                  <c:v>6.2866963144401098E-5</c:v>
                </c:pt>
                <c:pt idx="48">
                  <c:v>6.2725851425740804E-5</c:v>
                </c:pt>
                <c:pt idx="49">
                  <c:v>6.2584777157882098E-5</c:v>
                </c:pt>
                <c:pt idx="50">
                  <c:v>6.2443737792640402E-5</c:v>
                </c:pt>
                <c:pt idx="51">
                  <c:v>6.2302703647253095E-5</c:v>
                </c:pt>
                <c:pt idx="52">
                  <c:v>6.2161726688106597E-5</c:v>
                </c:pt>
                <c:pt idx="53">
                  <c:v>6.2020764169575795E-5</c:v>
                </c:pt>
                <c:pt idx="54">
                  <c:v>6.1879853123944097E-5</c:v>
                </c:pt>
                <c:pt idx="55">
                  <c:v>6.1738952168449701E-5</c:v>
                </c:pt>
                <c:pt idx="56">
                  <c:v>6.2238362159796601E-5</c:v>
                </c:pt>
                <c:pt idx="57">
                  <c:v>6.2097536833780295E-5</c:v>
                </c:pt>
                <c:pt idx="58">
                  <c:v>6.1956751979116496E-5</c:v>
                </c:pt>
                <c:pt idx="59">
                  <c:v>6.1816004762830503E-5</c:v>
                </c:pt>
                <c:pt idx="60">
                  <c:v>6.16752806892845E-5</c:v>
                </c:pt>
                <c:pt idx="61">
                  <c:v>6.1534600513020004E-5</c:v>
                </c:pt>
                <c:pt idx="62">
                  <c:v>6.1393949874185601E-5</c:v>
                </c:pt>
                <c:pt idx="63">
                  <c:v>6.1253337309853502E-5</c:v>
                </c:pt>
                <c:pt idx="64">
                  <c:v>6.1112770813057297E-5</c:v>
                </c:pt>
                <c:pt idx="65">
                  <c:v>6.09722257729564E-5</c:v>
                </c:pt>
                <c:pt idx="66">
                  <c:v>6.0831731289039199E-5</c:v>
                </c:pt>
                <c:pt idx="67">
                  <c:v>6.0691273607876798E-5</c:v>
                </c:pt>
                <c:pt idx="68">
                  <c:v>6.0550859810090897E-5</c:v>
                </c:pt>
                <c:pt idx="69">
                  <c:v>6.0410486597245102E-5</c:v>
                </c:pt>
                <c:pt idx="70">
                  <c:v>6.0270160417992201E-5</c:v>
                </c:pt>
                <c:pt idx="71">
                  <c:v>6.0129877779903898E-5</c:v>
                </c:pt>
                <c:pt idx="72">
                  <c:v>5.9989635306840899E-5</c:v>
                </c:pt>
                <c:pt idx="73">
                  <c:v>5.9849438771637901E-5</c:v>
                </c:pt>
                <c:pt idx="74">
                  <c:v>5.9709293457733598E-5</c:v>
                </c:pt>
                <c:pt idx="75">
                  <c:v>5.9569212776871797E-5</c:v>
                </c:pt>
                <c:pt idx="76">
                  <c:v>5.9429175498536998E-5</c:v>
                </c:pt>
                <c:pt idx="77">
                  <c:v>5.9289194545148099E-5</c:v>
                </c:pt>
                <c:pt idx="78">
                  <c:v>5.9149273812036899E-5</c:v>
                </c:pt>
                <c:pt idx="79">
                  <c:v>5.9009416784840598E-5</c:v>
                </c:pt>
                <c:pt idx="80">
                  <c:v>5.8869611439748003E-5</c:v>
                </c:pt>
                <c:pt idx="81">
                  <c:v>5.8729883397685697E-5</c:v>
                </c:pt>
                <c:pt idx="82">
                  <c:v>5.8590220339126501E-5</c:v>
                </c:pt>
                <c:pt idx="83">
                  <c:v>5.8450631700931301E-5</c:v>
                </c:pt>
                <c:pt idx="84">
                  <c:v>5.8311126022656501E-5</c:v>
                </c:pt>
                <c:pt idx="85">
                  <c:v>5.8171691395636499E-5</c:v>
                </c:pt>
                <c:pt idx="86">
                  <c:v>5.8032354906102698E-5</c:v>
                </c:pt>
                <c:pt idx="87">
                  <c:v>5.78930981823985E-5</c:v>
                </c:pt>
                <c:pt idx="88">
                  <c:v>5.7753934193444303E-5</c:v>
                </c:pt>
                <c:pt idx="89">
                  <c:v>5.7614874662211197E-5</c:v>
                </c:pt>
                <c:pt idx="90">
                  <c:v>5.7475919121738701E-5</c:v>
                </c:pt>
                <c:pt idx="91">
                  <c:v>5.7337083175912403E-5</c:v>
                </c:pt>
                <c:pt idx="92">
                  <c:v>5.7198370637897601E-5</c:v>
                </c:pt>
                <c:pt idx="93">
                  <c:v>5.7059785084843703E-5</c:v>
                </c:pt>
                <c:pt idx="94">
                  <c:v>5.6921339414849998E-5</c:v>
                </c:pt>
                <c:pt idx="95">
                  <c:v>5.6783049912253701E-5</c:v>
                </c:pt>
                <c:pt idx="96">
                  <c:v>5.6644918430360601E-5</c:v>
                </c:pt>
                <c:pt idx="97">
                  <c:v>5.6506967905753902E-5</c:v>
                </c:pt>
                <c:pt idx="98">
                  <c:v>5.6369203495479197E-5</c:v>
                </c:pt>
                <c:pt idx="99">
                  <c:v>5.6231649545572403E-5</c:v>
                </c:pt>
                <c:pt idx="100">
                  <c:v>5.6094328525976302E-5</c:v>
                </c:pt>
                <c:pt idx="101">
                  <c:v>5.6126681978872203E-5</c:v>
                </c:pt>
                <c:pt idx="102">
                  <c:v>5.5989893663754701E-5</c:v>
                </c:pt>
                <c:pt idx="103">
                  <c:v>5.5853415853259701E-5</c:v>
                </c:pt>
                <c:pt idx="104">
                  <c:v>5.5717288357884901E-5</c:v>
                </c:pt>
                <c:pt idx="105">
                  <c:v>5.5581544941257797E-5</c:v>
                </c:pt>
                <c:pt idx="106">
                  <c:v>5.5446249990978301E-5</c:v>
                </c:pt>
                <c:pt idx="107">
                  <c:v>5.5311459555773298E-5</c:v>
                </c:pt>
                <c:pt idx="108">
                  <c:v>5.5177251253402297E-5</c:v>
                </c:pt>
                <c:pt idx="109">
                  <c:v>5.5043726422784401E-5</c:v>
                </c:pt>
                <c:pt idx="110">
                  <c:v>5.4911004639567298E-5</c:v>
                </c:pt>
                <c:pt idx="111">
                  <c:v>5.4779241781384497E-5</c:v>
                </c:pt>
                <c:pt idx="112">
                  <c:v>5.4648646780519498E-5</c:v>
                </c:pt>
                <c:pt idx="113">
                  <c:v>5.4519499744201998E-5</c:v>
                </c:pt>
                <c:pt idx="114">
                  <c:v>5.44860641137751E-5</c:v>
                </c:pt>
                <c:pt idx="115">
                  <c:v>5.4361134544577401E-5</c:v>
                </c:pt>
                <c:pt idx="116">
                  <c:v>5.4239397937700898E-5</c:v>
                </c:pt>
                <c:pt idx="117">
                  <c:v>5.41220818167217E-5</c:v>
                </c:pt>
                <c:pt idx="118">
                  <c:v>5.4026657648808702E-5</c:v>
                </c:pt>
                <c:pt idx="119">
                  <c:v>5.3924544877284697E-5</c:v>
                </c:pt>
                <c:pt idx="120">
                  <c:v>5.3840535518811898E-5</c:v>
                </c:pt>
                <c:pt idx="121">
                  <c:v>5.38267149620631E-5</c:v>
                </c:pt>
                <c:pt idx="122">
                  <c:v>5.3755069476149703E-5</c:v>
                </c:pt>
                <c:pt idx="123">
                  <c:v>5.3684941811054197E-5</c:v>
                </c:pt>
                <c:pt idx="124">
                  <c:v>5.3615578607008898E-5</c:v>
                </c:pt>
                <c:pt idx="125">
                  <c:v>5.3546454572384398E-5</c:v>
                </c:pt>
                <c:pt idx="126">
                  <c:v>5.3478215506590002E-5</c:v>
                </c:pt>
                <c:pt idx="127">
                  <c:v>5.3411206745354602E-5</c:v>
                </c:pt>
                <c:pt idx="128">
                  <c:v>5.3345639393600998E-5</c:v>
                </c:pt>
                <c:pt idx="129">
                  <c:v>5.3281440851356201E-5</c:v>
                </c:pt>
                <c:pt idx="130">
                  <c:v>5.3218759805058E-5</c:v>
                </c:pt>
                <c:pt idx="131">
                  <c:v>5.3157836967244703E-5</c:v>
                </c:pt>
                <c:pt idx="132">
                  <c:v>5.3201962849585897E-5</c:v>
                </c:pt>
                <c:pt idx="133">
                  <c:v>5.4380433782706598E-5</c:v>
                </c:pt>
                <c:pt idx="134">
                  <c:v>5.4241274134137697E-5</c:v>
                </c:pt>
                <c:pt idx="135">
                  <c:v>5.4126122025809701E-5</c:v>
                </c:pt>
                <c:pt idx="136">
                  <c:v>5.4093191797628898E-5</c:v>
                </c:pt>
                <c:pt idx="137">
                  <c:v>5.4012937721221599E-5</c:v>
                </c:pt>
                <c:pt idx="138">
                  <c:v>5.39281273452383E-5</c:v>
                </c:pt>
                <c:pt idx="139">
                  <c:v>5.3839625392997199E-5</c:v>
                </c:pt>
                <c:pt idx="140">
                  <c:v>5.3753509231349402E-5</c:v>
                </c:pt>
                <c:pt idx="141">
                  <c:v>5.3670306443469497E-5</c:v>
                </c:pt>
                <c:pt idx="142">
                  <c:v>5.3585539147540302E-5</c:v>
                </c:pt>
                <c:pt idx="143">
                  <c:v>5.3497286160597598E-5</c:v>
                </c:pt>
                <c:pt idx="144">
                  <c:v>5.3407247021898202E-5</c:v>
                </c:pt>
                <c:pt idx="145">
                  <c:v>5.3363683621118702E-5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Implicit_Fracs!$C$5:$C$150</c:f>
              <c:numCache>
                <c:formatCode>General</c:formatCode>
                <c:ptCount val="146"/>
                <c:pt idx="0">
                  <c:v>6.5264358172878303E-2</c:v>
                </c:pt>
                <c:pt idx="1">
                  <c:v>9.5654928193278393E-2</c:v>
                </c:pt>
                <c:pt idx="2">
                  <c:v>9.5940236144888405E-2</c:v>
                </c:pt>
                <c:pt idx="3">
                  <c:v>9.6117006700230295E-2</c:v>
                </c:pt>
                <c:pt idx="4">
                  <c:v>9.6246045395184304E-2</c:v>
                </c:pt>
                <c:pt idx="5">
                  <c:v>9.6348050389714904E-2</c:v>
                </c:pt>
                <c:pt idx="6">
                  <c:v>9.6432615616439593E-2</c:v>
                </c:pt>
                <c:pt idx="7">
                  <c:v>9.6504985648747904E-2</c:v>
                </c:pt>
                <c:pt idx="8">
                  <c:v>9.6568344484260105E-2</c:v>
                </c:pt>
                <c:pt idx="9">
                  <c:v>9.6624771835736395E-2</c:v>
                </c:pt>
                <c:pt idx="10">
                  <c:v>9.6675701685845106E-2</c:v>
                </c:pt>
                <c:pt idx="11">
                  <c:v>9.6722164953426698E-2</c:v>
                </c:pt>
                <c:pt idx="12">
                  <c:v>9.6764927844012E-2</c:v>
                </c:pt>
                <c:pt idx="13">
                  <c:v>9.6804575476413093E-2</c:v>
                </c:pt>
                <c:pt idx="14">
                  <c:v>9.6841564874625002E-2</c:v>
                </c:pt>
                <c:pt idx="15">
                  <c:v>9.6876259881600799E-2</c:v>
                </c:pt>
                <c:pt idx="16">
                  <c:v>9.6908954927759902E-2</c:v>
                </c:pt>
                <c:pt idx="17">
                  <c:v>9.6939891670041495E-2</c:v>
                </c:pt>
                <c:pt idx="18">
                  <c:v>9.6969270924016998E-2</c:v>
                </c:pt>
                <c:pt idx="19">
                  <c:v>9.6997261402266499E-2</c:v>
                </c:pt>
                <c:pt idx="20">
                  <c:v>9.7024006233288995E-2</c:v>
                </c:pt>
                <c:pt idx="21">
                  <c:v>9.7049627905100702E-2</c:v>
                </c:pt>
                <c:pt idx="22">
                  <c:v>9.7074232069540994E-2</c:v>
                </c:pt>
                <c:pt idx="23">
                  <c:v>9.7097910508660804E-2</c:v>
                </c:pt>
                <c:pt idx="24">
                  <c:v>9.7120743475452104E-2</c:v>
                </c:pt>
                <c:pt idx="25">
                  <c:v>9.7142801560966802E-2</c:v>
                </c:pt>
                <c:pt idx="26">
                  <c:v>9.7164147205116805E-2</c:v>
                </c:pt>
                <c:pt idx="27">
                  <c:v>9.7184835924468901E-2</c:v>
                </c:pt>
                <c:pt idx="28">
                  <c:v>9.7204917312612493E-2</c:v>
                </c:pt>
                <c:pt idx="29">
                  <c:v>9.7224435866633804E-2</c:v>
                </c:pt>
                <c:pt idx="30">
                  <c:v>9.7243431674802899E-2</c:v>
                </c:pt>
                <c:pt idx="31">
                  <c:v>9.72619409925784E-2</c:v>
                </c:pt>
                <c:pt idx="32">
                  <c:v>9.72799967280569E-2</c:v>
                </c:pt>
                <c:pt idx="33">
                  <c:v>9.7297628853473095E-2</c:v>
                </c:pt>
                <c:pt idx="34">
                  <c:v>9.7314864755910904E-2</c:v>
                </c:pt>
                <c:pt idx="35">
                  <c:v>9.7331729537735306E-2</c:v>
                </c:pt>
                <c:pt idx="36">
                  <c:v>9.7348246275195394E-2</c:v>
                </c:pt>
                <c:pt idx="37">
                  <c:v>9.7364436242040303E-2</c:v>
                </c:pt>
                <c:pt idx="38">
                  <c:v>9.7380319103720206E-2</c:v>
                </c:pt>
                <c:pt idx="39">
                  <c:v>9.7395913086741406E-2</c:v>
                </c:pt>
                <c:pt idx="40">
                  <c:v>9.7411235126937806E-2</c:v>
                </c:pt>
                <c:pt idx="41">
                  <c:v>9.7426300999777393E-2</c:v>
                </c:pt>
                <c:pt idx="42">
                  <c:v>9.7441125435301396E-2</c:v>
                </c:pt>
                <c:pt idx="43">
                  <c:v>9.7455722219866994E-2</c:v>
                </c:pt>
                <c:pt idx="44">
                  <c:v>9.7470104286522502E-2</c:v>
                </c:pt>
                <c:pt idx="45">
                  <c:v>9.7484283795555404E-2</c:v>
                </c:pt>
                <c:pt idx="46">
                  <c:v>9.7498272206523406E-2</c:v>
                </c:pt>
                <c:pt idx="47">
                  <c:v>9.7512080342880295E-2</c:v>
                </c:pt>
                <c:pt idx="48">
                  <c:v>9.7525718450151996E-2</c:v>
                </c:pt>
                <c:pt idx="49">
                  <c:v>9.7539196248478802E-2</c:v>
                </c:pt>
                <c:pt idx="50">
                  <c:v>9.7552522980230996E-2</c:v>
                </c:pt>
                <c:pt idx="51">
                  <c:v>9.7565707453306894E-2</c:v>
                </c:pt>
                <c:pt idx="52">
                  <c:v>9.75787580806462E-2</c:v>
                </c:pt>
                <c:pt idx="53">
                  <c:v>9.7591682916420397E-2</c:v>
                </c:pt>
                <c:pt idx="54">
                  <c:v>9.7604489689307794E-2</c:v>
                </c:pt>
                <c:pt idx="55">
                  <c:v>9.7617185833211995E-2</c:v>
                </c:pt>
                <c:pt idx="56">
                  <c:v>9.7629778515739299E-2</c:v>
                </c:pt>
                <c:pt idx="57">
                  <c:v>9.7642274664720294E-2</c:v>
                </c:pt>
                <c:pt idx="58">
                  <c:v>9.7654680993027307E-2</c:v>
                </c:pt>
                <c:pt idx="59">
                  <c:v>9.7667004021917095E-2</c:v>
                </c:pt>
                <c:pt idx="60">
                  <c:v>9.7679250103107004E-2</c:v>
                </c:pt>
                <c:pt idx="61">
                  <c:v>9.7691425439775798E-2</c:v>
                </c:pt>
                <c:pt idx="62">
                  <c:v>9.7703536106665101E-2</c:v>
                </c:pt>
                <c:pt idx="63">
                  <c:v>9.7715588069448703E-2</c:v>
                </c:pt>
                <c:pt idx="64">
                  <c:v>9.7727587203525104E-2</c:v>
                </c:pt>
                <c:pt idx="65">
                  <c:v>9.7739539312385298E-2</c:v>
                </c:pt>
                <c:pt idx="66">
                  <c:v>9.7751450145702204E-2</c:v>
                </c:pt>
                <c:pt idx="67">
                  <c:v>9.7763325417286398E-2</c:v>
                </c:pt>
                <c:pt idx="68">
                  <c:v>9.7775170823054605E-2</c:v>
                </c:pt>
                <c:pt idx="69">
                  <c:v>9.7786992059158098E-2</c:v>
                </c:pt>
                <c:pt idx="70">
                  <c:v>9.7798794840424697E-2</c:v>
                </c:pt>
                <c:pt idx="71">
                  <c:v>9.78105849192758E-2</c:v>
                </c:pt>
                <c:pt idx="72">
                  <c:v>9.7822368105289298E-2</c:v>
                </c:pt>
                <c:pt idx="73">
                  <c:v>9.7834150285593197E-2</c:v>
                </c:pt>
                <c:pt idx="74">
                  <c:v>9.7845937446292497E-2</c:v>
                </c:pt>
                <c:pt idx="75">
                  <c:v>9.7857735695151798E-2</c:v>
                </c:pt>
                <c:pt idx="76">
                  <c:v>9.7869551285783105E-2</c:v>
                </c:pt>
                <c:pt idx="77">
                  <c:v>9.7881390643619406E-2</c:v>
                </c:pt>
                <c:pt idx="78">
                  <c:v>9.7893260393991793E-2</c:v>
                </c:pt>
                <c:pt idx="79">
                  <c:v>9.7905167392676101E-2</c:v>
                </c:pt>
                <c:pt idx="80">
                  <c:v>9.7917118759327501E-2</c:v>
                </c:pt>
                <c:pt idx="81">
                  <c:v>9.7929121914292899E-2</c:v>
                </c:pt>
                <c:pt idx="82">
                  <c:v>9.7941184619368404E-2</c:v>
                </c:pt>
                <c:pt idx="83">
                  <c:v>9.7953315023171394E-2</c:v>
                </c:pt>
                <c:pt idx="84">
                  <c:v>9.7965521711917206E-2</c:v>
                </c:pt>
                <c:pt idx="85">
                  <c:v>9.7977813766536706E-2</c:v>
                </c:pt>
                <c:pt idx="86">
                  <c:v>9.7990200827255999E-2</c:v>
                </c:pt>
                <c:pt idx="87">
                  <c:v>9.8002693166983901E-2</c:v>
                </c:pt>
                <c:pt idx="88">
                  <c:v>9.8015301775131097E-2</c:v>
                </c:pt>
                <c:pt idx="89">
                  <c:v>9.8028038453837299E-2</c:v>
                </c:pt>
                <c:pt idx="90">
                  <c:v>9.8040915929021297E-2</c:v>
                </c:pt>
                <c:pt idx="91">
                  <c:v>9.8053947979225203E-2</c:v>
                </c:pt>
                <c:pt idx="92">
                  <c:v>9.8067149585934904E-2</c:v>
                </c:pt>
                <c:pt idx="93">
                  <c:v>9.8080537109968002E-2</c:v>
                </c:pt>
                <c:pt idx="94">
                  <c:v>9.8094128499704294E-2</c:v>
                </c:pt>
                <c:pt idx="95">
                  <c:v>9.8107943538468995E-2</c:v>
                </c:pt>
                <c:pt idx="96">
                  <c:v>9.8122004140413804E-2</c:v>
                </c:pt>
                <c:pt idx="97">
                  <c:v>9.8136334706939998E-2</c:v>
                </c:pt>
                <c:pt idx="98">
                  <c:v>9.8150962559342594E-2</c:v>
                </c:pt>
                <c:pt idx="99">
                  <c:v>9.8165918468299695E-2</c:v>
                </c:pt>
                <c:pt idx="100">
                  <c:v>9.8181237307639599E-2</c:v>
                </c:pt>
                <c:pt idx="101">
                  <c:v>9.8196958869323794E-2</c:v>
                </c:pt>
                <c:pt idx="102">
                  <c:v>9.8213128890047005E-2</c:v>
                </c:pt>
                <c:pt idx="103">
                  <c:v>9.8229800359218494E-2</c:v>
                </c:pt>
                <c:pt idx="104">
                  <c:v>9.8247035206441499E-2</c:v>
                </c:pt>
                <c:pt idx="105">
                  <c:v>9.8264906508888999E-2</c:v>
                </c:pt>
                <c:pt idx="106">
                  <c:v>9.8283501423392997E-2</c:v>
                </c:pt>
                <c:pt idx="107">
                  <c:v>9.83029251484802E-2</c:v>
                </c:pt>
                <c:pt idx="108">
                  <c:v>9.8323306382231898E-2</c:v>
                </c:pt>
                <c:pt idx="109">
                  <c:v>9.83448050063956E-2</c:v>
                </c:pt>
                <c:pt idx="110">
                  <c:v>9.8367623177314595E-2</c:v>
                </c:pt>
                <c:pt idx="111">
                  <c:v>9.8392021799252799E-2</c:v>
                </c:pt>
                <c:pt idx="112">
                  <c:v>9.8418345821107006E-2</c:v>
                </c:pt>
                <c:pt idx="113">
                  <c:v>9.8447064636032894E-2</c:v>
                </c:pt>
                <c:pt idx="114">
                  <c:v>9.8478839691440598E-2</c:v>
                </c:pt>
                <c:pt idx="115">
                  <c:v>9.8514644241327595E-2</c:v>
                </c:pt>
                <c:pt idx="116">
                  <c:v>9.8555990865747706E-2</c:v>
                </c:pt>
                <c:pt idx="117">
                  <c:v>9.8605403888521903E-2</c:v>
                </c:pt>
                <c:pt idx="118">
                  <c:v>9.8667520989107305E-2</c:v>
                </c:pt>
                <c:pt idx="119">
                  <c:v>9.8752103704584399E-2</c:v>
                </c:pt>
                <c:pt idx="120">
                  <c:v>9.88844549873618E-2</c:v>
                </c:pt>
                <c:pt idx="121">
                  <c:v>9.9160892815511298E-2</c:v>
                </c:pt>
                <c:pt idx="122">
                  <c:v>9.94091301530452E-2</c:v>
                </c:pt>
                <c:pt idx="123">
                  <c:v>9.9655849602708402E-2</c:v>
                </c:pt>
                <c:pt idx="124">
                  <c:v>9.9905501975847605E-2</c:v>
                </c:pt>
                <c:pt idx="125">
                  <c:v>0.100158404857082</c:v>
                </c:pt>
                <c:pt idx="126">
                  <c:v>0.100414834399242</c:v>
                </c:pt>
                <c:pt idx="127">
                  <c:v>0.100675010114966</c:v>
                </c:pt>
                <c:pt idx="128">
                  <c:v>0.100939116894578</c:v>
                </c:pt>
                <c:pt idx="129">
                  <c:v>0.10120731898589599</c:v>
                </c:pt>
                <c:pt idx="130">
                  <c:v>0.101479769132194</c:v>
                </c:pt>
                <c:pt idx="131">
                  <c:v>0.101756614544319</c:v>
                </c:pt>
                <c:pt idx="132">
                  <c:v>0.10203800081778799</c:v>
                </c:pt>
                <c:pt idx="133">
                  <c:v>0.116397999320224</c:v>
                </c:pt>
                <c:pt idx="134">
                  <c:v>0.116881301518155</c:v>
                </c:pt>
                <c:pt idx="135">
                  <c:v>0.117296225440862</c:v>
                </c:pt>
                <c:pt idx="136">
                  <c:v>0.117915404787116</c:v>
                </c:pt>
                <c:pt idx="137">
                  <c:v>0.11887599103230199</c:v>
                </c:pt>
                <c:pt idx="138">
                  <c:v>0.119812555000924</c:v>
                </c:pt>
                <c:pt idx="139">
                  <c:v>0.120725054102833</c:v>
                </c:pt>
                <c:pt idx="140">
                  <c:v>0.121614386811381</c:v>
                </c:pt>
                <c:pt idx="141">
                  <c:v>0.122481387577661</c:v>
                </c:pt>
                <c:pt idx="142">
                  <c:v>0.123326882848347</c:v>
                </c:pt>
                <c:pt idx="143">
                  <c:v>0.124151693485474</c:v>
                </c:pt>
                <c:pt idx="144">
                  <c:v>0.12495662838369399</c:v>
                </c:pt>
                <c:pt idx="145">
                  <c:v>0.12574247869944299</c:v>
                </c:pt>
              </c:numCache>
            </c:numRef>
          </c:xVal>
          <c:yVal>
            <c:numRef>
              <c:f>Implicit_Fracs!$BS$5:$BS$150</c:f>
              <c:numCache>
                <c:formatCode>0.00E+00</c:formatCode>
                <c:ptCount val="146"/>
                <c:pt idx="0" formatCode="General">
                  <c:v>0</c:v>
                </c:pt>
                <c:pt idx="1">
                  <c:v>1.77532394271339E-6</c:v>
                </c:pt>
                <c:pt idx="2">
                  <c:v>3.5515256879039399E-6</c:v>
                </c:pt>
                <c:pt idx="3">
                  <c:v>5.3282106059367103E-6</c:v>
                </c:pt>
                <c:pt idx="4">
                  <c:v>7.1051986876883796E-6</c:v>
                </c:pt>
                <c:pt idx="5">
                  <c:v>8.8824040668119895E-6</c:v>
                </c:pt>
                <c:pt idx="6">
                  <c:v>1.0659774345674599E-5</c:v>
                </c:pt>
                <c:pt idx="7">
                  <c:v>1.2437273304750801E-5</c:v>
                </c:pt>
                <c:pt idx="8">
                  <c:v>1.4214874004451399E-5</c:v>
                </c:pt>
                <c:pt idx="9">
                  <c:v>1.5992555427447899E-5</c:v>
                </c:pt>
                <c:pt idx="10">
                  <c:v>1.77703006108507E-5</c:v>
                </c:pt>
                <c:pt idx="11">
                  <c:v>1.95480955048201E-5</c:v>
                </c:pt>
                <c:pt idx="12">
                  <c:v>2.13259282263893E-5</c:v>
                </c:pt>
                <c:pt idx="13">
                  <c:v>2.3103788546942799E-5</c:v>
                </c:pt>
                <c:pt idx="14">
                  <c:v>2.4881667526844501E-5</c:v>
                </c:pt>
                <c:pt idx="15">
                  <c:v>2.66595572473307E-5</c:v>
                </c:pt>
                <c:pt idx="16">
                  <c:v>2.8437450609115999E-5</c:v>
                </c:pt>
                <c:pt idx="17">
                  <c:v>3.02153411781389E-5</c:v>
                </c:pt>
                <c:pt idx="18">
                  <c:v>3.1993223065398303E-5</c:v>
                </c:pt>
                <c:pt idx="19">
                  <c:v>3.3771090831939401E-5</c:v>
                </c:pt>
                <c:pt idx="20">
                  <c:v>3.5548939412706898E-5</c:v>
                </c:pt>
                <c:pt idx="21">
                  <c:v>3.7326764054752397E-5</c:v>
                </c:pt>
                <c:pt idx="22">
                  <c:v>3.9104560266514E-5</c:v>
                </c:pt>
                <c:pt idx="23">
                  <c:v>4.08823237757217E-5</c:v>
                </c:pt>
                <c:pt idx="24">
                  <c:v>4.2660050494098101E-5</c:v>
                </c:pt>
                <c:pt idx="25">
                  <c:v>4.44377362037964E-5</c:v>
                </c:pt>
                <c:pt idx="26">
                  <c:v>4.6215376545417497E-5</c:v>
                </c:pt>
                <c:pt idx="27">
                  <c:v>4.79929672691166E-5</c:v>
                </c:pt>
                <c:pt idx="28">
                  <c:v>4.97705042111819E-5</c:v>
                </c:pt>
                <c:pt idx="29">
                  <c:v>5.1547983273455997E-5</c:v>
                </c:pt>
                <c:pt idx="30">
                  <c:v>5.3325400405056999E-5</c:v>
                </c:pt>
                <c:pt idx="31">
                  <c:v>5.5102751585961397E-5</c:v>
                </c:pt>
                <c:pt idx="32">
                  <c:v>5.6880032812092301E-5</c:v>
                </c:pt>
                <c:pt idx="33">
                  <c:v>5.8657240081633601E-5</c:v>
                </c:pt>
                <c:pt idx="34">
                  <c:v>6.0434369382318702E-5</c:v>
                </c:pt>
                <c:pt idx="35">
                  <c:v>6.2211416679509897E-5</c:v>
                </c:pt>
                <c:pt idx="36">
                  <c:v>6.3988377904879398E-5</c:v>
                </c:pt>
                <c:pt idx="37">
                  <c:v>6.5765248945578105E-5</c:v>
                </c:pt>
                <c:pt idx="38">
                  <c:v>6.7542025633731003E-5</c:v>
                </c:pt>
                <c:pt idx="39">
                  <c:v>6.9318703736183899E-5</c:v>
                </c:pt>
                <c:pt idx="40">
                  <c:v>7.1095278944377602E-5</c:v>
                </c:pt>
                <c:pt idx="41">
                  <c:v>7.2871746864275002E-5</c:v>
                </c:pt>
                <c:pt idx="42">
                  <c:v>7.4648103006251106E-5</c:v>
                </c:pt>
                <c:pt idx="43">
                  <c:v>7.6424342774875499E-5</c:v>
                </c:pt>
                <c:pt idx="44">
                  <c:v>7.8200461458511705E-5</c:v>
                </c:pt>
                <c:pt idx="45">
                  <c:v>7.99764542186538E-5</c:v>
                </c:pt>
                <c:pt idx="46">
                  <c:v>8.1752316078951206E-5</c:v>
                </c:pt>
                <c:pt idx="47">
                  <c:v>8.3528041913812702E-5</c:v>
                </c:pt>
                <c:pt idx="48">
                  <c:v>8.5303626436578696E-5</c:v>
                </c:pt>
                <c:pt idx="49">
                  <c:v>8.7079064187113304E-5</c:v>
                </c:pt>
                <c:pt idx="50">
                  <c:v>8.8854349518805798E-5</c:v>
                </c:pt>
                <c:pt idx="51">
                  <c:v>9.0629476584861598E-5</c:v>
                </c:pt>
                <c:pt idx="52">
                  <c:v>9.2404439323801206E-5</c:v>
                </c:pt>
                <c:pt idx="53">
                  <c:v>9.4179231444098906E-5</c:v>
                </c:pt>
                <c:pt idx="54">
                  <c:v>9.5953846407828694E-5</c:v>
                </c:pt>
                <c:pt idx="55">
                  <c:v>9.7728277413233807E-5</c:v>
                </c:pt>
                <c:pt idx="56">
                  <c:v>9.9502517376083799E-5</c:v>
                </c:pt>
                <c:pt idx="57" formatCode="General">
                  <c:v>1.01276558909719E-4</c:v>
                </c:pt>
                <c:pt idx="58" formatCode="General">
                  <c:v>1.0305039430359901E-4</c:v>
                </c:pt>
                <c:pt idx="59" formatCode="General">
                  <c:v>1.04824015500238E-4</c:v>
                </c:pt>
                <c:pt idx="60" formatCode="General">
                  <c:v>1.06597414070328E-4</c:v>
                </c:pt>
                <c:pt idx="61" formatCode="General">
                  <c:v>1.0837058118587201E-4</c:v>
                </c:pt>
                <c:pt idx="62" formatCode="General">
                  <c:v>1.1014350759109199E-4</c:v>
                </c:pt>
                <c:pt idx="63" formatCode="General">
                  <c:v>1.11916183570897E-4</c:v>
                </c:pt>
                <c:pt idx="64" formatCode="General">
                  <c:v>1.1368859891662999E-4</c:v>
                </c:pt>
                <c:pt idx="65" formatCode="General">
                  <c:v>1.15460742888775E-4</c:v>
                </c:pt>
                <c:pt idx="66" formatCode="General">
                  <c:v>1.17232604176304E-4</c:v>
                </c:pt>
                <c:pt idx="67" formatCode="General">
                  <c:v>1.19004170852281E-4</c:v>
                </c:pt>
                <c:pt idx="68" formatCode="General">
                  <c:v>1.20775430325256E-4</c:v>
                </c:pt>
                <c:pt idx="69" formatCode="General">
                  <c:v>1.22546369285994E-4</c:v>
                </c:pt>
                <c:pt idx="70" formatCode="General">
                  <c:v>1.2431697364893699E-4</c:v>
                </c:pt>
                <c:pt idx="71" formatCode="General">
                  <c:v>1.26087228487787E-4</c:v>
                </c:pt>
                <c:pt idx="72" formatCode="General">
                  <c:v>1.2785711796444899E-4</c:v>
                </c:pt>
                <c:pt idx="73" formatCode="General">
                  <c:v>1.2962662525051001E-4</c:v>
                </c:pt>
                <c:pt idx="74" formatCode="General">
                  <c:v>1.3139573244026799E-4</c:v>
                </c:pt>
                <c:pt idx="75" formatCode="General">
                  <c:v>1.3316442045420299E-4</c:v>
                </c:pt>
                <c:pt idx="76" formatCode="General">
                  <c:v>1.34932668931585E-4</c:v>
                </c:pt>
                <c:pt idx="77" formatCode="General">
                  <c:v>1.36700456110725E-4</c:v>
                </c:pt>
                <c:pt idx="78" formatCode="General">
                  <c:v>1.3846775869511601E-4</c:v>
                </c:pt>
                <c:pt idx="79" formatCode="General">
                  <c:v>1.40234551703413E-4</c:v>
                </c:pt>
                <c:pt idx="80" formatCode="General">
                  <c:v>1.4200080830088199E-4</c:v>
                </c:pt>
                <c:pt idx="81" formatCode="General">
                  <c:v>1.4376649960946399E-4</c:v>
                </c:pt>
                <c:pt idx="82" formatCode="General">
                  <c:v>1.45531594493165E-4</c:v>
                </c:pt>
                <c:pt idx="83" formatCode="General">
                  <c:v>1.47296059314818E-4</c:v>
                </c:pt>
                <c:pt idx="84" formatCode="General">
                  <c:v>1.4905985765950201E-4</c:v>
                </c:pt>
                <c:pt idx="85" formatCode="General">
                  <c:v>1.5082295001905599E-4</c:v>
                </c:pt>
                <c:pt idx="86" formatCode="General">
                  <c:v>1.5258529343092401E-4</c:v>
                </c:pt>
                <c:pt idx="87" formatCode="General">
                  <c:v>1.5434684106319801E-4</c:v>
                </c:pt>
                <c:pt idx="88" formatCode="General">
                  <c:v>1.56107541736046E-4</c:v>
                </c:pt>
                <c:pt idx="89" formatCode="General">
                  <c:v>1.5786733936748199E-4</c:v>
                </c:pt>
                <c:pt idx="90" formatCode="General">
                  <c:v>1.5962617232876701E-4</c:v>
                </c:pt>
                <c:pt idx="91" formatCode="General">
                  <c:v>1.6138397269130201E-4</c:v>
                </c:pt>
                <c:pt idx="92" formatCode="General">
                  <c:v>1.63140665342474E-4</c:v>
                </c:pt>
                <c:pt idx="93" formatCode="General">
                  <c:v>1.6489616694235199E-4</c:v>
                </c:pt>
                <c:pt idx="94" formatCode="General">
                  <c:v>1.6665038468583501E-4</c:v>
                </c:pt>
                <c:pt idx="95" formatCode="General">
                  <c:v>1.6840321482545199E-4</c:v>
                </c:pt>
                <c:pt idx="96" formatCode="General">
                  <c:v>1.7015454089755699E-4</c:v>
                </c:pt>
                <c:pt idx="97" formatCode="General">
                  <c:v>1.7190423157820999E-4</c:v>
                </c:pt>
                <c:pt idx="98" formatCode="General">
                  <c:v>1.7365213807290901E-4</c:v>
                </c:pt>
                <c:pt idx="99" formatCode="General">
                  <c:v>1.7539809091446701E-4</c:v>
                </c:pt>
                <c:pt idx="100" formatCode="General">
                  <c:v>1.7714189600230701E-4</c:v>
                </c:pt>
                <c:pt idx="101" formatCode="General">
                  <c:v>1.7888332965974101E-4</c:v>
                </c:pt>
                <c:pt idx="102" formatCode="General">
                  <c:v>1.8062213240591999E-4</c:v>
                </c:pt>
                <c:pt idx="103" formatCode="General">
                  <c:v>1.8235800102575999E-4</c:v>
                </c:pt>
                <c:pt idx="104" formatCode="General">
                  <c:v>1.84090578356916E-4</c:v>
                </c:pt>
                <c:pt idx="105" formatCode="General">
                  <c:v>1.85819439971929E-4</c:v>
                </c:pt>
                <c:pt idx="106" formatCode="General">
                  <c:v>1.8754407657344999E-4</c:v>
                </c:pt>
                <c:pt idx="107" formatCode="General">
                  <c:v>1.8926387037213201E-4</c:v>
                </c:pt>
                <c:pt idx="108" formatCode="General">
                  <c:v>1.90978062865141E-4</c:v>
                </c:pt>
                <c:pt idx="109" formatCode="General">
                  <c:v>1.9268571008250999E-4</c:v>
                </c:pt>
                <c:pt idx="110" formatCode="General">
                  <c:v>1.94385619178492E-4</c:v>
                </c:pt>
                <c:pt idx="111" formatCode="General">
                  <c:v>1.9607625661515799E-4</c:v>
                </c:pt>
                <c:pt idx="112" formatCode="General">
                  <c:v>1.9775561204574301E-4</c:v>
                </c:pt>
                <c:pt idx="113" formatCode="General">
                  <c:v>1.9942099147189101E-4</c:v>
                </c:pt>
                <c:pt idx="114" formatCode="General">
                  <c:v>2.0106869523173101E-4</c:v>
                </c:pt>
                <c:pt idx="115" formatCode="General">
                  <c:v>2.0269350719546899E-4</c:v>
                </c:pt>
                <c:pt idx="116" formatCode="General">
                  <c:v>2.0428788547866301E-4</c:v>
                </c:pt>
                <c:pt idx="117" formatCode="General">
                  <c:v>2.0584077342181701E-4</c:v>
                </c:pt>
                <c:pt idx="118" formatCode="General">
                  <c:v>2.0733657471890801E-4</c:v>
                </c:pt>
                <c:pt idx="119" formatCode="General">
                  <c:v>2.0876001991843E-4</c:v>
                </c:pt>
                <c:pt idx="120" formatCode="General">
                  <c:v>2.10160221273504E-4</c:v>
                </c:pt>
                <c:pt idx="121" formatCode="General">
                  <c:v>2.10854539936723E-4</c:v>
                </c:pt>
                <c:pt idx="122" formatCode="General">
                  <c:v>2.1226808290536499E-4</c:v>
                </c:pt>
                <c:pt idx="123" formatCode="General">
                  <c:v>2.1368368257324201E-4</c:v>
                </c:pt>
                <c:pt idx="124" formatCode="General">
                  <c:v>2.15118674468785E-4</c:v>
                </c:pt>
                <c:pt idx="125" formatCode="General">
                  <c:v>2.1656514267853099E-4</c:v>
                </c:pt>
                <c:pt idx="126" formatCode="General">
                  <c:v>2.1801830255103999E-4</c:v>
                </c:pt>
                <c:pt idx="127" formatCode="General">
                  <c:v>2.1947513730361399E-4</c:v>
                </c:pt>
                <c:pt idx="128" formatCode="General">
                  <c:v>2.2093375616111501E-4</c:v>
                </c:pt>
                <c:pt idx="129" formatCode="General">
                  <c:v>2.2239297815762401E-4</c:v>
                </c:pt>
                <c:pt idx="130" formatCode="General">
                  <c:v>2.238520669447E-4</c:v>
                </c:pt>
                <c:pt idx="131" formatCode="General">
                  <c:v>2.25310563163559E-4</c:v>
                </c:pt>
                <c:pt idx="132" formatCode="General">
                  <c:v>2.2539964529137799E-4</c:v>
                </c:pt>
                <c:pt idx="133" formatCode="General">
                  <c:v>2.3164309025766001E-4</c:v>
                </c:pt>
                <c:pt idx="134" formatCode="General">
                  <c:v>2.33179805324582E-4</c:v>
                </c:pt>
                <c:pt idx="135" formatCode="General">
                  <c:v>2.34463874022458E-4</c:v>
                </c:pt>
                <c:pt idx="136" formatCode="General">
                  <c:v>2.3466273033939899E-4</c:v>
                </c:pt>
                <c:pt idx="137" formatCode="General">
                  <c:v>2.3535421513744899E-4</c:v>
                </c:pt>
                <c:pt idx="138" formatCode="General">
                  <c:v>2.3610739395400101E-4</c:v>
                </c:pt>
                <c:pt idx="139" formatCode="General">
                  <c:v>2.3688379623938699E-4</c:v>
                </c:pt>
                <c:pt idx="140" formatCode="General">
                  <c:v>2.3767451732182701E-4</c:v>
                </c:pt>
                <c:pt idx="141" formatCode="General">
                  <c:v>2.3847708020519E-4</c:v>
                </c:pt>
                <c:pt idx="142" formatCode="General">
                  <c:v>2.3929054669853201E-4</c:v>
                </c:pt>
                <c:pt idx="143" formatCode="General">
                  <c:v>2.4011437167413701E-4</c:v>
                </c:pt>
                <c:pt idx="144" formatCode="General">
                  <c:v>2.4094811963870801E-4</c:v>
                </c:pt>
                <c:pt idx="145" formatCode="General">
                  <c:v>2.41203952644918E-4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1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1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a-DK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0.09182</cdr:x>
      <cdr:y>0.1649</cdr:y>
    </cdr:from>
    <cdr:to>
      <cdr:x>0.81372</cdr:x>
      <cdr:y>0.88419</cdr:y>
    </cdr:to>
    <cdr:sp macro="" textlink="">
      <cdr:nvSpPr>
        <cdr:cNvPr id="2" name="FracNo 346 StartRow 3">
          <a:extLst xmlns:a="http://schemas.openxmlformats.org/drawingml/2006/main">
            <a:ext uri="{FF2B5EF4-FFF2-40B4-BE49-F238E27FC236}">
              <a16:creationId xmlns:a16="http://schemas.microsoft.com/office/drawing/2014/main" id="{84BAC528-43A8-C16D-AFF2-052FFAA1BFDD}"/>
            </a:ext>
          </a:extLst>
        </cdr:cNvPr>
        <cdr:cNvSpPr/>
      </cdr:nvSpPr>
      <cdr:spPr>
        <a:xfrm xmlns:a="http://schemas.openxmlformats.org/drawingml/2006/main">
          <a:off x="671676" y="1256566"/>
          <a:ext cx="5280861" cy="54809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80861" h="5480969">
              <a:moveTo>
                <a:pt x="2442696" y="2954386"/>
              </a:moveTo>
              <a:lnTo>
                <a:pt x="2083275" y="3326150"/>
              </a:lnTo>
              <a:lnTo>
                <a:pt x="1725373" y="3696343"/>
              </a:lnTo>
              <a:lnTo>
                <a:pt x="0" y="5480968"/>
              </a:lnTo>
              <a:lnTo>
                <a:pt x="0" y="5443465"/>
              </a:lnTo>
              <a:lnTo>
                <a:pt x="1710358" y="3674369"/>
              </a:lnTo>
              <a:lnTo>
                <a:pt x="2065146" y="3307398"/>
              </a:lnTo>
              <a:lnTo>
                <a:pt x="2424566" y="2935634"/>
              </a:lnTo>
              <a:lnTo>
                <a:pt x="3783011" y="1530537"/>
              </a:lnTo>
              <a:lnTo>
                <a:pt x="4139356" y="1161954"/>
              </a:lnTo>
              <a:lnTo>
                <a:pt x="5262731" y="0"/>
              </a:lnTo>
              <a:lnTo>
                <a:pt x="5280860" y="18753"/>
              </a:lnTo>
              <a:lnTo>
                <a:pt x="4157485" y="1180707"/>
              </a:lnTo>
              <a:lnTo>
                <a:pt x="3801141" y="15492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0.81041</cdr:x>
      <cdr:y>0.79897</cdr:y>
    </cdr:to>
    <cdr:sp macro="" textlink="">
      <cdr:nvSpPr>
        <cdr:cNvPr id="3" name="FracNo 835 StartRow 20">
          <a:extLst xmlns:a="http://schemas.openxmlformats.org/drawingml/2006/main">
            <a:ext uri="{FF2B5EF4-FFF2-40B4-BE49-F238E27FC236}">
              <a16:creationId xmlns:a16="http://schemas.microsoft.com/office/drawing/2014/main" id="{4D71B690-A436-6165-D11A-092430738CC0}"/>
            </a:ext>
          </a:extLst>
        </cdr:cNvPr>
        <cdr:cNvSpPr/>
      </cdr:nvSpPr>
      <cdr:spPr>
        <a:xfrm xmlns:a="http://schemas.openxmlformats.org/drawingml/2006/main">
          <a:off x="671676" y="651036"/>
          <a:ext cx="5256607" cy="54371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56607" h="5437129">
              <a:moveTo>
                <a:pt x="3278596" y="2008434"/>
              </a:moveTo>
              <a:lnTo>
                <a:pt x="3155201" y="2136067"/>
              </a:lnTo>
              <a:lnTo>
                <a:pt x="2065146" y="3263558"/>
              </a:lnTo>
              <a:lnTo>
                <a:pt x="1085292" y="4277061"/>
              </a:lnTo>
              <a:lnTo>
                <a:pt x="0" y="5399625"/>
              </a:lnTo>
              <a:lnTo>
                <a:pt x="0" y="5437128"/>
              </a:lnTo>
              <a:lnTo>
                <a:pt x="1094819" y="4304711"/>
              </a:lnTo>
              <a:lnTo>
                <a:pt x="2083275" y="3282309"/>
              </a:lnTo>
              <a:lnTo>
                <a:pt x="3173330" y="2154819"/>
              </a:lnTo>
              <a:lnTo>
                <a:pt x="3297732" y="2026145"/>
              </a:lnTo>
              <a:lnTo>
                <a:pt x="4161484" y="1132731"/>
              </a:lnTo>
              <a:lnTo>
                <a:pt x="5256606" y="0"/>
              </a:lnTo>
              <a:lnTo>
                <a:pt x="5220347" y="0"/>
              </a:lnTo>
              <a:lnTo>
                <a:pt x="4135358" y="11222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0.77327</cdr:x>
      <cdr:y>0.7621</cdr:y>
    </cdr:to>
    <cdr:sp macro="" textlink="">
      <cdr:nvSpPr>
        <cdr:cNvPr id="4" name="FracNo 352 StartRow 37">
          <a:extLst xmlns:a="http://schemas.openxmlformats.org/drawingml/2006/main">
            <a:ext uri="{FF2B5EF4-FFF2-40B4-BE49-F238E27FC236}">
              <a16:creationId xmlns:a16="http://schemas.microsoft.com/office/drawing/2014/main" id="{CA28466E-3210-651F-B84F-95D4C5A208E4}"/>
            </a:ext>
          </a:extLst>
        </cdr:cNvPr>
        <cdr:cNvSpPr/>
      </cdr:nvSpPr>
      <cdr:spPr>
        <a:xfrm xmlns:a="http://schemas.openxmlformats.org/drawingml/2006/main">
          <a:off x="671676" y="651036"/>
          <a:ext cx="4984960" cy="51561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84960" h="5156153">
              <a:moveTo>
                <a:pt x="2762589" y="2298691"/>
              </a:moveTo>
              <a:lnTo>
                <a:pt x="2083275" y="3001334"/>
              </a:lnTo>
              <a:lnTo>
                <a:pt x="821985" y="4305939"/>
              </a:lnTo>
              <a:lnTo>
                <a:pt x="0" y="5156152"/>
              </a:lnTo>
              <a:lnTo>
                <a:pt x="0" y="5118649"/>
              </a:lnTo>
              <a:lnTo>
                <a:pt x="814832" y="4275834"/>
              </a:lnTo>
              <a:lnTo>
                <a:pt x="2065146" y="2982581"/>
              </a:lnTo>
              <a:lnTo>
                <a:pt x="2744460" y="2279939"/>
              </a:lnTo>
              <a:lnTo>
                <a:pt x="2883554" y="2136067"/>
              </a:lnTo>
              <a:lnTo>
                <a:pt x="4133868" y="842815"/>
              </a:lnTo>
              <a:lnTo>
                <a:pt x="4948700" y="0"/>
              </a:lnTo>
              <a:lnTo>
                <a:pt x="4984959" y="0"/>
              </a:lnTo>
              <a:lnTo>
                <a:pt x="4162973" y="850214"/>
              </a:lnTo>
              <a:lnTo>
                <a:pt x="2901684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0.76482</cdr:x>
      <cdr:y>0.75371</cdr:y>
    </cdr:to>
    <cdr:sp macro="" textlink="">
      <cdr:nvSpPr>
        <cdr:cNvPr id="5" name="FracNo 790 StartRow 54">
          <a:extLst xmlns:a="http://schemas.openxmlformats.org/drawingml/2006/main">
            <a:ext uri="{FF2B5EF4-FFF2-40B4-BE49-F238E27FC236}">
              <a16:creationId xmlns:a16="http://schemas.microsoft.com/office/drawing/2014/main" id="{A8030BFC-A0A3-F693-2A57-CC0DE4EBE0E0}"/>
            </a:ext>
          </a:extLst>
        </cdr:cNvPr>
        <cdr:cNvSpPr/>
      </cdr:nvSpPr>
      <cdr:spPr>
        <a:xfrm xmlns:a="http://schemas.openxmlformats.org/drawingml/2006/main">
          <a:off x="671676" y="651036"/>
          <a:ext cx="4923127" cy="50921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3127" h="5092197">
              <a:moveTo>
                <a:pt x="2160886" y="2819598"/>
              </a:moveTo>
              <a:lnTo>
                <a:pt x="2065146" y="2918625"/>
              </a:lnTo>
              <a:lnTo>
                <a:pt x="753269" y="4275554"/>
              </a:lnTo>
              <a:lnTo>
                <a:pt x="0" y="5054692"/>
              </a:lnTo>
              <a:lnTo>
                <a:pt x="0" y="5092196"/>
              </a:lnTo>
              <a:lnTo>
                <a:pt x="759882" y="4306218"/>
              </a:lnTo>
              <a:lnTo>
                <a:pt x="2083275" y="2937377"/>
              </a:lnTo>
              <a:lnTo>
                <a:pt x="2179015" y="2838349"/>
              </a:lnTo>
              <a:lnTo>
                <a:pt x="2839851" y="2154819"/>
              </a:lnTo>
              <a:lnTo>
                <a:pt x="4163244" y="785978"/>
              </a:lnTo>
              <a:lnTo>
                <a:pt x="4923126" y="0"/>
              </a:lnTo>
              <a:lnTo>
                <a:pt x="4886867" y="0"/>
              </a:lnTo>
              <a:lnTo>
                <a:pt x="4133598" y="779138"/>
              </a:lnTo>
              <a:lnTo>
                <a:pt x="2821722" y="2136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0.1271</cdr:x>
      <cdr:y>0.08544</cdr:y>
    </cdr:from>
    <cdr:to>
      <cdr:x>0.75938</cdr:x>
      <cdr:y>0.71081</cdr:y>
    </cdr:to>
    <cdr:sp macro="" textlink="">
      <cdr:nvSpPr>
        <cdr:cNvPr id="6" name="FracNo 815 StartRow 71">
          <a:extLst xmlns:a="http://schemas.openxmlformats.org/drawingml/2006/main">
            <a:ext uri="{FF2B5EF4-FFF2-40B4-BE49-F238E27FC236}">
              <a16:creationId xmlns:a16="http://schemas.microsoft.com/office/drawing/2014/main" id="{055DBFC1-BFEB-B01F-5966-21D94E518504}"/>
            </a:ext>
          </a:extLst>
        </cdr:cNvPr>
        <cdr:cNvSpPr/>
      </cdr:nvSpPr>
      <cdr:spPr>
        <a:xfrm xmlns:a="http://schemas.openxmlformats.org/drawingml/2006/main">
          <a:off x="929766" y="651036"/>
          <a:ext cx="4625272" cy="47653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25272" h="4765361">
              <a:moveTo>
                <a:pt x="3655348" y="1003232"/>
              </a:moveTo>
              <a:lnTo>
                <a:pt x="2541996" y="2154819"/>
              </a:lnTo>
              <a:lnTo>
                <a:pt x="1825185" y="2896247"/>
              </a:lnTo>
              <a:lnTo>
                <a:pt x="467785" y="4300262"/>
              </a:lnTo>
              <a:lnTo>
                <a:pt x="18130" y="4765360"/>
              </a:lnTo>
              <a:lnTo>
                <a:pt x="0" y="4746608"/>
              </a:lnTo>
              <a:lnTo>
                <a:pt x="449656" y="4281510"/>
              </a:lnTo>
              <a:lnTo>
                <a:pt x="1807056" y="2877495"/>
              </a:lnTo>
              <a:lnTo>
                <a:pt x="2523867" y="2136067"/>
              </a:lnTo>
              <a:lnTo>
                <a:pt x="3633427" y="988402"/>
              </a:lnTo>
              <a:lnTo>
                <a:pt x="3878951" y="734447"/>
              </a:lnTo>
              <a:lnTo>
                <a:pt x="4589012" y="0"/>
              </a:lnTo>
              <a:lnTo>
                <a:pt x="4625271" y="0"/>
              </a:lnTo>
              <a:lnTo>
                <a:pt x="3901711" y="7484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0.32565</cdr:x>
      <cdr:y>0.1575</cdr:y>
    </cdr:from>
    <cdr:to>
      <cdr:x>0.94246</cdr:x>
      <cdr:y>0.77244</cdr:y>
    </cdr:to>
    <cdr:sp macro="" textlink="">
      <cdr:nvSpPr>
        <cdr:cNvPr id="7" name="FracNo 587 StartRow 88">
          <a:extLst xmlns:a="http://schemas.openxmlformats.org/drawingml/2006/main">
            <a:ext uri="{FF2B5EF4-FFF2-40B4-BE49-F238E27FC236}">
              <a16:creationId xmlns:a16="http://schemas.microsoft.com/office/drawing/2014/main" id="{966798A2-B365-7016-5020-C953255614A5}"/>
            </a:ext>
          </a:extLst>
        </cdr:cNvPr>
        <cdr:cNvSpPr/>
      </cdr:nvSpPr>
      <cdr:spPr>
        <a:xfrm xmlns:a="http://schemas.openxmlformats.org/drawingml/2006/main">
          <a:off x="2382159" y="1200164"/>
          <a:ext cx="4512149" cy="46858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12149" h="4685858">
              <a:moveTo>
                <a:pt x="2827085" y="1742932"/>
              </a:moveTo>
              <a:lnTo>
                <a:pt x="2428873" y="2154819"/>
              </a:lnTo>
              <a:lnTo>
                <a:pt x="903688" y="3732382"/>
              </a:lnTo>
              <a:lnTo>
                <a:pt x="354663" y="4300262"/>
              </a:lnTo>
              <a:lnTo>
                <a:pt x="0" y="4667105"/>
              </a:lnTo>
              <a:lnTo>
                <a:pt x="18129" y="4685857"/>
              </a:lnTo>
              <a:lnTo>
                <a:pt x="372792" y="4319014"/>
              </a:lnTo>
              <a:lnTo>
                <a:pt x="921817" y="3751134"/>
              </a:lnTo>
              <a:lnTo>
                <a:pt x="2447002" y="2173571"/>
              </a:lnTo>
              <a:lnTo>
                <a:pt x="2844029" y="1762910"/>
              </a:lnTo>
              <a:lnTo>
                <a:pt x="2995209" y="1606538"/>
              </a:lnTo>
              <a:lnTo>
                <a:pt x="4512148" y="37504"/>
              </a:lnTo>
              <a:lnTo>
                <a:pt x="4512148" y="0"/>
              </a:lnTo>
              <a:lnTo>
                <a:pt x="2978717" y="15860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0.32635</cdr:x>
      <cdr:y>0.31832</cdr:y>
    </cdr:from>
    <cdr:to>
      <cdr:x>0.94246</cdr:x>
      <cdr:y>0.9301</cdr:y>
    </cdr:to>
    <cdr:sp macro="" textlink="">
      <cdr:nvSpPr>
        <cdr:cNvPr id="8" name="FracNo 756 StartRow 105">
          <a:extLst xmlns:a="http://schemas.openxmlformats.org/drawingml/2006/main">
            <a:ext uri="{FF2B5EF4-FFF2-40B4-BE49-F238E27FC236}">
              <a16:creationId xmlns:a16="http://schemas.microsoft.com/office/drawing/2014/main" id="{04AA306E-79B5-E0F8-6B19-D106A9785C1C}"/>
            </a:ext>
          </a:extLst>
        </cdr:cNvPr>
        <cdr:cNvSpPr/>
      </cdr:nvSpPr>
      <cdr:spPr>
        <a:xfrm xmlns:a="http://schemas.openxmlformats.org/drawingml/2006/main">
          <a:off x="2387310" y="2425588"/>
          <a:ext cx="4506998" cy="46617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6998" h="4661778">
              <a:moveTo>
                <a:pt x="230121" y="4423754"/>
              </a:moveTo>
              <a:lnTo>
                <a:pt x="0" y="4661777"/>
              </a:lnTo>
              <a:lnTo>
                <a:pt x="36258" y="4661777"/>
              </a:lnTo>
              <a:lnTo>
                <a:pt x="254443" y="4436100"/>
              </a:lnTo>
              <a:lnTo>
                <a:pt x="367641" y="4319014"/>
              </a:lnTo>
              <a:lnTo>
                <a:pt x="2101404" y="2525710"/>
              </a:lnTo>
              <a:lnTo>
                <a:pt x="2441851" y="2173571"/>
              </a:lnTo>
              <a:lnTo>
                <a:pt x="4168038" y="388104"/>
              </a:lnTo>
              <a:lnTo>
                <a:pt x="4506997" y="37504"/>
              </a:lnTo>
              <a:lnTo>
                <a:pt x="4506997" y="0"/>
              </a:lnTo>
              <a:lnTo>
                <a:pt x="4165062" y="353678"/>
              </a:lnTo>
              <a:lnTo>
                <a:pt x="2423722" y="2154819"/>
              </a:lnTo>
              <a:lnTo>
                <a:pt x="2083274" y="2506958"/>
              </a:lnTo>
              <a:lnTo>
                <a:pt x="349512" y="43002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0.3492</cdr:x>
      <cdr:y>0.13675</cdr:y>
    </cdr:from>
    <cdr:to>
      <cdr:x>0.94246</cdr:x>
      <cdr:y>0.72831</cdr:y>
    </cdr:to>
    <cdr:sp macro="" textlink="">
      <cdr:nvSpPr>
        <cdr:cNvPr id="9" name="FracNo 348 StartRow 122">
          <a:extLst xmlns:a="http://schemas.openxmlformats.org/drawingml/2006/main">
            <a:ext uri="{FF2B5EF4-FFF2-40B4-BE49-F238E27FC236}">
              <a16:creationId xmlns:a16="http://schemas.microsoft.com/office/drawing/2014/main" id="{00E78C14-B7CE-1D6F-E44A-687B8879B09A}"/>
            </a:ext>
          </a:extLst>
        </cdr:cNvPr>
        <cdr:cNvSpPr/>
      </cdr:nvSpPr>
      <cdr:spPr>
        <a:xfrm xmlns:a="http://schemas.openxmlformats.org/drawingml/2006/main">
          <a:off x="2554444" y="1042046"/>
          <a:ext cx="4339864" cy="45076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39864" h="4507655">
              <a:moveTo>
                <a:pt x="1445755" y="2993497"/>
              </a:moveTo>
              <a:lnTo>
                <a:pt x="578535" y="3890500"/>
              </a:lnTo>
              <a:lnTo>
                <a:pt x="182378" y="4300262"/>
              </a:lnTo>
              <a:lnTo>
                <a:pt x="0" y="4488902"/>
              </a:lnTo>
              <a:lnTo>
                <a:pt x="18130" y="4507654"/>
              </a:lnTo>
              <a:lnTo>
                <a:pt x="200507" y="4319014"/>
              </a:lnTo>
              <a:lnTo>
                <a:pt x="596664" y="3909252"/>
              </a:lnTo>
              <a:lnTo>
                <a:pt x="1463885" y="3012249"/>
              </a:lnTo>
              <a:lnTo>
                <a:pt x="2274717" y="2173571"/>
              </a:lnTo>
              <a:lnTo>
                <a:pt x="2669143" y="1765599"/>
              </a:lnTo>
              <a:lnTo>
                <a:pt x="4339863" y="37504"/>
              </a:lnTo>
              <a:lnTo>
                <a:pt x="4339863" y="0"/>
              </a:lnTo>
              <a:lnTo>
                <a:pt x="2654476" y="1743267"/>
              </a:lnTo>
              <a:lnTo>
                <a:pt x="2256588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0.68357</cdr:x>
      <cdr:y>0.67302</cdr:y>
    </cdr:to>
    <cdr:sp macro="" textlink="">
      <cdr:nvSpPr>
        <cdr:cNvPr id="10" name="FracNo 841 StartRow 139">
          <a:extLst xmlns:a="http://schemas.openxmlformats.org/drawingml/2006/main">
            <a:ext uri="{FF2B5EF4-FFF2-40B4-BE49-F238E27FC236}">
              <a16:creationId xmlns:a16="http://schemas.microsoft.com/office/drawing/2014/main" id="{72CC7005-278B-19F8-A239-0FB8B456BEFD}"/>
            </a:ext>
          </a:extLst>
        </cdr:cNvPr>
        <cdr:cNvSpPr/>
      </cdr:nvSpPr>
      <cdr:spPr>
        <a:xfrm xmlns:a="http://schemas.openxmlformats.org/drawingml/2006/main">
          <a:off x="671676" y="651036"/>
          <a:ext cx="4328748" cy="44774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8748" h="4477407">
              <a:moveTo>
                <a:pt x="4087546" y="211982"/>
              </a:moveTo>
              <a:lnTo>
                <a:pt x="2227343" y="2136067"/>
              </a:lnTo>
              <a:lnTo>
                <a:pt x="2065146" y="2303835"/>
              </a:lnTo>
              <a:lnTo>
                <a:pt x="161489" y="4272867"/>
              </a:lnTo>
              <a:lnTo>
                <a:pt x="0" y="4439902"/>
              </a:lnTo>
              <a:lnTo>
                <a:pt x="0" y="4477406"/>
              </a:lnTo>
              <a:lnTo>
                <a:pt x="162906" y="4308905"/>
              </a:lnTo>
              <a:lnTo>
                <a:pt x="2083275" y="2322586"/>
              </a:lnTo>
              <a:lnTo>
                <a:pt x="2245472" y="2154819"/>
              </a:lnTo>
              <a:lnTo>
                <a:pt x="4109819" y="226447"/>
              </a:lnTo>
              <a:lnTo>
                <a:pt x="4159613" y="174943"/>
              </a:lnTo>
              <a:lnTo>
                <a:pt x="4328747" y="0"/>
              </a:lnTo>
              <a:lnTo>
                <a:pt x="4292489" y="0"/>
              </a:lnTo>
              <a:lnTo>
                <a:pt x="4137229" y="1605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0.16348</cdr:y>
    </cdr:from>
    <cdr:to>
      <cdr:x>0.63698</cdr:x>
      <cdr:y>0.70726</cdr:y>
    </cdr:to>
    <cdr:sp macro="" textlink="">
      <cdr:nvSpPr>
        <cdr:cNvPr id="11" name="FracNo 743 StartRow 156">
          <a:extLst xmlns:a="http://schemas.openxmlformats.org/drawingml/2006/main">
            <a:ext uri="{FF2B5EF4-FFF2-40B4-BE49-F238E27FC236}">
              <a16:creationId xmlns:a16="http://schemas.microsoft.com/office/drawing/2014/main" id="{A0B988CC-E9F5-016B-427C-CDA8570D9320}"/>
            </a:ext>
          </a:extLst>
        </cdr:cNvPr>
        <cdr:cNvSpPr/>
      </cdr:nvSpPr>
      <cdr:spPr>
        <a:xfrm xmlns:a="http://schemas.openxmlformats.org/drawingml/2006/main">
          <a:off x="671676" y="1245695"/>
          <a:ext cx="3987925" cy="4143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7925" h="4143631">
              <a:moveTo>
                <a:pt x="1529706" y="2561390"/>
              </a:moveTo>
              <a:lnTo>
                <a:pt x="416885" y="3712427"/>
              </a:lnTo>
              <a:lnTo>
                <a:pt x="0" y="4143630"/>
              </a:lnTo>
              <a:lnTo>
                <a:pt x="0" y="4106126"/>
              </a:lnTo>
              <a:lnTo>
                <a:pt x="411952" y="3680027"/>
              </a:lnTo>
              <a:lnTo>
                <a:pt x="1515960" y="2538105"/>
              </a:lnTo>
              <a:lnTo>
                <a:pt x="2065146" y="1970059"/>
              </a:lnTo>
              <a:lnTo>
                <a:pt x="2479564" y="1541408"/>
              </a:lnTo>
              <a:lnTo>
                <a:pt x="3969795" y="0"/>
              </a:lnTo>
              <a:lnTo>
                <a:pt x="3987924" y="18753"/>
              </a:lnTo>
              <a:lnTo>
                <a:pt x="2497694" y="1560160"/>
              </a:lnTo>
              <a:lnTo>
                <a:pt x="2083275" y="19888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0.62427</cdr:x>
      <cdr:y>0.61415</cdr:y>
    </cdr:to>
    <cdr:sp macro="" textlink="">
      <cdr:nvSpPr>
        <cdr:cNvPr id="12" name="FracNo 110 StartRow 171">
          <a:extLst xmlns:a="http://schemas.openxmlformats.org/drawingml/2006/main">
            <a:ext uri="{FF2B5EF4-FFF2-40B4-BE49-F238E27FC236}">
              <a16:creationId xmlns:a16="http://schemas.microsoft.com/office/drawing/2014/main" id="{913152CA-7EA1-E70B-50EA-CEF806A53326}"/>
            </a:ext>
          </a:extLst>
        </cdr:cNvPr>
        <cdr:cNvSpPr/>
      </cdr:nvSpPr>
      <cdr:spPr>
        <a:xfrm xmlns:a="http://schemas.openxmlformats.org/drawingml/2006/main">
          <a:off x="671676" y="651036"/>
          <a:ext cx="3895015" cy="40287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5015" h="4028778">
              <a:moveTo>
                <a:pt x="1506299" y="2433245"/>
              </a:moveTo>
              <a:lnTo>
                <a:pt x="0" y="3991273"/>
              </a:lnTo>
              <a:lnTo>
                <a:pt x="0" y="4028777"/>
              </a:lnTo>
              <a:lnTo>
                <a:pt x="1521524" y="2455001"/>
              </a:lnTo>
              <a:lnTo>
                <a:pt x="1811739" y="2154819"/>
              </a:lnTo>
              <a:lnTo>
                <a:pt x="2084462" y="1872730"/>
              </a:lnTo>
              <a:lnTo>
                <a:pt x="3895014" y="0"/>
              </a:lnTo>
              <a:lnTo>
                <a:pt x="3858756" y="0"/>
              </a:lnTo>
              <a:lnTo>
                <a:pt x="2063959" y="1856433"/>
              </a:lnTo>
              <a:lnTo>
                <a:pt x="1793610" y="2136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0.41571</cdr:x>
      <cdr:y>0.14316</cdr:y>
    </cdr:from>
    <cdr:to>
      <cdr:x>0.94246</cdr:x>
      <cdr:y>0.66867</cdr:y>
    </cdr:to>
    <cdr:sp macro="" textlink="">
      <cdr:nvSpPr>
        <cdr:cNvPr id="13" name="FracNo 844 StartRow 184">
          <a:extLst xmlns:a="http://schemas.openxmlformats.org/drawingml/2006/main">
            <a:ext uri="{FF2B5EF4-FFF2-40B4-BE49-F238E27FC236}">
              <a16:creationId xmlns:a16="http://schemas.microsoft.com/office/drawing/2014/main" id="{D914E8B0-B873-B5C0-2E18-D28485ED5E6E}"/>
            </a:ext>
          </a:extLst>
        </cdr:cNvPr>
        <cdr:cNvSpPr/>
      </cdr:nvSpPr>
      <cdr:spPr>
        <a:xfrm xmlns:a="http://schemas.openxmlformats.org/drawingml/2006/main">
          <a:off x="3040980" y="1090885"/>
          <a:ext cx="3853328" cy="40044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3328" h="4004411">
              <a:moveTo>
                <a:pt x="1148727" y="2834985"/>
              </a:moveTo>
              <a:lnTo>
                <a:pt x="157346" y="3860413"/>
              </a:lnTo>
              <a:lnTo>
                <a:pt x="18129" y="4004410"/>
              </a:lnTo>
              <a:lnTo>
                <a:pt x="0" y="3985658"/>
              </a:lnTo>
              <a:lnTo>
                <a:pt x="139216" y="3841661"/>
              </a:lnTo>
              <a:lnTo>
                <a:pt x="1130598" y="2816233"/>
              </a:lnTo>
              <a:lnTo>
                <a:pt x="1770052" y="2154819"/>
              </a:lnTo>
              <a:lnTo>
                <a:pt x="2215364" y="1694214"/>
              </a:lnTo>
              <a:lnTo>
                <a:pt x="3853327" y="0"/>
              </a:lnTo>
              <a:lnTo>
                <a:pt x="3853327" y="37504"/>
              </a:lnTo>
              <a:lnTo>
                <a:pt x="2229618" y="1716974"/>
              </a:lnTo>
              <a:lnTo>
                <a:pt x="1788181" y="21735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0.29867</cdr:x>
      <cdr:y>0.4334</cdr:y>
    </cdr:from>
    <cdr:to>
      <cdr:x>0.80137</cdr:x>
      <cdr:y>0.9301</cdr:y>
    </cdr:to>
    <cdr:sp macro="" textlink="">
      <cdr:nvSpPr>
        <cdr:cNvPr id="14" name="FracNo 782 StartRow 199">
          <a:extLst xmlns:a="http://schemas.openxmlformats.org/drawingml/2006/main">
            <a:ext uri="{FF2B5EF4-FFF2-40B4-BE49-F238E27FC236}">
              <a16:creationId xmlns:a16="http://schemas.microsoft.com/office/drawing/2014/main" id="{1E23B2A0-F97D-A9E8-FCE1-592546D338CD}"/>
            </a:ext>
          </a:extLst>
        </cdr:cNvPr>
        <cdr:cNvSpPr/>
      </cdr:nvSpPr>
      <cdr:spPr>
        <a:xfrm xmlns:a="http://schemas.openxmlformats.org/drawingml/2006/main">
          <a:off x="2184853" y="3302519"/>
          <a:ext cx="3677313" cy="3784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7313" h="3784847">
              <a:moveTo>
                <a:pt x="167483" y="3611611"/>
              </a:moveTo>
              <a:lnTo>
                <a:pt x="0" y="3784846"/>
              </a:lnTo>
              <a:lnTo>
                <a:pt x="36259" y="3784846"/>
              </a:lnTo>
              <a:lnTo>
                <a:pt x="198241" y="3617301"/>
              </a:lnTo>
              <a:lnTo>
                <a:pt x="570098" y="3232674"/>
              </a:lnTo>
              <a:lnTo>
                <a:pt x="2101404" y="1648779"/>
              </a:lnTo>
              <a:lnTo>
                <a:pt x="2644308" y="1087230"/>
              </a:lnTo>
              <a:lnTo>
                <a:pt x="3677312" y="18752"/>
              </a:lnTo>
              <a:lnTo>
                <a:pt x="3659183" y="0"/>
              </a:lnTo>
              <a:lnTo>
                <a:pt x="2626179" y="1068479"/>
              </a:lnTo>
              <a:lnTo>
                <a:pt x="2083275" y="1630027"/>
              </a:lnTo>
              <a:lnTo>
                <a:pt x="551969" y="32139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0.33646</cdr:x>
      <cdr:y>0.44314</cdr:y>
    </cdr:from>
    <cdr:to>
      <cdr:x>0.82935</cdr:x>
      <cdr:y>0.9301</cdr:y>
    </cdr:to>
    <cdr:sp macro="" textlink="">
      <cdr:nvSpPr>
        <cdr:cNvPr id="15" name="FracNo 582 StartRow 214">
          <a:extLst xmlns:a="http://schemas.openxmlformats.org/drawingml/2006/main">
            <a:ext uri="{FF2B5EF4-FFF2-40B4-BE49-F238E27FC236}">
              <a16:creationId xmlns:a16="http://schemas.microsoft.com/office/drawing/2014/main" id="{7B4326D0-B966-1ACD-8A59-59836558BA3A}"/>
            </a:ext>
          </a:extLst>
        </cdr:cNvPr>
        <cdr:cNvSpPr/>
      </cdr:nvSpPr>
      <cdr:spPr>
        <a:xfrm xmlns:a="http://schemas.openxmlformats.org/drawingml/2006/main">
          <a:off x="2461277" y="3376742"/>
          <a:ext cx="3605554" cy="37106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5554" h="3710624">
              <a:moveTo>
                <a:pt x="3501868" y="88494"/>
              </a:moveTo>
              <a:lnTo>
                <a:pt x="2349755" y="1280173"/>
              </a:lnTo>
              <a:lnTo>
                <a:pt x="2083275" y="1555804"/>
              </a:lnTo>
              <a:lnTo>
                <a:pt x="267645" y="3433787"/>
              </a:lnTo>
              <a:lnTo>
                <a:pt x="0" y="3710623"/>
              </a:lnTo>
              <a:lnTo>
                <a:pt x="36259" y="3710623"/>
              </a:lnTo>
              <a:lnTo>
                <a:pt x="301574" y="3436196"/>
              </a:lnTo>
              <a:lnTo>
                <a:pt x="2101405" y="1574556"/>
              </a:lnTo>
              <a:lnTo>
                <a:pt x="2367884" y="1298925"/>
              </a:lnTo>
              <a:lnTo>
                <a:pt x="3519998" y="107245"/>
              </a:lnTo>
              <a:lnTo>
                <a:pt x="3605553" y="18753"/>
              </a:lnTo>
              <a:lnTo>
                <a:pt x="35874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0.33337</cdr:x>
      <cdr:y>0.22745</cdr:y>
    </cdr:from>
    <cdr:to>
      <cdr:x>0.81802</cdr:x>
      <cdr:y>0.70869</cdr:y>
    </cdr:to>
    <cdr:sp macro="" textlink="">
      <cdr:nvSpPr>
        <cdr:cNvPr id="16" name="FracNo 275 StartRow 229">
          <a:extLst xmlns:a="http://schemas.openxmlformats.org/drawingml/2006/main">
            <a:ext uri="{FF2B5EF4-FFF2-40B4-BE49-F238E27FC236}">
              <a16:creationId xmlns:a16="http://schemas.microsoft.com/office/drawing/2014/main" id="{EC932A4A-CB07-8238-EB66-5F04EADB95C7}"/>
            </a:ext>
          </a:extLst>
        </cdr:cNvPr>
        <cdr:cNvSpPr/>
      </cdr:nvSpPr>
      <cdr:spPr>
        <a:xfrm xmlns:a="http://schemas.openxmlformats.org/drawingml/2006/main">
          <a:off x="2438641" y="1733159"/>
          <a:ext cx="3545339" cy="36670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45339" h="3667094">
              <a:moveTo>
                <a:pt x="3300845" y="271641"/>
              </a:moveTo>
              <a:lnTo>
                <a:pt x="2526387" y="1072696"/>
              </a:lnTo>
              <a:lnTo>
                <a:pt x="2390520" y="1213229"/>
              </a:lnTo>
              <a:lnTo>
                <a:pt x="452177" y="3218139"/>
              </a:lnTo>
              <a:lnTo>
                <a:pt x="316310" y="3358672"/>
              </a:lnTo>
              <a:lnTo>
                <a:pt x="18129" y="3667093"/>
              </a:lnTo>
              <a:lnTo>
                <a:pt x="0" y="3648341"/>
              </a:lnTo>
              <a:lnTo>
                <a:pt x="298181" y="3339920"/>
              </a:lnTo>
              <a:lnTo>
                <a:pt x="434047" y="3199387"/>
              </a:lnTo>
              <a:lnTo>
                <a:pt x="2372391" y="1194477"/>
              </a:lnTo>
              <a:lnTo>
                <a:pt x="2508258" y="1053944"/>
              </a:lnTo>
              <a:lnTo>
                <a:pt x="3282716" y="252889"/>
              </a:lnTo>
              <a:lnTo>
                <a:pt x="3527208" y="0"/>
              </a:lnTo>
              <a:lnTo>
                <a:pt x="35453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0.42207</cdr:x>
      <cdr:y>0.45185</cdr:y>
    </cdr:from>
    <cdr:to>
      <cdr:x>0.90618</cdr:x>
      <cdr:y>0.9301</cdr:y>
    </cdr:to>
    <cdr:sp macro="" textlink="">
      <cdr:nvSpPr>
        <cdr:cNvPr id="17" name="FracNo 857 StartRow 246">
          <a:extLst xmlns:a="http://schemas.openxmlformats.org/drawingml/2006/main">
            <a:ext uri="{FF2B5EF4-FFF2-40B4-BE49-F238E27FC236}">
              <a16:creationId xmlns:a16="http://schemas.microsoft.com/office/drawing/2014/main" id="{E7F39839-BF22-A7BC-A0C5-3C83B0FCCFDC}"/>
            </a:ext>
          </a:extLst>
        </cdr:cNvPr>
        <cdr:cNvSpPr/>
      </cdr:nvSpPr>
      <cdr:spPr>
        <a:xfrm xmlns:a="http://schemas.openxmlformats.org/drawingml/2006/main">
          <a:off x="3087494" y="3443076"/>
          <a:ext cx="3541423" cy="3644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41423" h="3644290">
              <a:moveTo>
                <a:pt x="237111" y="3436539"/>
              </a:moveTo>
              <a:lnTo>
                <a:pt x="36259" y="3644289"/>
              </a:lnTo>
              <a:lnTo>
                <a:pt x="0" y="3644289"/>
              </a:lnTo>
              <a:lnTo>
                <a:pt x="202988" y="3434331"/>
              </a:lnTo>
              <a:lnTo>
                <a:pt x="1723538" y="1861561"/>
              </a:lnTo>
              <a:lnTo>
                <a:pt x="2083276" y="1489470"/>
              </a:lnTo>
              <a:lnTo>
                <a:pt x="3523292" y="0"/>
              </a:lnTo>
              <a:lnTo>
                <a:pt x="3541422" y="18752"/>
              </a:lnTo>
              <a:lnTo>
                <a:pt x="2101405" y="1508222"/>
              </a:lnTo>
              <a:lnTo>
                <a:pt x="1741667" y="18803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0.47741</cdr:x>
      <cdr:y>0.39845</cdr:y>
    </cdr:from>
    <cdr:to>
      <cdr:x>0.94246</cdr:x>
      <cdr:y>0.86269</cdr:y>
    </cdr:to>
    <cdr:sp macro="" textlink="">
      <cdr:nvSpPr>
        <cdr:cNvPr id="18" name="FracNo 586 StartRow 259">
          <a:extLst xmlns:a="http://schemas.openxmlformats.org/drawingml/2006/main">
            <a:ext uri="{FF2B5EF4-FFF2-40B4-BE49-F238E27FC236}">
              <a16:creationId xmlns:a16="http://schemas.microsoft.com/office/drawing/2014/main" id="{3E5E45C5-9897-2AC1-2027-68E9171BD0B2}"/>
            </a:ext>
          </a:extLst>
        </cdr:cNvPr>
        <cdr:cNvSpPr/>
      </cdr:nvSpPr>
      <cdr:spPr>
        <a:xfrm xmlns:a="http://schemas.openxmlformats.org/drawingml/2006/main">
          <a:off x="3492347" y="3036159"/>
          <a:ext cx="3401961" cy="3537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1961" h="3537543">
              <a:moveTo>
                <a:pt x="2077115" y="1370343"/>
              </a:moveTo>
              <a:lnTo>
                <a:pt x="1568537" y="1896387"/>
              </a:lnTo>
              <a:lnTo>
                <a:pt x="1318685" y="2154819"/>
              </a:lnTo>
              <a:lnTo>
                <a:pt x="0" y="3518791"/>
              </a:lnTo>
              <a:lnTo>
                <a:pt x="18129" y="3537542"/>
              </a:lnTo>
              <a:lnTo>
                <a:pt x="1336814" y="2173571"/>
              </a:lnTo>
              <a:lnTo>
                <a:pt x="1586666" y="1915139"/>
              </a:lnTo>
              <a:lnTo>
                <a:pt x="2090215" y="1394297"/>
              </a:lnTo>
              <a:lnTo>
                <a:pt x="3401960" y="37504"/>
              </a:lnTo>
              <a:lnTo>
                <a:pt x="34019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0.10906</cdr:y>
    </cdr:from>
    <cdr:to>
      <cdr:x>0.55562</cdr:x>
      <cdr:y>0.57206</cdr:y>
    </cdr:to>
    <cdr:sp macro="" textlink="">
      <cdr:nvSpPr>
        <cdr:cNvPr id="19" name="FracNo 432 StartRow 272">
          <a:extLst xmlns:a="http://schemas.openxmlformats.org/drawingml/2006/main">
            <a:ext uri="{FF2B5EF4-FFF2-40B4-BE49-F238E27FC236}">
              <a16:creationId xmlns:a16="http://schemas.microsoft.com/office/drawing/2014/main" id="{AB093A83-62EC-FDDA-9EEB-6CA247739B73}"/>
            </a:ext>
          </a:extLst>
        </cdr:cNvPr>
        <cdr:cNvSpPr/>
      </cdr:nvSpPr>
      <cdr:spPr>
        <a:xfrm xmlns:a="http://schemas.openxmlformats.org/drawingml/2006/main">
          <a:off x="671676" y="831036"/>
          <a:ext cx="3392768" cy="3528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2768" h="3528033">
              <a:moveTo>
                <a:pt x="3301575" y="113074"/>
              </a:moveTo>
              <a:lnTo>
                <a:pt x="2083275" y="1373214"/>
              </a:lnTo>
              <a:lnTo>
                <a:pt x="1499102" y="1977448"/>
              </a:lnTo>
              <a:lnTo>
                <a:pt x="0" y="3528032"/>
              </a:lnTo>
              <a:lnTo>
                <a:pt x="0" y="3490529"/>
              </a:lnTo>
              <a:lnTo>
                <a:pt x="1486057" y="1953438"/>
              </a:lnTo>
              <a:lnTo>
                <a:pt x="2065146" y="1354462"/>
              </a:lnTo>
              <a:lnTo>
                <a:pt x="3283446" y="94322"/>
              </a:lnTo>
              <a:lnTo>
                <a:pt x="3374638" y="0"/>
              </a:lnTo>
              <a:lnTo>
                <a:pt x="339276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0.48217</cdr:x>
      <cdr:y>0.1772</cdr:y>
    </cdr:from>
    <cdr:to>
      <cdr:x>0.94246</cdr:x>
      <cdr:y>0.63672</cdr:y>
    </cdr:to>
    <cdr:sp macro="" textlink="">
      <cdr:nvSpPr>
        <cdr:cNvPr id="20" name="FracNo 821 StartRow 285">
          <a:extLst xmlns:a="http://schemas.openxmlformats.org/drawingml/2006/main">
            <a:ext uri="{FF2B5EF4-FFF2-40B4-BE49-F238E27FC236}">
              <a16:creationId xmlns:a16="http://schemas.microsoft.com/office/drawing/2014/main" id="{DA29404B-24E2-DA70-EB7C-DD756CA9E35C}"/>
            </a:ext>
          </a:extLst>
        </cdr:cNvPr>
        <cdr:cNvSpPr/>
      </cdr:nvSpPr>
      <cdr:spPr>
        <a:xfrm xmlns:a="http://schemas.openxmlformats.org/drawingml/2006/main">
          <a:off x="3527166" y="1350272"/>
          <a:ext cx="3367142" cy="35015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67142" h="3501529">
              <a:moveTo>
                <a:pt x="753642" y="2740756"/>
              </a:moveTo>
              <a:lnTo>
                <a:pt x="18130" y="3501528"/>
              </a:lnTo>
              <a:lnTo>
                <a:pt x="0" y="3482776"/>
              </a:lnTo>
              <a:lnTo>
                <a:pt x="735513" y="2722004"/>
              </a:lnTo>
              <a:lnTo>
                <a:pt x="1283866" y="2154819"/>
              </a:lnTo>
              <a:lnTo>
                <a:pt x="1981049" y="1433693"/>
              </a:lnTo>
              <a:lnTo>
                <a:pt x="3367141" y="0"/>
              </a:lnTo>
              <a:lnTo>
                <a:pt x="3367141" y="37504"/>
              </a:lnTo>
              <a:lnTo>
                <a:pt x="1993111" y="1458721"/>
              </a:lnTo>
              <a:lnTo>
                <a:pt x="1301995" y="21735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0.48771</cdr:x>
      <cdr:y>0.27661</cdr:y>
    </cdr:from>
    <cdr:to>
      <cdr:x>0.94246</cdr:x>
      <cdr:y>0.73063</cdr:y>
    </cdr:to>
    <cdr:sp macro="" textlink="">
      <cdr:nvSpPr>
        <cdr:cNvPr id="21" name="FracNo 849 StartRow 298">
          <a:extLst xmlns:a="http://schemas.openxmlformats.org/drawingml/2006/main">
            <a:ext uri="{FF2B5EF4-FFF2-40B4-BE49-F238E27FC236}">
              <a16:creationId xmlns:a16="http://schemas.microsoft.com/office/drawing/2014/main" id="{B8A4E9B3-FFD4-0183-D939-57D98484A582}"/>
            </a:ext>
          </a:extLst>
        </cdr:cNvPr>
        <cdr:cNvSpPr/>
      </cdr:nvSpPr>
      <cdr:spPr>
        <a:xfrm xmlns:a="http://schemas.openxmlformats.org/drawingml/2006/main">
          <a:off x="3567680" y="2107759"/>
          <a:ext cx="3326628" cy="34596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6628" h="3459623">
              <a:moveTo>
                <a:pt x="989481" y="2454912"/>
              </a:moveTo>
              <a:lnTo>
                <a:pt x="613758" y="2843539"/>
              </a:lnTo>
              <a:lnTo>
                <a:pt x="18130" y="3459622"/>
              </a:lnTo>
              <a:lnTo>
                <a:pt x="0" y="3440870"/>
              </a:lnTo>
              <a:lnTo>
                <a:pt x="595628" y="2824787"/>
              </a:lnTo>
              <a:lnTo>
                <a:pt x="971352" y="2436160"/>
              </a:lnTo>
              <a:lnTo>
                <a:pt x="1243352" y="2154819"/>
              </a:lnTo>
              <a:lnTo>
                <a:pt x="2676073" y="672896"/>
              </a:lnTo>
              <a:lnTo>
                <a:pt x="3326627" y="0"/>
              </a:lnTo>
              <a:lnTo>
                <a:pt x="3326627" y="37504"/>
              </a:lnTo>
              <a:lnTo>
                <a:pt x="2681734" y="704544"/>
              </a:lnTo>
              <a:lnTo>
                <a:pt x="1261481" y="21735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0.15716</cdr:x>
      <cdr:y>0.08544</cdr:y>
    </cdr:from>
    <cdr:to>
      <cdr:x>0.60428</cdr:x>
      <cdr:y>0.52695</cdr:y>
    </cdr:to>
    <cdr:sp macro="" textlink="">
      <cdr:nvSpPr>
        <cdr:cNvPr id="22" name="FracNo 115 StartRow 313">
          <a:extLst xmlns:a="http://schemas.openxmlformats.org/drawingml/2006/main">
            <a:ext uri="{FF2B5EF4-FFF2-40B4-BE49-F238E27FC236}">
              <a16:creationId xmlns:a16="http://schemas.microsoft.com/office/drawing/2014/main" id="{A8A0EA3A-F06C-DE31-E5B4-87FF27E18E64}"/>
            </a:ext>
          </a:extLst>
        </cdr:cNvPr>
        <cdr:cNvSpPr/>
      </cdr:nvSpPr>
      <cdr:spPr>
        <a:xfrm xmlns:a="http://schemas.openxmlformats.org/drawingml/2006/main">
          <a:off x="1149682" y="651036"/>
          <a:ext cx="3270719" cy="3364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0719" h="3364290">
              <a:moveTo>
                <a:pt x="519855" y="2845333"/>
              </a:moveTo>
              <a:lnTo>
                <a:pt x="18129" y="3364289"/>
              </a:lnTo>
              <a:lnTo>
                <a:pt x="0" y="3345537"/>
              </a:lnTo>
              <a:lnTo>
                <a:pt x="501726" y="2826580"/>
              </a:lnTo>
              <a:lnTo>
                <a:pt x="1169313" y="2136067"/>
              </a:lnTo>
              <a:lnTo>
                <a:pt x="1585314" y="1705780"/>
              </a:lnTo>
              <a:lnTo>
                <a:pt x="3234459" y="0"/>
              </a:lnTo>
              <a:lnTo>
                <a:pt x="3270718" y="0"/>
              </a:lnTo>
              <a:lnTo>
                <a:pt x="1607095" y="1720755"/>
              </a:lnTo>
              <a:lnTo>
                <a:pt x="1187443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0.4998</cdr:x>
      <cdr:y>0.49055</cdr:y>
    </cdr:from>
    <cdr:to>
      <cdr:x>0.94246</cdr:x>
      <cdr:y>0.9301</cdr:y>
    </cdr:to>
    <cdr:sp macro="" textlink="">
      <cdr:nvSpPr>
        <cdr:cNvPr id="23" name="FracNo 778 StartRow 326">
          <a:extLst xmlns:a="http://schemas.openxmlformats.org/drawingml/2006/main">
            <a:ext uri="{FF2B5EF4-FFF2-40B4-BE49-F238E27FC236}">
              <a16:creationId xmlns:a16="http://schemas.microsoft.com/office/drawing/2014/main" id="{EDE5AA62-AC6C-AA3B-2B01-958FF5CA61C0}"/>
            </a:ext>
          </a:extLst>
        </cdr:cNvPr>
        <cdr:cNvSpPr/>
      </cdr:nvSpPr>
      <cdr:spPr>
        <a:xfrm xmlns:a="http://schemas.openxmlformats.org/drawingml/2006/main">
          <a:off x="3656137" y="3737989"/>
          <a:ext cx="3238171" cy="33493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8171" h="3349377">
              <a:moveTo>
                <a:pt x="3098721" y="144238"/>
              </a:moveTo>
              <a:lnTo>
                <a:pt x="2083275" y="1194557"/>
              </a:lnTo>
              <a:lnTo>
                <a:pt x="1150838" y="2159015"/>
              </a:lnTo>
              <a:lnTo>
                <a:pt x="0" y="3349376"/>
              </a:lnTo>
              <a:lnTo>
                <a:pt x="36258" y="3349376"/>
              </a:lnTo>
              <a:lnTo>
                <a:pt x="1177082" y="2169374"/>
              </a:lnTo>
              <a:lnTo>
                <a:pt x="2101404" y="1213309"/>
              </a:lnTo>
              <a:lnTo>
                <a:pt x="3100910" y="179477"/>
              </a:lnTo>
              <a:lnTo>
                <a:pt x="3238170" y="37504"/>
              </a:lnTo>
              <a:lnTo>
                <a:pt x="32381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0.094</cdr:x>
      <cdr:y>0.45676</cdr:y>
    </cdr:from>
    <cdr:to>
      <cdr:x>0.53633</cdr:x>
      <cdr:y>0.89598</cdr:y>
    </cdr:to>
    <cdr:sp macro="" textlink="">
      <cdr:nvSpPr>
        <cdr:cNvPr id="24" name="FracNo 343 StartRow 339">
          <a:extLst xmlns:a="http://schemas.openxmlformats.org/drawingml/2006/main">
            <a:ext uri="{FF2B5EF4-FFF2-40B4-BE49-F238E27FC236}">
              <a16:creationId xmlns:a16="http://schemas.microsoft.com/office/drawing/2014/main" id="{6A17B868-051A-AB17-050D-925BB5CEE8AE}"/>
            </a:ext>
          </a:extLst>
        </cdr:cNvPr>
        <cdr:cNvSpPr/>
      </cdr:nvSpPr>
      <cdr:spPr>
        <a:xfrm xmlns:a="http://schemas.openxmlformats.org/drawingml/2006/main">
          <a:off x="687635" y="3480548"/>
          <a:ext cx="3235716" cy="3346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5716" h="3346837">
              <a:moveTo>
                <a:pt x="3011538" y="250628"/>
              </a:moveTo>
              <a:lnTo>
                <a:pt x="2067316" y="1227276"/>
              </a:lnTo>
              <a:lnTo>
                <a:pt x="1831926" y="1470750"/>
              </a:lnTo>
              <a:lnTo>
                <a:pt x="18129" y="3346836"/>
              </a:lnTo>
              <a:lnTo>
                <a:pt x="0" y="3328084"/>
              </a:lnTo>
              <a:lnTo>
                <a:pt x="1813797" y="1451998"/>
              </a:lnTo>
              <a:lnTo>
                <a:pt x="2049187" y="1208524"/>
              </a:lnTo>
              <a:lnTo>
                <a:pt x="2993409" y="231876"/>
              </a:lnTo>
              <a:lnTo>
                <a:pt x="3217586" y="0"/>
              </a:lnTo>
              <a:lnTo>
                <a:pt x="32357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0.51202</cdr:x>
      <cdr:y>0.16418</cdr:y>
    </cdr:from>
    <cdr:to>
      <cdr:x>0.94246</cdr:x>
      <cdr:y>0.59405</cdr:y>
    </cdr:to>
    <cdr:sp macro="" textlink="">
      <cdr:nvSpPr>
        <cdr:cNvPr id="25" name="FracNo 723 StartRow 352">
          <a:extLst xmlns:a="http://schemas.openxmlformats.org/drawingml/2006/main">
            <a:ext uri="{FF2B5EF4-FFF2-40B4-BE49-F238E27FC236}">
              <a16:creationId xmlns:a16="http://schemas.microsoft.com/office/drawing/2014/main" id="{A702C90E-FBEF-BD60-FCBD-875BA97EE34D}"/>
            </a:ext>
          </a:extLst>
        </cdr:cNvPr>
        <cdr:cNvSpPr/>
      </cdr:nvSpPr>
      <cdr:spPr>
        <a:xfrm xmlns:a="http://schemas.openxmlformats.org/drawingml/2006/main">
          <a:off x="3745559" y="1251033"/>
          <a:ext cx="3148749" cy="32756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8749" h="3275635">
              <a:moveTo>
                <a:pt x="953420" y="2270720"/>
              </a:moveTo>
              <a:lnTo>
                <a:pt x="0" y="3256883"/>
              </a:lnTo>
              <a:lnTo>
                <a:pt x="18129" y="3275634"/>
              </a:lnTo>
              <a:lnTo>
                <a:pt x="971549" y="2289472"/>
              </a:lnTo>
              <a:lnTo>
                <a:pt x="1083602" y="2173570"/>
              </a:lnTo>
              <a:lnTo>
                <a:pt x="1679193" y="1557526"/>
              </a:lnTo>
              <a:lnTo>
                <a:pt x="3148748" y="37503"/>
              </a:lnTo>
              <a:lnTo>
                <a:pt x="3148748" y="0"/>
              </a:lnTo>
              <a:lnTo>
                <a:pt x="1666292" y="1533366"/>
              </a:lnTo>
              <a:lnTo>
                <a:pt x="1065473" y="21548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0.32479</cdr:x>
      <cdr:y>0.2899</cdr:y>
    </cdr:from>
    <cdr:to>
      <cdr:x>0.74854</cdr:x>
      <cdr:y>0.71066</cdr:y>
    </cdr:to>
    <cdr:sp macro="" textlink="">
      <cdr:nvSpPr>
        <cdr:cNvPr id="26" name="FracNo 767 StartRow 365">
          <a:extLst xmlns:a="http://schemas.openxmlformats.org/drawingml/2006/main">
            <a:ext uri="{FF2B5EF4-FFF2-40B4-BE49-F238E27FC236}">
              <a16:creationId xmlns:a16="http://schemas.microsoft.com/office/drawing/2014/main" id="{46CA42F6-DF0A-4849-D37F-7865E5166750}"/>
            </a:ext>
          </a:extLst>
        </cdr:cNvPr>
        <cdr:cNvSpPr/>
      </cdr:nvSpPr>
      <cdr:spPr>
        <a:xfrm xmlns:a="http://schemas.openxmlformats.org/drawingml/2006/main">
          <a:off x="2375912" y="2209009"/>
          <a:ext cx="3099785" cy="3206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9785" h="3206237">
              <a:moveTo>
                <a:pt x="3038911" y="44211"/>
              </a:moveTo>
              <a:lnTo>
                <a:pt x="2522754" y="578094"/>
              </a:lnTo>
              <a:lnTo>
                <a:pt x="2435120" y="668737"/>
              </a:lnTo>
              <a:lnTo>
                <a:pt x="448544" y="2723537"/>
              </a:lnTo>
              <a:lnTo>
                <a:pt x="360910" y="2814181"/>
              </a:lnTo>
              <a:lnTo>
                <a:pt x="0" y="3187484"/>
              </a:lnTo>
              <a:lnTo>
                <a:pt x="18129" y="3206236"/>
              </a:lnTo>
              <a:lnTo>
                <a:pt x="379039" y="2832932"/>
              </a:lnTo>
              <a:lnTo>
                <a:pt x="466673" y="2742289"/>
              </a:lnTo>
              <a:lnTo>
                <a:pt x="2453249" y="687489"/>
              </a:lnTo>
              <a:lnTo>
                <a:pt x="2540883" y="596846"/>
              </a:lnTo>
              <a:lnTo>
                <a:pt x="3057040" y="62963"/>
              </a:lnTo>
              <a:lnTo>
                <a:pt x="3099784" y="18752"/>
              </a:lnTo>
              <a:lnTo>
                <a:pt x="30816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0.36675</cdr:x>
      <cdr:y>0.53047</cdr:y>
    </cdr:from>
    <cdr:to>
      <cdr:x>0.77169</cdr:x>
      <cdr:y>0.9301</cdr:y>
    </cdr:to>
    <cdr:sp macro="" textlink="">
      <cdr:nvSpPr>
        <cdr:cNvPr id="27" name="FracNo 677 StartRow 382">
          <a:extLst xmlns:a="http://schemas.openxmlformats.org/drawingml/2006/main">
            <a:ext uri="{FF2B5EF4-FFF2-40B4-BE49-F238E27FC236}">
              <a16:creationId xmlns:a16="http://schemas.microsoft.com/office/drawing/2014/main" id="{2AF3DD32-BED3-7246-44B3-5AC64090DED4}"/>
            </a:ext>
          </a:extLst>
        </cdr:cNvPr>
        <cdr:cNvSpPr/>
      </cdr:nvSpPr>
      <cdr:spPr>
        <a:xfrm xmlns:a="http://schemas.openxmlformats.org/drawingml/2006/main">
          <a:off x="2682876" y="4042192"/>
          <a:ext cx="2962198" cy="3045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62198" h="3045174">
              <a:moveTo>
                <a:pt x="1748484" y="1236642"/>
              </a:moveTo>
              <a:lnTo>
                <a:pt x="45115" y="2998508"/>
              </a:lnTo>
              <a:lnTo>
                <a:pt x="0" y="3045173"/>
              </a:lnTo>
              <a:lnTo>
                <a:pt x="36258" y="3045173"/>
              </a:lnTo>
              <a:lnTo>
                <a:pt x="80906" y="2998992"/>
              </a:lnTo>
              <a:lnTo>
                <a:pt x="1769514" y="1252394"/>
              </a:lnTo>
              <a:lnTo>
                <a:pt x="2101404" y="909106"/>
              </a:lnTo>
              <a:lnTo>
                <a:pt x="2146285" y="862683"/>
              </a:lnTo>
              <a:lnTo>
                <a:pt x="2962197" y="18752"/>
              </a:lnTo>
              <a:lnTo>
                <a:pt x="2944068" y="0"/>
              </a:lnTo>
              <a:lnTo>
                <a:pt x="2128156" y="843931"/>
              </a:lnTo>
              <a:lnTo>
                <a:pt x="2083275" y="8903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0.4819</cdr:x>
      <cdr:y>0.08544</cdr:y>
    </cdr:from>
    <cdr:to>
      <cdr:x>0.88479</cdr:x>
      <cdr:y>0.48303</cdr:y>
    </cdr:to>
    <cdr:sp macro="" textlink="">
      <cdr:nvSpPr>
        <cdr:cNvPr id="28" name="FracNo 342 StartRow 397">
          <a:extLst xmlns:a="http://schemas.openxmlformats.org/drawingml/2006/main">
            <a:ext uri="{FF2B5EF4-FFF2-40B4-BE49-F238E27FC236}">
              <a16:creationId xmlns:a16="http://schemas.microsoft.com/office/drawing/2014/main" id="{D5127989-FA73-7589-4D6A-101CA8B05895}"/>
            </a:ext>
          </a:extLst>
        </cdr:cNvPr>
        <cdr:cNvSpPr/>
      </cdr:nvSpPr>
      <cdr:spPr>
        <a:xfrm xmlns:a="http://schemas.openxmlformats.org/drawingml/2006/main">
          <a:off x="3525229" y="651036"/>
          <a:ext cx="2947166" cy="3029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47166" h="3029626">
              <a:moveTo>
                <a:pt x="277534" y="2761311"/>
              </a:moveTo>
              <a:lnTo>
                <a:pt x="18129" y="3029625"/>
              </a:lnTo>
              <a:lnTo>
                <a:pt x="0" y="3010873"/>
              </a:lnTo>
              <a:lnTo>
                <a:pt x="259405" y="2742559"/>
              </a:lnTo>
              <a:lnTo>
                <a:pt x="845760" y="2136067"/>
              </a:lnTo>
              <a:lnTo>
                <a:pt x="1283880" y="1682901"/>
              </a:lnTo>
              <a:lnTo>
                <a:pt x="2910906" y="0"/>
              </a:lnTo>
              <a:lnTo>
                <a:pt x="2947165" y="0"/>
              </a:lnTo>
              <a:lnTo>
                <a:pt x="1305856" y="1697675"/>
              </a:lnTo>
              <a:lnTo>
                <a:pt x="863890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0.37285</cdr:x>
      <cdr:y>0.5335</cdr:y>
    </cdr:from>
    <cdr:to>
      <cdr:x>0.77474</cdr:x>
      <cdr:y>0.93133</cdr:y>
    </cdr:to>
    <cdr:sp macro="" textlink="">
      <cdr:nvSpPr>
        <cdr:cNvPr id="29" name="FracNo 795 StartRow 410">
          <a:extLst xmlns:a="http://schemas.openxmlformats.org/drawingml/2006/main">
            <a:ext uri="{FF2B5EF4-FFF2-40B4-BE49-F238E27FC236}">
              <a16:creationId xmlns:a16="http://schemas.microsoft.com/office/drawing/2014/main" id="{A7DA2442-DB3A-477D-8D60-728D26DEE553}"/>
            </a:ext>
          </a:extLst>
        </cdr:cNvPr>
        <cdr:cNvSpPr/>
      </cdr:nvSpPr>
      <cdr:spPr>
        <a:xfrm xmlns:a="http://schemas.openxmlformats.org/drawingml/2006/main">
          <a:off x="2727460" y="4065250"/>
          <a:ext cx="2939906" cy="30314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9906" h="3031492">
              <a:moveTo>
                <a:pt x="1623235" y="1343134"/>
              </a:moveTo>
              <a:lnTo>
                <a:pt x="299" y="3021806"/>
              </a:lnTo>
              <a:lnTo>
                <a:pt x="0" y="3022115"/>
              </a:lnTo>
              <a:lnTo>
                <a:pt x="27194" y="3031491"/>
              </a:lnTo>
              <a:lnTo>
                <a:pt x="27491" y="3031184"/>
              </a:lnTo>
              <a:lnTo>
                <a:pt x="1643366" y="1359816"/>
              </a:lnTo>
              <a:lnTo>
                <a:pt x="2101404" y="886048"/>
              </a:lnTo>
              <a:lnTo>
                <a:pt x="2101701" y="885740"/>
              </a:lnTo>
              <a:lnTo>
                <a:pt x="2939905" y="18751"/>
              </a:lnTo>
              <a:lnTo>
                <a:pt x="2921776" y="0"/>
              </a:lnTo>
              <a:lnTo>
                <a:pt x="2083572" y="866988"/>
              </a:lnTo>
              <a:lnTo>
                <a:pt x="2083275" y="8672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0.54353</cdr:x>
      <cdr:y>0.41871</cdr:y>
    </cdr:from>
    <cdr:to>
      <cdr:x>0.94246</cdr:x>
      <cdr:y>0.8173</cdr:y>
    </cdr:to>
    <cdr:sp macro="" textlink="">
      <cdr:nvSpPr>
        <cdr:cNvPr id="30" name="FracNo 675 StartRow 425">
          <a:extLst xmlns:a="http://schemas.openxmlformats.org/drawingml/2006/main">
            <a:ext uri="{FF2B5EF4-FFF2-40B4-BE49-F238E27FC236}">
              <a16:creationId xmlns:a16="http://schemas.microsoft.com/office/drawing/2014/main" id="{55923AB0-9D7A-9B17-CA94-44CB53291E22}"/>
            </a:ext>
          </a:extLst>
        </cdr:cNvPr>
        <cdr:cNvSpPr/>
      </cdr:nvSpPr>
      <cdr:spPr>
        <a:xfrm xmlns:a="http://schemas.openxmlformats.org/drawingml/2006/main">
          <a:off x="3976000" y="3190557"/>
          <a:ext cx="2918308" cy="3037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8308" h="3037281">
              <a:moveTo>
                <a:pt x="493929" y="2545140"/>
              </a:moveTo>
              <a:lnTo>
                <a:pt x="18129" y="3037280"/>
              </a:lnTo>
              <a:lnTo>
                <a:pt x="0" y="3018528"/>
              </a:lnTo>
              <a:lnTo>
                <a:pt x="475800" y="2526388"/>
              </a:lnTo>
              <a:lnTo>
                <a:pt x="835032" y="2154819"/>
              </a:lnTo>
              <a:lnTo>
                <a:pt x="1235900" y="1740185"/>
              </a:lnTo>
              <a:lnTo>
                <a:pt x="2918307" y="0"/>
              </a:lnTo>
              <a:lnTo>
                <a:pt x="2918307" y="37504"/>
              </a:lnTo>
              <a:lnTo>
                <a:pt x="1250540" y="1762545"/>
              </a:lnTo>
              <a:lnTo>
                <a:pt x="853161" y="21735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0.26963</cdr:x>
      <cdr:y>0.53438</cdr:y>
    </cdr:from>
    <cdr:to>
      <cdr:x>0.67063</cdr:x>
      <cdr:y>0.9301</cdr:y>
    </cdr:to>
    <cdr:sp macro="" textlink="">
      <cdr:nvSpPr>
        <cdr:cNvPr id="31" name="FracNo 830 StartRow 438">
          <a:extLst xmlns:a="http://schemas.openxmlformats.org/drawingml/2006/main">
            <a:ext uri="{FF2B5EF4-FFF2-40B4-BE49-F238E27FC236}">
              <a16:creationId xmlns:a16="http://schemas.microsoft.com/office/drawing/2014/main" id="{E4F397EB-35C8-9637-4E8B-C637DA6D5751}"/>
            </a:ext>
          </a:extLst>
        </cdr:cNvPr>
        <cdr:cNvSpPr/>
      </cdr:nvSpPr>
      <cdr:spPr>
        <a:xfrm xmlns:a="http://schemas.openxmlformats.org/drawingml/2006/main">
          <a:off x="1972376" y="4071967"/>
          <a:ext cx="2933411" cy="30153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3411" h="3015399">
              <a:moveTo>
                <a:pt x="2868931" y="47942"/>
              </a:moveTo>
              <a:lnTo>
                <a:pt x="2838656" y="79256"/>
              </a:lnTo>
              <a:lnTo>
                <a:pt x="2083275" y="860579"/>
              </a:lnTo>
              <a:lnTo>
                <a:pt x="758682" y="2230661"/>
              </a:lnTo>
              <a:lnTo>
                <a:pt x="0" y="3015398"/>
              </a:lnTo>
              <a:lnTo>
                <a:pt x="36258" y="3015398"/>
              </a:lnTo>
              <a:lnTo>
                <a:pt x="788339" y="2237490"/>
              </a:lnTo>
              <a:lnTo>
                <a:pt x="2101404" y="879331"/>
              </a:lnTo>
              <a:lnTo>
                <a:pt x="2856785" y="98008"/>
              </a:lnTo>
              <a:lnTo>
                <a:pt x="2887060" y="66694"/>
              </a:lnTo>
              <a:lnTo>
                <a:pt x="2933410" y="18752"/>
              </a:lnTo>
              <a:lnTo>
                <a:pt x="29152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0.19667</cdr:x>
      <cdr:y>0.08544</cdr:y>
    </cdr:from>
    <cdr:to>
      <cdr:x>0.59745</cdr:x>
      <cdr:y>0.48095</cdr:y>
    </cdr:to>
    <cdr:sp macro="" textlink="">
      <cdr:nvSpPr>
        <cdr:cNvPr id="32" name="FracNo 807 StartRow 453">
          <a:extLst xmlns:a="http://schemas.openxmlformats.org/drawingml/2006/main">
            <a:ext uri="{FF2B5EF4-FFF2-40B4-BE49-F238E27FC236}">
              <a16:creationId xmlns:a16="http://schemas.microsoft.com/office/drawing/2014/main" id="{260A5A9A-7384-0442-D890-3D0D434FBA46}"/>
            </a:ext>
          </a:extLst>
        </cdr:cNvPr>
        <cdr:cNvSpPr/>
      </cdr:nvSpPr>
      <cdr:spPr>
        <a:xfrm xmlns:a="http://schemas.openxmlformats.org/drawingml/2006/main">
          <a:off x="1438646" y="651036"/>
          <a:ext cx="2931834" cy="30137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1834" h="3013768">
              <a:moveTo>
                <a:pt x="1764770" y="1169639"/>
              </a:moveTo>
              <a:lnTo>
                <a:pt x="1298176" y="1652257"/>
              </a:lnTo>
              <a:lnTo>
                <a:pt x="830429" y="2136067"/>
              </a:lnTo>
              <a:lnTo>
                <a:pt x="0" y="2995015"/>
              </a:lnTo>
              <a:lnTo>
                <a:pt x="18129" y="3013767"/>
              </a:lnTo>
              <a:lnTo>
                <a:pt x="848558" y="2154819"/>
              </a:lnTo>
              <a:lnTo>
                <a:pt x="1316305" y="1671009"/>
              </a:lnTo>
              <a:lnTo>
                <a:pt x="1788195" y="1182913"/>
              </a:lnTo>
              <a:lnTo>
                <a:pt x="2931833" y="0"/>
              </a:lnTo>
              <a:lnTo>
                <a:pt x="28955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0.54779</cdr:x>
      <cdr:y>0.42719</cdr:y>
    </cdr:from>
    <cdr:to>
      <cdr:x>0.94246</cdr:x>
      <cdr:y>0.82154</cdr:y>
    </cdr:to>
    <cdr:sp macro="" textlink="">
      <cdr:nvSpPr>
        <cdr:cNvPr id="33" name="FracNo 663 StartRow 466">
          <a:extLst xmlns:a="http://schemas.openxmlformats.org/drawingml/2006/main">
            <a:ext uri="{FF2B5EF4-FFF2-40B4-BE49-F238E27FC236}">
              <a16:creationId xmlns:a16="http://schemas.microsoft.com/office/drawing/2014/main" id="{0D7F3EA2-B6EE-B084-DD4D-2C286D65DEEC}"/>
            </a:ext>
          </a:extLst>
        </cdr:cNvPr>
        <cdr:cNvSpPr/>
      </cdr:nvSpPr>
      <cdr:spPr>
        <a:xfrm xmlns:a="http://schemas.openxmlformats.org/drawingml/2006/main">
          <a:off x="4007224" y="3255151"/>
          <a:ext cx="2887084" cy="30049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7084" h="3004984">
              <a:moveTo>
                <a:pt x="93922" y="2889084"/>
              </a:moveTo>
              <a:lnTo>
                <a:pt x="0" y="2986231"/>
              </a:lnTo>
              <a:lnTo>
                <a:pt x="18130" y="3004983"/>
              </a:lnTo>
              <a:lnTo>
                <a:pt x="112051" y="2907836"/>
              </a:lnTo>
              <a:lnTo>
                <a:pt x="821937" y="2173571"/>
              </a:lnTo>
              <a:lnTo>
                <a:pt x="1281493" y="1698233"/>
              </a:lnTo>
              <a:lnTo>
                <a:pt x="2887083" y="37504"/>
              </a:lnTo>
              <a:lnTo>
                <a:pt x="2887083" y="0"/>
              </a:lnTo>
              <a:lnTo>
                <a:pt x="1267397" y="1675309"/>
              </a:lnTo>
              <a:lnTo>
                <a:pt x="803808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0.33912</cdr:x>
      <cdr:y>0.08544</cdr:y>
    </cdr:from>
    <cdr:to>
      <cdr:x>0.7319</cdr:x>
      <cdr:y>0.47299</cdr:y>
    </cdr:to>
    <cdr:sp macro="" textlink="">
      <cdr:nvSpPr>
        <cdr:cNvPr id="34" name="FracNo 434 StartRow 479">
          <a:extLst xmlns:a="http://schemas.openxmlformats.org/drawingml/2006/main">
            <a:ext uri="{FF2B5EF4-FFF2-40B4-BE49-F238E27FC236}">
              <a16:creationId xmlns:a16="http://schemas.microsoft.com/office/drawing/2014/main" id="{DD711D37-885B-1878-0114-8611E450A128}"/>
            </a:ext>
          </a:extLst>
        </cdr:cNvPr>
        <cdr:cNvSpPr/>
      </cdr:nvSpPr>
      <cdr:spPr>
        <a:xfrm xmlns:a="http://schemas.openxmlformats.org/drawingml/2006/main">
          <a:off x="2480755" y="651036"/>
          <a:ext cx="2873246" cy="29531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3246" h="2953167">
              <a:moveTo>
                <a:pt x="1241326" y="1650459"/>
              </a:moveTo>
              <a:lnTo>
                <a:pt x="771841" y="2136067"/>
              </a:lnTo>
              <a:lnTo>
                <a:pt x="256067" y="2669554"/>
              </a:lnTo>
              <a:lnTo>
                <a:pt x="0" y="2934415"/>
              </a:lnTo>
              <a:lnTo>
                <a:pt x="18129" y="2953166"/>
              </a:lnTo>
              <a:lnTo>
                <a:pt x="274196" y="2688306"/>
              </a:lnTo>
              <a:lnTo>
                <a:pt x="789970" y="2154819"/>
              </a:lnTo>
              <a:lnTo>
                <a:pt x="1263173" y="1665365"/>
              </a:lnTo>
              <a:lnTo>
                <a:pt x="2354555" y="536504"/>
              </a:lnTo>
              <a:lnTo>
                <a:pt x="2873245" y="0"/>
              </a:lnTo>
              <a:lnTo>
                <a:pt x="2836987" y="0"/>
              </a:lnTo>
              <a:lnTo>
                <a:pt x="2324129" y="5304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0.48303</cdr:x>
      <cdr:y>0.4739</cdr:y>
    </cdr:to>
    <cdr:sp macro="" textlink="">
      <cdr:nvSpPr>
        <cdr:cNvPr id="35" name="FracNo 191 StartRow 494">
          <a:extLst xmlns:a="http://schemas.openxmlformats.org/drawingml/2006/main">
            <a:ext uri="{FF2B5EF4-FFF2-40B4-BE49-F238E27FC236}">
              <a16:creationId xmlns:a16="http://schemas.microsoft.com/office/drawing/2014/main" id="{CEAF7D20-BD8E-626E-921B-1F9ABF326C2E}"/>
            </a:ext>
          </a:extLst>
        </cdr:cNvPr>
        <cdr:cNvSpPr/>
      </cdr:nvSpPr>
      <cdr:spPr>
        <a:xfrm xmlns:a="http://schemas.openxmlformats.org/drawingml/2006/main">
          <a:off x="671676" y="651036"/>
          <a:ext cx="2861802" cy="2960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1802" h="2960083">
              <a:moveTo>
                <a:pt x="1491061" y="1380311"/>
              </a:moveTo>
              <a:lnTo>
                <a:pt x="764813" y="2131500"/>
              </a:lnTo>
              <a:lnTo>
                <a:pt x="0" y="2922578"/>
              </a:lnTo>
              <a:lnTo>
                <a:pt x="0" y="2960082"/>
              </a:lnTo>
              <a:lnTo>
                <a:pt x="774111" y="2159386"/>
              </a:lnTo>
              <a:lnTo>
                <a:pt x="1509644" y="1398593"/>
              </a:lnTo>
              <a:lnTo>
                <a:pt x="2087147" y="801258"/>
              </a:lnTo>
              <a:lnTo>
                <a:pt x="2861801" y="0"/>
              </a:lnTo>
              <a:lnTo>
                <a:pt x="2825543" y="0"/>
              </a:lnTo>
              <a:lnTo>
                <a:pt x="2061273" y="7905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0.5617</cdr:x>
      <cdr:y>0.29678</cdr:y>
    </cdr:from>
    <cdr:to>
      <cdr:x>0.94246</cdr:x>
      <cdr:y>0.67732</cdr:y>
    </cdr:to>
    <cdr:sp macro="" textlink="">
      <cdr:nvSpPr>
        <cdr:cNvPr id="36" name="FracNo 736 StartRow 507">
          <a:extLst xmlns:a="http://schemas.openxmlformats.org/drawingml/2006/main">
            <a:ext uri="{FF2B5EF4-FFF2-40B4-BE49-F238E27FC236}">
              <a16:creationId xmlns:a16="http://schemas.microsoft.com/office/drawing/2014/main" id="{9E6D3EF2-BF9C-7A65-1239-8C41520BC531}"/>
            </a:ext>
          </a:extLst>
        </cdr:cNvPr>
        <cdr:cNvSpPr/>
      </cdr:nvSpPr>
      <cdr:spPr>
        <a:xfrm xmlns:a="http://schemas.openxmlformats.org/drawingml/2006/main">
          <a:off x="4108952" y="2261432"/>
          <a:ext cx="2785356" cy="28997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5356" h="2899763">
              <a:moveTo>
                <a:pt x="1812200" y="1044079"/>
              </a:moveTo>
              <a:lnTo>
                <a:pt x="720209" y="2173571"/>
              </a:lnTo>
              <a:lnTo>
                <a:pt x="221056" y="2689866"/>
              </a:lnTo>
              <a:lnTo>
                <a:pt x="18129" y="2899762"/>
              </a:lnTo>
              <a:lnTo>
                <a:pt x="0" y="2881010"/>
              </a:lnTo>
              <a:lnTo>
                <a:pt x="202927" y="2671114"/>
              </a:lnTo>
              <a:lnTo>
                <a:pt x="702080" y="2154819"/>
              </a:lnTo>
              <a:lnTo>
                <a:pt x="1800250" y="1018936"/>
              </a:lnTo>
              <a:lnTo>
                <a:pt x="2281581" y="521075"/>
              </a:lnTo>
              <a:lnTo>
                <a:pt x="2785355" y="0"/>
              </a:lnTo>
              <a:lnTo>
                <a:pt x="2785355" y="37504"/>
              </a:lnTo>
              <a:lnTo>
                <a:pt x="2290823" y="5490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0.46433</cdr:x>
      <cdr:y>0.45533</cdr:y>
    </cdr:to>
    <cdr:sp macro="" textlink="">
      <cdr:nvSpPr>
        <cdr:cNvPr id="37" name="FracNo 431 StartRow 522">
          <a:extLst xmlns:a="http://schemas.openxmlformats.org/drawingml/2006/main">
            <a:ext uri="{FF2B5EF4-FFF2-40B4-BE49-F238E27FC236}">
              <a16:creationId xmlns:a16="http://schemas.microsoft.com/office/drawing/2014/main" id="{14BBFD16-70F6-82EE-BD32-F91FBC4330D0}"/>
            </a:ext>
          </a:extLst>
        </cdr:cNvPr>
        <cdr:cNvSpPr/>
      </cdr:nvSpPr>
      <cdr:spPr>
        <a:xfrm xmlns:a="http://schemas.openxmlformats.org/drawingml/2006/main">
          <a:off x="671676" y="651036"/>
          <a:ext cx="2725025" cy="28186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5025" h="2818608">
              <a:moveTo>
                <a:pt x="2557381" y="173400"/>
              </a:moveTo>
              <a:lnTo>
                <a:pt x="2083275" y="663788"/>
              </a:lnTo>
              <a:lnTo>
                <a:pt x="635449" y="2161335"/>
              </a:lnTo>
              <a:lnTo>
                <a:pt x="0" y="2818607"/>
              </a:lnTo>
              <a:lnTo>
                <a:pt x="0" y="2781103"/>
              </a:lnTo>
              <a:lnTo>
                <a:pt x="629920" y="2129551"/>
              </a:lnTo>
              <a:lnTo>
                <a:pt x="2065146" y="645036"/>
              </a:lnTo>
              <a:lnTo>
                <a:pt x="2525859" y="168501"/>
              </a:lnTo>
              <a:lnTo>
                <a:pt x="2688765" y="0"/>
              </a:lnTo>
              <a:lnTo>
                <a:pt x="27250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0.27472</cdr:x>
      <cdr:y>0.08544</cdr:y>
    </cdr:from>
    <cdr:to>
      <cdr:x>0.64823</cdr:x>
      <cdr:y>0.45386</cdr:y>
    </cdr:to>
    <cdr:sp macro="" textlink="">
      <cdr:nvSpPr>
        <cdr:cNvPr id="38" name="FracNo 775 StartRow 535">
          <a:extLst xmlns:a="http://schemas.openxmlformats.org/drawingml/2006/main">
            <a:ext uri="{FF2B5EF4-FFF2-40B4-BE49-F238E27FC236}">
              <a16:creationId xmlns:a16="http://schemas.microsoft.com/office/drawing/2014/main" id="{2280FB21-3CD1-2DB9-7FDC-C87AC25AC5D2}"/>
            </a:ext>
          </a:extLst>
        </cdr:cNvPr>
        <cdr:cNvSpPr/>
      </cdr:nvSpPr>
      <cdr:spPr>
        <a:xfrm xmlns:a="http://schemas.openxmlformats.org/drawingml/2006/main">
          <a:off x="2009625" y="651036"/>
          <a:ext cx="2732303" cy="28073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2303" h="2807384">
              <a:moveTo>
                <a:pt x="951220" y="1842248"/>
              </a:moveTo>
              <a:lnTo>
                <a:pt x="745326" y="2055213"/>
              </a:lnTo>
              <a:lnTo>
                <a:pt x="649027" y="2154819"/>
              </a:lnTo>
              <a:lnTo>
                <a:pt x="18130" y="2807383"/>
              </a:lnTo>
              <a:lnTo>
                <a:pt x="0" y="2788631"/>
              </a:lnTo>
              <a:lnTo>
                <a:pt x="630898" y="2136067"/>
              </a:lnTo>
              <a:lnTo>
                <a:pt x="727197" y="2036461"/>
              </a:lnTo>
              <a:lnTo>
                <a:pt x="931212" y="1825440"/>
              </a:lnTo>
              <a:lnTo>
                <a:pt x="2696043" y="0"/>
              </a:lnTo>
              <a:lnTo>
                <a:pt x="27323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0.41958</cdr:y>
    </cdr:from>
    <cdr:to>
      <cdr:x>0.45647</cdr:x>
      <cdr:y>0.78413</cdr:y>
    </cdr:to>
    <cdr:sp macro="" textlink="">
      <cdr:nvSpPr>
        <cdr:cNvPr id="39" name="FracNo 29 StartRow 548">
          <a:extLst xmlns:a="http://schemas.openxmlformats.org/drawingml/2006/main">
            <a:ext uri="{FF2B5EF4-FFF2-40B4-BE49-F238E27FC236}">
              <a16:creationId xmlns:a16="http://schemas.microsoft.com/office/drawing/2014/main" id="{F7C00821-8EB7-C58F-083A-E1B683BA79E8}"/>
            </a:ext>
          </a:extLst>
        </cdr:cNvPr>
        <cdr:cNvSpPr/>
      </cdr:nvSpPr>
      <cdr:spPr>
        <a:xfrm xmlns:a="http://schemas.openxmlformats.org/drawingml/2006/main">
          <a:off x="671676" y="3197195"/>
          <a:ext cx="2667501" cy="27778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7501" h="2777860">
              <a:moveTo>
                <a:pt x="542550" y="2179172"/>
              </a:moveTo>
              <a:lnTo>
                <a:pt x="0" y="2740355"/>
              </a:lnTo>
              <a:lnTo>
                <a:pt x="0" y="2777859"/>
              </a:lnTo>
              <a:lnTo>
                <a:pt x="552673" y="2206205"/>
              </a:lnTo>
              <a:lnTo>
                <a:pt x="989765" y="1754103"/>
              </a:lnTo>
              <a:lnTo>
                <a:pt x="2083275" y="623040"/>
              </a:lnTo>
              <a:lnTo>
                <a:pt x="2667500" y="18751"/>
              </a:lnTo>
              <a:lnTo>
                <a:pt x="2649371" y="0"/>
              </a:lnTo>
              <a:lnTo>
                <a:pt x="2065146" y="604288"/>
              </a:lnTo>
              <a:lnTo>
                <a:pt x="971636" y="17353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0.18019</cdr:x>
      <cdr:y>0.46035</cdr:y>
    </cdr:from>
    <cdr:to>
      <cdr:x>0.53993</cdr:x>
      <cdr:y>0.81756</cdr:y>
    </cdr:to>
    <cdr:sp macro="" textlink="">
      <cdr:nvSpPr>
        <cdr:cNvPr id="40" name="FracNo 25 StartRow 561">
          <a:extLst xmlns:a="http://schemas.openxmlformats.org/drawingml/2006/main">
            <a:ext uri="{FF2B5EF4-FFF2-40B4-BE49-F238E27FC236}">
              <a16:creationId xmlns:a16="http://schemas.microsoft.com/office/drawing/2014/main" id="{07DB7739-AB28-C487-070D-F7AFEC62885D}"/>
            </a:ext>
          </a:extLst>
        </cdr:cNvPr>
        <cdr:cNvSpPr/>
      </cdr:nvSpPr>
      <cdr:spPr>
        <a:xfrm xmlns:a="http://schemas.openxmlformats.org/drawingml/2006/main">
          <a:off x="1318144" y="3507835"/>
          <a:ext cx="2631588" cy="27219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1588" h="2721962">
              <a:moveTo>
                <a:pt x="15748" y="2686921"/>
              </a:moveTo>
              <a:lnTo>
                <a:pt x="0" y="2703210"/>
              </a:lnTo>
              <a:lnTo>
                <a:pt x="18129" y="2721961"/>
              </a:lnTo>
              <a:lnTo>
                <a:pt x="33877" y="2705673"/>
              </a:lnTo>
              <a:lnTo>
                <a:pt x="1254179" y="1443463"/>
              </a:lnTo>
              <a:lnTo>
                <a:pt x="1436807" y="1254563"/>
              </a:lnTo>
              <a:lnTo>
                <a:pt x="2631587" y="18752"/>
              </a:lnTo>
              <a:lnTo>
                <a:pt x="2613457" y="0"/>
              </a:lnTo>
              <a:lnTo>
                <a:pt x="1418678" y="1235811"/>
              </a:lnTo>
              <a:lnTo>
                <a:pt x="1236050" y="14247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0.58583</cdr:x>
      <cdr:y>0.19377</cdr:y>
    </cdr:from>
    <cdr:to>
      <cdr:x>0.94246</cdr:x>
      <cdr:y>0.55036</cdr:y>
    </cdr:to>
    <cdr:sp macro="" textlink="">
      <cdr:nvSpPr>
        <cdr:cNvPr id="41" name="FracNo 266 StartRow 574">
          <a:extLst xmlns:a="http://schemas.openxmlformats.org/drawingml/2006/main">
            <a:ext uri="{FF2B5EF4-FFF2-40B4-BE49-F238E27FC236}">
              <a16:creationId xmlns:a16="http://schemas.microsoft.com/office/drawing/2014/main" id="{5BFEAC8B-FE83-3AF7-C4B5-90835491C1BE}"/>
            </a:ext>
          </a:extLst>
        </cdr:cNvPr>
        <cdr:cNvSpPr/>
      </cdr:nvSpPr>
      <cdr:spPr>
        <a:xfrm xmlns:a="http://schemas.openxmlformats.org/drawingml/2006/main">
          <a:off x="4285443" y="1476500"/>
          <a:ext cx="2608865" cy="27172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8865" h="2717211">
              <a:moveTo>
                <a:pt x="1786585" y="850518"/>
              </a:moveTo>
              <a:lnTo>
                <a:pt x="1341775" y="1310603"/>
              </a:lnTo>
              <a:lnTo>
                <a:pt x="525589" y="2154819"/>
              </a:lnTo>
              <a:lnTo>
                <a:pt x="0" y="2698458"/>
              </a:lnTo>
              <a:lnTo>
                <a:pt x="18129" y="2717210"/>
              </a:lnTo>
              <a:lnTo>
                <a:pt x="543718" y="2173571"/>
              </a:lnTo>
              <a:lnTo>
                <a:pt x="1359905" y="1329355"/>
              </a:lnTo>
              <a:lnTo>
                <a:pt x="1798350" y="875853"/>
              </a:lnTo>
              <a:lnTo>
                <a:pt x="2608864" y="37504"/>
              </a:lnTo>
              <a:lnTo>
                <a:pt x="26088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0.59285</cdr:x>
      <cdr:y>0.15045</cdr:y>
    </cdr:from>
    <cdr:to>
      <cdr:x>0.94246</cdr:x>
      <cdr:y>0.50006</cdr:y>
    </cdr:to>
    <cdr:sp macro="" textlink="">
      <cdr:nvSpPr>
        <cdr:cNvPr id="42" name="FracNo 847 StartRow 587">
          <a:extLst xmlns:a="http://schemas.openxmlformats.org/drawingml/2006/main">
            <a:ext uri="{FF2B5EF4-FFF2-40B4-BE49-F238E27FC236}">
              <a16:creationId xmlns:a16="http://schemas.microsoft.com/office/drawing/2014/main" id="{C9926CE7-D83D-57BC-9E10-48BB0F689453}"/>
            </a:ext>
          </a:extLst>
        </cdr:cNvPr>
        <cdr:cNvSpPr/>
      </cdr:nvSpPr>
      <cdr:spPr>
        <a:xfrm xmlns:a="http://schemas.openxmlformats.org/drawingml/2006/main">
          <a:off x="4336835" y="1146419"/>
          <a:ext cx="2557473" cy="26640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7473" h="2664054">
              <a:moveTo>
                <a:pt x="1265692" y="1336143"/>
              </a:moveTo>
              <a:lnTo>
                <a:pt x="971262" y="1640684"/>
              </a:lnTo>
              <a:lnTo>
                <a:pt x="474197" y="2154819"/>
              </a:lnTo>
              <a:lnTo>
                <a:pt x="0" y="2645301"/>
              </a:lnTo>
              <a:lnTo>
                <a:pt x="18129" y="2664053"/>
              </a:lnTo>
              <a:lnTo>
                <a:pt x="492326" y="2173571"/>
              </a:lnTo>
              <a:lnTo>
                <a:pt x="989391" y="1659436"/>
              </a:lnTo>
              <a:lnTo>
                <a:pt x="1280456" y="1358375"/>
              </a:lnTo>
              <a:lnTo>
                <a:pt x="2557472" y="37504"/>
              </a:lnTo>
              <a:lnTo>
                <a:pt x="25574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0.5977</cdr:x>
      <cdr:y>0.58776</cdr:y>
    </cdr:from>
    <cdr:to>
      <cdr:x>0.94246</cdr:x>
      <cdr:y>0.9301</cdr:y>
    </cdr:to>
    <cdr:sp macro="" textlink="">
      <cdr:nvSpPr>
        <cdr:cNvPr id="43" name="FracNo 810 StartRow 600">
          <a:extLst xmlns:a="http://schemas.openxmlformats.org/drawingml/2006/main">
            <a:ext uri="{FF2B5EF4-FFF2-40B4-BE49-F238E27FC236}">
              <a16:creationId xmlns:a16="http://schemas.microsoft.com/office/drawing/2014/main" id="{23FDD87E-43CD-3B0E-91F8-24DCD6812F7C}"/>
            </a:ext>
          </a:extLst>
        </cdr:cNvPr>
        <cdr:cNvSpPr/>
      </cdr:nvSpPr>
      <cdr:spPr>
        <a:xfrm xmlns:a="http://schemas.openxmlformats.org/drawingml/2006/main">
          <a:off x="4372260" y="4478706"/>
          <a:ext cx="2522048" cy="26086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22048" h="2608660">
              <a:moveTo>
                <a:pt x="695696" y="1889072"/>
              </a:moveTo>
              <a:lnTo>
                <a:pt x="435366" y="2158342"/>
              </a:lnTo>
              <a:lnTo>
                <a:pt x="0" y="2608659"/>
              </a:lnTo>
              <a:lnTo>
                <a:pt x="36259" y="2608659"/>
              </a:lnTo>
              <a:lnTo>
                <a:pt x="460308" y="2170047"/>
              </a:lnTo>
              <a:lnTo>
                <a:pt x="717389" y="1904137"/>
              </a:lnTo>
              <a:lnTo>
                <a:pt x="2094486" y="479749"/>
              </a:lnTo>
              <a:lnTo>
                <a:pt x="2522047" y="37504"/>
              </a:lnTo>
              <a:lnTo>
                <a:pt x="2522047" y="0"/>
              </a:lnTo>
              <a:lnTo>
                <a:pt x="2090194" y="4466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0.40698</cdr:x>
      <cdr:y>0.08544</cdr:y>
    </cdr:from>
    <cdr:to>
      <cdr:x>0.75135</cdr:x>
      <cdr:y>0.42492</cdr:y>
    </cdr:to>
    <cdr:sp macro="" textlink="">
      <cdr:nvSpPr>
        <cdr:cNvPr id="44" name="FracNo 437 StartRow 613">
          <a:extLst xmlns:a="http://schemas.openxmlformats.org/drawingml/2006/main">
            <a:ext uri="{FF2B5EF4-FFF2-40B4-BE49-F238E27FC236}">
              <a16:creationId xmlns:a16="http://schemas.microsoft.com/office/drawing/2014/main" id="{6150C897-5B80-A40E-FEDF-607D3E5EF189}"/>
            </a:ext>
          </a:extLst>
        </cdr:cNvPr>
        <cdr:cNvSpPr/>
      </cdr:nvSpPr>
      <cdr:spPr>
        <a:xfrm xmlns:a="http://schemas.openxmlformats.org/drawingml/2006/main">
          <a:off x="2977167" y="651036"/>
          <a:ext cx="2519072" cy="25868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19072" h="2586830">
              <a:moveTo>
                <a:pt x="1533981" y="981416"/>
              </a:moveTo>
              <a:lnTo>
                <a:pt x="417667" y="2136067"/>
              </a:lnTo>
              <a:lnTo>
                <a:pt x="0" y="2568077"/>
              </a:lnTo>
              <a:lnTo>
                <a:pt x="18130" y="2586829"/>
              </a:lnTo>
              <a:lnTo>
                <a:pt x="435796" y="2154819"/>
              </a:lnTo>
              <a:lnTo>
                <a:pt x="1556571" y="995555"/>
              </a:lnTo>
              <a:lnTo>
                <a:pt x="1854818" y="687065"/>
              </a:lnTo>
              <a:lnTo>
                <a:pt x="2519071" y="0"/>
              </a:lnTo>
              <a:lnTo>
                <a:pt x="2482813" y="0"/>
              </a:lnTo>
              <a:lnTo>
                <a:pt x="1831042" y="6741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0.13324</cdr:x>
      <cdr:y>0.27011</cdr:y>
    </cdr:from>
    <cdr:to>
      <cdr:x>0.47136</cdr:x>
      <cdr:y>0.60586</cdr:y>
    </cdr:to>
    <cdr:sp macro="" textlink="">
      <cdr:nvSpPr>
        <cdr:cNvPr id="45" name="FracNo 117 StartRow 626">
          <a:extLst xmlns:a="http://schemas.openxmlformats.org/drawingml/2006/main">
            <a:ext uri="{FF2B5EF4-FFF2-40B4-BE49-F238E27FC236}">
              <a16:creationId xmlns:a16="http://schemas.microsoft.com/office/drawing/2014/main" id="{5DEF66FA-F420-A81B-637C-C8D12A69B385}"/>
            </a:ext>
          </a:extLst>
        </cdr:cNvPr>
        <cdr:cNvSpPr/>
      </cdr:nvSpPr>
      <cdr:spPr>
        <a:xfrm xmlns:a="http://schemas.openxmlformats.org/drawingml/2006/main">
          <a:off x="974671" y="2058273"/>
          <a:ext cx="2473427" cy="25583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3427" h="2558369">
              <a:moveTo>
                <a:pt x="5176" y="2534263"/>
              </a:moveTo>
              <a:lnTo>
                <a:pt x="0" y="2539616"/>
              </a:lnTo>
              <a:lnTo>
                <a:pt x="18129" y="2558368"/>
              </a:lnTo>
              <a:lnTo>
                <a:pt x="23305" y="2553015"/>
              </a:lnTo>
              <a:lnTo>
                <a:pt x="1768794" y="747582"/>
              </a:lnTo>
              <a:lnTo>
                <a:pt x="1780280" y="735702"/>
              </a:lnTo>
              <a:lnTo>
                <a:pt x="2473426" y="18751"/>
              </a:lnTo>
              <a:lnTo>
                <a:pt x="2455297" y="0"/>
              </a:lnTo>
              <a:lnTo>
                <a:pt x="1762151" y="716950"/>
              </a:lnTo>
              <a:lnTo>
                <a:pt x="1750665" y="7288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0.38608</cdr:x>
      <cdr:y>0.5968</cdr:y>
    </cdr:from>
    <cdr:to>
      <cdr:x>0.72422</cdr:x>
      <cdr:y>0.9301</cdr:y>
    </cdr:to>
    <cdr:sp macro="" textlink="">
      <cdr:nvSpPr>
        <cdr:cNvPr id="46" name="FracNo 829 StartRow 639">
          <a:extLst xmlns:a="http://schemas.openxmlformats.org/drawingml/2006/main">
            <a:ext uri="{FF2B5EF4-FFF2-40B4-BE49-F238E27FC236}">
              <a16:creationId xmlns:a16="http://schemas.microsoft.com/office/drawing/2014/main" id="{872EE2A9-6884-1587-43FC-4D6AC273BE08}"/>
            </a:ext>
          </a:extLst>
        </cdr:cNvPr>
        <cdr:cNvSpPr/>
      </cdr:nvSpPr>
      <cdr:spPr>
        <a:xfrm xmlns:a="http://schemas.openxmlformats.org/drawingml/2006/main">
          <a:off x="2824261" y="4547648"/>
          <a:ext cx="2473524" cy="25397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3524" h="2539718">
              <a:moveTo>
                <a:pt x="952243" y="1592276"/>
              </a:moveTo>
              <a:lnTo>
                <a:pt x="36258" y="2539717"/>
              </a:lnTo>
              <a:lnTo>
                <a:pt x="0" y="2539717"/>
              </a:lnTo>
              <a:lnTo>
                <a:pt x="924419" y="1583551"/>
              </a:lnTo>
              <a:lnTo>
                <a:pt x="1986771" y="484715"/>
              </a:lnTo>
              <a:lnTo>
                <a:pt x="2083274" y="384898"/>
              </a:lnTo>
              <a:lnTo>
                <a:pt x="2455393" y="0"/>
              </a:lnTo>
              <a:lnTo>
                <a:pt x="2473523" y="18752"/>
              </a:lnTo>
              <a:lnTo>
                <a:pt x="2101404" y="403650"/>
              </a:lnTo>
              <a:lnTo>
                <a:pt x="2004900" y="5034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0.53485</cdr:x>
      <cdr:y>0.08544</cdr:y>
    </cdr:from>
    <cdr:to>
      <cdr:x>0.87161</cdr:x>
      <cdr:y>0.41737</cdr:y>
    </cdr:to>
    <cdr:sp macro="" textlink="">
      <cdr:nvSpPr>
        <cdr:cNvPr id="47" name="FracNo 747 StartRow 652">
          <a:extLst xmlns:a="http://schemas.openxmlformats.org/drawingml/2006/main">
            <a:ext uri="{FF2B5EF4-FFF2-40B4-BE49-F238E27FC236}">
              <a16:creationId xmlns:a16="http://schemas.microsoft.com/office/drawing/2014/main" id="{F6639553-D0F6-EB3D-6502-11B44390931B}"/>
            </a:ext>
          </a:extLst>
        </cdr:cNvPr>
        <cdr:cNvSpPr/>
      </cdr:nvSpPr>
      <cdr:spPr>
        <a:xfrm xmlns:a="http://schemas.openxmlformats.org/drawingml/2006/main">
          <a:off x="3912562" y="651036"/>
          <a:ext cx="2463465" cy="25293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3465" h="2529313">
              <a:moveTo>
                <a:pt x="2069690" y="407298"/>
              </a:moveTo>
              <a:lnTo>
                <a:pt x="916599" y="1599987"/>
              </a:lnTo>
              <a:lnTo>
                <a:pt x="380188" y="2154819"/>
              </a:lnTo>
              <a:lnTo>
                <a:pt x="18129" y="2529312"/>
              </a:lnTo>
              <a:lnTo>
                <a:pt x="0" y="2510560"/>
              </a:lnTo>
              <a:lnTo>
                <a:pt x="362060" y="2136067"/>
              </a:lnTo>
              <a:lnTo>
                <a:pt x="898470" y="1581235"/>
              </a:lnTo>
              <a:lnTo>
                <a:pt x="2038046" y="402524"/>
              </a:lnTo>
              <a:lnTo>
                <a:pt x="2427205" y="0"/>
              </a:lnTo>
              <a:lnTo>
                <a:pt x="24634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0.60713</cdr:x>
      <cdr:y>0.59712</cdr:y>
    </cdr:from>
    <cdr:to>
      <cdr:x>0.94246</cdr:x>
      <cdr:y>0.9301</cdr:y>
    </cdr:to>
    <cdr:sp macro="" textlink="">
      <cdr:nvSpPr>
        <cdr:cNvPr id="48" name="FracNo 508 StartRow 665">
          <a:extLst xmlns:a="http://schemas.openxmlformats.org/drawingml/2006/main">
            <a:ext uri="{FF2B5EF4-FFF2-40B4-BE49-F238E27FC236}">
              <a16:creationId xmlns:a16="http://schemas.microsoft.com/office/drawing/2014/main" id="{2881228A-5D98-B1DD-E6C1-CEBFC6F9937E}"/>
            </a:ext>
          </a:extLst>
        </cdr:cNvPr>
        <cdr:cNvSpPr/>
      </cdr:nvSpPr>
      <cdr:spPr>
        <a:xfrm xmlns:a="http://schemas.openxmlformats.org/drawingml/2006/main">
          <a:off x="4441248" y="4550063"/>
          <a:ext cx="2453060" cy="2537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3060" h="2537303">
              <a:moveTo>
                <a:pt x="1298650" y="1194053"/>
              </a:moveTo>
              <a:lnTo>
                <a:pt x="363256" y="2161572"/>
              </a:lnTo>
              <a:lnTo>
                <a:pt x="0" y="2537302"/>
              </a:lnTo>
              <a:lnTo>
                <a:pt x="36259" y="2537302"/>
              </a:lnTo>
              <a:lnTo>
                <a:pt x="394442" y="2166818"/>
              </a:lnTo>
              <a:lnTo>
                <a:pt x="1316031" y="1213580"/>
              </a:lnTo>
              <a:lnTo>
                <a:pt x="2095194" y="407659"/>
              </a:lnTo>
              <a:lnTo>
                <a:pt x="2453059" y="37504"/>
              </a:lnTo>
              <a:lnTo>
                <a:pt x="2453059" y="0"/>
              </a:lnTo>
              <a:lnTo>
                <a:pt x="2089486" y="3760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0.61193</cdr:x>
      <cdr:y>0.11469</cdr:y>
    </cdr:from>
    <cdr:to>
      <cdr:x>0.94246</cdr:x>
      <cdr:y>0.44536</cdr:y>
    </cdr:to>
    <cdr:sp macro="" textlink="">
      <cdr:nvSpPr>
        <cdr:cNvPr id="49" name="FracNo 270 StartRow 678">
          <a:extLst xmlns:a="http://schemas.openxmlformats.org/drawingml/2006/main">
            <a:ext uri="{FF2B5EF4-FFF2-40B4-BE49-F238E27FC236}">
              <a16:creationId xmlns:a16="http://schemas.microsoft.com/office/drawing/2014/main" id="{F59EABDB-8F3E-44A8-136C-E5E64DD81D8C}"/>
            </a:ext>
          </a:extLst>
        </cdr:cNvPr>
        <cdr:cNvSpPr/>
      </cdr:nvSpPr>
      <cdr:spPr>
        <a:xfrm xmlns:a="http://schemas.openxmlformats.org/drawingml/2006/main">
          <a:off x="4476376" y="873905"/>
          <a:ext cx="2417932" cy="25197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7932" h="2519720">
              <a:moveTo>
                <a:pt x="890929" y="1616946"/>
              </a:moveTo>
              <a:lnTo>
                <a:pt x="586384" y="1931950"/>
              </a:lnTo>
              <a:lnTo>
                <a:pt x="352785" y="2173570"/>
              </a:lnTo>
              <a:lnTo>
                <a:pt x="18130" y="2519719"/>
              </a:lnTo>
              <a:lnTo>
                <a:pt x="0" y="2500967"/>
              </a:lnTo>
              <a:lnTo>
                <a:pt x="334656" y="2154818"/>
              </a:lnTo>
              <a:lnTo>
                <a:pt x="568254" y="1913198"/>
              </a:lnTo>
              <a:lnTo>
                <a:pt x="875814" y="1595076"/>
              </a:lnTo>
              <a:lnTo>
                <a:pt x="2417931" y="0"/>
              </a:lnTo>
              <a:lnTo>
                <a:pt x="241793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0.11758</cdr:x>
      <cdr:y>0.08544</cdr:y>
    </cdr:from>
    <cdr:to>
      <cdr:x>0.44882</cdr:x>
      <cdr:y>0.41189</cdr:y>
    </cdr:to>
    <cdr:sp macro="" textlink="">
      <cdr:nvSpPr>
        <cdr:cNvPr id="50" name="FracNo 425 StartRow 691">
          <a:extLst xmlns:a="http://schemas.openxmlformats.org/drawingml/2006/main">
            <a:ext uri="{FF2B5EF4-FFF2-40B4-BE49-F238E27FC236}">
              <a16:creationId xmlns:a16="http://schemas.microsoft.com/office/drawing/2014/main" id="{BBBD3070-CFB1-791E-FE19-9C4ED81C08B2}"/>
            </a:ext>
          </a:extLst>
        </cdr:cNvPr>
        <cdr:cNvSpPr/>
      </cdr:nvSpPr>
      <cdr:spPr>
        <a:xfrm xmlns:a="http://schemas.openxmlformats.org/drawingml/2006/main">
          <a:off x="860129" y="651036"/>
          <a:ext cx="2423096" cy="24875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3096" h="2487559">
              <a:moveTo>
                <a:pt x="1994139" y="443688"/>
              </a:moveTo>
              <a:lnTo>
                <a:pt x="1894822" y="546416"/>
              </a:lnTo>
              <a:lnTo>
                <a:pt x="339820" y="2154819"/>
              </a:lnTo>
              <a:lnTo>
                <a:pt x="18129" y="2487558"/>
              </a:lnTo>
              <a:lnTo>
                <a:pt x="0" y="2468806"/>
              </a:lnTo>
              <a:lnTo>
                <a:pt x="321691" y="2136067"/>
              </a:lnTo>
              <a:lnTo>
                <a:pt x="1876693" y="527663"/>
              </a:lnTo>
              <a:lnTo>
                <a:pt x="1972601" y="428461"/>
              </a:lnTo>
              <a:lnTo>
                <a:pt x="2386837" y="0"/>
              </a:lnTo>
              <a:lnTo>
                <a:pt x="24230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0.30385</cdr:x>
      <cdr:y>0.51946</cdr:y>
    </cdr:from>
    <cdr:to>
      <cdr:x>0.63306</cdr:x>
      <cdr:y>0.84636</cdr:y>
    </cdr:to>
    <cdr:sp macro="" textlink="">
      <cdr:nvSpPr>
        <cdr:cNvPr id="51" name="FracNo 796 StartRow 704">
          <a:extLst xmlns:a="http://schemas.openxmlformats.org/drawingml/2006/main">
            <a:ext uri="{FF2B5EF4-FFF2-40B4-BE49-F238E27FC236}">
              <a16:creationId xmlns:a16="http://schemas.microsoft.com/office/drawing/2014/main" id="{6A0D2A4B-EC78-19B3-B2FC-0110F9FAB529}"/>
            </a:ext>
          </a:extLst>
        </cdr:cNvPr>
        <cdr:cNvSpPr/>
      </cdr:nvSpPr>
      <cdr:spPr>
        <a:xfrm xmlns:a="http://schemas.openxmlformats.org/drawingml/2006/main">
          <a:off x="2222703" y="3958295"/>
          <a:ext cx="2408239" cy="2490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8239" h="2490943">
              <a:moveTo>
                <a:pt x="505662" y="1986666"/>
              </a:moveTo>
              <a:lnTo>
                <a:pt x="18130" y="2490942"/>
              </a:lnTo>
              <a:lnTo>
                <a:pt x="0" y="2472190"/>
              </a:lnTo>
              <a:lnTo>
                <a:pt x="487533" y="1967914"/>
              </a:lnTo>
              <a:lnTo>
                <a:pt x="514119" y="1940415"/>
              </a:lnTo>
              <a:lnTo>
                <a:pt x="1448204" y="974251"/>
              </a:lnTo>
              <a:lnTo>
                <a:pt x="2390108" y="0"/>
              </a:lnTo>
              <a:lnTo>
                <a:pt x="2408238" y="18752"/>
              </a:lnTo>
              <a:lnTo>
                <a:pt x="1466334" y="993003"/>
              </a:lnTo>
              <a:lnTo>
                <a:pt x="532248" y="19591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0.61405</cdr:x>
      <cdr:y>0.604</cdr:y>
    </cdr:from>
    <cdr:to>
      <cdr:x>0.94246</cdr:x>
      <cdr:y>0.9301</cdr:y>
    </cdr:to>
    <cdr:sp macro="" textlink="">
      <cdr:nvSpPr>
        <cdr:cNvPr id="52" name="FracNo 504 StartRow 717">
          <a:extLst xmlns:a="http://schemas.openxmlformats.org/drawingml/2006/main">
            <a:ext uri="{FF2B5EF4-FFF2-40B4-BE49-F238E27FC236}">
              <a16:creationId xmlns:a16="http://schemas.microsoft.com/office/drawing/2014/main" id="{0A573009-A2B1-6EE3-6307-71BE739700F4}"/>
            </a:ext>
          </a:extLst>
        </cdr:cNvPr>
        <cdr:cNvSpPr/>
      </cdr:nvSpPr>
      <cdr:spPr>
        <a:xfrm xmlns:a="http://schemas.openxmlformats.org/drawingml/2006/main">
          <a:off x="4491928" y="4602483"/>
          <a:ext cx="2402380" cy="24848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2380" h="2484883">
              <a:moveTo>
                <a:pt x="1893286" y="526577"/>
              </a:moveTo>
              <a:lnTo>
                <a:pt x="311533" y="2162651"/>
              </a:lnTo>
              <a:lnTo>
                <a:pt x="0" y="2484882"/>
              </a:lnTo>
              <a:lnTo>
                <a:pt x="36258" y="2484882"/>
              </a:lnTo>
              <a:lnTo>
                <a:pt x="344805" y="2165740"/>
              </a:lnTo>
              <a:lnTo>
                <a:pt x="1906882" y="550017"/>
              </a:lnTo>
              <a:lnTo>
                <a:pt x="2097935" y="352404"/>
              </a:lnTo>
              <a:lnTo>
                <a:pt x="2402379" y="37504"/>
              </a:lnTo>
              <a:lnTo>
                <a:pt x="2402379" y="0"/>
              </a:lnTo>
              <a:lnTo>
                <a:pt x="2086744" y="3264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0.46735</cdr:x>
      <cdr:y>0.08544</cdr:y>
    </cdr:from>
    <cdr:to>
      <cdr:x>0.79232</cdr:x>
      <cdr:y>0.40566</cdr:y>
    </cdr:to>
    <cdr:sp macro="" textlink="">
      <cdr:nvSpPr>
        <cdr:cNvPr id="53" name="FracNo 799 StartRow 730">
          <a:extLst xmlns:a="http://schemas.openxmlformats.org/drawingml/2006/main">
            <a:ext uri="{FF2B5EF4-FFF2-40B4-BE49-F238E27FC236}">
              <a16:creationId xmlns:a16="http://schemas.microsoft.com/office/drawing/2014/main" id="{3C0ADD05-CE89-AB19-2BDF-42369C82FA18}"/>
            </a:ext>
          </a:extLst>
        </cdr:cNvPr>
        <cdr:cNvSpPr/>
      </cdr:nvSpPr>
      <cdr:spPr>
        <a:xfrm xmlns:a="http://schemas.openxmlformats.org/drawingml/2006/main">
          <a:off x="3418756" y="651036"/>
          <a:ext cx="2377191" cy="24400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7191" h="2440077">
              <a:moveTo>
                <a:pt x="1675125" y="726176"/>
              </a:moveTo>
              <a:lnTo>
                <a:pt x="1410405" y="999986"/>
              </a:lnTo>
              <a:lnTo>
                <a:pt x="293915" y="2154819"/>
              </a:lnTo>
              <a:lnTo>
                <a:pt x="18129" y="2440076"/>
              </a:lnTo>
              <a:lnTo>
                <a:pt x="0" y="2421324"/>
              </a:lnTo>
              <a:lnTo>
                <a:pt x="275786" y="2136067"/>
              </a:lnTo>
              <a:lnTo>
                <a:pt x="1392276" y="981234"/>
              </a:lnTo>
              <a:lnTo>
                <a:pt x="1652031" y="712558"/>
              </a:lnTo>
              <a:lnTo>
                <a:pt x="2340932" y="0"/>
              </a:lnTo>
              <a:lnTo>
                <a:pt x="23771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0.42363</cdr:y>
    </cdr:from>
    <cdr:to>
      <cdr:x>0.41064</cdr:x>
      <cdr:y>0.74267</cdr:y>
    </cdr:to>
    <cdr:sp macro="" textlink="">
      <cdr:nvSpPr>
        <cdr:cNvPr id="54" name="FracNo 102 StartRow 743">
          <a:extLst xmlns:a="http://schemas.openxmlformats.org/drawingml/2006/main">
            <a:ext uri="{FF2B5EF4-FFF2-40B4-BE49-F238E27FC236}">
              <a16:creationId xmlns:a16="http://schemas.microsoft.com/office/drawing/2014/main" id="{03AEB3E3-17E7-2909-2967-B3B4327A8F72}"/>
            </a:ext>
          </a:extLst>
        </cdr:cNvPr>
        <cdr:cNvSpPr/>
      </cdr:nvSpPr>
      <cdr:spPr>
        <a:xfrm xmlns:a="http://schemas.openxmlformats.org/drawingml/2006/main">
          <a:off x="671676" y="3228025"/>
          <a:ext cx="2332237" cy="2431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2237" h="2431083">
              <a:moveTo>
                <a:pt x="1280603" y="1106501"/>
              </a:moveTo>
              <a:lnTo>
                <a:pt x="680048" y="1727679"/>
              </a:lnTo>
              <a:lnTo>
                <a:pt x="0" y="2431082"/>
              </a:lnTo>
              <a:lnTo>
                <a:pt x="0" y="2393578"/>
              </a:lnTo>
              <a:lnTo>
                <a:pt x="670439" y="1700115"/>
              </a:lnTo>
              <a:lnTo>
                <a:pt x="1267347" y="1082708"/>
              </a:lnTo>
              <a:lnTo>
                <a:pt x="2065146" y="257511"/>
              </a:lnTo>
              <a:lnTo>
                <a:pt x="2314107" y="0"/>
              </a:lnTo>
              <a:lnTo>
                <a:pt x="2332236" y="18752"/>
              </a:lnTo>
              <a:lnTo>
                <a:pt x="2083275" y="2762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0.34748</cdr:x>
      <cdr:y>0.61655</cdr:y>
    </cdr:from>
    <cdr:to>
      <cdr:x>0.66573</cdr:x>
      <cdr:y>0.9301</cdr:y>
    </cdr:to>
    <cdr:sp macro="" textlink="">
      <cdr:nvSpPr>
        <cdr:cNvPr id="55" name="FracNo 760 StartRow 756">
          <a:extLst xmlns:a="http://schemas.openxmlformats.org/drawingml/2006/main">
            <a:ext uri="{FF2B5EF4-FFF2-40B4-BE49-F238E27FC236}">
              <a16:creationId xmlns:a16="http://schemas.microsoft.com/office/drawing/2014/main" id="{243E524E-EA6C-BC2E-04F5-2BFDC8896CD6}"/>
            </a:ext>
          </a:extLst>
        </cdr:cNvPr>
        <cdr:cNvSpPr/>
      </cdr:nvSpPr>
      <cdr:spPr>
        <a:xfrm xmlns:a="http://schemas.openxmlformats.org/drawingml/2006/main">
          <a:off x="2541891" y="4698078"/>
          <a:ext cx="2328088" cy="23892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8088" h="2389288">
              <a:moveTo>
                <a:pt x="1737406" y="592216"/>
              </a:moveTo>
              <a:lnTo>
                <a:pt x="186840" y="2196031"/>
              </a:lnTo>
              <a:lnTo>
                <a:pt x="0" y="2389287"/>
              </a:lnTo>
              <a:lnTo>
                <a:pt x="36259" y="2389287"/>
              </a:lnTo>
              <a:lnTo>
                <a:pt x="221151" y="2198045"/>
              </a:lnTo>
              <a:lnTo>
                <a:pt x="1758486" y="607915"/>
              </a:lnTo>
              <a:lnTo>
                <a:pt x="2101405" y="253220"/>
              </a:lnTo>
              <a:lnTo>
                <a:pt x="2287270" y="60971"/>
              </a:lnTo>
              <a:lnTo>
                <a:pt x="2328087" y="18752"/>
              </a:lnTo>
              <a:lnTo>
                <a:pt x="2309958" y="0"/>
              </a:lnTo>
              <a:lnTo>
                <a:pt x="2269141" y="42219"/>
              </a:lnTo>
              <a:lnTo>
                <a:pt x="2083276" y="2344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0.53554</cdr:x>
      <cdr:y>0.14998</cdr:y>
    </cdr:from>
    <cdr:to>
      <cdr:x>0.84866</cdr:x>
      <cdr:y>0.4609</cdr:y>
    </cdr:to>
    <cdr:sp macro="" textlink="">
      <cdr:nvSpPr>
        <cdr:cNvPr id="56" name="FracNo 355 StartRow 771">
          <a:extLst xmlns:a="http://schemas.openxmlformats.org/drawingml/2006/main">
            <a:ext uri="{FF2B5EF4-FFF2-40B4-BE49-F238E27FC236}">
              <a16:creationId xmlns:a16="http://schemas.microsoft.com/office/drawing/2014/main" id="{9DBCF95A-BB07-E1CE-3B21-BE58EC669245}"/>
            </a:ext>
          </a:extLst>
        </cdr:cNvPr>
        <cdr:cNvSpPr/>
      </cdr:nvSpPr>
      <cdr:spPr>
        <a:xfrm xmlns:a="http://schemas.openxmlformats.org/drawingml/2006/main">
          <a:off x="3917571" y="1142865"/>
          <a:ext cx="2290548" cy="23692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0548" h="2369210">
              <a:moveTo>
                <a:pt x="224873" y="2117862"/>
              </a:moveTo>
              <a:lnTo>
                <a:pt x="0" y="2350457"/>
              </a:lnTo>
              <a:lnTo>
                <a:pt x="18129" y="2369209"/>
              </a:lnTo>
              <a:lnTo>
                <a:pt x="243002" y="2136613"/>
              </a:lnTo>
              <a:lnTo>
                <a:pt x="700900" y="1662990"/>
              </a:lnTo>
              <a:lnTo>
                <a:pt x="911590" y="1445064"/>
              </a:lnTo>
              <a:lnTo>
                <a:pt x="2290547" y="18751"/>
              </a:lnTo>
              <a:lnTo>
                <a:pt x="2272417" y="0"/>
              </a:lnTo>
              <a:lnTo>
                <a:pt x="893461" y="1426312"/>
              </a:lnTo>
              <a:lnTo>
                <a:pt x="682771" y="16442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0.58664</cdr:y>
    </cdr:from>
    <cdr:to>
      <cdr:x>0.39695</cdr:x>
      <cdr:y>0.89209</cdr:y>
    </cdr:to>
    <cdr:sp macro="" textlink="">
      <cdr:nvSpPr>
        <cdr:cNvPr id="57" name="FracNo 118 StartRow 784">
          <a:extLst xmlns:a="http://schemas.openxmlformats.org/drawingml/2006/main">
            <a:ext uri="{FF2B5EF4-FFF2-40B4-BE49-F238E27FC236}">
              <a16:creationId xmlns:a16="http://schemas.microsoft.com/office/drawing/2014/main" id="{4F5737DA-5455-380E-A2E2-2E95C99CB71D}"/>
            </a:ext>
          </a:extLst>
        </cdr:cNvPr>
        <cdr:cNvSpPr/>
      </cdr:nvSpPr>
      <cdr:spPr>
        <a:xfrm xmlns:a="http://schemas.openxmlformats.org/drawingml/2006/main">
          <a:off x="671676" y="4470205"/>
          <a:ext cx="2232110" cy="23275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2110" h="2327517">
              <a:moveTo>
                <a:pt x="1781999" y="446816"/>
              </a:moveTo>
              <a:lnTo>
                <a:pt x="1767065" y="462263"/>
              </a:lnTo>
              <a:lnTo>
                <a:pt x="0" y="2290013"/>
              </a:lnTo>
              <a:lnTo>
                <a:pt x="0" y="2327516"/>
              </a:lnTo>
              <a:lnTo>
                <a:pt x="1785043" y="481171"/>
              </a:lnTo>
              <a:lnTo>
                <a:pt x="1799985" y="465716"/>
              </a:lnTo>
              <a:lnTo>
                <a:pt x="2083275" y="172697"/>
              </a:lnTo>
              <a:lnTo>
                <a:pt x="2232109" y="18752"/>
              </a:lnTo>
              <a:lnTo>
                <a:pt x="2213979" y="0"/>
              </a:lnTo>
              <a:lnTo>
                <a:pt x="2065146" y="1539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0.25731</cdr:y>
    </cdr:from>
    <cdr:to>
      <cdr:x>0.39609</cdr:x>
      <cdr:y>0.56189</cdr:y>
    </cdr:to>
    <cdr:sp macro="" textlink="">
      <cdr:nvSpPr>
        <cdr:cNvPr id="58" name="FracNo 196 StartRow 797">
          <a:extLst xmlns:a="http://schemas.openxmlformats.org/drawingml/2006/main">
            <a:ext uri="{FF2B5EF4-FFF2-40B4-BE49-F238E27FC236}">
              <a16:creationId xmlns:a16="http://schemas.microsoft.com/office/drawing/2014/main" id="{4A36CC87-B753-2590-D3E5-70BD1224011D}"/>
            </a:ext>
          </a:extLst>
        </cdr:cNvPr>
        <cdr:cNvSpPr/>
      </cdr:nvSpPr>
      <cdr:spPr>
        <a:xfrm xmlns:a="http://schemas.openxmlformats.org/drawingml/2006/main">
          <a:off x="671676" y="1960665"/>
          <a:ext cx="2225779" cy="2320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5779" h="2320968">
              <a:moveTo>
                <a:pt x="1822468" y="398408"/>
              </a:moveTo>
              <a:lnTo>
                <a:pt x="1410695" y="824323"/>
              </a:lnTo>
              <a:lnTo>
                <a:pt x="0" y="2283464"/>
              </a:lnTo>
              <a:lnTo>
                <a:pt x="0" y="2320967"/>
              </a:lnTo>
              <a:lnTo>
                <a:pt x="1424734" y="847305"/>
              </a:lnTo>
              <a:lnTo>
                <a:pt x="1839081" y="418729"/>
              </a:lnTo>
              <a:lnTo>
                <a:pt x="2083275" y="166148"/>
              </a:lnTo>
              <a:lnTo>
                <a:pt x="2225778" y="18752"/>
              </a:lnTo>
              <a:lnTo>
                <a:pt x="2207649" y="0"/>
              </a:lnTo>
              <a:lnTo>
                <a:pt x="2065146" y="1473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0.39579</cdr:x>
      <cdr:y>0.38727</cdr:y>
    </cdr:to>
    <cdr:sp macro="" textlink="">
      <cdr:nvSpPr>
        <cdr:cNvPr id="59" name="FracNo 786 StartRow 810">
          <a:extLst xmlns:a="http://schemas.openxmlformats.org/drawingml/2006/main">
            <a:ext uri="{FF2B5EF4-FFF2-40B4-BE49-F238E27FC236}">
              <a16:creationId xmlns:a16="http://schemas.microsoft.com/office/drawing/2014/main" id="{F6E46760-7B62-AB80-4FD8-E1386EC1E687}"/>
            </a:ext>
          </a:extLst>
        </cdr:cNvPr>
        <cdr:cNvSpPr/>
      </cdr:nvSpPr>
      <cdr:spPr>
        <a:xfrm xmlns:a="http://schemas.openxmlformats.org/drawingml/2006/main">
          <a:off x="671676" y="651036"/>
          <a:ext cx="2223621" cy="22999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3621" h="2299984">
              <a:moveTo>
                <a:pt x="2162208" y="63520"/>
              </a:moveTo>
              <a:lnTo>
                <a:pt x="2083275" y="145164"/>
              </a:lnTo>
              <a:lnTo>
                <a:pt x="131854" y="2163602"/>
              </a:lnTo>
              <a:lnTo>
                <a:pt x="0" y="2299983"/>
              </a:lnTo>
              <a:lnTo>
                <a:pt x="0" y="2262479"/>
              </a:lnTo>
              <a:lnTo>
                <a:pt x="130706" y="2127285"/>
              </a:lnTo>
              <a:lnTo>
                <a:pt x="2065146" y="126412"/>
              </a:lnTo>
              <a:lnTo>
                <a:pt x="2133883" y="55315"/>
              </a:lnTo>
              <a:lnTo>
                <a:pt x="2187361" y="0"/>
              </a:lnTo>
              <a:lnTo>
                <a:pt x="22236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0.64247</cdr:x>
      <cdr:y>0.30947</cdr:y>
    </cdr:from>
    <cdr:to>
      <cdr:x>0.94246</cdr:x>
      <cdr:y>0.60981</cdr:y>
    </cdr:to>
    <cdr:sp macro="" textlink="">
      <cdr:nvSpPr>
        <cdr:cNvPr id="60" name="FracNo 280 StartRow 823">
          <a:extLst xmlns:a="http://schemas.openxmlformats.org/drawingml/2006/main">
            <a:ext uri="{FF2B5EF4-FFF2-40B4-BE49-F238E27FC236}">
              <a16:creationId xmlns:a16="http://schemas.microsoft.com/office/drawing/2014/main" id="{8677EE7F-6A87-C01F-4F77-B64D522A02AE}"/>
            </a:ext>
          </a:extLst>
        </cdr:cNvPr>
        <cdr:cNvSpPr/>
      </cdr:nvSpPr>
      <cdr:spPr>
        <a:xfrm xmlns:a="http://schemas.openxmlformats.org/drawingml/2006/main">
          <a:off x="4699779" y="2358127"/>
          <a:ext cx="2194529" cy="2288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4529" h="2288646">
              <a:moveTo>
                <a:pt x="1814171" y="430923"/>
              </a:moveTo>
              <a:lnTo>
                <a:pt x="1797924" y="447728"/>
              </a:lnTo>
              <a:lnTo>
                <a:pt x="129382" y="2173570"/>
              </a:lnTo>
              <a:lnTo>
                <a:pt x="18129" y="2288645"/>
              </a:lnTo>
              <a:lnTo>
                <a:pt x="0" y="2269893"/>
              </a:lnTo>
              <a:lnTo>
                <a:pt x="111253" y="2154818"/>
              </a:lnTo>
              <a:lnTo>
                <a:pt x="1779794" y="428976"/>
              </a:lnTo>
              <a:lnTo>
                <a:pt x="1796784" y="411403"/>
              </a:lnTo>
              <a:lnTo>
                <a:pt x="2194528" y="0"/>
              </a:lnTo>
              <a:lnTo>
                <a:pt x="219452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0.18657</cdr:x>
      <cdr:y>0.63542</cdr:y>
    </cdr:from>
    <cdr:to>
      <cdr:x>0.48581</cdr:x>
      <cdr:y>0.9301</cdr:y>
    </cdr:to>
    <cdr:sp macro="" textlink="">
      <cdr:nvSpPr>
        <cdr:cNvPr id="61" name="FracNo 824 StartRow 836">
          <a:extLst xmlns:a="http://schemas.openxmlformats.org/drawingml/2006/main">
            <a:ext uri="{FF2B5EF4-FFF2-40B4-BE49-F238E27FC236}">
              <a16:creationId xmlns:a16="http://schemas.microsoft.com/office/drawing/2014/main" id="{3F647497-66EA-CCEF-94F7-C059670DA89D}"/>
            </a:ext>
          </a:extLst>
        </cdr:cNvPr>
        <cdr:cNvSpPr/>
      </cdr:nvSpPr>
      <cdr:spPr>
        <a:xfrm xmlns:a="http://schemas.openxmlformats.org/drawingml/2006/main">
          <a:off x="1364767" y="4841876"/>
          <a:ext cx="2189064" cy="22454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9064" h="2245490">
              <a:moveTo>
                <a:pt x="2111263" y="61721"/>
              </a:moveTo>
              <a:lnTo>
                <a:pt x="2083274" y="90670"/>
              </a:lnTo>
              <a:lnTo>
                <a:pt x="1368947" y="829529"/>
              </a:lnTo>
              <a:lnTo>
                <a:pt x="0" y="2245489"/>
              </a:lnTo>
              <a:lnTo>
                <a:pt x="36258" y="2245489"/>
              </a:lnTo>
              <a:lnTo>
                <a:pt x="1393292" y="841851"/>
              </a:lnTo>
              <a:lnTo>
                <a:pt x="2101404" y="109422"/>
              </a:lnTo>
              <a:lnTo>
                <a:pt x="2129392" y="80473"/>
              </a:lnTo>
              <a:lnTo>
                <a:pt x="2189063" y="18752"/>
              </a:lnTo>
              <a:lnTo>
                <a:pt x="2170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0.64786</cdr:x>
      <cdr:y>0.35192</cdr:y>
    </cdr:from>
    <cdr:to>
      <cdr:x>0.94246</cdr:x>
      <cdr:y>0.64691</cdr:y>
    </cdr:to>
    <cdr:sp macro="" textlink="">
      <cdr:nvSpPr>
        <cdr:cNvPr id="62" name="FracNo 592 StartRow 849">
          <a:extLst xmlns:a="http://schemas.openxmlformats.org/drawingml/2006/main">
            <a:ext uri="{FF2B5EF4-FFF2-40B4-BE49-F238E27FC236}">
              <a16:creationId xmlns:a16="http://schemas.microsoft.com/office/drawing/2014/main" id="{FF4B097C-09FE-09D9-BD16-B4E0FCA4541E}"/>
            </a:ext>
          </a:extLst>
        </cdr:cNvPr>
        <cdr:cNvSpPr/>
      </cdr:nvSpPr>
      <cdr:spPr>
        <a:xfrm xmlns:a="http://schemas.openxmlformats.org/drawingml/2006/main">
          <a:off x="4739238" y="2681593"/>
          <a:ext cx="2155070" cy="22478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5070" h="2247832">
              <a:moveTo>
                <a:pt x="892292" y="1306144"/>
              </a:moveTo>
              <a:lnTo>
                <a:pt x="71794" y="2154819"/>
              </a:lnTo>
              <a:lnTo>
                <a:pt x="0" y="2229079"/>
              </a:lnTo>
              <a:lnTo>
                <a:pt x="18129" y="2247831"/>
              </a:lnTo>
              <a:lnTo>
                <a:pt x="89923" y="2173571"/>
              </a:lnTo>
              <a:lnTo>
                <a:pt x="903498" y="1332057"/>
              </a:lnTo>
              <a:lnTo>
                <a:pt x="2062797" y="132945"/>
              </a:lnTo>
              <a:lnTo>
                <a:pt x="2155069" y="37504"/>
              </a:lnTo>
              <a:lnTo>
                <a:pt x="2155069" y="0"/>
              </a:lnTo>
              <a:lnTo>
                <a:pt x="2061457" y="968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0.6515</cdr:x>
      <cdr:y>0.64118</cdr:y>
    </cdr:from>
    <cdr:to>
      <cdr:x>0.94246</cdr:x>
      <cdr:y>0.9301</cdr:y>
    </cdr:to>
    <cdr:sp macro="" textlink="">
      <cdr:nvSpPr>
        <cdr:cNvPr id="63" name="FracNo 784 StartRow 862">
          <a:extLst xmlns:a="http://schemas.openxmlformats.org/drawingml/2006/main">
            <a:ext uri="{FF2B5EF4-FFF2-40B4-BE49-F238E27FC236}">
              <a16:creationId xmlns:a16="http://schemas.microsoft.com/office/drawing/2014/main" id="{963F2932-ADCA-28E8-6B37-4CC783FE464F}"/>
            </a:ext>
          </a:extLst>
        </cdr:cNvPr>
        <cdr:cNvSpPr/>
      </cdr:nvSpPr>
      <cdr:spPr>
        <a:xfrm xmlns:a="http://schemas.openxmlformats.org/drawingml/2006/main">
          <a:off x="4765864" y="4885827"/>
          <a:ext cx="2128444" cy="2201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8444" h="2201539">
              <a:moveTo>
                <a:pt x="317736" y="1910395"/>
              </a:moveTo>
              <a:lnTo>
                <a:pt x="71212" y="2165384"/>
              </a:lnTo>
              <a:lnTo>
                <a:pt x="36258" y="2201538"/>
              </a:lnTo>
              <a:lnTo>
                <a:pt x="0" y="2201538"/>
              </a:lnTo>
              <a:lnTo>
                <a:pt x="37253" y="2163006"/>
              </a:lnTo>
              <a:lnTo>
                <a:pt x="287874" y="1903777"/>
              </a:lnTo>
              <a:lnTo>
                <a:pt x="2092160" y="37529"/>
              </a:lnTo>
              <a:lnTo>
                <a:pt x="2128443" y="0"/>
              </a:lnTo>
              <a:lnTo>
                <a:pt x="2128443" y="37503"/>
              </a:lnTo>
              <a:lnTo>
                <a:pt x="2092519" y="746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0.40064</cdr:x>
      <cdr:y>0.50315</cdr:y>
    </cdr:from>
    <cdr:to>
      <cdr:x>0.68889</cdr:x>
      <cdr:y>0.78937</cdr:y>
    </cdr:to>
    <cdr:sp macro="" textlink="">
      <cdr:nvSpPr>
        <cdr:cNvPr id="64" name="FracNo 345 StartRow 875">
          <a:extLst xmlns:a="http://schemas.openxmlformats.org/drawingml/2006/main">
            <a:ext uri="{FF2B5EF4-FFF2-40B4-BE49-F238E27FC236}">
              <a16:creationId xmlns:a16="http://schemas.microsoft.com/office/drawing/2014/main" id="{E9EC5468-1A08-B83C-4A00-9C02CAE8E6E1}"/>
            </a:ext>
          </a:extLst>
        </cdr:cNvPr>
        <cdr:cNvSpPr/>
      </cdr:nvSpPr>
      <cdr:spPr>
        <a:xfrm xmlns:a="http://schemas.openxmlformats.org/drawingml/2006/main">
          <a:off x="2930792" y="3834040"/>
          <a:ext cx="2108550" cy="21809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8550" h="2180962">
              <a:moveTo>
                <a:pt x="1580135" y="565313"/>
              </a:moveTo>
              <a:lnTo>
                <a:pt x="1046515" y="1117258"/>
              </a:lnTo>
              <a:lnTo>
                <a:pt x="18130" y="2180961"/>
              </a:lnTo>
              <a:lnTo>
                <a:pt x="0" y="2162209"/>
              </a:lnTo>
              <a:lnTo>
                <a:pt x="1028386" y="1098506"/>
              </a:lnTo>
              <a:lnTo>
                <a:pt x="1562005" y="546561"/>
              </a:lnTo>
              <a:lnTo>
                <a:pt x="1880240" y="217398"/>
              </a:lnTo>
              <a:lnTo>
                <a:pt x="2090420" y="0"/>
              </a:lnTo>
              <a:lnTo>
                <a:pt x="2108549" y="18752"/>
              </a:lnTo>
              <a:lnTo>
                <a:pt x="1898369" y="2361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0.65843</cdr:x>
      <cdr:y>0.43435</cdr:y>
    </cdr:from>
    <cdr:to>
      <cdr:x>0.94246</cdr:x>
      <cdr:y>0.71884</cdr:y>
    </cdr:to>
    <cdr:sp macro="" textlink="">
      <cdr:nvSpPr>
        <cdr:cNvPr id="65" name="FracNo 593 StartRow 888">
          <a:extLst xmlns:a="http://schemas.openxmlformats.org/drawingml/2006/main">
            <a:ext uri="{FF2B5EF4-FFF2-40B4-BE49-F238E27FC236}">
              <a16:creationId xmlns:a16="http://schemas.microsoft.com/office/drawing/2014/main" id="{5CADB29E-3EA9-60B1-4494-23044AAF5ACA}"/>
            </a:ext>
          </a:extLst>
        </cdr:cNvPr>
        <cdr:cNvSpPr/>
      </cdr:nvSpPr>
      <cdr:spPr>
        <a:xfrm xmlns:a="http://schemas.openxmlformats.org/drawingml/2006/main">
          <a:off x="4816568" y="3309710"/>
          <a:ext cx="2077740" cy="2167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7740" h="2167846">
              <a:moveTo>
                <a:pt x="838827" y="1281459"/>
              </a:moveTo>
              <a:lnTo>
                <a:pt x="508784" y="1622836"/>
              </a:lnTo>
              <a:lnTo>
                <a:pt x="0" y="2149093"/>
              </a:lnTo>
              <a:lnTo>
                <a:pt x="18129" y="2167845"/>
              </a:lnTo>
              <a:lnTo>
                <a:pt x="526914" y="1641588"/>
              </a:lnTo>
              <a:lnTo>
                <a:pt x="853143" y="1304156"/>
              </a:lnTo>
              <a:lnTo>
                <a:pt x="2077739" y="37504"/>
              </a:lnTo>
              <a:lnTo>
                <a:pt x="20777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0.4902</cdr:x>
      <cdr:y>0.17052</cdr:y>
    </cdr:from>
    <cdr:to>
      <cdr:x>0.77483</cdr:x>
      <cdr:y>0.45315</cdr:y>
    </cdr:to>
    <cdr:sp macro="" textlink="">
      <cdr:nvSpPr>
        <cdr:cNvPr id="66" name="FracNo 279 StartRow 899">
          <a:extLst xmlns:a="http://schemas.openxmlformats.org/drawingml/2006/main">
            <a:ext uri="{FF2B5EF4-FFF2-40B4-BE49-F238E27FC236}">
              <a16:creationId xmlns:a16="http://schemas.microsoft.com/office/drawing/2014/main" id="{AD9C8943-8A77-4DEB-EA4E-4E8898A0A89C}"/>
            </a:ext>
          </a:extLst>
        </cdr:cNvPr>
        <cdr:cNvSpPr/>
      </cdr:nvSpPr>
      <cdr:spPr>
        <a:xfrm xmlns:a="http://schemas.openxmlformats.org/drawingml/2006/main">
          <a:off x="3585896" y="1299353"/>
          <a:ext cx="2082136" cy="21536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2136" h="2153641">
              <a:moveTo>
                <a:pt x="1483035" y="600923"/>
              </a:moveTo>
              <a:lnTo>
                <a:pt x="1225136" y="867678"/>
              </a:lnTo>
              <a:lnTo>
                <a:pt x="625652" y="1487750"/>
              </a:lnTo>
              <a:lnTo>
                <a:pt x="0" y="2134889"/>
              </a:lnTo>
              <a:lnTo>
                <a:pt x="18129" y="2153640"/>
              </a:lnTo>
              <a:lnTo>
                <a:pt x="643781" y="1506502"/>
              </a:lnTo>
              <a:lnTo>
                <a:pt x="1243265" y="886430"/>
              </a:lnTo>
              <a:lnTo>
                <a:pt x="1501164" y="619675"/>
              </a:lnTo>
              <a:lnTo>
                <a:pt x="2082135" y="18752"/>
              </a:lnTo>
              <a:lnTo>
                <a:pt x="20640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0.35325</cdr:x>
      <cdr:y>0.08544</cdr:y>
    </cdr:from>
    <cdr:to>
      <cdr:x>0.63902</cdr:x>
      <cdr:y>0.36674</cdr:y>
    </cdr:to>
    <cdr:sp macro="" textlink="">
      <cdr:nvSpPr>
        <cdr:cNvPr id="67" name="FracNo 188 StartRow 912">
          <a:extLst xmlns:a="http://schemas.openxmlformats.org/drawingml/2006/main">
            <a:ext uri="{FF2B5EF4-FFF2-40B4-BE49-F238E27FC236}">
              <a16:creationId xmlns:a16="http://schemas.microsoft.com/office/drawing/2014/main" id="{CC770C30-94E4-F0C6-0262-615D53CBA1FD}"/>
            </a:ext>
          </a:extLst>
        </cdr:cNvPr>
        <cdr:cNvSpPr/>
      </cdr:nvSpPr>
      <cdr:spPr>
        <a:xfrm xmlns:a="http://schemas.openxmlformats.org/drawingml/2006/main">
          <a:off x="2584065" y="651036"/>
          <a:ext cx="2090501" cy="21435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0501" h="2143542">
              <a:moveTo>
                <a:pt x="105512" y="2053156"/>
              </a:moveTo>
              <a:lnTo>
                <a:pt x="18129" y="2143541"/>
              </a:lnTo>
              <a:lnTo>
                <a:pt x="0" y="2124789"/>
              </a:lnTo>
              <a:lnTo>
                <a:pt x="87040" y="2034760"/>
              </a:lnTo>
              <a:lnTo>
                <a:pt x="152456" y="1967097"/>
              </a:lnTo>
              <a:lnTo>
                <a:pt x="2054242" y="0"/>
              </a:lnTo>
              <a:lnTo>
                <a:pt x="2090500" y="0"/>
              </a:lnTo>
              <a:lnTo>
                <a:pt x="171187" y="19852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0.65895</cdr:x>
      <cdr:y>0.64858</cdr:y>
    </cdr:from>
    <cdr:to>
      <cdr:x>0.94246</cdr:x>
      <cdr:y>0.9301</cdr:y>
    </cdr:to>
    <cdr:sp macro="" textlink="">
      <cdr:nvSpPr>
        <cdr:cNvPr id="68" name="FracNo 834 StartRow 923">
          <a:extLst xmlns:a="http://schemas.openxmlformats.org/drawingml/2006/main">
            <a:ext uri="{FF2B5EF4-FFF2-40B4-BE49-F238E27FC236}">
              <a16:creationId xmlns:a16="http://schemas.microsoft.com/office/drawing/2014/main" id="{E1042C14-153D-E910-1D8F-D191111F6765}"/>
            </a:ext>
          </a:extLst>
        </cdr:cNvPr>
        <cdr:cNvSpPr/>
      </cdr:nvSpPr>
      <cdr:spPr>
        <a:xfrm xmlns:a="http://schemas.openxmlformats.org/drawingml/2006/main">
          <a:off x="4820376" y="4942211"/>
          <a:ext cx="2073932" cy="2145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3932" h="2145155">
              <a:moveTo>
                <a:pt x="803424" y="1351643"/>
              </a:moveTo>
              <a:lnTo>
                <a:pt x="36259" y="2145154"/>
              </a:lnTo>
              <a:lnTo>
                <a:pt x="0" y="2145154"/>
              </a:lnTo>
              <a:lnTo>
                <a:pt x="780816" y="1337523"/>
              </a:lnTo>
              <a:lnTo>
                <a:pt x="2073931" y="0"/>
              </a:lnTo>
              <a:lnTo>
                <a:pt x="207393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0.39401</cdr:x>
      <cdr:y>0.30764</cdr:y>
    </cdr:from>
    <cdr:to>
      <cdr:x>0.677</cdr:x>
      <cdr:y>0.58864</cdr:y>
    </cdr:to>
    <cdr:sp macro="" textlink="">
      <cdr:nvSpPr>
        <cdr:cNvPr id="69" name="FracNo 360 StartRow 932">
          <a:extLst xmlns:a="http://schemas.openxmlformats.org/drawingml/2006/main">
            <a:ext uri="{FF2B5EF4-FFF2-40B4-BE49-F238E27FC236}">
              <a16:creationId xmlns:a16="http://schemas.microsoft.com/office/drawing/2014/main" id="{4D15DC30-FAF8-5DDB-947D-14ADEFCC81CC}"/>
            </a:ext>
          </a:extLst>
        </cdr:cNvPr>
        <cdr:cNvSpPr/>
      </cdr:nvSpPr>
      <cdr:spPr>
        <a:xfrm xmlns:a="http://schemas.openxmlformats.org/drawingml/2006/main">
          <a:off x="2882256" y="2344208"/>
          <a:ext cx="2070141" cy="2141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0141" h="2141234">
              <a:moveTo>
                <a:pt x="436312" y="1671186"/>
              </a:moveTo>
              <a:lnTo>
                <a:pt x="0" y="2122481"/>
              </a:lnTo>
              <a:lnTo>
                <a:pt x="18129" y="2141233"/>
              </a:lnTo>
              <a:lnTo>
                <a:pt x="454441" y="1689937"/>
              </a:lnTo>
              <a:lnTo>
                <a:pt x="1641950" y="461647"/>
              </a:lnTo>
              <a:lnTo>
                <a:pt x="1946905" y="146218"/>
              </a:lnTo>
              <a:lnTo>
                <a:pt x="2070140" y="18752"/>
              </a:lnTo>
              <a:lnTo>
                <a:pt x="2052010" y="0"/>
              </a:lnTo>
              <a:lnTo>
                <a:pt x="1928776" y="127467"/>
              </a:lnTo>
              <a:lnTo>
                <a:pt x="1623821" y="4428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0.6662</cdr:x>
      <cdr:y>0.25812</cdr:y>
    </cdr:from>
    <cdr:to>
      <cdr:x>0.94246</cdr:x>
      <cdr:y>0.5349</cdr:y>
    </cdr:to>
    <cdr:sp macro="" textlink="">
      <cdr:nvSpPr>
        <cdr:cNvPr id="70" name="FracNo 856 StartRow 945">
          <a:extLst xmlns:a="http://schemas.openxmlformats.org/drawingml/2006/main">
            <a:ext uri="{FF2B5EF4-FFF2-40B4-BE49-F238E27FC236}">
              <a16:creationId xmlns:a16="http://schemas.microsoft.com/office/drawing/2014/main" id="{7BB310D6-D596-0F9A-EDB8-5372DC2104D5}"/>
            </a:ext>
          </a:extLst>
        </cdr:cNvPr>
        <cdr:cNvSpPr/>
      </cdr:nvSpPr>
      <cdr:spPr>
        <a:xfrm xmlns:a="http://schemas.openxmlformats.org/drawingml/2006/main">
          <a:off x="4873369" y="1966847"/>
          <a:ext cx="2020939" cy="21090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0939" h="2109095">
              <a:moveTo>
                <a:pt x="1260856" y="823689"/>
              </a:moveTo>
              <a:lnTo>
                <a:pt x="1246046" y="839008"/>
              </a:lnTo>
              <a:lnTo>
                <a:pt x="18129" y="2109094"/>
              </a:lnTo>
              <a:lnTo>
                <a:pt x="0" y="2090342"/>
              </a:lnTo>
              <a:lnTo>
                <a:pt x="1227917" y="820256"/>
              </a:lnTo>
              <a:lnTo>
                <a:pt x="1243073" y="804579"/>
              </a:lnTo>
              <a:lnTo>
                <a:pt x="2020938" y="0"/>
              </a:lnTo>
              <a:lnTo>
                <a:pt x="202093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0.66743</cdr:x>
      <cdr:y>0.54274</cdr:y>
    </cdr:from>
    <cdr:to>
      <cdr:x>0.94246</cdr:x>
      <cdr:y>0.8183</cdr:y>
    </cdr:to>
    <cdr:sp macro="" textlink="">
      <cdr:nvSpPr>
        <cdr:cNvPr id="71" name="FracNo 735 StartRow 956">
          <a:extLst xmlns:a="http://schemas.openxmlformats.org/drawingml/2006/main">
            <a:ext uri="{FF2B5EF4-FFF2-40B4-BE49-F238E27FC236}">
              <a16:creationId xmlns:a16="http://schemas.microsoft.com/office/drawing/2014/main" id="{AE93B1D2-12D5-C4CA-5634-593377B3F7AE}"/>
            </a:ext>
          </a:extLst>
        </cdr:cNvPr>
        <cdr:cNvSpPr/>
      </cdr:nvSpPr>
      <cdr:spPr>
        <a:xfrm xmlns:a="http://schemas.openxmlformats.org/drawingml/2006/main">
          <a:off x="4882405" y="4135705"/>
          <a:ext cx="2011903" cy="20997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1903" h="2099747">
              <a:moveTo>
                <a:pt x="1422191" y="647467"/>
              </a:moveTo>
              <a:lnTo>
                <a:pt x="1259646" y="815593"/>
              </a:lnTo>
              <a:lnTo>
                <a:pt x="18130" y="2099746"/>
              </a:lnTo>
              <a:lnTo>
                <a:pt x="0" y="2080994"/>
              </a:lnTo>
              <a:lnTo>
                <a:pt x="1241517" y="796841"/>
              </a:lnTo>
              <a:lnTo>
                <a:pt x="1407979" y="624663"/>
              </a:lnTo>
              <a:lnTo>
                <a:pt x="2011902" y="0"/>
              </a:lnTo>
              <a:lnTo>
                <a:pt x="2011902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0.55941</cdr:x>
      <cdr:y>0.08544</cdr:y>
    </cdr:from>
    <cdr:to>
      <cdr:x>0.83449</cdr:x>
      <cdr:y>0.35612</cdr:y>
    </cdr:to>
    <cdr:sp macro="" textlink="">
      <cdr:nvSpPr>
        <cdr:cNvPr id="72" name="FracNo 421 StartRow 967">
          <a:extLst xmlns:a="http://schemas.openxmlformats.org/drawingml/2006/main">
            <a:ext uri="{FF2B5EF4-FFF2-40B4-BE49-F238E27FC236}">
              <a16:creationId xmlns:a16="http://schemas.microsoft.com/office/drawing/2014/main" id="{1EB2CFFB-A2FC-EAE2-46C8-CA4D9C36CAC9}"/>
            </a:ext>
          </a:extLst>
        </cdr:cNvPr>
        <cdr:cNvSpPr/>
      </cdr:nvSpPr>
      <cdr:spPr>
        <a:xfrm xmlns:a="http://schemas.openxmlformats.org/drawingml/2006/main">
          <a:off x="4092184" y="651036"/>
          <a:ext cx="2012283" cy="20626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2283" h="2062636">
              <a:moveTo>
                <a:pt x="645274" y="1376450"/>
              </a:moveTo>
              <a:lnTo>
                <a:pt x="0" y="2043883"/>
              </a:lnTo>
              <a:lnTo>
                <a:pt x="18129" y="2062635"/>
              </a:lnTo>
              <a:lnTo>
                <a:pt x="664292" y="1394282"/>
              </a:lnTo>
              <a:lnTo>
                <a:pt x="737472" y="1318589"/>
              </a:lnTo>
              <a:lnTo>
                <a:pt x="2012282" y="0"/>
              </a:lnTo>
              <a:lnTo>
                <a:pt x="1976023" y="0"/>
              </a:lnTo>
              <a:lnTo>
                <a:pt x="718353" y="13008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0.50674</cdr:x>
      <cdr:y>0.08544</cdr:y>
    </cdr:from>
    <cdr:to>
      <cdr:x>0.77868</cdr:x>
      <cdr:y>0.35301</cdr:y>
    </cdr:to>
    <cdr:sp macro="" textlink="">
      <cdr:nvSpPr>
        <cdr:cNvPr id="73" name="FracNo 774 StartRow 978">
          <a:extLst xmlns:a="http://schemas.openxmlformats.org/drawingml/2006/main">
            <a:ext uri="{FF2B5EF4-FFF2-40B4-BE49-F238E27FC236}">
              <a16:creationId xmlns:a16="http://schemas.microsoft.com/office/drawing/2014/main" id="{DF39F73F-EB2A-0D69-9F11-891536A1F3A0}"/>
            </a:ext>
          </a:extLst>
        </cdr:cNvPr>
        <cdr:cNvSpPr/>
      </cdr:nvSpPr>
      <cdr:spPr>
        <a:xfrm xmlns:a="http://schemas.openxmlformats.org/drawingml/2006/main">
          <a:off x="3706892" y="651036"/>
          <a:ext cx="1989309" cy="20388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9309" h="2038875">
              <a:moveTo>
                <a:pt x="568953" y="1469133"/>
              </a:moveTo>
              <a:lnTo>
                <a:pt x="18129" y="2038874"/>
              </a:lnTo>
              <a:lnTo>
                <a:pt x="0" y="2020122"/>
              </a:lnTo>
              <a:lnTo>
                <a:pt x="547282" y="1454045"/>
              </a:lnTo>
              <a:lnTo>
                <a:pt x="1100579" y="881746"/>
              </a:lnTo>
              <a:lnTo>
                <a:pt x="1953050" y="0"/>
              </a:lnTo>
              <a:lnTo>
                <a:pt x="1989308" y="0"/>
              </a:lnTo>
              <a:lnTo>
                <a:pt x="1125830" y="8931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0.10617</cdr:x>
      <cdr:y>0.08544</cdr:y>
    </cdr:from>
    <cdr:to>
      <cdr:x>0.37536</cdr:x>
      <cdr:y>0.35151</cdr:y>
    </cdr:to>
    <cdr:sp macro="" textlink="">
      <cdr:nvSpPr>
        <cdr:cNvPr id="74" name="FracNo 738 StartRow 989">
          <a:extLst xmlns:a="http://schemas.openxmlformats.org/drawingml/2006/main">
            <a:ext uri="{FF2B5EF4-FFF2-40B4-BE49-F238E27FC236}">
              <a16:creationId xmlns:a16="http://schemas.microsoft.com/office/drawing/2014/main" id="{935D51BD-B410-6787-A3F4-0D760F2BA1DD}"/>
            </a:ext>
          </a:extLst>
        </cdr:cNvPr>
        <cdr:cNvSpPr/>
      </cdr:nvSpPr>
      <cdr:spPr>
        <a:xfrm xmlns:a="http://schemas.openxmlformats.org/drawingml/2006/main">
          <a:off x="776629" y="651036"/>
          <a:ext cx="1969235" cy="20274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9235" h="2027487">
              <a:moveTo>
                <a:pt x="150639" y="1852922"/>
              </a:moveTo>
              <a:lnTo>
                <a:pt x="0" y="2008734"/>
              </a:lnTo>
              <a:lnTo>
                <a:pt x="18130" y="2027486"/>
              </a:lnTo>
              <a:lnTo>
                <a:pt x="169472" y="1870946"/>
              </a:lnTo>
              <a:lnTo>
                <a:pt x="1969234" y="9376"/>
              </a:lnTo>
              <a:lnTo>
                <a:pt x="19420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0.60898</cdr:y>
    </cdr:from>
    <cdr:to>
      <cdr:x>0.35878</cdr:x>
      <cdr:y>0.87652</cdr:y>
    </cdr:to>
    <cdr:sp macro="" textlink="">
      <cdr:nvSpPr>
        <cdr:cNvPr id="75" name="FracNo 753 StartRow 998">
          <a:extLst xmlns:a="http://schemas.openxmlformats.org/drawingml/2006/main">
            <a:ext uri="{FF2B5EF4-FFF2-40B4-BE49-F238E27FC236}">
              <a16:creationId xmlns:a16="http://schemas.microsoft.com/office/drawing/2014/main" id="{7449FBDC-D7BB-F3DB-2836-35BCCADD27E1}"/>
            </a:ext>
          </a:extLst>
        </cdr:cNvPr>
        <cdr:cNvSpPr/>
      </cdr:nvSpPr>
      <cdr:spPr>
        <a:xfrm xmlns:a="http://schemas.openxmlformats.org/drawingml/2006/main">
          <a:off x="671676" y="4640423"/>
          <a:ext cx="1952839" cy="20386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2839" h="2038656">
              <a:moveTo>
                <a:pt x="1246623" y="711717"/>
              </a:moveTo>
              <a:lnTo>
                <a:pt x="0" y="2001151"/>
              </a:lnTo>
              <a:lnTo>
                <a:pt x="0" y="2038655"/>
              </a:lnTo>
              <a:lnTo>
                <a:pt x="1260301" y="735073"/>
              </a:lnTo>
              <a:lnTo>
                <a:pt x="1670414" y="310875"/>
              </a:lnTo>
              <a:lnTo>
                <a:pt x="1952838" y="18752"/>
              </a:lnTo>
              <a:lnTo>
                <a:pt x="1934709" y="0"/>
              </a:lnTo>
              <a:lnTo>
                <a:pt x="1652285" y="2921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0.46564</cdr:y>
    </cdr:from>
    <cdr:to>
      <cdr:x>0.356</cdr:x>
      <cdr:y>0.73043</cdr:y>
    </cdr:to>
    <cdr:sp macro="" textlink="">
      <cdr:nvSpPr>
        <cdr:cNvPr id="76" name="FracNo 785 StartRow 1009">
          <a:extLst xmlns:a="http://schemas.openxmlformats.org/drawingml/2006/main">
            <a:ext uri="{FF2B5EF4-FFF2-40B4-BE49-F238E27FC236}">
              <a16:creationId xmlns:a16="http://schemas.microsoft.com/office/drawing/2014/main" id="{E134F709-00A1-C267-835F-C95C7D60824D}"/>
            </a:ext>
          </a:extLst>
        </cdr:cNvPr>
        <cdr:cNvSpPr/>
      </cdr:nvSpPr>
      <cdr:spPr>
        <a:xfrm xmlns:a="http://schemas.openxmlformats.org/drawingml/2006/main">
          <a:off x="671676" y="3548181"/>
          <a:ext cx="1932543" cy="2017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2543" h="2017663">
              <a:moveTo>
                <a:pt x="1418090" y="550872"/>
              </a:moveTo>
              <a:lnTo>
                <a:pt x="588835" y="1408605"/>
              </a:lnTo>
              <a:lnTo>
                <a:pt x="0" y="2017662"/>
              </a:lnTo>
              <a:lnTo>
                <a:pt x="0" y="1980158"/>
              </a:lnTo>
              <a:lnTo>
                <a:pt x="581318" y="1378877"/>
              </a:lnTo>
              <a:lnTo>
                <a:pt x="1404024" y="527917"/>
              </a:lnTo>
              <a:lnTo>
                <a:pt x="1914413" y="0"/>
              </a:lnTo>
              <a:lnTo>
                <a:pt x="19325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0.67796</cdr:x>
      <cdr:y>0.66745</cdr:y>
    </cdr:from>
    <cdr:to>
      <cdr:x>0.94246</cdr:x>
      <cdr:y>0.9301</cdr:y>
    </cdr:to>
    <cdr:sp macro="" textlink="">
      <cdr:nvSpPr>
        <cdr:cNvPr id="77" name="FracNo 516 StartRow 1020">
          <a:extLst xmlns:a="http://schemas.openxmlformats.org/drawingml/2006/main">
            <a:ext uri="{FF2B5EF4-FFF2-40B4-BE49-F238E27FC236}">
              <a16:creationId xmlns:a16="http://schemas.microsoft.com/office/drawing/2014/main" id="{9B89C25B-00D8-00E7-BE95-2E025092F149}"/>
            </a:ext>
          </a:extLst>
        </cdr:cNvPr>
        <cdr:cNvSpPr/>
      </cdr:nvSpPr>
      <cdr:spPr>
        <a:xfrm xmlns:a="http://schemas.openxmlformats.org/drawingml/2006/main">
          <a:off x="4959391" y="5086000"/>
          <a:ext cx="1934917" cy="20013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4917" h="2001366">
              <a:moveTo>
                <a:pt x="984770" y="1020280"/>
              </a:moveTo>
              <a:lnTo>
                <a:pt x="36259" y="2001365"/>
              </a:lnTo>
              <a:lnTo>
                <a:pt x="0" y="2001365"/>
              </a:lnTo>
              <a:lnTo>
                <a:pt x="966625" y="1001545"/>
              </a:lnTo>
              <a:lnTo>
                <a:pt x="1934916" y="0"/>
              </a:lnTo>
              <a:lnTo>
                <a:pt x="193491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0.43975</cdr:y>
    </cdr:from>
    <cdr:to>
      <cdr:x>0.35301</cdr:x>
      <cdr:y>0.70157</cdr:y>
    </cdr:to>
    <cdr:sp macro="" textlink="">
      <cdr:nvSpPr>
        <cdr:cNvPr id="78" name="FracNo 106 StartRow 1029">
          <a:extLst xmlns:a="http://schemas.openxmlformats.org/drawingml/2006/main">
            <a:ext uri="{FF2B5EF4-FFF2-40B4-BE49-F238E27FC236}">
              <a16:creationId xmlns:a16="http://schemas.microsoft.com/office/drawing/2014/main" id="{D8C7FB11-E174-CB31-4B25-146DA08C71F7}"/>
            </a:ext>
          </a:extLst>
        </cdr:cNvPr>
        <cdr:cNvSpPr/>
      </cdr:nvSpPr>
      <cdr:spPr>
        <a:xfrm xmlns:a="http://schemas.openxmlformats.org/drawingml/2006/main">
          <a:off x="671676" y="3350918"/>
          <a:ext cx="1910699" cy="1995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0699" h="1995067">
              <a:moveTo>
                <a:pt x="1641723" y="296963"/>
              </a:moveTo>
              <a:lnTo>
                <a:pt x="374584" y="1607618"/>
              </a:lnTo>
              <a:lnTo>
                <a:pt x="0" y="1995066"/>
              </a:lnTo>
              <a:lnTo>
                <a:pt x="0" y="1957563"/>
              </a:lnTo>
              <a:lnTo>
                <a:pt x="370451" y="1574390"/>
              </a:lnTo>
              <a:lnTo>
                <a:pt x="1626044" y="275677"/>
              </a:lnTo>
              <a:lnTo>
                <a:pt x="1892568" y="0"/>
              </a:lnTo>
              <a:lnTo>
                <a:pt x="19106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0.55828</cdr:x>
      <cdr:y>0.67143</cdr:y>
    </cdr:from>
    <cdr:to>
      <cdr:x>0.82126</cdr:x>
      <cdr:y>0.9301</cdr:y>
    </cdr:to>
    <cdr:sp macro="" textlink="">
      <cdr:nvSpPr>
        <cdr:cNvPr id="79" name="FracNo 840 StartRow 1040">
          <a:extLst xmlns:a="http://schemas.openxmlformats.org/drawingml/2006/main">
            <a:ext uri="{FF2B5EF4-FFF2-40B4-BE49-F238E27FC236}">
              <a16:creationId xmlns:a16="http://schemas.microsoft.com/office/drawing/2014/main" id="{39706C56-975D-015A-33D1-287134A826A5}"/>
            </a:ext>
          </a:extLst>
        </cdr:cNvPr>
        <cdr:cNvSpPr/>
      </cdr:nvSpPr>
      <cdr:spPr>
        <a:xfrm xmlns:a="http://schemas.openxmlformats.org/drawingml/2006/main">
          <a:off x="4083959" y="5116316"/>
          <a:ext cx="1923737" cy="1971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3737" h="1971050">
              <a:moveTo>
                <a:pt x="64868" y="1903954"/>
              </a:moveTo>
              <a:lnTo>
                <a:pt x="0" y="1971049"/>
              </a:lnTo>
              <a:lnTo>
                <a:pt x="36259" y="1971049"/>
              </a:lnTo>
              <a:lnTo>
                <a:pt x="99509" y="1905627"/>
              </a:lnTo>
              <a:lnTo>
                <a:pt x="745202" y="1237759"/>
              </a:lnTo>
              <a:lnTo>
                <a:pt x="1923736" y="18752"/>
              </a:lnTo>
              <a:lnTo>
                <a:pt x="1905606" y="0"/>
              </a:lnTo>
              <a:lnTo>
                <a:pt x="727073" y="12190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0.43672</cdr:y>
    </cdr:from>
    <cdr:to>
      <cdr:x>0.34996</cdr:x>
      <cdr:y>0.69551</cdr:y>
    </cdr:to>
    <cdr:sp macro="" textlink="">
      <cdr:nvSpPr>
        <cdr:cNvPr id="80" name="FracNo 808 StartRow 1051">
          <a:extLst xmlns:a="http://schemas.openxmlformats.org/drawingml/2006/main">
            <a:ext uri="{FF2B5EF4-FFF2-40B4-BE49-F238E27FC236}">
              <a16:creationId xmlns:a16="http://schemas.microsoft.com/office/drawing/2014/main" id="{8E80DA7F-A704-78B4-8CC3-007AFE443EB7}"/>
            </a:ext>
          </a:extLst>
        </cdr:cNvPr>
        <cdr:cNvSpPr/>
      </cdr:nvSpPr>
      <cdr:spPr>
        <a:xfrm xmlns:a="http://schemas.openxmlformats.org/drawingml/2006/main">
          <a:off x="671676" y="3327832"/>
          <a:ext cx="1888379" cy="19719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8379" h="1971982">
              <a:moveTo>
                <a:pt x="1255214" y="636157"/>
              </a:moveTo>
              <a:lnTo>
                <a:pt x="325523" y="1597775"/>
              </a:lnTo>
              <a:lnTo>
                <a:pt x="0" y="1934477"/>
              </a:lnTo>
              <a:lnTo>
                <a:pt x="0" y="1971981"/>
              </a:lnTo>
              <a:lnTo>
                <a:pt x="330235" y="1630405"/>
              </a:lnTo>
              <a:lnTo>
                <a:pt x="1268001" y="660434"/>
              </a:lnTo>
              <a:lnTo>
                <a:pt x="1888378" y="18752"/>
              </a:lnTo>
              <a:lnTo>
                <a:pt x="18702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0.29728</cdr:x>
      <cdr:y>0.08544</cdr:y>
    </cdr:from>
    <cdr:to>
      <cdr:x>0.55764</cdr:x>
      <cdr:y>0.34151</cdr:y>
    </cdr:to>
    <cdr:sp macro="" textlink="">
      <cdr:nvSpPr>
        <cdr:cNvPr id="81" name="FracNo 855 StartRow 1062">
          <a:extLst xmlns:a="http://schemas.openxmlformats.org/drawingml/2006/main">
            <a:ext uri="{FF2B5EF4-FFF2-40B4-BE49-F238E27FC236}">
              <a16:creationId xmlns:a16="http://schemas.microsoft.com/office/drawing/2014/main" id="{1E0F7B83-FE9A-4478-4793-DED86B6787A3}"/>
            </a:ext>
          </a:extLst>
        </cdr:cNvPr>
        <cdr:cNvSpPr/>
      </cdr:nvSpPr>
      <cdr:spPr>
        <a:xfrm xmlns:a="http://schemas.openxmlformats.org/drawingml/2006/main">
          <a:off x="2174636" y="651036"/>
          <a:ext cx="1904626" cy="1951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4626" h="1951282">
              <a:moveTo>
                <a:pt x="961953" y="937542"/>
              </a:moveTo>
              <a:lnTo>
                <a:pt x="562186" y="1351038"/>
              </a:lnTo>
              <a:lnTo>
                <a:pt x="0" y="1932530"/>
              </a:lnTo>
              <a:lnTo>
                <a:pt x="18130" y="1951281"/>
              </a:lnTo>
              <a:lnTo>
                <a:pt x="580315" y="1369789"/>
              </a:lnTo>
              <a:lnTo>
                <a:pt x="985631" y="950554"/>
              </a:lnTo>
              <a:lnTo>
                <a:pt x="1904625" y="0"/>
              </a:lnTo>
              <a:lnTo>
                <a:pt x="18683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0.56384</cdr:x>
      <cdr:y>0.67419</cdr:y>
    </cdr:from>
    <cdr:to>
      <cdr:x>0.82404</cdr:x>
      <cdr:y>0.9301</cdr:y>
    </cdr:to>
    <cdr:sp macro="" textlink="">
      <cdr:nvSpPr>
        <cdr:cNvPr id="82" name="FracNo 501 StartRow 1073">
          <a:extLst xmlns:a="http://schemas.openxmlformats.org/drawingml/2006/main">
            <a:ext uri="{FF2B5EF4-FFF2-40B4-BE49-F238E27FC236}">
              <a16:creationId xmlns:a16="http://schemas.microsoft.com/office/drawing/2014/main" id="{B94C68DB-7080-4F22-6021-26B45FA19992}"/>
            </a:ext>
          </a:extLst>
        </cdr:cNvPr>
        <cdr:cNvSpPr/>
      </cdr:nvSpPr>
      <cdr:spPr>
        <a:xfrm xmlns:a="http://schemas.openxmlformats.org/drawingml/2006/main">
          <a:off x="4124566" y="5137317"/>
          <a:ext cx="1903433" cy="1950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3433" h="1950049">
              <a:moveTo>
                <a:pt x="1028689" y="923536"/>
              </a:moveTo>
              <a:lnTo>
                <a:pt x="707516" y="1255739"/>
              </a:lnTo>
              <a:lnTo>
                <a:pt x="36259" y="1950048"/>
              </a:lnTo>
              <a:lnTo>
                <a:pt x="0" y="1950048"/>
              </a:lnTo>
              <a:lnTo>
                <a:pt x="683546" y="1243028"/>
              </a:lnTo>
              <a:lnTo>
                <a:pt x="1006287" y="909203"/>
              </a:lnTo>
              <a:lnTo>
                <a:pt x="1885303" y="0"/>
              </a:lnTo>
              <a:lnTo>
                <a:pt x="19034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0.34395</cdr:x>
      <cdr:y>0.47002</cdr:y>
    </cdr:from>
    <cdr:to>
      <cdr:x>0.60279</cdr:x>
      <cdr:y>0.72704</cdr:y>
    </cdr:to>
    <cdr:sp macro="" textlink="">
      <cdr:nvSpPr>
        <cdr:cNvPr id="83" name="FracNo 673 StartRow 1084">
          <a:extLst xmlns:a="http://schemas.openxmlformats.org/drawingml/2006/main">
            <a:ext uri="{FF2B5EF4-FFF2-40B4-BE49-F238E27FC236}">
              <a16:creationId xmlns:a16="http://schemas.microsoft.com/office/drawing/2014/main" id="{9618F4EA-88EA-D12A-6135-C537D54DA577}"/>
            </a:ext>
          </a:extLst>
        </cdr:cNvPr>
        <cdr:cNvSpPr/>
      </cdr:nvSpPr>
      <cdr:spPr>
        <a:xfrm xmlns:a="http://schemas.openxmlformats.org/drawingml/2006/main">
          <a:off x="2516052" y="3581569"/>
          <a:ext cx="1893485" cy="1958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3485" h="1958511">
              <a:moveTo>
                <a:pt x="370809" y="1593719"/>
              </a:moveTo>
              <a:lnTo>
                <a:pt x="238899" y="1730159"/>
              </a:lnTo>
              <a:lnTo>
                <a:pt x="18130" y="1958510"/>
              </a:lnTo>
              <a:lnTo>
                <a:pt x="0" y="1939758"/>
              </a:lnTo>
              <a:lnTo>
                <a:pt x="220770" y="1711407"/>
              </a:lnTo>
              <a:lnTo>
                <a:pt x="352679" y="1574967"/>
              </a:lnTo>
              <a:lnTo>
                <a:pt x="569233" y="1350977"/>
              </a:lnTo>
              <a:lnTo>
                <a:pt x="1875355" y="0"/>
              </a:lnTo>
              <a:lnTo>
                <a:pt x="1893484" y="18752"/>
              </a:lnTo>
              <a:lnTo>
                <a:pt x="587362" y="13697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0.68618</cdr:x>
      <cdr:y>0.24845</cdr:y>
    </cdr:from>
    <cdr:to>
      <cdr:x>0.94246</cdr:x>
      <cdr:y>0.50539</cdr:y>
    </cdr:to>
    <cdr:sp macro="" textlink="">
      <cdr:nvSpPr>
        <cdr:cNvPr id="84" name="FracNo 596 StartRow 1097">
          <a:extLst xmlns:a="http://schemas.openxmlformats.org/drawingml/2006/main">
            <a:ext uri="{FF2B5EF4-FFF2-40B4-BE49-F238E27FC236}">
              <a16:creationId xmlns:a16="http://schemas.microsoft.com/office/drawing/2014/main" id="{A0595174-9B5E-B232-9A8E-01A847998BF4}"/>
            </a:ext>
          </a:extLst>
        </cdr:cNvPr>
        <cdr:cNvSpPr/>
      </cdr:nvSpPr>
      <cdr:spPr>
        <a:xfrm xmlns:a="http://schemas.openxmlformats.org/drawingml/2006/main">
          <a:off x="5019545" y="1893171"/>
          <a:ext cx="1874763" cy="19578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4763" h="1957898">
              <a:moveTo>
                <a:pt x="543771" y="1376701"/>
              </a:moveTo>
              <a:lnTo>
                <a:pt x="0" y="1939145"/>
              </a:lnTo>
              <a:lnTo>
                <a:pt x="18130" y="1957897"/>
              </a:lnTo>
              <a:lnTo>
                <a:pt x="558458" y="1399013"/>
              </a:lnTo>
              <a:lnTo>
                <a:pt x="1025432" y="916002"/>
              </a:lnTo>
              <a:lnTo>
                <a:pt x="1874762" y="37504"/>
              </a:lnTo>
              <a:lnTo>
                <a:pt x="1874762" y="0"/>
              </a:lnTo>
              <a:lnTo>
                <a:pt x="1013719" y="8906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0.60043</cdr:x>
      <cdr:y>0.21705</cdr:y>
    </cdr:from>
    <cdr:to>
      <cdr:x>0.85778</cdr:x>
      <cdr:y>0.4726</cdr:y>
    </cdr:to>
    <cdr:sp macro="" textlink="">
      <cdr:nvSpPr>
        <cdr:cNvPr id="85" name="FracNo 787 StartRow 1108">
          <a:extLst xmlns:a="http://schemas.openxmlformats.org/drawingml/2006/main">
            <a:ext uri="{FF2B5EF4-FFF2-40B4-BE49-F238E27FC236}">
              <a16:creationId xmlns:a16="http://schemas.microsoft.com/office/drawing/2014/main" id="{DFBAA638-C756-5AA3-D926-00D2670D49BC}"/>
            </a:ext>
          </a:extLst>
        </cdr:cNvPr>
        <cdr:cNvSpPr/>
      </cdr:nvSpPr>
      <cdr:spPr>
        <a:xfrm xmlns:a="http://schemas.openxmlformats.org/drawingml/2006/main">
          <a:off x="4392239" y="1653903"/>
          <a:ext cx="1882627" cy="19472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2627" h="1947280">
              <a:moveTo>
                <a:pt x="1454286" y="461803"/>
              </a:moveTo>
              <a:lnTo>
                <a:pt x="787050" y="1151952"/>
              </a:lnTo>
              <a:lnTo>
                <a:pt x="436922" y="1514104"/>
              </a:lnTo>
              <a:lnTo>
                <a:pt x="18130" y="1947279"/>
              </a:lnTo>
              <a:lnTo>
                <a:pt x="0" y="1928527"/>
              </a:lnTo>
              <a:lnTo>
                <a:pt x="418793" y="1495352"/>
              </a:lnTo>
              <a:lnTo>
                <a:pt x="768921" y="1133200"/>
              </a:lnTo>
              <a:lnTo>
                <a:pt x="1436156" y="443050"/>
              </a:lnTo>
              <a:lnTo>
                <a:pt x="1864497" y="0"/>
              </a:lnTo>
              <a:lnTo>
                <a:pt x="18826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0.30721</cdr:x>
      <cdr:y>0.67613</cdr:y>
    </cdr:from>
    <cdr:to>
      <cdr:x>0.56546</cdr:x>
      <cdr:y>0.9301</cdr:y>
    </cdr:to>
    <cdr:sp macro="" textlink="">
      <cdr:nvSpPr>
        <cdr:cNvPr id="86" name="FracNo 30 StartRow 1121">
          <a:extLst xmlns:a="http://schemas.openxmlformats.org/drawingml/2006/main">
            <a:ext uri="{FF2B5EF4-FFF2-40B4-BE49-F238E27FC236}">
              <a16:creationId xmlns:a16="http://schemas.microsoft.com/office/drawing/2014/main" id="{4AEE598F-7126-CDAC-61C8-62497DED9446}"/>
            </a:ext>
          </a:extLst>
        </cdr:cNvPr>
        <cdr:cNvSpPr/>
      </cdr:nvSpPr>
      <cdr:spPr>
        <a:xfrm xmlns:a="http://schemas.openxmlformats.org/drawingml/2006/main">
          <a:off x="2247302" y="5152112"/>
          <a:ext cx="1889129" cy="19352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9129" h="1935254">
              <a:moveTo>
                <a:pt x="51398" y="1882090"/>
              </a:moveTo>
              <a:lnTo>
                <a:pt x="0" y="1935253"/>
              </a:lnTo>
              <a:lnTo>
                <a:pt x="36258" y="1935253"/>
              </a:lnTo>
              <a:lnTo>
                <a:pt x="85753" y="1884059"/>
              </a:lnTo>
              <a:lnTo>
                <a:pt x="507649" y="1447674"/>
              </a:lnTo>
              <a:lnTo>
                <a:pt x="1889128" y="18752"/>
              </a:lnTo>
              <a:lnTo>
                <a:pt x="1870999" y="0"/>
              </a:lnTo>
              <a:lnTo>
                <a:pt x="489520" y="14289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0.40774</cdr:y>
    </cdr:from>
    <cdr:to>
      <cdr:x>0.34593</cdr:x>
      <cdr:y>0.66251</cdr:y>
    </cdr:to>
    <cdr:sp macro="" textlink="">
      <cdr:nvSpPr>
        <cdr:cNvPr id="87" name="FracNo 119 StartRow 1132">
          <a:extLst xmlns:a="http://schemas.openxmlformats.org/drawingml/2006/main">
            <a:ext uri="{FF2B5EF4-FFF2-40B4-BE49-F238E27FC236}">
              <a16:creationId xmlns:a16="http://schemas.microsoft.com/office/drawing/2014/main" id="{5DB19DEE-1D02-F59F-BA56-082F3B910043}"/>
            </a:ext>
          </a:extLst>
        </cdr:cNvPr>
        <cdr:cNvSpPr/>
      </cdr:nvSpPr>
      <cdr:spPr>
        <a:xfrm xmlns:a="http://schemas.openxmlformats.org/drawingml/2006/main">
          <a:off x="671676" y="3106941"/>
          <a:ext cx="1858835" cy="1941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8835" h="1941423">
              <a:moveTo>
                <a:pt x="1213547" y="648696"/>
              </a:moveTo>
              <a:lnTo>
                <a:pt x="84147" y="1816881"/>
              </a:lnTo>
              <a:lnTo>
                <a:pt x="0" y="1903918"/>
              </a:lnTo>
              <a:lnTo>
                <a:pt x="0" y="1941422"/>
              </a:lnTo>
              <a:lnTo>
                <a:pt x="85407" y="1853081"/>
              </a:lnTo>
              <a:lnTo>
                <a:pt x="1225653" y="673677"/>
              </a:lnTo>
              <a:lnTo>
                <a:pt x="1858834" y="18751"/>
              </a:lnTo>
              <a:lnTo>
                <a:pt x="18407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0.68946</cdr:x>
      <cdr:y>0.22407</cdr:y>
    </cdr:from>
    <cdr:to>
      <cdr:x>0.94246</cdr:x>
      <cdr:y>0.47776</cdr:y>
    </cdr:to>
    <cdr:sp macro="" textlink="">
      <cdr:nvSpPr>
        <cdr:cNvPr id="88" name="FracNo 588 StartRow 1143">
          <a:extLst xmlns:a="http://schemas.openxmlformats.org/drawingml/2006/main">
            <a:ext uri="{FF2B5EF4-FFF2-40B4-BE49-F238E27FC236}">
              <a16:creationId xmlns:a16="http://schemas.microsoft.com/office/drawing/2014/main" id="{CEEE9EE6-3B40-940E-65E0-C1AE10F8909C}"/>
            </a:ext>
          </a:extLst>
        </cdr:cNvPr>
        <cdr:cNvSpPr/>
      </cdr:nvSpPr>
      <cdr:spPr>
        <a:xfrm xmlns:a="http://schemas.openxmlformats.org/drawingml/2006/main">
          <a:off x="5043510" y="1707406"/>
          <a:ext cx="1850798" cy="19331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0798" h="1933110">
              <a:moveTo>
                <a:pt x="763036" y="1125117"/>
              </a:moveTo>
              <a:lnTo>
                <a:pt x="0" y="1914357"/>
              </a:lnTo>
              <a:lnTo>
                <a:pt x="18129" y="1933109"/>
              </a:lnTo>
              <a:lnTo>
                <a:pt x="780463" y="1144596"/>
              </a:lnTo>
              <a:lnTo>
                <a:pt x="824705" y="1098834"/>
              </a:lnTo>
              <a:lnTo>
                <a:pt x="1850797" y="37504"/>
              </a:lnTo>
              <a:lnTo>
                <a:pt x="1850797" y="0"/>
              </a:lnTo>
              <a:lnTo>
                <a:pt x="807320" y="10793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0.42908</cdr:x>
      <cdr:y>0.49739</cdr:y>
    </cdr:from>
    <cdr:to>
      <cdr:x>0.68304</cdr:x>
      <cdr:y>0.74956</cdr:y>
    </cdr:to>
    <cdr:sp macro="" textlink="">
      <cdr:nvSpPr>
        <cdr:cNvPr id="89" name="FracNo 679 StartRow 1154">
          <a:extLst xmlns:a="http://schemas.openxmlformats.org/drawingml/2006/main">
            <a:ext uri="{FF2B5EF4-FFF2-40B4-BE49-F238E27FC236}">
              <a16:creationId xmlns:a16="http://schemas.microsoft.com/office/drawing/2014/main" id="{EF70E0AC-02DE-52DC-A3B4-5FB7AA3F2E03}"/>
            </a:ext>
          </a:extLst>
        </cdr:cNvPr>
        <cdr:cNvSpPr/>
      </cdr:nvSpPr>
      <cdr:spPr>
        <a:xfrm xmlns:a="http://schemas.openxmlformats.org/drawingml/2006/main">
          <a:off x="3138820" y="3790094"/>
          <a:ext cx="1857762" cy="19215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7762" h="1921561">
              <a:moveTo>
                <a:pt x="146476" y="1751302"/>
              </a:moveTo>
              <a:lnTo>
                <a:pt x="0" y="1902809"/>
              </a:lnTo>
              <a:lnTo>
                <a:pt x="18130" y="1921560"/>
              </a:lnTo>
              <a:lnTo>
                <a:pt x="164606" y="1770054"/>
              </a:lnTo>
              <a:lnTo>
                <a:pt x="753241" y="1161204"/>
              </a:lnTo>
              <a:lnTo>
                <a:pt x="1690341" y="191921"/>
              </a:lnTo>
              <a:lnTo>
                <a:pt x="1857761" y="18751"/>
              </a:lnTo>
              <a:lnTo>
                <a:pt x="1839632" y="0"/>
              </a:lnTo>
              <a:lnTo>
                <a:pt x="1672212" y="173170"/>
              </a:lnTo>
              <a:lnTo>
                <a:pt x="735112" y="11424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0.39305</cdr:x>
      <cdr:y>0.60574</cdr:y>
    </cdr:from>
    <cdr:to>
      <cdr:x>0.64332</cdr:x>
      <cdr:y>0.85425</cdr:y>
    </cdr:to>
    <cdr:sp macro="" textlink="">
      <cdr:nvSpPr>
        <cdr:cNvPr id="90" name="FracNo 662 StartRow 1167">
          <a:extLst xmlns:a="http://schemas.openxmlformats.org/drawingml/2006/main">
            <a:ext uri="{FF2B5EF4-FFF2-40B4-BE49-F238E27FC236}">
              <a16:creationId xmlns:a16="http://schemas.microsoft.com/office/drawing/2014/main" id="{F34746F3-ED2A-1607-44F3-A84FB399C2AE}"/>
            </a:ext>
          </a:extLst>
        </cdr:cNvPr>
        <cdr:cNvSpPr/>
      </cdr:nvSpPr>
      <cdr:spPr>
        <a:xfrm xmlns:a="http://schemas.openxmlformats.org/drawingml/2006/main">
          <a:off x="2875257" y="4615754"/>
          <a:ext cx="1830793" cy="18936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0793" h="1893665">
              <a:moveTo>
                <a:pt x="28050" y="1883403"/>
              </a:moveTo>
              <a:lnTo>
                <a:pt x="18130" y="1893664"/>
              </a:lnTo>
              <a:lnTo>
                <a:pt x="0" y="1874912"/>
              </a:lnTo>
              <a:lnTo>
                <a:pt x="9921" y="1864651"/>
              </a:lnTo>
              <a:lnTo>
                <a:pt x="1506388" y="316792"/>
              </a:lnTo>
              <a:lnTo>
                <a:pt x="1812662" y="0"/>
              </a:lnTo>
              <a:lnTo>
                <a:pt x="1830792" y="18751"/>
              </a:lnTo>
              <a:lnTo>
                <a:pt x="1524517" y="3355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0.34208</cdr:x>
      <cdr:y>0.33394</cdr:y>
    </cdr:to>
    <cdr:sp macro="" textlink="">
      <cdr:nvSpPr>
        <cdr:cNvPr id="91" name="FracNo 190 StartRow 1178">
          <a:extLst xmlns:a="http://schemas.openxmlformats.org/drawingml/2006/main">
            <a:ext uri="{FF2B5EF4-FFF2-40B4-BE49-F238E27FC236}">
              <a16:creationId xmlns:a16="http://schemas.microsoft.com/office/drawing/2014/main" id="{A3DBA6E9-E504-99A1-BE69-73C58AB48659}"/>
            </a:ext>
          </a:extLst>
        </cdr:cNvPr>
        <cdr:cNvSpPr/>
      </cdr:nvSpPr>
      <cdr:spPr>
        <a:xfrm xmlns:a="http://schemas.openxmlformats.org/drawingml/2006/main">
          <a:off x="671676" y="651036"/>
          <a:ext cx="1830742" cy="18936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0742" h="1893613">
              <a:moveTo>
                <a:pt x="629830" y="1242153"/>
              </a:moveTo>
              <a:lnTo>
                <a:pt x="0" y="1893612"/>
              </a:lnTo>
              <a:lnTo>
                <a:pt x="0" y="1856109"/>
              </a:lnTo>
              <a:lnTo>
                <a:pt x="617356" y="1217552"/>
              </a:lnTo>
              <a:lnTo>
                <a:pt x="1794483" y="0"/>
              </a:lnTo>
              <a:lnTo>
                <a:pt x="18307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0.46917</cdr:y>
    </cdr:from>
    <cdr:to>
      <cdr:x>0.34023</cdr:x>
      <cdr:y>0.71829</cdr:y>
    </cdr:to>
    <cdr:sp macro="" textlink="">
      <cdr:nvSpPr>
        <cdr:cNvPr id="92" name="FracNo 116 StartRow 1187">
          <a:extLst xmlns:a="http://schemas.openxmlformats.org/drawingml/2006/main">
            <a:ext uri="{FF2B5EF4-FFF2-40B4-BE49-F238E27FC236}">
              <a16:creationId xmlns:a16="http://schemas.microsoft.com/office/drawing/2014/main" id="{41BBDB9B-9045-CCE7-7B2D-29E63DF11F66}"/>
            </a:ext>
          </a:extLst>
        </cdr:cNvPr>
        <cdr:cNvSpPr/>
      </cdr:nvSpPr>
      <cdr:spPr>
        <a:xfrm xmlns:a="http://schemas.openxmlformats.org/drawingml/2006/main">
          <a:off x="671676" y="3575055"/>
          <a:ext cx="1817159" cy="18983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7159" h="1898315">
              <a:moveTo>
                <a:pt x="571882" y="1306792"/>
              </a:moveTo>
              <a:lnTo>
                <a:pt x="503641" y="1377377"/>
              </a:lnTo>
              <a:lnTo>
                <a:pt x="0" y="1898314"/>
              </a:lnTo>
              <a:lnTo>
                <a:pt x="0" y="1860810"/>
              </a:lnTo>
              <a:lnTo>
                <a:pt x="487704" y="1356357"/>
              </a:lnTo>
              <a:lnTo>
                <a:pt x="555831" y="1285891"/>
              </a:lnTo>
              <a:lnTo>
                <a:pt x="1799028" y="0"/>
              </a:lnTo>
              <a:lnTo>
                <a:pt x="181715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0.35666</cdr:x>
      <cdr:y>0.45634</cdr:y>
    </cdr:from>
    <cdr:to>
      <cdr:x>0.60612</cdr:x>
      <cdr:y>0.70403</cdr:y>
    </cdr:to>
    <cdr:sp macro="" textlink="">
      <cdr:nvSpPr>
        <cdr:cNvPr id="93" name="FracNo 721 StartRow 1198">
          <a:extLst xmlns:a="http://schemas.openxmlformats.org/drawingml/2006/main">
            <a:ext uri="{FF2B5EF4-FFF2-40B4-BE49-F238E27FC236}">
              <a16:creationId xmlns:a16="http://schemas.microsoft.com/office/drawing/2014/main" id="{EEC8D470-11ED-E66A-85CB-90D1ED32F2A4}"/>
            </a:ext>
          </a:extLst>
        </cdr:cNvPr>
        <cdr:cNvSpPr/>
      </cdr:nvSpPr>
      <cdr:spPr>
        <a:xfrm xmlns:a="http://schemas.openxmlformats.org/drawingml/2006/main">
          <a:off x="2609073" y="3477283"/>
          <a:ext cx="1824790" cy="1887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4790" h="1887457">
              <a:moveTo>
                <a:pt x="1820505" y="23182"/>
              </a:moveTo>
              <a:lnTo>
                <a:pt x="417843" y="1474015"/>
              </a:lnTo>
              <a:lnTo>
                <a:pt x="145878" y="1755320"/>
              </a:lnTo>
              <a:lnTo>
                <a:pt x="18129" y="1887456"/>
              </a:lnTo>
              <a:lnTo>
                <a:pt x="0" y="1868704"/>
              </a:lnTo>
              <a:lnTo>
                <a:pt x="127749" y="1736568"/>
              </a:lnTo>
              <a:lnTo>
                <a:pt x="399714" y="1455263"/>
              </a:lnTo>
              <a:lnTo>
                <a:pt x="1802377" y="4430"/>
              </a:lnTo>
              <a:lnTo>
                <a:pt x="1806659" y="0"/>
              </a:lnTo>
              <a:lnTo>
                <a:pt x="18247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0.17386</cdr:x>
      <cdr:y>0.08544</cdr:y>
    </cdr:from>
    <cdr:to>
      <cdr:x>0.42427</cdr:x>
      <cdr:y>0.33162</cdr:y>
    </cdr:to>
    <cdr:sp macro="" textlink="">
      <cdr:nvSpPr>
        <cdr:cNvPr id="94" name="FracNo 189 StartRow 1211">
          <a:extLst xmlns:a="http://schemas.openxmlformats.org/drawingml/2006/main">
            <a:ext uri="{FF2B5EF4-FFF2-40B4-BE49-F238E27FC236}">
              <a16:creationId xmlns:a16="http://schemas.microsoft.com/office/drawing/2014/main" id="{57A783D8-DA8D-30E4-EB6D-F922674C1112}"/>
            </a:ext>
          </a:extLst>
        </cdr:cNvPr>
        <cdr:cNvSpPr/>
      </cdr:nvSpPr>
      <cdr:spPr>
        <a:xfrm xmlns:a="http://schemas.openxmlformats.org/drawingml/2006/main">
          <a:off x="1271854" y="651036"/>
          <a:ext cx="1831758" cy="18759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1758" h="1875913">
              <a:moveTo>
                <a:pt x="698693" y="1171976"/>
              </a:moveTo>
              <a:lnTo>
                <a:pt x="18129" y="1875912"/>
              </a:lnTo>
              <a:lnTo>
                <a:pt x="0" y="1857160"/>
              </a:lnTo>
              <a:lnTo>
                <a:pt x="674705" y="1159284"/>
              </a:lnTo>
              <a:lnTo>
                <a:pt x="1458635" y="348432"/>
              </a:lnTo>
              <a:lnTo>
                <a:pt x="1795499" y="0"/>
              </a:lnTo>
              <a:lnTo>
                <a:pt x="1831757" y="0"/>
              </a:lnTo>
              <a:lnTo>
                <a:pt x="1489430" y="3540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0.60595</cdr:x>
      <cdr:y>0.21404</cdr:y>
    </cdr:from>
    <cdr:to>
      <cdr:x>0.85476</cdr:x>
      <cdr:y>0.4611</cdr:y>
    </cdr:to>
    <cdr:sp macro="" textlink="">
      <cdr:nvSpPr>
        <cdr:cNvPr id="95" name="FracNo 724 StartRow 1222">
          <a:extLst xmlns:a="http://schemas.openxmlformats.org/drawingml/2006/main">
            <a:ext uri="{FF2B5EF4-FFF2-40B4-BE49-F238E27FC236}">
              <a16:creationId xmlns:a16="http://schemas.microsoft.com/office/drawing/2014/main" id="{9842F74B-F552-9012-01A0-87221339512F}"/>
            </a:ext>
          </a:extLst>
        </cdr:cNvPr>
        <cdr:cNvSpPr/>
      </cdr:nvSpPr>
      <cdr:spPr>
        <a:xfrm xmlns:a="http://schemas.openxmlformats.org/drawingml/2006/main">
          <a:off x="4432680" y="1631009"/>
          <a:ext cx="1820052" cy="18825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0052" h="1882557">
              <a:moveTo>
                <a:pt x="0" y="1863804"/>
              </a:moveTo>
              <a:lnTo>
                <a:pt x="18129" y="1882556"/>
              </a:lnTo>
              <a:lnTo>
                <a:pt x="396481" y="1491210"/>
              </a:lnTo>
              <a:lnTo>
                <a:pt x="702341" y="1174846"/>
              </a:lnTo>
              <a:lnTo>
                <a:pt x="1820051" y="18752"/>
              </a:lnTo>
              <a:lnTo>
                <a:pt x="1801922" y="0"/>
              </a:lnTo>
              <a:lnTo>
                <a:pt x="684212" y="1156094"/>
              </a:lnTo>
              <a:lnTo>
                <a:pt x="378352" y="14724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0.70248</cdr:x>
      <cdr:y>0.56364</cdr:y>
    </cdr:from>
    <cdr:to>
      <cdr:x>0.94246</cdr:x>
      <cdr:y>0.8044</cdr:y>
    </cdr:to>
    <cdr:sp macro="" textlink="">
      <cdr:nvSpPr>
        <cdr:cNvPr id="96" name="FracNo 832 StartRow 1233">
          <a:extLst xmlns:a="http://schemas.openxmlformats.org/drawingml/2006/main">
            <a:ext uri="{FF2B5EF4-FFF2-40B4-BE49-F238E27FC236}">
              <a16:creationId xmlns:a16="http://schemas.microsoft.com/office/drawing/2014/main" id="{4B55A422-52F4-E876-037C-4DAA94DBF3AE}"/>
            </a:ext>
          </a:extLst>
        </cdr:cNvPr>
        <cdr:cNvSpPr/>
      </cdr:nvSpPr>
      <cdr:spPr>
        <a:xfrm xmlns:a="http://schemas.openxmlformats.org/drawingml/2006/main">
          <a:off x="5138801" y="4294945"/>
          <a:ext cx="1755507" cy="18345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5507" h="1834546">
              <a:moveTo>
                <a:pt x="923250" y="860838"/>
              </a:moveTo>
              <a:lnTo>
                <a:pt x="0" y="1815793"/>
              </a:lnTo>
              <a:lnTo>
                <a:pt x="18130" y="1834545"/>
              </a:lnTo>
              <a:lnTo>
                <a:pt x="937508" y="883593"/>
              </a:lnTo>
              <a:lnTo>
                <a:pt x="1154811" y="658827"/>
              </a:lnTo>
              <a:lnTo>
                <a:pt x="1755506" y="37503"/>
              </a:lnTo>
              <a:lnTo>
                <a:pt x="1755506" y="0"/>
              </a:lnTo>
              <a:lnTo>
                <a:pt x="1141466" y="6351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0.28209</cdr:y>
    </cdr:from>
    <cdr:to>
      <cdr:x>0.33137</cdr:x>
      <cdr:y>0.52242</cdr:y>
    </cdr:to>
    <cdr:sp macro="" textlink="">
      <cdr:nvSpPr>
        <cdr:cNvPr id="97" name="FracNo 108 StartRow 1244">
          <a:extLst xmlns:a="http://schemas.openxmlformats.org/drawingml/2006/main">
            <a:ext uri="{FF2B5EF4-FFF2-40B4-BE49-F238E27FC236}">
              <a16:creationId xmlns:a16="http://schemas.microsoft.com/office/drawing/2014/main" id="{5D7AF721-F9E8-B371-1E6A-211FC6A784D3}"/>
            </a:ext>
          </a:extLst>
        </cdr:cNvPr>
        <cdr:cNvSpPr/>
      </cdr:nvSpPr>
      <cdr:spPr>
        <a:xfrm xmlns:a="http://schemas.openxmlformats.org/drawingml/2006/main">
          <a:off x="671676" y="2149491"/>
          <a:ext cx="1752392" cy="1831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2392" h="1831325">
              <a:moveTo>
                <a:pt x="184697" y="1640284"/>
              </a:moveTo>
              <a:lnTo>
                <a:pt x="0" y="1831324"/>
              </a:lnTo>
              <a:lnTo>
                <a:pt x="0" y="1793821"/>
              </a:lnTo>
              <a:lnTo>
                <a:pt x="181749" y="1605829"/>
              </a:lnTo>
              <a:lnTo>
                <a:pt x="1117820" y="637612"/>
              </a:lnTo>
              <a:lnTo>
                <a:pt x="1734262" y="0"/>
              </a:lnTo>
              <a:lnTo>
                <a:pt x="1752391" y="18753"/>
              </a:lnTo>
              <a:lnTo>
                <a:pt x="1135950" y="6563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0.70336</cdr:x>
      <cdr:y>0.69267</cdr:y>
    </cdr:from>
    <cdr:to>
      <cdr:x>0.94246</cdr:x>
      <cdr:y>0.9301</cdr:y>
    </cdr:to>
    <cdr:sp macro="" textlink="">
      <cdr:nvSpPr>
        <cdr:cNvPr id="98" name="FracNo 823 StartRow 1255">
          <a:extLst xmlns:a="http://schemas.openxmlformats.org/drawingml/2006/main">
            <a:ext uri="{FF2B5EF4-FFF2-40B4-BE49-F238E27FC236}">
              <a16:creationId xmlns:a16="http://schemas.microsoft.com/office/drawing/2014/main" id="{0FB1D324-5394-F344-D42B-A1178EB50749}"/>
            </a:ext>
          </a:extLst>
        </cdr:cNvPr>
        <cdr:cNvSpPr/>
      </cdr:nvSpPr>
      <cdr:spPr>
        <a:xfrm xmlns:a="http://schemas.openxmlformats.org/drawingml/2006/main">
          <a:off x="5145193" y="5278182"/>
          <a:ext cx="1749115" cy="1809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9115" h="1809184">
              <a:moveTo>
                <a:pt x="540317" y="1250311"/>
              </a:moveTo>
              <a:lnTo>
                <a:pt x="0" y="1809183"/>
              </a:lnTo>
              <a:lnTo>
                <a:pt x="36259" y="1809183"/>
              </a:lnTo>
              <a:lnTo>
                <a:pt x="565374" y="1261896"/>
              </a:lnTo>
              <a:lnTo>
                <a:pt x="1749114" y="37504"/>
              </a:lnTo>
              <a:lnTo>
                <a:pt x="17491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0.2996</cdr:x>
      <cdr:y>0.41554</cdr:y>
    </cdr:from>
    <cdr:to>
      <cdr:x>0.53797</cdr:x>
      <cdr:y>0.65223</cdr:y>
    </cdr:to>
    <cdr:sp macro="" textlink="">
      <cdr:nvSpPr>
        <cdr:cNvPr id="99" name="FracNo 812 StartRow 1264">
          <a:extLst xmlns:a="http://schemas.openxmlformats.org/drawingml/2006/main">
            <a:ext uri="{FF2B5EF4-FFF2-40B4-BE49-F238E27FC236}">
              <a16:creationId xmlns:a16="http://schemas.microsoft.com/office/drawing/2014/main" id="{5A0E7B06-3FC7-A239-FF8C-FC26D5FAB5B7}"/>
            </a:ext>
          </a:extLst>
        </cdr:cNvPr>
        <cdr:cNvSpPr/>
      </cdr:nvSpPr>
      <cdr:spPr>
        <a:xfrm xmlns:a="http://schemas.openxmlformats.org/drawingml/2006/main">
          <a:off x="2191655" y="3166398"/>
          <a:ext cx="1743681" cy="1803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3681" h="1803562">
              <a:moveTo>
                <a:pt x="21354" y="1800226"/>
              </a:moveTo>
              <a:lnTo>
                <a:pt x="18129" y="1803561"/>
              </a:lnTo>
              <a:lnTo>
                <a:pt x="0" y="1784809"/>
              </a:lnTo>
              <a:lnTo>
                <a:pt x="3224" y="1781474"/>
              </a:lnTo>
              <a:lnTo>
                <a:pt x="18042" y="1766148"/>
              </a:lnTo>
              <a:lnTo>
                <a:pt x="545167" y="1220921"/>
              </a:lnTo>
              <a:lnTo>
                <a:pt x="1725550" y="0"/>
              </a:lnTo>
              <a:lnTo>
                <a:pt x="1743680" y="18752"/>
              </a:lnTo>
              <a:lnTo>
                <a:pt x="563296" y="1239673"/>
              </a:lnTo>
              <a:lnTo>
                <a:pt x="36171" y="17849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0.25752</cdr:x>
      <cdr:y>0.45315</cdr:y>
    </cdr:from>
    <cdr:to>
      <cdr:x>0.49516</cdr:x>
      <cdr:y>0.68911</cdr:y>
    </cdr:to>
    <cdr:sp macro="" textlink="">
      <cdr:nvSpPr>
        <cdr:cNvPr id="100" name="FracNo 754 StartRow 1277">
          <a:extLst xmlns:a="http://schemas.openxmlformats.org/drawingml/2006/main">
            <a:ext uri="{FF2B5EF4-FFF2-40B4-BE49-F238E27FC236}">
              <a16:creationId xmlns:a16="http://schemas.microsoft.com/office/drawing/2014/main" id="{CAC2C55E-689D-439E-574A-3CA8C0B2C084}"/>
            </a:ext>
          </a:extLst>
        </cdr:cNvPr>
        <cdr:cNvSpPr/>
      </cdr:nvSpPr>
      <cdr:spPr>
        <a:xfrm xmlns:a="http://schemas.openxmlformats.org/drawingml/2006/main">
          <a:off x="1883827" y="3453002"/>
          <a:ext cx="1738337" cy="17980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8337" h="1798035">
              <a:moveTo>
                <a:pt x="228267" y="1543176"/>
              </a:moveTo>
              <a:lnTo>
                <a:pt x="0" y="1779282"/>
              </a:lnTo>
              <a:lnTo>
                <a:pt x="18129" y="1798034"/>
              </a:lnTo>
              <a:lnTo>
                <a:pt x="246396" y="1561928"/>
              </a:lnTo>
              <a:lnTo>
                <a:pt x="307916" y="1498296"/>
              </a:lnTo>
              <a:lnTo>
                <a:pt x="871124" y="915746"/>
              </a:lnTo>
              <a:lnTo>
                <a:pt x="1738336" y="18752"/>
              </a:lnTo>
              <a:lnTo>
                <a:pt x="1720207" y="0"/>
              </a:lnTo>
              <a:lnTo>
                <a:pt x="852995" y="896994"/>
              </a:lnTo>
              <a:lnTo>
                <a:pt x="289786" y="14795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0.22816</cdr:x>
      <cdr:y>0.69658</cdr:y>
    </cdr:from>
    <cdr:to>
      <cdr:x>0.46581</cdr:x>
      <cdr:y>0.9301</cdr:y>
    </cdr:to>
    <cdr:sp macro="" textlink="">
      <cdr:nvSpPr>
        <cdr:cNvPr id="101" name="FracNo 813 StartRow 1290">
          <a:extLst xmlns:a="http://schemas.openxmlformats.org/drawingml/2006/main">
            <a:ext uri="{FF2B5EF4-FFF2-40B4-BE49-F238E27FC236}">
              <a16:creationId xmlns:a16="http://schemas.microsoft.com/office/drawing/2014/main" id="{62C3F31F-8FDA-A581-0FF9-A0D33BF32E76}"/>
            </a:ext>
          </a:extLst>
        </cdr:cNvPr>
        <cdr:cNvSpPr/>
      </cdr:nvSpPr>
      <cdr:spPr>
        <a:xfrm xmlns:a="http://schemas.openxmlformats.org/drawingml/2006/main">
          <a:off x="1669018" y="5307916"/>
          <a:ext cx="1738499" cy="17794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8499" h="1779450">
              <a:moveTo>
                <a:pt x="1120659" y="620304"/>
              </a:moveTo>
              <a:lnTo>
                <a:pt x="1067370" y="675423"/>
              </a:lnTo>
              <a:lnTo>
                <a:pt x="0" y="1779449"/>
              </a:lnTo>
              <a:lnTo>
                <a:pt x="36258" y="1779449"/>
              </a:lnTo>
              <a:lnTo>
                <a:pt x="1086367" y="693277"/>
              </a:lnTo>
              <a:lnTo>
                <a:pt x="1139585" y="638231"/>
              </a:lnTo>
              <a:lnTo>
                <a:pt x="1738498" y="18751"/>
              </a:lnTo>
              <a:lnTo>
                <a:pt x="17203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0.47969</cdr:x>
      <cdr:y>0.69765</cdr:y>
    </cdr:from>
    <cdr:to>
      <cdr:x>0.71627</cdr:x>
      <cdr:y>0.9301</cdr:y>
    </cdr:to>
    <cdr:sp macro="" textlink="">
      <cdr:nvSpPr>
        <cdr:cNvPr id="102" name="FracNo 519 StartRow 1301">
          <a:extLst xmlns:a="http://schemas.openxmlformats.org/drawingml/2006/main">
            <a:ext uri="{FF2B5EF4-FFF2-40B4-BE49-F238E27FC236}">
              <a16:creationId xmlns:a16="http://schemas.microsoft.com/office/drawing/2014/main" id="{E10FC21D-0246-8FCB-8415-812226815FCC}"/>
            </a:ext>
          </a:extLst>
        </cdr:cNvPr>
        <cdr:cNvSpPr/>
      </cdr:nvSpPr>
      <cdr:spPr>
        <a:xfrm xmlns:a="http://schemas.openxmlformats.org/drawingml/2006/main">
          <a:off x="3509019" y="5316063"/>
          <a:ext cx="1730622" cy="1771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0622" h="1771303">
              <a:moveTo>
                <a:pt x="1583862" y="170551"/>
              </a:moveTo>
              <a:lnTo>
                <a:pt x="1321675" y="441742"/>
              </a:lnTo>
              <a:lnTo>
                <a:pt x="36259" y="1771302"/>
              </a:lnTo>
              <a:lnTo>
                <a:pt x="0" y="1771302"/>
              </a:lnTo>
              <a:lnTo>
                <a:pt x="1300480" y="426161"/>
              </a:lnTo>
              <a:lnTo>
                <a:pt x="1564633" y="152937"/>
              </a:lnTo>
              <a:lnTo>
                <a:pt x="1712492" y="0"/>
              </a:lnTo>
              <a:lnTo>
                <a:pt x="17306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0.71247</cdr:x>
      <cdr:y>0.46796</cdr:y>
    </cdr:from>
    <cdr:to>
      <cdr:x>0.94246</cdr:x>
      <cdr:y>0.6988</cdr:y>
    </cdr:to>
    <cdr:sp macro="" textlink="">
      <cdr:nvSpPr>
        <cdr:cNvPr id="103" name="FracNo 509 StartRow 1312">
          <a:extLst xmlns:a="http://schemas.openxmlformats.org/drawingml/2006/main">
            <a:ext uri="{FF2B5EF4-FFF2-40B4-BE49-F238E27FC236}">
              <a16:creationId xmlns:a16="http://schemas.microsoft.com/office/drawing/2014/main" id="{2A132966-D46A-9FE7-1A11-F081A981AEE0}"/>
            </a:ext>
          </a:extLst>
        </cdr:cNvPr>
        <cdr:cNvSpPr/>
      </cdr:nvSpPr>
      <cdr:spPr>
        <a:xfrm xmlns:a="http://schemas.openxmlformats.org/drawingml/2006/main">
          <a:off x="5211848" y="3565830"/>
          <a:ext cx="1682460" cy="1758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2460" h="1758992">
              <a:moveTo>
                <a:pt x="164088" y="1608019"/>
              </a:moveTo>
              <a:lnTo>
                <a:pt x="18129" y="1758991"/>
              </a:lnTo>
              <a:lnTo>
                <a:pt x="0" y="1740238"/>
              </a:lnTo>
              <a:lnTo>
                <a:pt x="146993" y="1588198"/>
              </a:lnTo>
              <a:lnTo>
                <a:pt x="362395" y="1365398"/>
              </a:lnTo>
              <a:lnTo>
                <a:pt x="1682459" y="0"/>
              </a:lnTo>
              <a:lnTo>
                <a:pt x="1682459" y="37504"/>
              </a:lnTo>
              <a:lnTo>
                <a:pt x="377976" y="13867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0.54628</cdr:x>
      <cdr:y>0.70175</cdr:y>
    </cdr:from>
    <cdr:to>
      <cdr:x>0.77873</cdr:x>
      <cdr:y>0.9301</cdr:y>
    </cdr:to>
    <cdr:sp macro="" textlink="">
      <cdr:nvSpPr>
        <cdr:cNvPr id="104" name="FracNo 826 StartRow 1323">
          <a:extLst xmlns:a="http://schemas.openxmlformats.org/drawingml/2006/main">
            <a:ext uri="{FF2B5EF4-FFF2-40B4-BE49-F238E27FC236}">
              <a16:creationId xmlns:a16="http://schemas.microsoft.com/office/drawing/2014/main" id="{2BF7F927-B6D4-BFB1-199B-635A03482628}"/>
            </a:ext>
          </a:extLst>
        </cdr:cNvPr>
        <cdr:cNvSpPr/>
      </cdr:nvSpPr>
      <cdr:spPr>
        <a:xfrm xmlns:a="http://schemas.openxmlformats.org/drawingml/2006/main">
          <a:off x="3996166" y="5347353"/>
          <a:ext cx="1700371" cy="17400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0371" h="1740013">
              <a:moveTo>
                <a:pt x="541990" y="1179410"/>
              </a:moveTo>
              <a:lnTo>
                <a:pt x="0" y="1740012"/>
              </a:lnTo>
              <a:lnTo>
                <a:pt x="36259" y="1740012"/>
              </a:lnTo>
              <a:lnTo>
                <a:pt x="566190" y="1191882"/>
              </a:lnTo>
              <a:lnTo>
                <a:pt x="832995" y="915914"/>
              </a:lnTo>
              <a:lnTo>
                <a:pt x="1700370" y="18752"/>
              </a:lnTo>
              <a:lnTo>
                <a:pt x="1682240" y="0"/>
              </a:lnTo>
              <a:lnTo>
                <a:pt x="814866" y="8971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0.12908</cdr:x>
      <cdr:y>0.70285</cdr:y>
    </cdr:from>
    <cdr:to>
      <cdr:x>0.36043</cdr:x>
      <cdr:y>0.9301</cdr:y>
    </cdr:to>
    <cdr:sp macro="" textlink="">
      <cdr:nvSpPr>
        <cdr:cNvPr id="105" name="FracNo 816 StartRow 1334">
          <a:extLst xmlns:a="http://schemas.openxmlformats.org/drawingml/2006/main">
            <a:ext uri="{FF2B5EF4-FFF2-40B4-BE49-F238E27FC236}">
              <a16:creationId xmlns:a16="http://schemas.microsoft.com/office/drawing/2014/main" id="{E2AA9207-9068-120E-F8EA-B59170294E5E}"/>
            </a:ext>
          </a:extLst>
        </cdr:cNvPr>
        <cdr:cNvSpPr/>
      </cdr:nvSpPr>
      <cdr:spPr>
        <a:xfrm xmlns:a="http://schemas.openxmlformats.org/drawingml/2006/main">
          <a:off x="944272" y="5355690"/>
          <a:ext cx="1692311" cy="17316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2311" h="1731676">
              <a:moveTo>
                <a:pt x="485308" y="1229701"/>
              </a:moveTo>
              <a:lnTo>
                <a:pt x="0" y="1731675"/>
              </a:lnTo>
              <a:lnTo>
                <a:pt x="36259" y="1731675"/>
              </a:lnTo>
              <a:lnTo>
                <a:pt x="516312" y="1235136"/>
              </a:lnTo>
              <a:lnTo>
                <a:pt x="1692310" y="18752"/>
              </a:lnTo>
              <a:lnTo>
                <a:pt x="16741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0.67707</cdr:x>
      <cdr:y>0.08544</cdr:y>
    </cdr:from>
    <cdr:to>
      <cdr:x>0.90835</cdr:x>
      <cdr:y>0.31263</cdr:y>
    </cdr:to>
    <cdr:sp macro="" textlink="">
      <cdr:nvSpPr>
        <cdr:cNvPr id="106" name="FracNo 745 StartRow 1343">
          <a:extLst xmlns:a="http://schemas.openxmlformats.org/drawingml/2006/main">
            <a:ext uri="{FF2B5EF4-FFF2-40B4-BE49-F238E27FC236}">
              <a16:creationId xmlns:a16="http://schemas.microsoft.com/office/drawing/2014/main" id="{72F6A14B-D7B8-AF83-5CF8-8BB3C176C7BD}"/>
            </a:ext>
          </a:extLst>
        </cdr:cNvPr>
        <cdr:cNvSpPr/>
      </cdr:nvSpPr>
      <cdr:spPr>
        <a:xfrm xmlns:a="http://schemas.openxmlformats.org/drawingml/2006/main">
          <a:off x="4952896" y="651036"/>
          <a:ext cx="1691845" cy="17311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845" h="1731194">
              <a:moveTo>
                <a:pt x="1643195" y="12815"/>
              </a:moveTo>
              <a:lnTo>
                <a:pt x="0" y="1712441"/>
              </a:lnTo>
              <a:lnTo>
                <a:pt x="18129" y="1731193"/>
              </a:lnTo>
              <a:lnTo>
                <a:pt x="1679318" y="12956"/>
              </a:lnTo>
              <a:lnTo>
                <a:pt x="1691844" y="0"/>
              </a:lnTo>
              <a:lnTo>
                <a:pt x="16555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0.32047</cdr:x>
      <cdr:y>0.31248</cdr:y>
    </cdr:to>
    <cdr:sp macro="" textlink="">
      <cdr:nvSpPr>
        <cdr:cNvPr id="107" name="FracNo 845 StartRow 1352">
          <a:extLst xmlns:a="http://schemas.openxmlformats.org/drawingml/2006/main">
            <a:ext uri="{FF2B5EF4-FFF2-40B4-BE49-F238E27FC236}">
              <a16:creationId xmlns:a16="http://schemas.microsoft.com/office/drawing/2014/main" id="{B273CBA4-DB53-40DE-1E24-0A15C3F86EB0}"/>
            </a:ext>
          </a:extLst>
        </cdr:cNvPr>
        <cdr:cNvSpPr/>
      </cdr:nvSpPr>
      <cdr:spPr>
        <a:xfrm xmlns:a="http://schemas.openxmlformats.org/drawingml/2006/main">
          <a:off x="671676" y="651036"/>
          <a:ext cx="1672641" cy="1730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2641" h="1730083">
              <a:moveTo>
                <a:pt x="947394" y="750152"/>
              </a:moveTo>
              <a:lnTo>
                <a:pt x="0" y="1730082"/>
              </a:lnTo>
              <a:lnTo>
                <a:pt x="0" y="1692579"/>
              </a:lnTo>
              <a:lnTo>
                <a:pt x="926857" y="733891"/>
              </a:lnTo>
              <a:lnTo>
                <a:pt x="1636382" y="0"/>
              </a:lnTo>
              <a:lnTo>
                <a:pt x="16726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0.1711</cdr:x>
      <cdr:y>0.18795</cdr:y>
    </cdr:from>
    <cdr:to>
      <cdr:x>0.39875</cdr:x>
      <cdr:y>0.41401</cdr:y>
    </cdr:to>
    <cdr:sp macro="" textlink="">
      <cdr:nvSpPr>
        <cdr:cNvPr id="108" name="FracNo 737 StartRow 1361">
          <a:extLst xmlns:a="http://schemas.openxmlformats.org/drawingml/2006/main">
            <a:ext uri="{FF2B5EF4-FFF2-40B4-BE49-F238E27FC236}">
              <a16:creationId xmlns:a16="http://schemas.microsoft.com/office/drawing/2014/main" id="{EBA0702B-19F9-3E35-7D23-7BE06A5689CE}"/>
            </a:ext>
          </a:extLst>
        </cdr:cNvPr>
        <cdr:cNvSpPr/>
      </cdr:nvSpPr>
      <cdr:spPr>
        <a:xfrm xmlns:a="http://schemas.openxmlformats.org/drawingml/2006/main">
          <a:off x="1251606" y="1432203"/>
          <a:ext cx="1665350" cy="17225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5350" h="1722542">
              <a:moveTo>
                <a:pt x="725271" y="991115"/>
              </a:moveTo>
              <a:lnTo>
                <a:pt x="355435" y="1373652"/>
              </a:lnTo>
              <a:lnTo>
                <a:pt x="18129" y="1722541"/>
              </a:lnTo>
              <a:lnTo>
                <a:pt x="0" y="1703790"/>
              </a:lnTo>
              <a:lnTo>
                <a:pt x="337305" y="1354900"/>
              </a:lnTo>
              <a:lnTo>
                <a:pt x="707141" y="972363"/>
              </a:lnTo>
              <a:lnTo>
                <a:pt x="1485216" y="167568"/>
              </a:lnTo>
              <a:lnTo>
                <a:pt x="1647220" y="0"/>
              </a:lnTo>
              <a:lnTo>
                <a:pt x="1665349" y="18752"/>
              </a:lnTo>
              <a:lnTo>
                <a:pt x="1503345" y="1863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0.09673</cdr:x>
      <cdr:y>0.70592</cdr:y>
    </cdr:from>
    <cdr:to>
      <cdr:x>0.32497</cdr:x>
      <cdr:y>0.9301</cdr:y>
    </cdr:to>
    <cdr:sp macro="" textlink="">
      <cdr:nvSpPr>
        <cdr:cNvPr id="109" name="FracNo 27 StartRow 1374">
          <a:extLst xmlns:a="http://schemas.openxmlformats.org/drawingml/2006/main">
            <a:ext uri="{FF2B5EF4-FFF2-40B4-BE49-F238E27FC236}">
              <a16:creationId xmlns:a16="http://schemas.microsoft.com/office/drawing/2014/main" id="{E517EF75-288A-4E4B-601F-FD7A03FAC4DD}"/>
            </a:ext>
          </a:extLst>
        </cdr:cNvPr>
        <cdr:cNvSpPr/>
      </cdr:nvSpPr>
      <cdr:spPr>
        <a:xfrm xmlns:a="http://schemas.openxmlformats.org/drawingml/2006/main">
          <a:off x="707605" y="5379129"/>
          <a:ext cx="1669650" cy="1708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9650" h="1708237">
              <a:moveTo>
                <a:pt x="379045" y="1316174"/>
              </a:moveTo>
              <a:lnTo>
                <a:pt x="0" y="1708236"/>
              </a:lnTo>
              <a:lnTo>
                <a:pt x="36258" y="1708236"/>
              </a:lnTo>
              <a:lnTo>
                <a:pt x="411143" y="1320478"/>
              </a:lnTo>
              <a:lnTo>
                <a:pt x="1669649" y="18752"/>
              </a:lnTo>
              <a:lnTo>
                <a:pt x="16515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0.46519</cdr:x>
      <cdr:y>0.47551</cdr:y>
    </cdr:from>
    <cdr:to>
      <cdr:x>0.69215</cdr:x>
      <cdr:y>0.70088</cdr:y>
    </cdr:to>
    <cdr:sp macro="" textlink="">
      <cdr:nvSpPr>
        <cdr:cNvPr id="110" name="FracNo 780 StartRow 1383">
          <a:extLst xmlns:a="http://schemas.openxmlformats.org/drawingml/2006/main">
            <a:ext uri="{FF2B5EF4-FFF2-40B4-BE49-F238E27FC236}">
              <a16:creationId xmlns:a16="http://schemas.microsoft.com/office/drawing/2014/main" id="{91B2B09A-8309-B842-9099-B92160545714}"/>
            </a:ext>
          </a:extLst>
        </cdr:cNvPr>
        <cdr:cNvSpPr/>
      </cdr:nvSpPr>
      <cdr:spPr>
        <a:xfrm xmlns:a="http://schemas.openxmlformats.org/drawingml/2006/main">
          <a:off x="3402926" y="3623379"/>
          <a:ext cx="1660276" cy="17172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0276" h="1717294">
              <a:moveTo>
                <a:pt x="933763" y="732710"/>
              </a:moveTo>
              <a:lnTo>
                <a:pt x="376446" y="1309167"/>
              </a:lnTo>
              <a:lnTo>
                <a:pt x="0" y="1698541"/>
              </a:lnTo>
              <a:lnTo>
                <a:pt x="18129" y="1717293"/>
              </a:lnTo>
              <a:lnTo>
                <a:pt x="394575" y="1327919"/>
              </a:lnTo>
              <a:lnTo>
                <a:pt x="951892" y="751462"/>
              </a:lnTo>
              <a:lnTo>
                <a:pt x="1426235" y="260829"/>
              </a:lnTo>
              <a:lnTo>
                <a:pt x="1660275" y="18751"/>
              </a:lnTo>
              <a:lnTo>
                <a:pt x="1642146" y="0"/>
              </a:lnTo>
              <a:lnTo>
                <a:pt x="1408106" y="2420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0.50373</cdr:x>
      <cdr:y>0.61841</cdr:y>
    </cdr:from>
    <cdr:to>
      <cdr:x>0.73001</cdr:x>
      <cdr:y>0.8431</cdr:y>
    </cdr:to>
    <cdr:sp macro="" textlink="">
      <cdr:nvSpPr>
        <cdr:cNvPr id="111" name="FracNo 843 StartRow 1396">
          <a:extLst xmlns:a="http://schemas.openxmlformats.org/drawingml/2006/main">
            <a:ext uri="{FF2B5EF4-FFF2-40B4-BE49-F238E27FC236}">
              <a16:creationId xmlns:a16="http://schemas.microsoft.com/office/drawing/2014/main" id="{1F9C9301-4EEE-FC66-585D-BBBC716D6664}"/>
            </a:ext>
          </a:extLst>
        </cdr:cNvPr>
        <cdr:cNvSpPr/>
      </cdr:nvSpPr>
      <cdr:spPr>
        <a:xfrm xmlns:a="http://schemas.openxmlformats.org/drawingml/2006/main">
          <a:off x="3684853" y="4712304"/>
          <a:ext cx="1655296" cy="1712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5296" h="1712142">
              <a:moveTo>
                <a:pt x="1415297" y="266992"/>
              </a:moveTo>
              <a:lnTo>
                <a:pt x="1144308" y="547286"/>
              </a:lnTo>
              <a:lnTo>
                <a:pt x="18129" y="1712141"/>
              </a:lnTo>
              <a:lnTo>
                <a:pt x="0" y="1693389"/>
              </a:lnTo>
              <a:lnTo>
                <a:pt x="1126179" y="528534"/>
              </a:lnTo>
              <a:lnTo>
                <a:pt x="1397167" y="248240"/>
              </a:lnTo>
              <a:lnTo>
                <a:pt x="1424236" y="220242"/>
              </a:lnTo>
              <a:lnTo>
                <a:pt x="1637165" y="0"/>
              </a:lnTo>
              <a:lnTo>
                <a:pt x="1655295" y="18752"/>
              </a:lnTo>
              <a:lnTo>
                <a:pt x="1442365" y="2389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0.7183</cdr:x>
      <cdr:y>0.34309</cdr:y>
    </cdr:from>
    <cdr:to>
      <cdr:x>0.94246</cdr:x>
      <cdr:y>0.56814</cdr:y>
    </cdr:to>
    <cdr:sp macro="" textlink="">
      <cdr:nvSpPr>
        <cdr:cNvPr id="112" name="FracNo 581 StartRow 1409">
          <a:extLst xmlns:a="http://schemas.openxmlformats.org/drawingml/2006/main">
            <a:ext uri="{FF2B5EF4-FFF2-40B4-BE49-F238E27FC236}">
              <a16:creationId xmlns:a16="http://schemas.microsoft.com/office/drawing/2014/main" id="{567CC484-72FF-9A5A-4C49-F1BC7BE892DA}"/>
            </a:ext>
          </a:extLst>
        </cdr:cNvPr>
        <cdr:cNvSpPr/>
      </cdr:nvSpPr>
      <cdr:spPr>
        <a:xfrm xmlns:a="http://schemas.openxmlformats.org/drawingml/2006/main">
          <a:off x="5254478" y="2614312"/>
          <a:ext cx="1639830" cy="1714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9830" h="1714896">
              <a:moveTo>
                <a:pt x="1056281" y="603588"/>
              </a:moveTo>
              <a:lnTo>
                <a:pt x="0" y="1696143"/>
              </a:lnTo>
              <a:lnTo>
                <a:pt x="18130" y="1714895"/>
              </a:lnTo>
              <a:lnTo>
                <a:pt x="1064997" y="632077"/>
              </a:lnTo>
              <a:lnTo>
                <a:pt x="1484312" y="198361"/>
              </a:lnTo>
              <a:lnTo>
                <a:pt x="1639829" y="37503"/>
              </a:lnTo>
              <a:lnTo>
                <a:pt x="1639829" y="0"/>
              </a:lnTo>
              <a:lnTo>
                <a:pt x="1479367" y="1659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0.46582</cdr:x>
      <cdr:y>0.70827</cdr:y>
    </cdr:from>
    <cdr:to>
      <cdr:x>0.6917</cdr:x>
      <cdr:y>0.9301</cdr:y>
    </cdr:to>
    <cdr:sp macro="" textlink="">
      <cdr:nvSpPr>
        <cdr:cNvPr id="113" name="FracNo 667 StartRow 1420">
          <a:extLst xmlns:a="http://schemas.openxmlformats.org/drawingml/2006/main">
            <a:ext uri="{FF2B5EF4-FFF2-40B4-BE49-F238E27FC236}">
              <a16:creationId xmlns:a16="http://schemas.microsoft.com/office/drawing/2014/main" id="{568985BB-07C8-2DAD-C16F-349E8A870D60}"/>
            </a:ext>
          </a:extLst>
        </cdr:cNvPr>
        <cdr:cNvSpPr/>
      </cdr:nvSpPr>
      <cdr:spPr>
        <a:xfrm xmlns:a="http://schemas.openxmlformats.org/drawingml/2006/main">
          <a:off x="3407595" y="5397055"/>
          <a:ext cx="1652319" cy="1690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2319" h="1690311">
              <a:moveTo>
                <a:pt x="578683" y="1129258"/>
              </a:moveTo>
              <a:lnTo>
                <a:pt x="36259" y="1690310"/>
              </a:lnTo>
              <a:lnTo>
                <a:pt x="0" y="1690310"/>
              </a:lnTo>
              <a:lnTo>
                <a:pt x="549523" y="1121916"/>
              </a:lnTo>
              <a:lnTo>
                <a:pt x="1403437" y="238676"/>
              </a:lnTo>
              <a:lnTo>
                <a:pt x="1634189" y="0"/>
              </a:lnTo>
              <a:lnTo>
                <a:pt x="1652318" y="18752"/>
              </a:lnTo>
              <a:lnTo>
                <a:pt x="1421566" y="2574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0.20034</cdr:x>
      <cdr:y>0.47775</cdr:y>
    </cdr:from>
    <cdr:to>
      <cdr:x>0.42307</cdr:x>
      <cdr:y>0.69891</cdr:y>
    </cdr:to>
    <cdr:sp macro="" textlink="">
      <cdr:nvSpPr>
        <cdr:cNvPr id="114" name="FracNo 792 StartRow 1431">
          <a:extLst xmlns:a="http://schemas.openxmlformats.org/drawingml/2006/main">
            <a:ext uri="{FF2B5EF4-FFF2-40B4-BE49-F238E27FC236}">
              <a16:creationId xmlns:a16="http://schemas.microsoft.com/office/drawing/2014/main" id="{1C307EFE-F1CB-064F-324A-5C50F92A91A3}"/>
            </a:ext>
          </a:extLst>
        </cdr:cNvPr>
        <cdr:cNvSpPr/>
      </cdr:nvSpPr>
      <cdr:spPr>
        <a:xfrm xmlns:a="http://schemas.openxmlformats.org/drawingml/2006/main">
          <a:off x="1465562" y="3640461"/>
          <a:ext cx="1629303" cy="16852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9303" h="1685256">
              <a:moveTo>
                <a:pt x="1056812" y="573398"/>
              </a:moveTo>
              <a:lnTo>
                <a:pt x="361987" y="1292085"/>
              </a:lnTo>
              <a:lnTo>
                <a:pt x="0" y="1666503"/>
              </a:lnTo>
              <a:lnTo>
                <a:pt x="18129" y="1685255"/>
              </a:lnTo>
              <a:lnTo>
                <a:pt x="380116" y="1310837"/>
              </a:lnTo>
              <a:lnTo>
                <a:pt x="1074942" y="592150"/>
              </a:lnTo>
              <a:lnTo>
                <a:pt x="1289389" y="370338"/>
              </a:lnTo>
              <a:lnTo>
                <a:pt x="1629302" y="18752"/>
              </a:lnTo>
              <a:lnTo>
                <a:pt x="1611173" y="0"/>
              </a:lnTo>
              <a:lnTo>
                <a:pt x="1271260" y="3515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0.48707</cdr:x>
      <cdr:y>0.08544</cdr:y>
    </cdr:from>
    <cdr:to>
      <cdr:x>0.70991</cdr:x>
      <cdr:y>0.30425</cdr:y>
    </cdr:to>
    <cdr:sp macro="" textlink="">
      <cdr:nvSpPr>
        <cdr:cNvPr id="115" name="FracNo 837 StartRow 1444">
          <a:extLst xmlns:a="http://schemas.openxmlformats.org/drawingml/2006/main">
            <a:ext uri="{FF2B5EF4-FFF2-40B4-BE49-F238E27FC236}">
              <a16:creationId xmlns:a16="http://schemas.microsoft.com/office/drawing/2014/main" id="{FF317EDD-C95C-6970-6FF6-03415C4696B9}"/>
            </a:ext>
          </a:extLst>
        </cdr:cNvPr>
        <cdr:cNvSpPr/>
      </cdr:nvSpPr>
      <cdr:spPr>
        <a:xfrm xmlns:a="http://schemas.openxmlformats.org/drawingml/2006/main">
          <a:off x="3563047" y="651036"/>
          <a:ext cx="1630099" cy="16673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0099" h="1667329">
              <a:moveTo>
                <a:pt x="1084390" y="526946"/>
              </a:moveTo>
              <a:lnTo>
                <a:pt x="0" y="1648576"/>
              </a:lnTo>
              <a:lnTo>
                <a:pt x="18129" y="1667328"/>
              </a:lnTo>
              <a:lnTo>
                <a:pt x="1107449" y="540598"/>
              </a:lnTo>
              <a:lnTo>
                <a:pt x="1268945" y="373556"/>
              </a:lnTo>
              <a:lnTo>
                <a:pt x="1630098" y="0"/>
              </a:lnTo>
              <a:lnTo>
                <a:pt x="1593840" y="0"/>
              </a:lnTo>
              <a:lnTo>
                <a:pt x="1245155" y="3606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0.13726</cdr:x>
      <cdr:y>0.21372</cdr:y>
    </cdr:from>
    <cdr:to>
      <cdr:x>0.35821</cdr:x>
      <cdr:y>0.43312</cdr:y>
    </cdr:to>
    <cdr:sp macro="" textlink="">
      <cdr:nvSpPr>
        <cdr:cNvPr id="116" name="FracNo 195 StartRow 1455">
          <a:extLst xmlns:a="http://schemas.openxmlformats.org/drawingml/2006/main">
            <a:ext uri="{FF2B5EF4-FFF2-40B4-BE49-F238E27FC236}">
              <a16:creationId xmlns:a16="http://schemas.microsoft.com/office/drawing/2014/main" id="{818724FD-CD40-221C-8E36-66ED973BD4F5}"/>
            </a:ext>
          </a:extLst>
        </cdr:cNvPr>
        <cdr:cNvSpPr/>
      </cdr:nvSpPr>
      <cdr:spPr>
        <a:xfrm xmlns:a="http://schemas.openxmlformats.org/drawingml/2006/main">
          <a:off x="1004070" y="1628548"/>
          <a:ext cx="1616301" cy="16718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6301" h="1671809">
              <a:moveTo>
                <a:pt x="1171343" y="478991"/>
              </a:moveTo>
              <a:lnTo>
                <a:pt x="496212" y="1177307"/>
              </a:lnTo>
              <a:lnTo>
                <a:pt x="18129" y="1671808"/>
              </a:lnTo>
              <a:lnTo>
                <a:pt x="0" y="1653056"/>
              </a:lnTo>
              <a:lnTo>
                <a:pt x="478082" y="1158555"/>
              </a:lnTo>
              <a:lnTo>
                <a:pt x="1153213" y="460239"/>
              </a:lnTo>
              <a:lnTo>
                <a:pt x="1598171" y="0"/>
              </a:lnTo>
              <a:lnTo>
                <a:pt x="16163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0.50956</cdr:x>
      <cdr:y>0.13665</cdr:y>
    </cdr:from>
    <cdr:to>
      <cdr:x>0.73027</cdr:x>
      <cdr:y>0.35581</cdr:y>
    </cdr:to>
    <cdr:sp macro="" textlink="">
      <cdr:nvSpPr>
        <cdr:cNvPr id="117" name="FracNo 277 StartRow 1466">
          <a:extLst xmlns:a="http://schemas.openxmlformats.org/drawingml/2006/main">
            <a:ext uri="{FF2B5EF4-FFF2-40B4-BE49-F238E27FC236}">
              <a16:creationId xmlns:a16="http://schemas.microsoft.com/office/drawing/2014/main" id="{C47E8BFF-CE4A-CBEB-5055-C41A0F660510}"/>
            </a:ext>
          </a:extLst>
        </cdr:cNvPr>
        <cdr:cNvSpPr/>
      </cdr:nvSpPr>
      <cdr:spPr>
        <a:xfrm xmlns:a="http://schemas.openxmlformats.org/drawingml/2006/main">
          <a:off x="3727543" y="1041267"/>
          <a:ext cx="1614556" cy="16700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4556" h="1670004">
              <a:moveTo>
                <a:pt x="1224732" y="421963"/>
              </a:moveTo>
              <a:lnTo>
                <a:pt x="1101618" y="549304"/>
              </a:lnTo>
              <a:lnTo>
                <a:pt x="18129" y="1670003"/>
              </a:lnTo>
              <a:lnTo>
                <a:pt x="0" y="1651251"/>
              </a:lnTo>
              <a:lnTo>
                <a:pt x="1083489" y="530552"/>
              </a:lnTo>
              <a:lnTo>
                <a:pt x="1206603" y="403211"/>
              </a:lnTo>
              <a:lnTo>
                <a:pt x="1596425" y="0"/>
              </a:lnTo>
              <a:lnTo>
                <a:pt x="1614555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0.67845</cdr:x>
      <cdr:y>0.2816</cdr:y>
    </cdr:from>
    <cdr:to>
      <cdr:x>0.89613</cdr:x>
      <cdr:y>0.49775</cdr:y>
    </cdr:to>
    <cdr:sp macro="" textlink="">
      <cdr:nvSpPr>
        <cdr:cNvPr id="118" name="FracNo 271 StartRow 1477">
          <a:extLst xmlns:a="http://schemas.openxmlformats.org/drawingml/2006/main">
            <a:ext uri="{FF2B5EF4-FFF2-40B4-BE49-F238E27FC236}">
              <a16:creationId xmlns:a16="http://schemas.microsoft.com/office/drawing/2014/main" id="{FC22FC79-E822-9178-5C6E-2338DF861328}"/>
            </a:ext>
          </a:extLst>
        </cdr:cNvPr>
        <cdr:cNvSpPr/>
      </cdr:nvSpPr>
      <cdr:spPr>
        <a:xfrm xmlns:a="http://schemas.openxmlformats.org/drawingml/2006/main">
          <a:off x="4962981" y="2145780"/>
          <a:ext cx="1592379" cy="16470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2379" h="1647064">
              <a:moveTo>
                <a:pt x="1357381" y="261819"/>
              </a:moveTo>
              <a:lnTo>
                <a:pt x="972347" y="660075"/>
              </a:lnTo>
              <a:lnTo>
                <a:pt x="18129" y="1647063"/>
              </a:lnTo>
              <a:lnTo>
                <a:pt x="0" y="1628311"/>
              </a:lnTo>
              <a:lnTo>
                <a:pt x="954218" y="641323"/>
              </a:lnTo>
              <a:lnTo>
                <a:pt x="1339251" y="243067"/>
              </a:lnTo>
              <a:lnTo>
                <a:pt x="1574248" y="0"/>
              </a:lnTo>
              <a:lnTo>
                <a:pt x="15923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0.10803</cdr:x>
      <cdr:y>0.30958</cdr:y>
    </cdr:from>
    <cdr:to>
      <cdr:x>0.32365</cdr:x>
      <cdr:y>0.52369</cdr:y>
    </cdr:to>
    <cdr:sp macro="" textlink="">
      <cdr:nvSpPr>
        <cdr:cNvPr id="119" name="FracNo 105 StartRow 1488">
          <a:extLst xmlns:a="http://schemas.openxmlformats.org/drawingml/2006/main">
            <a:ext uri="{FF2B5EF4-FFF2-40B4-BE49-F238E27FC236}">
              <a16:creationId xmlns:a16="http://schemas.microsoft.com/office/drawing/2014/main" id="{A5A9A8C5-BB6A-5BEE-3FD3-3C5C5CC5B417}"/>
            </a:ext>
          </a:extLst>
        </cdr:cNvPr>
        <cdr:cNvSpPr/>
      </cdr:nvSpPr>
      <cdr:spPr>
        <a:xfrm xmlns:a="http://schemas.openxmlformats.org/drawingml/2006/main">
          <a:off x="790244" y="2359025"/>
          <a:ext cx="1577343" cy="16315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7343" h="1631513">
              <a:moveTo>
                <a:pt x="601583" y="990516"/>
              </a:moveTo>
              <a:lnTo>
                <a:pt x="0" y="1612760"/>
              </a:lnTo>
              <a:lnTo>
                <a:pt x="18129" y="1631512"/>
              </a:lnTo>
              <a:lnTo>
                <a:pt x="619713" y="1009268"/>
              </a:lnTo>
              <a:lnTo>
                <a:pt x="1163477" y="446830"/>
              </a:lnTo>
              <a:lnTo>
                <a:pt x="1577342" y="18752"/>
              </a:lnTo>
              <a:lnTo>
                <a:pt x="1559212" y="0"/>
              </a:lnTo>
              <a:lnTo>
                <a:pt x="1145348" y="4280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0.65193</cdr:y>
    </cdr:from>
    <cdr:to>
      <cdr:x>0.30426</cdr:x>
      <cdr:y>0.86533</cdr:y>
    </cdr:to>
    <cdr:sp macro="" textlink="">
      <cdr:nvSpPr>
        <cdr:cNvPr id="120" name="FracNo 32 StartRow 1499">
          <a:extLst xmlns:a="http://schemas.openxmlformats.org/drawingml/2006/main">
            <a:ext uri="{FF2B5EF4-FFF2-40B4-BE49-F238E27FC236}">
              <a16:creationId xmlns:a16="http://schemas.microsoft.com/office/drawing/2014/main" id="{0D42D969-4B7D-8469-78E8-F202D6AC8099}"/>
            </a:ext>
          </a:extLst>
        </cdr:cNvPr>
        <cdr:cNvSpPr/>
      </cdr:nvSpPr>
      <cdr:spPr>
        <a:xfrm xmlns:a="http://schemas.openxmlformats.org/drawingml/2006/main">
          <a:off x="671676" y="4967678"/>
          <a:ext cx="1554033" cy="16261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4033" h="1626152">
              <a:moveTo>
                <a:pt x="707713" y="894134"/>
              </a:moveTo>
              <a:lnTo>
                <a:pt x="0" y="1626151"/>
              </a:lnTo>
              <a:lnTo>
                <a:pt x="0" y="1588647"/>
              </a:lnTo>
              <a:lnTo>
                <a:pt x="699457" y="865170"/>
              </a:lnTo>
              <a:lnTo>
                <a:pt x="1535902" y="0"/>
              </a:lnTo>
              <a:lnTo>
                <a:pt x="155403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0.14974</cdr:x>
      <cdr:y>0.2337</cdr:y>
    </cdr:from>
    <cdr:to>
      <cdr:x>0.36322</cdr:x>
      <cdr:y>0.44567</cdr:y>
    </cdr:to>
    <cdr:sp macro="" textlink="">
      <cdr:nvSpPr>
        <cdr:cNvPr id="121" name="FracNo 183 StartRow 1508">
          <a:extLst xmlns:a="http://schemas.openxmlformats.org/drawingml/2006/main">
            <a:ext uri="{FF2B5EF4-FFF2-40B4-BE49-F238E27FC236}">
              <a16:creationId xmlns:a16="http://schemas.microsoft.com/office/drawing/2014/main" id="{2CB167C9-28EC-087D-BE58-2250318FDDD8}"/>
            </a:ext>
          </a:extLst>
        </cdr:cNvPr>
        <cdr:cNvSpPr/>
      </cdr:nvSpPr>
      <cdr:spPr>
        <a:xfrm xmlns:a="http://schemas.openxmlformats.org/drawingml/2006/main">
          <a:off x="1095369" y="1780757"/>
          <a:ext cx="1561647" cy="1615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1647" h="1615276">
              <a:moveTo>
                <a:pt x="1506210" y="38587"/>
              </a:moveTo>
              <a:lnTo>
                <a:pt x="570583" y="1006346"/>
              </a:lnTo>
              <a:lnTo>
                <a:pt x="0" y="1596523"/>
              </a:lnTo>
              <a:lnTo>
                <a:pt x="18130" y="1615275"/>
              </a:lnTo>
              <a:lnTo>
                <a:pt x="588712" y="1025098"/>
              </a:lnTo>
              <a:lnTo>
                <a:pt x="1524339" y="57339"/>
              </a:lnTo>
              <a:lnTo>
                <a:pt x="1561646" y="18752"/>
              </a:lnTo>
              <a:lnTo>
                <a:pt x="15435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0.52642</cdr:x>
      <cdr:y>0.7205</cdr:y>
    </cdr:from>
    <cdr:to>
      <cdr:x>0.73998</cdr:x>
      <cdr:y>0.9301</cdr:y>
    </cdr:to>
    <cdr:sp macro="" textlink="">
      <cdr:nvSpPr>
        <cdr:cNvPr id="122" name="FracNo 794 StartRow 1519">
          <a:extLst xmlns:a="http://schemas.openxmlformats.org/drawingml/2006/main">
            <a:ext uri="{FF2B5EF4-FFF2-40B4-BE49-F238E27FC236}">
              <a16:creationId xmlns:a16="http://schemas.microsoft.com/office/drawing/2014/main" id="{E3B5A135-21A9-C3FB-8D4C-5E3AA405AD6A}"/>
            </a:ext>
          </a:extLst>
        </cdr:cNvPr>
        <cdr:cNvSpPr/>
      </cdr:nvSpPr>
      <cdr:spPr>
        <a:xfrm xmlns:a="http://schemas.openxmlformats.org/drawingml/2006/main">
          <a:off x="3850893" y="5490242"/>
          <a:ext cx="1562226" cy="15971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2226" h="1597124">
              <a:moveTo>
                <a:pt x="1284517" y="268493"/>
              </a:moveTo>
              <a:lnTo>
                <a:pt x="957829" y="606401"/>
              </a:lnTo>
              <a:lnTo>
                <a:pt x="0" y="1597123"/>
              </a:lnTo>
              <a:lnTo>
                <a:pt x="36259" y="1597123"/>
              </a:lnTo>
              <a:lnTo>
                <a:pt x="980579" y="620373"/>
              </a:lnTo>
              <a:lnTo>
                <a:pt x="1304693" y="285128"/>
              </a:lnTo>
              <a:lnTo>
                <a:pt x="1562225" y="18752"/>
              </a:lnTo>
              <a:lnTo>
                <a:pt x="15440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0.34098</cdr:y>
    </cdr:from>
    <cdr:to>
      <cdr:x>0.3017</cdr:x>
      <cdr:y>0.55184</cdr:y>
    </cdr:to>
    <cdr:sp macro="" textlink="">
      <cdr:nvSpPr>
        <cdr:cNvPr id="123" name="FracNo 114 StartRow 1530">
          <a:extLst xmlns:a="http://schemas.openxmlformats.org/drawingml/2006/main">
            <a:ext uri="{FF2B5EF4-FFF2-40B4-BE49-F238E27FC236}">
              <a16:creationId xmlns:a16="http://schemas.microsoft.com/office/drawing/2014/main" id="{5488DA12-A2F7-AAE7-02A3-7C3289251B80}"/>
            </a:ext>
          </a:extLst>
        </cdr:cNvPr>
        <cdr:cNvSpPr/>
      </cdr:nvSpPr>
      <cdr:spPr>
        <a:xfrm xmlns:a="http://schemas.openxmlformats.org/drawingml/2006/main">
          <a:off x="671676" y="2598246"/>
          <a:ext cx="1535284" cy="16067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5284" h="1606761">
              <a:moveTo>
                <a:pt x="803462" y="775705"/>
              </a:moveTo>
              <a:lnTo>
                <a:pt x="0" y="1606760"/>
              </a:lnTo>
              <a:lnTo>
                <a:pt x="0" y="1569256"/>
              </a:lnTo>
              <a:lnTo>
                <a:pt x="792694" y="749340"/>
              </a:lnTo>
              <a:lnTo>
                <a:pt x="1334567" y="188857"/>
              </a:lnTo>
              <a:lnTo>
                <a:pt x="1517154" y="0"/>
              </a:lnTo>
              <a:lnTo>
                <a:pt x="1535283" y="18752"/>
              </a:lnTo>
              <a:lnTo>
                <a:pt x="1352697" y="2076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0.40362</cdr:x>
      <cdr:y>0.44281</cdr:y>
    </cdr:from>
    <cdr:to>
      <cdr:x>0.61432</cdr:x>
      <cdr:y>0.65202</cdr:y>
    </cdr:to>
    <cdr:sp macro="" textlink="">
      <cdr:nvSpPr>
        <cdr:cNvPr id="124" name="FracNo 722 StartRow 1541">
          <a:extLst xmlns:a="http://schemas.openxmlformats.org/drawingml/2006/main">
            <a:ext uri="{FF2B5EF4-FFF2-40B4-BE49-F238E27FC236}">
              <a16:creationId xmlns:a16="http://schemas.microsoft.com/office/drawing/2014/main" id="{FC1FFB17-7A7A-6762-08CB-F0123F500144}"/>
            </a:ext>
          </a:extLst>
        </cdr:cNvPr>
        <cdr:cNvSpPr/>
      </cdr:nvSpPr>
      <cdr:spPr>
        <a:xfrm xmlns:a="http://schemas.openxmlformats.org/drawingml/2006/main">
          <a:off x="2952584" y="3374190"/>
          <a:ext cx="1541263" cy="15941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1263" h="1594193">
              <a:moveTo>
                <a:pt x="1287170" y="244066"/>
              </a:moveTo>
              <a:lnTo>
                <a:pt x="16517" y="1558356"/>
              </a:lnTo>
              <a:lnTo>
                <a:pt x="0" y="1575440"/>
              </a:lnTo>
              <a:lnTo>
                <a:pt x="18129" y="1594192"/>
              </a:lnTo>
              <a:lnTo>
                <a:pt x="34646" y="1577108"/>
              </a:lnTo>
              <a:lnTo>
                <a:pt x="1305299" y="262818"/>
              </a:lnTo>
              <a:lnTo>
                <a:pt x="1541262" y="18752"/>
              </a:lnTo>
              <a:lnTo>
                <a:pt x="15231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0.47245</cdr:x>
      <cdr:y>0.72355</cdr:y>
    </cdr:from>
    <cdr:to>
      <cdr:x>0.68294</cdr:x>
      <cdr:y>0.9301</cdr:y>
    </cdr:to>
    <cdr:sp macro="" textlink="">
      <cdr:nvSpPr>
        <cdr:cNvPr id="125" name="FracNo 846 StartRow 1552">
          <a:extLst xmlns:a="http://schemas.openxmlformats.org/drawingml/2006/main">
            <a:ext uri="{FF2B5EF4-FFF2-40B4-BE49-F238E27FC236}">
              <a16:creationId xmlns:a16="http://schemas.microsoft.com/office/drawing/2014/main" id="{D45DBC14-DA4D-610F-5E23-8988D842D34F}"/>
            </a:ext>
          </a:extLst>
        </cdr:cNvPr>
        <cdr:cNvSpPr/>
      </cdr:nvSpPr>
      <cdr:spPr>
        <a:xfrm xmlns:a="http://schemas.openxmlformats.org/drawingml/2006/main">
          <a:off x="3456086" y="5513476"/>
          <a:ext cx="1539764" cy="15738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9764" h="1573890">
              <a:moveTo>
                <a:pt x="568965" y="985385"/>
              </a:moveTo>
              <a:lnTo>
                <a:pt x="0" y="1573889"/>
              </a:lnTo>
              <a:lnTo>
                <a:pt x="36259" y="1573889"/>
              </a:lnTo>
              <a:lnTo>
                <a:pt x="597610" y="993260"/>
              </a:lnTo>
              <a:lnTo>
                <a:pt x="1373075" y="191163"/>
              </a:lnTo>
              <a:lnTo>
                <a:pt x="1539763" y="18751"/>
              </a:lnTo>
              <a:lnTo>
                <a:pt x="1521634" y="0"/>
              </a:lnTo>
              <a:lnTo>
                <a:pt x="1354946" y="1724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0.48113</cdr:y>
    </cdr:from>
    <cdr:to>
      <cdr:x>0.29728</cdr:x>
      <cdr:y>0.68761</cdr:y>
    </cdr:to>
    <cdr:sp macro="" textlink="">
      <cdr:nvSpPr>
        <cdr:cNvPr id="126" name="FracNo 839 StartRow 1563">
          <a:extLst xmlns:a="http://schemas.openxmlformats.org/drawingml/2006/main">
            <a:ext uri="{FF2B5EF4-FFF2-40B4-BE49-F238E27FC236}">
              <a16:creationId xmlns:a16="http://schemas.microsoft.com/office/drawing/2014/main" id="{22CAA5F3-008F-571B-2ED8-63EDE3BEB118}"/>
            </a:ext>
          </a:extLst>
        </cdr:cNvPr>
        <cdr:cNvSpPr/>
      </cdr:nvSpPr>
      <cdr:spPr>
        <a:xfrm xmlns:a="http://schemas.openxmlformats.org/drawingml/2006/main">
          <a:off x="671676" y="3666230"/>
          <a:ext cx="1502956" cy="15733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2956" h="1573322">
              <a:moveTo>
                <a:pt x="643110" y="870622"/>
              </a:moveTo>
              <a:lnTo>
                <a:pt x="265850" y="1260838"/>
              </a:lnTo>
              <a:lnTo>
                <a:pt x="0" y="1535818"/>
              </a:lnTo>
              <a:lnTo>
                <a:pt x="0" y="1573321"/>
              </a:lnTo>
              <a:lnTo>
                <a:pt x="273387" y="1290546"/>
              </a:lnTo>
              <a:lnTo>
                <a:pt x="653925" y="896939"/>
              </a:lnTo>
              <a:lnTo>
                <a:pt x="1502955" y="18752"/>
              </a:lnTo>
              <a:lnTo>
                <a:pt x="14848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0.63197</cdr:y>
    </cdr:from>
    <cdr:to>
      <cdr:x>0.2964</cdr:x>
      <cdr:y>0.83757</cdr:y>
    </cdr:to>
    <cdr:sp macro="" textlink="">
      <cdr:nvSpPr>
        <cdr:cNvPr id="127" name="FracNo 842 StartRow 1574">
          <a:extLst xmlns:a="http://schemas.openxmlformats.org/drawingml/2006/main">
            <a:ext uri="{FF2B5EF4-FFF2-40B4-BE49-F238E27FC236}">
              <a16:creationId xmlns:a16="http://schemas.microsoft.com/office/drawing/2014/main" id="{F0ACC07C-9BDC-8225-F5E8-F2036AAFB75E}"/>
            </a:ext>
          </a:extLst>
        </cdr:cNvPr>
        <cdr:cNvSpPr/>
      </cdr:nvSpPr>
      <cdr:spPr>
        <a:xfrm xmlns:a="http://schemas.openxmlformats.org/drawingml/2006/main">
          <a:off x="671676" y="4815625"/>
          <a:ext cx="1496518" cy="15666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6518" h="1566664">
              <a:moveTo>
                <a:pt x="802675" y="736422"/>
              </a:moveTo>
              <a:lnTo>
                <a:pt x="0" y="1566663"/>
              </a:lnTo>
              <a:lnTo>
                <a:pt x="0" y="1529159"/>
              </a:lnTo>
              <a:lnTo>
                <a:pt x="792157" y="709797"/>
              </a:lnTo>
              <a:lnTo>
                <a:pt x="1365349" y="116921"/>
              </a:lnTo>
              <a:lnTo>
                <a:pt x="1478388" y="0"/>
              </a:lnTo>
              <a:lnTo>
                <a:pt x="1496517" y="18752"/>
              </a:lnTo>
              <a:lnTo>
                <a:pt x="1383478" y="1356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0.73821</cdr:x>
      <cdr:y>0.5184</cdr:y>
    </cdr:from>
    <cdr:to>
      <cdr:x>0.94246</cdr:x>
      <cdr:y>0.72367</cdr:y>
    </cdr:to>
    <cdr:sp macro="" textlink="">
      <cdr:nvSpPr>
        <cdr:cNvPr id="128" name="FracNo 804 StartRow 1585">
          <a:extLst xmlns:a="http://schemas.openxmlformats.org/drawingml/2006/main">
            <a:ext uri="{FF2B5EF4-FFF2-40B4-BE49-F238E27FC236}">
              <a16:creationId xmlns:a16="http://schemas.microsoft.com/office/drawing/2014/main" id="{C213BB3F-6BBD-62FF-03CD-F24A9D75ABF7}"/>
            </a:ext>
          </a:extLst>
        </cdr:cNvPr>
        <cdr:cNvSpPr/>
      </cdr:nvSpPr>
      <cdr:spPr>
        <a:xfrm xmlns:a="http://schemas.openxmlformats.org/drawingml/2006/main">
          <a:off x="5400185" y="3950182"/>
          <a:ext cx="1494123" cy="15641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4123" h="1564186">
              <a:moveTo>
                <a:pt x="172450" y="1404565"/>
              </a:moveTo>
              <a:lnTo>
                <a:pt x="18129" y="1564185"/>
              </a:lnTo>
              <a:lnTo>
                <a:pt x="0" y="1545433"/>
              </a:lnTo>
              <a:lnTo>
                <a:pt x="155832" y="1384249"/>
              </a:lnTo>
              <a:lnTo>
                <a:pt x="547028" y="979620"/>
              </a:lnTo>
              <a:lnTo>
                <a:pt x="1494122" y="0"/>
              </a:lnTo>
              <a:lnTo>
                <a:pt x="1494122" y="37503"/>
              </a:lnTo>
              <a:lnTo>
                <a:pt x="559850" y="10038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0.47631</cdr:x>
      <cdr:y>0.49385</cdr:y>
    </cdr:from>
    <cdr:to>
      <cdr:x>0.67948</cdr:x>
      <cdr:y>0.69559</cdr:y>
    </cdr:to>
    <cdr:sp macro="" textlink="">
      <cdr:nvSpPr>
        <cdr:cNvPr id="129" name="FracNo 752 StartRow 1596">
          <a:extLst xmlns:a="http://schemas.openxmlformats.org/drawingml/2006/main">
            <a:ext uri="{FF2B5EF4-FFF2-40B4-BE49-F238E27FC236}">
              <a16:creationId xmlns:a16="http://schemas.microsoft.com/office/drawing/2014/main" id="{A849A1F3-07A7-C1DD-762E-8A7E90DAC194}"/>
            </a:ext>
          </a:extLst>
        </cdr:cNvPr>
        <cdr:cNvSpPr/>
      </cdr:nvSpPr>
      <cdr:spPr>
        <a:xfrm xmlns:a="http://schemas.openxmlformats.org/drawingml/2006/main">
          <a:off x="3484320" y="3763129"/>
          <a:ext cx="1486193" cy="1537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6193" h="1537232">
              <a:moveTo>
                <a:pt x="168919" y="1381263"/>
              </a:moveTo>
              <a:lnTo>
                <a:pt x="18129" y="1537231"/>
              </a:lnTo>
              <a:lnTo>
                <a:pt x="0" y="1518479"/>
              </a:lnTo>
              <a:lnTo>
                <a:pt x="150790" y="1362511"/>
              </a:lnTo>
              <a:lnTo>
                <a:pt x="337473" y="1169417"/>
              </a:lnTo>
              <a:lnTo>
                <a:pt x="1326712" y="146205"/>
              </a:lnTo>
              <a:lnTo>
                <a:pt x="1468063" y="0"/>
              </a:lnTo>
              <a:lnTo>
                <a:pt x="1486192" y="18752"/>
              </a:lnTo>
              <a:lnTo>
                <a:pt x="1344841" y="164957"/>
              </a:lnTo>
              <a:lnTo>
                <a:pt x="355602" y="11881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0.31407</cdr:x>
      <cdr:y>0.61475</cdr:y>
    </cdr:from>
    <cdr:to>
      <cdr:x>0.51565</cdr:x>
      <cdr:y>0.81491</cdr:y>
    </cdr:to>
    <cdr:sp macro="" textlink="">
      <cdr:nvSpPr>
        <cdr:cNvPr id="130" name="FracNo 769 StartRow 1609">
          <a:extLst xmlns:a="http://schemas.openxmlformats.org/drawingml/2006/main">
            <a:ext uri="{FF2B5EF4-FFF2-40B4-BE49-F238E27FC236}">
              <a16:creationId xmlns:a16="http://schemas.microsoft.com/office/drawing/2014/main" id="{C2ADDD71-08C8-A7D6-3DA8-C7E3BE1E6807}"/>
            </a:ext>
          </a:extLst>
        </cdr:cNvPr>
        <cdr:cNvSpPr/>
      </cdr:nvSpPr>
      <cdr:spPr>
        <a:xfrm xmlns:a="http://schemas.openxmlformats.org/drawingml/2006/main">
          <a:off x="2297516" y="4684411"/>
          <a:ext cx="1474541" cy="15251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4541" h="1525179">
              <a:moveTo>
                <a:pt x="285094" y="1249046"/>
              </a:moveTo>
              <a:lnTo>
                <a:pt x="18130" y="1525178"/>
              </a:lnTo>
              <a:lnTo>
                <a:pt x="0" y="1506426"/>
              </a:lnTo>
              <a:lnTo>
                <a:pt x="266964" y="1230294"/>
              </a:lnTo>
              <a:lnTo>
                <a:pt x="439306" y="1052034"/>
              </a:lnTo>
              <a:lnTo>
                <a:pt x="1216514" y="248135"/>
              </a:lnTo>
              <a:lnTo>
                <a:pt x="1456411" y="0"/>
              </a:lnTo>
              <a:lnTo>
                <a:pt x="1474540" y="18752"/>
              </a:lnTo>
              <a:lnTo>
                <a:pt x="1234644" y="266887"/>
              </a:lnTo>
              <a:lnTo>
                <a:pt x="457435" y="10707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0.3178</cdr:x>
      <cdr:y>0.61845</cdr:y>
    </cdr:from>
    <cdr:to>
      <cdr:x>0.51937</cdr:x>
      <cdr:y>0.8186</cdr:y>
    </cdr:to>
    <cdr:sp macro="" textlink="">
      <cdr:nvSpPr>
        <cdr:cNvPr id="131" name="FracNo 674 StartRow 1622">
          <a:extLst xmlns:a="http://schemas.openxmlformats.org/drawingml/2006/main">
            <a:ext uri="{FF2B5EF4-FFF2-40B4-BE49-F238E27FC236}">
              <a16:creationId xmlns:a16="http://schemas.microsoft.com/office/drawing/2014/main" id="{54092382-470C-5614-4042-8CF239F5C5C4}"/>
            </a:ext>
          </a:extLst>
        </cdr:cNvPr>
        <cdr:cNvSpPr/>
      </cdr:nvSpPr>
      <cdr:spPr>
        <a:xfrm xmlns:a="http://schemas.openxmlformats.org/drawingml/2006/main">
          <a:off x="2324738" y="4712567"/>
          <a:ext cx="1474541" cy="1525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4541" h="1525180">
              <a:moveTo>
                <a:pt x="497539" y="1029306"/>
              </a:moveTo>
              <a:lnTo>
                <a:pt x="430213" y="1098943"/>
              </a:lnTo>
              <a:lnTo>
                <a:pt x="18129" y="1525179"/>
              </a:lnTo>
              <a:lnTo>
                <a:pt x="0" y="1506427"/>
              </a:lnTo>
              <a:lnTo>
                <a:pt x="412084" y="1080191"/>
              </a:lnTo>
              <a:lnTo>
                <a:pt x="479409" y="1010554"/>
              </a:lnTo>
              <a:lnTo>
                <a:pt x="1243736" y="219979"/>
              </a:lnTo>
              <a:lnTo>
                <a:pt x="1456411" y="0"/>
              </a:lnTo>
              <a:lnTo>
                <a:pt x="1474540" y="18752"/>
              </a:lnTo>
              <a:lnTo>
                <a:pt x="1261865" y="2387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0.43049</cdr:x>
      <cdr:y>0.08544</cdr:y>
    </cdr:from>
    <cdr:to>
      <cdr:x>0.63202</cdr:x>
      <cdr:y>0.28309</cdr:y>
    </cdr:to>
    <cdr:sp macro="" textlink="">
      <cdr:nvSpPr>
        <cdr:cNvPr id="132" name="FracNo 436 StartRow 1635">
          <a:extLst xmlns:a="http://schemas.openxmlformats.org/drawingml/2006/main">
            <a:ext uri="{FF2B5EF4-FFF2-40B4-BE49-F238E27FC236}">
              <a16:creationId xmlns:a16="http://schemas.microsoft.com/office/drawing/2014/main" id="{D79C23BE-63DC-C72E-6F68-E0FDD02DDEAA}"/>
            </a:ext>
          </a:extLst>
        </cdr:cNvPr>
        <cdr:cNvSpPr/>
      </cdr:nvSpPr>
      <cdr:spPr>
        <a:xfrm xmlns:a="http://schemas.openxmlformats.org/drawingml/2006/main">
          <a:off x="3149094" y="651036"/>
          <a:ext cx="1474230" cy="15061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4230" h="1506106">
              <a:moveTo>
                <a:pt x="274007" y="1203936"/>
              </a:moveTo>
              <a:lnTo>
                <a:pt x="0" y="1487353"/>
              </a:lnTo>
              <a:lnTo>
                <a:pt x="18129" y="1506105"/>
              </a:lnTo>
              <a:lnTo>
                <a:pt x="295591" y="1219115"/>
              </a:lnTo>
              <a:lnTo>
                <a:pt x="1474229" y="0"/>
              </a:lnTo>
              <a:lnTo>
                <a:pt x="14379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0.29155</cdr:x>
      <cdr:y>0.28376</cdr:y>
    </cdr:to>
    <cdr:sp macro="" textlink="">
      <cdr:nvSpPr>
        <cdr:cNvPr id="133" name="FracNo 186 StartRow 1644">
          <a:extLst xmlns:a="http://schemas.openxmlformats.org/drawingml/2006/main">
            <a:ext uri="{FF2B5EF4-FFF2-40B4-BE49-F238E27FC236}">
              <a16:creationId xmlns:a16="http://schemas.microsoft.com/office/drawing/2014/main" id="{30F5D9A7-AEED-99D1-D100-367EB38B103C}"/>
            </a:ext>
          </a:extLst>
        </cdr:cNvPr>
        <cdr:cNvSpPr/>
      </cdr:nvSpPr>
      <cdr:spPr>
        <a:xfrm xmlns:a="http://schemas.openxmlformats.org/drawingml/2006/main">
          <a:off x="671676" y="651036"/>
          <a:ext cx="1461042" cy="15112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1042" h="1511217">
              <a:moveTo>
                <a:pt x="784819" y="699445"/>
              </a:moveTo>
              <a:lnTo>
                <a:pt x="0" y="1511216"/>
              </a:lnTo>
              <a:lnTo>
                <a:pt x="0" y="1473712"/>
              </a:lnTo>
              <a:lnTo>
                <a:pt x="765342" y="682086"/>
              </a:lnTo>
              <a:lnTo>
                <a:pt x="1424782" y="0"/>
              </a:lnTo>
              <a:lnTo>
                <a:pt x="14610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0.47299</cdr:x>
      <cdr:y>0.08544</cdr:y>
    </cdr:from>
    <cdr:to>
      <cdr:x>0.67313</cdr:x>
      <cdr:y>0.28171</cdr:y>
    </cdr:to>
    <cdr:sp macro="" textlink="">
      <cdr:nvSpPr>
        <cdr:cNvPr id="134" name="FracNo 430 StartRow 1653">
          <a:extLst xmlns:a="http://schemas.openxmlformats.org/drawingml/2006/main">
            <a:ext uri="{FF2B5EF4-FFF2-40B4-BE49-F238E27FC236}">
              <a16:creationId xmlns:a16="http://schemas.microsoft.com/office/drawing/2014/main" id="{AB05A959-2B5E-518A-1A70-1F21360C03C7}"/>
            </a:ext>
          </a:extLst>
        </cdr:cNvPr>
        <cdr:cNvSpPr/>
      </cdr:nvSpPr>
      <cdr:spPr>
        <a:xfrm xmlns:a="http://schemas.openxmlformats.org/drawingml/2006/main">
          <a:off x="3459992" y="651036"/>
          <a:ext cx="1464055" cy="14955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4055" h="1495582">
              <a:moveTo>
                <a:pt x="306067" y="1160251"/>
              </a:moveTo>
              <a:lnTo>
                <a:pt x="0" y="1476829"/>
              </a:lnTo>
              <a:lnTo>
                <a:pt x="18130" y="1495581"/>
              </a:lnTo>
              <a:lnTo>
                <a:pt x="328014" y="1175054"/>
              </a:lnTo>
              <a:lnTo>
                <a:pt x="1377545" y="89480"/>
              </a:lnTo>
              <a:lnTo>
                <a:pt x="1464054" y="0"/>
              </a:lnTo>
              <a:lnTo>
                <a:pt x="1427796" y="0"/>
              </a:lnTo>
              <a:lnTo>
                <a:pt x="1342665" y="880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0.39495</cdr:x>
      <cdr:y>0.73571</cdr:y>
    </cdr:from>
    <cdr:to>
      <cdr:x>0.59319</cdr:x>
      <cdr:y>0.9301</cdr:y>
    </cdr:to>
    <cdr:sp macro="" textlink="">
      <cdr:nvSpPr>
        <cdr:cNvPr id="135" name="FracNo 664 StartRow 1664">
          <a:extLst xmlns:a="http://schemas.openxmlformats.org/drawingml/2006/main">
            <a:ext uri="{FF2B5EF4-FFF2-40B4-BE49-F238E27FC236}">
              <a16:creationId xmlns:a16="http://schemas.microsoft.com/office/drawing/2014/main" id="{5F64A372-AE9B-5D23-D067-898DAA30CCEE}"/>
            </a:ext>
          </a:extLst>
        </cdr:cNvPr>
        <cdr:cNvSpPr/>
      </cdr:nvSpPr>
      <cdr:spPr>
        <a:xfrm xmlns:a="http://schemas.openxmlformats.org/drawingml/2006/main">
          <a:off x="2889114" y="5606096"/>
          <a:ext cx="1450218" cy="14812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0218" h="1481270">
              <a:moveTo>
                <a:pt x="939033" y="547491"/>
              </a:moveTo>
              <a:lnTo>
                <a:pt x="36258" y="1481269"/>
              </a:lnTo>
              <a:lnTo>
                <a:pt x="0" y="1481269"/>
              </a:lnTo>
              <a:lnTo>
                <a:pt x="914350" y="535518"/>
              </a:lnTo>
              <a:lnTo>
                <a:pt x="1432088" y="0"/>
              </a:lnTo>
              <a:lnTo>
                <a:pt x="14502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0.46939</cdr:x>
      <cdr:y>0.08544</cdr:y>
    </cdr:from>
    <cdr:to>
      <cdr:x>0.66592</cdr:x>
      <cdr:y>0.27813</cdr:y>
    </cdr:to>
    <cdr:sp macro="" textlink="">
      <cdr:nvSpPr>
        <cdr:cNvPr id="136" name="FracNo 440 StartRow 1673">
          <a:extLst xmlns:a="http://schemas.openxmlformats.org/drawingml/2006/main">
            <a:ext uri="{FF2B5EF4-FFF2-40B4-BE49-F238E27FC236}">
              <a16:creationId xmlns:a16="http://schemas.microsoft.com/office/drawing/2014/main" id="{15B21CA7-F4FC-7881-4984-466F7FCB612A}"/>
            </a:ext>
          </a:extLst>
        </cdr:cNvPr>
        <cdr:cNvSpPr/>
      </cdr:nvSpPr>
      <cdr:spPr>
        <a:xfrm xmlns:a="http://schemas.openxmlformats.org/drawingml/2006/main">
          <a:off x="3433652" y="651036"/>
          <a:ext cx="1437714" cy="14683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7714" h="1468337">
              <a:moveTo>
                <a:pt x="1367300" y="72832"/>
              </a:moveTo>
              <a:lnTo>
                <a:pt x="18129" y="1468336"/>
              </a:lnTo>
              <a:lnTo>
                <a:pt x="0" y="1449584"/>
              </a:lnTo>
              <a:lnTo>
                <a:pt x="1340393" y="63159"/>
              </a:lnTo>
              <a:lnTo>
                <a:pt x="1372885" y="29551"/>
              </a:lnTo>
              <a:lnTo>
                <a:pt x="1401455" y="0"/>
              </a:lnTo>
              <a:lnTo>
                <a:pt x="1437713" y="0"/>
              </a:lnTo>
              <a:lnTo>
                <a:pt x="1400005" y="390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0.21029</cdr:y>
    </cdr:from>
    <cdr:to>
      <cdr:x>0.28479</cdr:x>
      <cdr:y>0.40436</cdr:y>
    </cdr:to>
    <cdr:sp macro="" textlink="">
      <cdr:nvSpPr>
        <cdr:cNvPr id="137" name="FracNo 187 StartRow 1684">
          <a:extLst xmlns:a="http://schemas.openxmlformats.org/drawingml/2006/main">
            <a:ext uri="{FF2B5EF4-FFF2-40B4-BE49-F238E27FC236}">
              <a16:creationId xmlns:a16="http://schemas.microsoft.com/office/drawing/2014/main" id="{FB5A8FBC-E094-1EE8-ED84-B952D0A84CAF}"/>
            </a:ext>
          </a:extLst>
        </cdr:cNvPr>
        <cdr:cNvSpPr/>
      </cdr:nvSpPr>
      <cdr:spPr>
        <a:xfrm xmlns:a="http://schemas.openxmlformats.org/drawingml/2006/main">
          <a:off x="671676" y="1602427"/>
          <a:ext cx="1411598" cy="14788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1598" h="1478827">
              <a:moveTo>
                <a:pt x="490387" y="971598"/>
              </a:moveTo>
              <a:lnTo>
                <a:pt x="262000" y="1207829"/>
              </a:lnTo>
              <a:lnTo>
                <a:pt x="0" y="1478826"/>
              </a:lnTo>
              <a:lnTo>
                <a:pt x="0" y="1441323"/>
              </a:lnTo>
              <a:lnTo>
                <a:pt x="252381" y="1180275"/>
              </a:lnTo>
              <a:lnTo>
                <a:pt x="479077" y="945793"/>
              </a:lnTo>
              <a:lnTo>
                <a:pt x="1393468" y="0"/>
              </a:lnTo>
              <a:lnTo>
                <a:pt x="14115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0.15289</cdr:y>
    </cdr:from>
    <cdr:to>
      <cdr:x>0.28354</cdr:x>
      <cdr:y>0.34572</cdr:y>
    </cdr:to>
    <cdr:sp macro="" textlink="">
      <cdr:nvSpPr>
        <cdr:cNvPr id="138" name="FracNo 200 StartRow 1695">
          <a:extLst xmlns:a="http://schemas.openxmlformats.org/drawingml/2006/main">
            <a:ext uri="{FF2B5EF4-FFF2-40B4-BE49-F238E27FC236}">
              <a16:creationId xmlns:a16="http://schemas.microsoft.com/office/drawing/2014/main" id="{CB1C2A64-69B3-19B9-F6B3-6906B6BBC38F}"/>
            </a:ext>
          </a:extLst>
        </cdr:cNvPr>
        <cdr:cNvSpPr/>
      </cdr:nvSpPr>
      <cdr:spPr>
        <a:xfrm xmlns:a="http://schemas.openxmlformats.org/drawingml/2006/main">
          <a:off x="671676" y="1164996"/>
          <a:ext cx="1402446" cy="14693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446" h="1469361">
              <a:moveTo>
                <a:pt x="531720" y="881876"/>
              </a:moveTo>
              <a:lnTo>
                <a:pt x="0" y="1431856"/>
              </a:lnTo>
              <a:lnTo>
                <a:pt x="0" y="1469360"/>
              </a:lnTo>
              <a:lnTo>
                <a:pt x="538684" y="912177"/>
              </a:lnTo>
              <a:lnTo>
                <a:pt x="1402445" y="18752"/>
              </a:lnTo>
              <a:lnTo>
                <a:pt x="13843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0.45102</cdr:x>
      <cdr:y>0.29344</cdr:y>
    </cdr:from>
    <cdr:to>
      <cdr:x>0.64319</cdr:x>
      <cdr:y>0.48426</cdr:y>
    </cdr:to>
    <cdr:sp macro="" textlink="">
      <cdr:nvSpPr>
        <cdr:cNvPr id="139" name="FracNo 353 StartRow 1704">
          <a:extLst xmlns:a="http://schemas.openxmlformats.org/drawingml/2006/main">
            <a:ext uri="{FF2B5EF4-FFF2-40B4-BE49-F238E27FC236}">
              <a16:creationId xmlns:a16="http://schemas.microsoft.com/office/drawing/2014/main" id="{0BA55D55-67DB-CA72-026B-D2276579DBAE}"/>
            </a:ext>
          </a:extLst>
        </cdr:cNvPr>
        <cdr:cNvSpPr/>
      </cdr:nvSpPr>
      <cdr:spPr>
        <a:xfrm xmlns:a="http://schemas.openxmlformats.org/drawingml/2006/main">
          <a:off x="3299296" y="2235976"/>
          <a:ext cx="1405788" cy="14540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5788" h="1454064">
              <a:moveTo>
                <a:pt x="630170" y="783501"/>
              </a:moveTo>
              <a:lnTo>
                <a:pt x="0" y="1435312"/>
              </a:lnTo>
              <a:lnTo>
                <a:pt x="18129" y="1454063"/>
              </a:lnTo>
              <a:lnTo>
                <a:pt x="648299" y="802253"/>
              </a:lnTo>
              <a:lnTo>
                <a:pt x="872957" y="569879"/>
              </a:lnTo>
              <a:lnTo>
                <a:pt x="1405787" y="18751"/>
              </a:lnTo>
              <a:lnTo>
                <a:pt x="1387657" y="0"/>
              </a:lnTo>
              <a:lnTo>
                <a:pt x="854828" y="5511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0.37163</cdr:x>
      <cdr:y>0.35543</cdr:y>
    </cdr:from>
    <cdr:to>
      <cdr:x>0.56366</cdr:x>
      <cdr:y>0.54611</cdr:y>
    </cdr:to>
    <cdr:sp macro="" textlink="">
      <cdr:nvSpPr>
        <cdr:cNvPr id="140" name="FracNo 359 StartRow 1715">
          <a:extLst xmlns:a="http://schemas.openxmlformats.org/drawingml/2006/main">
            <a:ext uri="{FF2B5EF4-FFF2-40B4-BE49-F238E27FC236}">
              <a16:creationId xmlns:a16="http://schemas.microsoft.com/office/drawing/2014/main" id="{7CC1BDB3-FF6D-7F6A-08C5-D5B80307A19A}"/>
            </a:ext>
          </a:extLst>
        </cdr:cNvPr>
        <cdr:cNvSpPr/>
      </cdr:nvSpPr>
      <cdr:spPr>
        <a:xfrm xmlns:a="http://schemas.openxmlformats.org/drawingml/2006/main">
          <a:off x="2718583" y="2708368"/>
          <a:ext cx="1404733" cy="1452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4733" h="1452975">
              <a:moveTo>
                <a:pt x="774462" y="670666"/>
              </a:moveTo>
              <a:lnTo>
                <a:pt x="36368" y="1434108"/>
              </a:lnTo>
              <a:lnTo>
                <a:pt x="18129" y="1452974"/>
              </a:lnTo>
              <a:lnTo>
                <a:pt x="0" y="1434222"/>
              </a:lnTo>
              <a:lnTo>
                <a:pt x="18239" y="1415356"/>
              </a:lnTo>
              <a:lnTo>
                <a:pt x="756333" y="651914"/>
              </a:lnTo>
              <a:lnTo>
                <a:pt x="1310482" y="78735"/>
              </a:lnTo>
              <a:lnTo>
                <a:pt x="1386603" y="0"/>
              </a:lnTo>
              <a:lnTo>
                <a:pt x="1404732" y="18752"/>
              </a:lnTo>
              <a:lnTo>
                <a:pt x="1328611" y="974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0.75229</cdr:x>
      <cdr:y>0.49996</cdr:y>
    </cdr:from>
    <cdr:to>
      <cdr:x>0.94246</cdr:x>
      <cdr:y>0.69126</cdr:y>
    </cdr:to>
    <cdr:sp macro="" textlink="">
      <cdr:nvSpPr>
        <cdr:cNvPr id="141" name="FracNo 772 StartRow 1728">
          <a:extLst xmlns:a="http://schemas.openxmlformats.org/drawingml/2006/main">
            <a:ext uri="{FF2B5EF4-FFF2-40B4-BE49-F238E27FC236}">
              <a16:creationId xmlns:a16="http://schemas.microsoft.com/office/drawing/2014/main" id="{BD1051D6-3ECE-D36D-3BFF-CAB707CE0A91}"/>
            </a:ext>
          </a:extLst>
        </cdr:cNvPr>
        <cdr:cNvSpPr/>
      </cdr:nvSpPr>
      <cdr:spPr>
        <a:xfrm xmlns:a="http://schemas.openxmlformats.org/drawingml/2006/main">
          <a:off x="5503158" y="3809706"/>
          <a:ext cx="1391150" cy="1457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1150" h="1457677">
              <a:moveTo>
                <a:pt x="880267" y="528428"/>
              </a:moveTo>
              <a:lnTo>
                <a:pt x="305590" y="1122840"/>
              </a:lnTo>
              <a:lnTo>
                <a:pt x="0" y="1438924"/>
              </a:lnTo>
              <a:lnTo>
                <a:pt x="18129" y="1457676"/>
              </a:lnTo>
              <a:lnTo>
                <a:pt x="323719" y="1141592"/>
              </a:lnTo>
              <a:lnTo>
                <a:pt x="888798" y="557107"/>
              </a:lnTo>
              <a:lnTo>
                <a:pt x="1391149" y="37504"/>
              </a:lnTo>
              <a:lnTo>
                <a:pt x="13911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0.75167</cdr:x>
      <cdr:y>0.74065</cdr:y>
    </cdr:from>
    <cdr:to>
      <cdr:x>0.94246</cdr:x>
      <cdr:y>0.9301</cdr:y>
    </cdr:to>
    <cdr:sp macro="" textlink="">
      <cdr:nvSpPr>
        <cdr:cNvPr id="142" name="FracNo 773 StartRow 1739">
          <a:extLst xmlns:a="http://schemas.openxmlformats.org/drawingml/2006/main">
            <a:ext uri="{FF2B5EF4-FFF2-40B4-BE49-F238E27FC236}">
              <a16:creationId xmlns:a16="http://schemas.microsoft.com/office/drawing/2014/main" id="{9B0A8E40-031A-3002-C708-FF257C704D0E}"/>
            </a:ext>
          </a:extLst>
        </cdr:cNvPr>
        <cdr:cNvSpPr/>
      </cdr:nvSpPr>
      <cdr:spPr>
        <a:xfrm xmlns:a="http://schemas.openxmlformats.org/drawingml/2006/main">
          <a:off x="5498609" y="5643737"/>
          <a:ext cx="1395699" cy="1443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5699" h="1443629">
              <a:moveTo>
                <a:pt x="1334304" y="101005"/>
              </a:moveTo>
              <a:lnTo>
                <a:pt x="36259" y="1443628"/>
              </a:lnTo>
              <a:lnTo>
                <a:pt x="0" y="1443628"/>
              </a:lnTo>
              <a:lnTo>
                <a:pt x="1332667" y="65195"/>
              </a:lnTo>
              <a:lnTo>
                <a:pt x="1395698" y="0"/>
              </a:lnTo>
              <a:lnTo>
                <a:pt x="139569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0.23435</cdr:x>
      <cdr:y>0.74192</cdr:y>
    </cdr:from>
    <cdr:to>
      <cdr:x>0.42634</cdr:x>
      <cdr:y>0.9301</cdr:y>
    </cdr:to>
    <cdr:sp macro="" textlink="">
      <cdr:nvSpPr>
        <cdr:cNvPr id="143" name="FracNo 818 StartRow 1748">
          <a:extLst xmlns:a="http://schemas.openxmlformats.org/drawingml/2006/main">
            <a:ext uri="{FF2B5EF4-FFF2-40B4-BE49-F238E27FC236}">
              <a16:creationId xmlns:a16="http://schemas.microsoft.com/office/drawing/2014/main" id="{1E61FFE7-3569-95F8-38D0-879BFAB3BD76}"/>
            </a:ext>
          </a:extLst>
        </cdr:cNvPr>
        <cdr:cNvSpPr/>
      </cdr:nvSpPr>
      <cdr:spPr>
        <a:xfrm xmlns:a="http://schemas.openxmlformats.org/drawingml/2006/main">
          <a:off x="1714335" y="5653431"/>
          <a:ext cx="1404455" cy="14339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4455" h="1433935">
              <a:moveTo>
                <a:pt x="1143206" y="288971"/>
              </a:moveTo>
              <a:lnTo>
                <a:pt x="1041445" y="394228"/>
              </a:lnTo>
              <a:lnTo>
                <a:pt x="36259" y="1433934"/>
              </a:lnTo>
              <a:lnTo>
                <a:pt x="0" y="1433934"/>
              </a:lnTo>
              <a:lnTo>
                <a:pt x="1021658" y="377190"/>
              </a:lnTo>
              <a:lnTo>
                <a:pt x="1123884" y="271454"/>
              </a:lnTo>
              <a:lnTo>
                <a:pt x="1386325" y="0"/>
              </a:lnTo>
              <a:lnTo>
                <a:pt x="14044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0.29564</cdr:x>
      <cdr:y>0.29683</cdr:y>
    </cdr:from>
    <cdr:to>
      <cdr:x>0.48457</cdr:x>
      <cdr:y>0.48443</cdr:y>
    </cdr:to>
    <cdr:sp macro="" textlink="">
      <cdr:nvSpPr>
        <cdr:cNvPr id="144" name="FracNo 802 StartRow 1759">
          <a:extLst xmlns:a="http://schemas.openxmlformats.org/drawingml/2006/main">
            <a:ext uri="{FF2B5EF4-FFF2-40B4-BE49-F238E27FC236}">
              <a16:creationId xmlns:a16="http://schemas.microsoft.com/office/drawing/2014/main" id="{ED1B7D73-13FC-1CBA-7E91-870D569F3950}"/>
            </a:ext>
          </a:extLst>
        </cdr:cNvPr>
        <cdr:cNvSpPr/>
      </cdr:nvSpPr>
      <cdr:spPr>
        <a:xfrm xmlns:a="http://schemas.openxmlformats.org/drawingml/2006/main">
          <a:off x="2162671" y="2261878"/>
          <a:ext cx="1382025" cy="14294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2025" h="1429486">
              <a:moveTo>
                <a:pt x="56461" y="1352334"/>
              </a:moveTo>
              <a:lnTo>
                <a:pt x="0" y="1410733"/>
              </a:lnTo>
              <a:lnTo>
                <a:pt x="18130" y="1429485"/>
              </a:lnTo>
              <a:lnTo>
                <a:pt x="74590" y="1371086"/>
              </a:lnTo>
              <a:lnTo>
                <a:pt x="592280" y="835617"/>
              </a:lnTo>
              <a:lnTo>
                <a:pt x="874237" y="543977"/>
              </a:lnTo>
              <a:lnTo>
                <a:pt x="1382024" y="18752"/>
              </a:lnTo>
              <a:lnTo>
                <a:pt x="1363895" y="0"/>
              </a:lnTo>
              <a:lnTo>
                <a:pt x="856108" y="525225"/>
              </a:lnTo>
              <a:lnTo>
                <a:pt x="574151" y="8168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0.21741</cdr:x>
      <cdr:y>0.64507</cdr:y>
    </cdr:from>
    <cdr:to>
      <cdr:x>0.4061</cdr:x>
      <cdr:y>0.83244</cdr:y>
    </cdr:to>
    <cdr:sp macro="" textlink="">
      <cdr:nvSpPr>
        <cdr:cNvPr id="145" name="FracNo 755 StartRow 1772">
          <a:extLst xmlns:a="http://schemas.openxmlformats.org/drawingml/2006/main">
            <a:ext uri="{FF2B5EF4-FFF2-40B4-BE49-F238E27FC236}">
              <a16:creationId xmlns:a16="http://schemas.microsoft.com/office/drawing/2014/main" id="{72B5C6CF-2349-8DE9-5256-12D649E943A0}"/>
            </a:ext>
          </a:extLst>
        </cdr:cNvPr>
        <cdr:cNvSpPr/>
      </cdr:nvSpPr>
      <cdr:spPr>
        <a:xfrm xmlns:a="http://schemas.openxmlformats.org/drawingml/2006/main">
          <a:off x="1590388" y="4915463"/>
          <a:ext cx="1380326" cy="14277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0326" h="1427730">
              <a:moveTo>
                <a:pt x="87787" y="1318175"/>
              </a:moveTo>
              <a:lnTo>
                <a:pt x="0" y="1408977"/>
              </a:lnTo>
              <a:lnTo>
                <a:pt x="18129" y="1427729"/>
              </a:lnTo>
              <a:lnTo>
                <a:pt x="105916" y="1336927"/>
              </a:lnTo>
              <a:lnTo>
                <a:pt x="1164563" y="241924"/>
              </a:lnTo>
              <a:lnTo>
                <a:pt x="1363809" y="35835"/>
              </a:lnTo>
              <a:lnTo>
                <a:pt x="1380325" y="18751"/>
              </a:lnTo>
              <a:lnTo>
                <a:pt x="1362196" y="0"/>
              </a:lnTo>
              <a:lnTo>
                <a:pt x="1345680" y="17083"/>
              </a:lnTo>
              <a:lnTo>
                <a:pt x="1146434" y="2231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0.45219</cdr:y>
    </cdr:from>
    <cdr:to>
      <cdr:x>0.278</cdr:x>
      <cdr:y>0.63952</cdr:y>
    </cdr:to>
    <cdr:sp macro="" textlink="">
      <cdr:nvSpPr>
        <cdr:cNvPr id="146" name="FracNo 109 StartRow 1785">
          <a:extLst xmlns:a="http://schemas.openxmlformats.org/drawingml/2006/main">
            <a:ext uri="{FF2B5EF4-FFF2-40B4-BE49-F238E27FC236}">
              <a16:creationId xmlns:a16="http://schemas.microsoft.com/office/drawing/2014/main" id="{CE1047F0-ECDE-7E4F-DB90-120A7A9AFA9B}"/>
            </a:ext>
          </a:extLst>
        </cdr:cNvPr>
        <cdr:cNvSpPr/>
      </cdr:nvSpPr>
      <cdr:spPr>
        <a:xfrm xmlns:a="http://schemas.openxmlformats.org/drawingml/2006/main">
          <a:off x="671676" y="3445706"/>
          <a:ext cx="1361919" cy="14274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1919" h="1427442">
              <a:moveTo>
                <a:pt x="366870" y="1010468"/>
              </a:moveTo>
              <a:lnTo>
                <a:pt x="0" y="1389937"/>
              </a:lnTo>
              <a:lnTo>
                <a:pt x="0" y="1427441"/>
              </a:lnTo>
              <a:lnTo>
                <a:pt x="371819" y="1042853"/>
              </a:lnTo>
              <a:lnTo>
                <a:pt x="1361918" y="18752"/>
              </a:lnTo>
              <a:lnTo>
                <a:pt x="13437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0.33068</cdr:x>
      <cdr:y>0.59325</cdr:y>
    </cdr:from>
    <cdr:to>
      <cdr:x>0.51617</cdr:x>
      <cdr:y>0.77744</cdr:y>
    </cdr:to>
    <cdr:sp macro="" textlink="">
      <cdr:nvSpPr>
        <cdr:cNvPr id="147" name="FracNo 676 StartRow 1794">
          <a:extLst xmlns:a="http://schemas.openxmlformats.org/drawingml/2006/main">
            <a:ext uri="{FF2B5EF4-FFF2-40B4-BE49-F238E27FC236}">
              <a16:creationId xmlns:a16="http://schemas.microsoft.com/office/drawing/2014/main" id="{2AC3C2E6-2239-B5CE-CB0E-3F6AE49436B9}"/>
            </a:ext>
          </a:extLst>
        </cdr:cNvPr>
        <cdr:cNvSpPr/>
      </cdr:nvSpPr>
      <cdr:spPr>
        <a:xfrm xmlns:a="http://schemas.openxmlformats.org/drawingml/2006/main">
          <a:off x="2418955" y="4520542"/>
          <a:ext cx="1356941" cy="14035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6941" h="1403540">
              <a:moveTo>
                <a:pt x="399627" y="971437"/>
              </a:moveTo>
              <a:lnTo>
                <a:pt x="317867" y="1056005"/>
              </a:lnTo>
              <a:lnTo>
                <a:pt x="0" y="1384787"/>
              </a:lnTo>
              <a:lnTo>
                <a:pt x="18130" y="1403539"/>
              </a:lnTo>
              <a:lnTo>
                <a:pt x="335996" y="1074757"/>
              </a:lnTo>
              <a:lnTo>
                <a:pt x="417757" y="990188"/>
              </a:lnTo>
              <a:lnTo>
                <a:pt x="958615" y="430756"/>
              </a:lnTo>
              <a:lnTo>
                <a:pt x="1356940" y="18751"/>
              </a:lnTo>
              <a:lnTo>
                <a:pt x="1338811" y="0"/>
              </a:lnTo>
              <a:lnTo>
                <a:pt x="940486" y="4120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0.5817</cdr:x>
      <cdr:y>0.74762</cdr:y>
    </cdr:from>
    <cdr:to>
      <cdr:x>0.76796</cdr:x>
      <cdr:y>0.9301</cdr:y>
    </cdr:to>
    <cdr:sp macro="" textlink="">
      <cdr:nvSpPr>
        <cdr:cNvPr id="148" name="FracNo 671 StartRow 1807">
          <a:extLst xmlns:a="http://schemas.openxmlformats.org/drawingml/2006/main">
            <a:ext uri="{FF2B5EF4-FFF2-40B4-BE49-F238E27FC236}">
              <a16:creationId xmlns:a16="http://schemas.microsoft.com/office/drawing/2014/main" id="{B17CF25B-4961-73BB-B076-8F8CB37BDCFF}"/>
            </a:ext>
          </a:extLst>
        </cdr:cNvPr>
        <cdr:cNvSpPr/>
      </cdr:nvSpPr>
      <cdr:spPr>
        <a:xfrm xmlns:a="http://schemas.openxmlformats.org/drawingml/2006/main">
          <a:off x="4255288" y="5696841"/>
          <a:ext cx="1362487" cy="13905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2487" h="1390525">
              <a:moveTo>
                <a:pt x="69498" y="1356143"/>
              </a:moveTo>
              <a:lnTo>
                <a:pt x="36259" y="1390524"/>
              </a:lnTo>
              <a:lnTo>
                <a:pt x="0" y="1390524"/>
              </a:lnTo>
              <a:lnTo>
                <a:pt x="34360" y="1354984"/>
              </a:lnTo>
              <a:lnTo>
                <a:pt x="555744" y="815695"/>
              </a:lnTo>
              <a:lnTo>
                <a:pt x="1344356" y="0"/>
              </a:lnTo>
              <a:lnTo>
                <a:pt x="1362486" y="18752"/>
              </a:lnTo>
              <a:lnTo>
                <a:pt x="573873" y="8344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0.68787</cdr:x>
      <cdr:y>0.52589</cdr:y>
    </cdr:from>
    <cdr:to>
      <cdr:x>0.87268</cdr:x>
      <cdr:y>0.7094</cdr:y>
    </cdr:to>
    <cdr:sp macro="" textlink="">
      <cdr:nvSpPr>
        <cdr:cNvPr id="149" name="FracNo 599 StartRow 1818">
          <a:extLst xmlns:a="http://schemas.openxmlformats.org/drawingml/2006/main">
            <a:ext uri="{FF2B5EF4-FFF2-40B4-BE49-F238E27FC236}">
              <a16:creationId xmlns:a16="http://schemas.microsoft.com/office/drawing/2014/main" id="{94D99AC6-FFC7-CC2B-EE5F-A3FC81B1A40B}"/>
            </a:ext>
          </a:extLst>
        </cdr:cNvPr>
        <cdr:cNvSpPr/>
      </cdr:nvSpPr>
      <cdr:spPr>
        <a:xfrm xmlns:a="http://schemas.openxmlformats.org/drawingml/2006/main">
          <a:off x="5031908" y="4007264"/>
          <a:ext cx="1351901" cy="1398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1901" h="1398328">
              <a:moveTo>
                <a:pt x="1116010" y="262743"/>
              </a:moveTo>
              <a:lnTo>
                <a:pt x="457339" y="944034"/>
              </a:lnTo>
              <a:lnTo>
                <a:pt x="18129" y="1398327"/>
              </a:lnTo>
              <a:lnTo>
                <a:pt x="0" y="1379575"/>
              </a:lnTo>
              <a:lnTo>
                <a:pt x="439210" y="925282"/>
              </a:lnTo>
              <a:lnTo>
                <a:pt x="1097880" y="243991"/>
              </a:lnTo>
              <a:lnTo>
                <a:pt x="1333771" y="0"/>
              </a:lnTo>
              <a:lnTo>
                <a:pt x="135190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0.2466</cdr:x>
      <cdr:y>0.748</cdr:y>
    </cdr:from>
    <cdr:to>
      <cdr:x>0.43247</cdr:x>
      <cdr:y>0.9301</cdr:y>
    </cdr:to>
    <cdr:sp macro="" textlink="">
      <cdr:nvSpPr>
        <cdr:cNvPr id="150" name="FracNo 850 StartRow 1829">
          <a:extLst xmlns:a="http://schemas.openxmlformats.org/drawingml/2006/main">
            <a:ext uri="{FF2B5EF4-FFF2-40B4-BE49-F238E27FC236}">
              <a16:creationId xmlns:a16="http://schemas.microsoft.com/office/drawing/2014/main" id="{0F9D3B0D-39F1-32C0-EA9D-DE00C18EB983}"/>
            </a:ext>
          </a:extLst>
        </cdr:cNvPr>
        <cdr:cNvSpPr/>
      </cdr:nvSpPr>
      <cdr:spPr>
        <a:xfrm xmlns:a="http://schemas.openxmlformats.org/drawingml/2006/main">
          <a:off x="1803928" y="5699766"/>
          <a:ext cx="1359658" cy="13876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9658" h="1387600">
              <a:moveTo>
                <a:pt x="860320" y="497734"/>
              </a:moveTo>
              <a:lnTo>
                <a:pt x="0" y="1387599"/>
              </a:lnTo>
              <a:lnTo>
                <a:pt x="36258" y="1387599"/>
              </a:lnTo>
              <a:lnTo>
                <a:pt x="879859" y="515027"/>
              </a:lnTo>
              <a:lnTo>
                <a:pt x="951023" y="441419"/>
              </a:lnTo>
              <a:lnTo>
                <a:pt x="1359657" y="18752"/>
              </a:lnTo>
              <a:lnTo>
                <a:pt x="1341528" y="0"/>
              </a:lnTo>
              <a:lnTo>
                <a:pt x="932894" y="4226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0.31992</cdr:x>
      <cdr:y>0.52426</cdr:y>
    </cdr:from>
    <cdr:to>
      <cdr:x>0.50277</cdr:x>
      <cdr:y>0.70583</cdr:y>
    </cdr:to>
    <cdr:sp macro="" textlink="">
      <cdr:nvSpPr>
        <cdr:cNvPr id="151" name="FracNo 344 StartRow 1840">
          <a:extLst xmlns:a="http://schemas.openxmlformats.org/drawingml/2006/main">
            <a:ext uri="{FF2B5EF4-FFF2-40B4-BE49-F238E27FC236}">
              <a16:creationId xmlns:a16="http://schemas.microsoft.com/office/drawing/2014/main" id="{A06A0E1C-049C-F2AD-59C6-26DC8F04DD48}"/>
            </a:ext>
          </a:extLst>
        </cdr:cNvPr>
        <cdr:cNvSpPr/>
      </cdr:nvSpPr>
      <cdr:spPr>
        <a:xfrm xmlns:a="http://schemas.openxmlformats.org/drawingml/2006/main">
          <a:off x="2340288" y="3994896"/>
          <a:ext cx="1337567" cy="13835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7567" h="1383502">
              <a:moveTo>
                <a:pt x="1262365" y="96535"/>
              </a:moveTo>
              <a:lnTo>
                <a:pt x="431047" y="956402"/>
              </a:lnTo>
              <a:lnTo>
                <a:pt x="414663" y="973349"/>
              </a:lnTo>
              <a:lnTo>
                <a:pt x="18129" y="1383501"/>
              </a:lnTo>
              <a:lnTo>
                <a:pt x="0" y="1364749"/>
              </a:lnTo>
              <a:lnTo>
                <a:pt x="396534" y="954597"/>
              </a:lnTo>
              <a:lnTo>
                <a:pt x="412918" y="937650"/>
              </a:lnTo>
              <a:lnTo>
                <a:pt x="1244236" y="77783"/>
              </a:lnTo>
              <a:lnTo>
                <a:pt x="1319436" y="0"/>
              </a:lnTo>
              <a:lnTo>
                <a:pt x="13375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0.35257</cdr:x>
      <cdr:y>0.48494</cdr:y>
    </cdr:from>
    <cdr:to>
      <cdr:x>0.53381</cdr:x>
      <cdr:y>0.66491</cdr:y>
    </cdr:to>
    <cdr:sp macro="" textlink="">
      <cdr:nvSpPr>
        <cdr:cNvPr id="152" name="FracNo 358 StartRow 1853">
          <a:extLst xmlns:a="http://schemas.openxmlformats.org/drawingml/2006/main">
            <a:ext uri="{FF2B5EF4-FFF2-40B4-BE49-F238E27FC236}">
              <a16:creationId xmlns:a16="http://schemas.microsoft.com/office/drawing/2014/main" id="{DB1349F9-6D86-E3E9-EFA6-F538D7B67331}"/>
            </a:ext>
          </a:extLst>
        </cdr:cNvPr>
        <cdr:cNvSpPr/>
      </cdr:nvSpPr>
      <cdr:spPr>
        <a:xfrm xmlns:a="http://schemas.openxmlformats.org/drawingml/2006/main">
          <a:off x="2579147" y="3695259"/>
          <a:ext cx="1325798" cy="1371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5798" h="1371328">
              <a:moveTo>
                <a:pt x="1027782" y="327001"/>
              </a:moveTo>
              <a:lnTo>
                <a:pt x="175804" y="1208237"/>
              </a:lnTo>
              <a:lnTo>
                <a:pt x="129590" y="1256039"/>
              </a:lnTo>
              <a:lnTo>
                <a:pt x="18130" y="1371327"/>
              </a:lnTo>
              <a:lnTo>
                <a:pt x="0" y="1352575"/>
              </a:lnTo>
              <a:lnTo>
                <a:pt x="111460" y="1237287"/>
              </a:lnTo>
              <a:lnTo>
                <a:pt x="157675" y="1189485"/>
              </a:lnTo>
              <a:lnTo>
                <a:pt x="1009653" y="308249"/>
              </a:lnTo>
              <a:lnTo>
                <a:pt x="1307667" y="0"/>
              </a:lnTo>
              <a:lnTo>
                <a:pt x="13257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0.12989</cdr:x>
      <cdr:y>0.08544</cdr:y>
    </cdr:from>
    <cdr:to>
      <cdr:x>0.31177</cdr:x>
      <cdr:y>0.26358</cdr:y>
    </cdr:to>
    <cdr:sp macro="" textlink="">
      <cdr:nvSpPr>
        <cdr:cNvPr id="153" name="FracNo 793 StartRow 1866">
          <a:extLst xmlns:a="http://schemas.openxmlformats.org/drawingml/2006/main">
            <a:ext uri="{FF2B5EF4-FFF2-40B4-BE49-F238E27FC236}">
              <a16:creationId xmlns:a16="http://schemas.microsoft.com/office/drawing/2014/main" id="{E1D897D1-0899-D5CC-E10F-A6CBFB4A3B8B}"/>
            </a:ext>
          </a:extLst>
        </cdr:cNvPr>
        <cdr:cNvSpPr/>
      </cdr:nvSpPr>
      <cdr:spPr>
        <a:xfrm xmlns:a="http://schemas.openxmlformats.org/drawingml/2006/main">
          <a:off x="950152" y="651036"/>
          <a:ext cx="1330500" cy="13574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0500" h="1357439">
              <a:moveTo>
                <a:pt x="56534" y="1317716"/>
              </a:moveTo>
              <a:lnTo>
                <a:pt x="18130" y="1357438"/>
              </a:lnTo>
              <a:lnTo>
                <a:pt x="0" y="1338687"/>
              </a:lnTo>
              <a:lnTo>
                <a:pt x="37874" y="1299512"/>
              </a:lnTo>
              <a:lnTo>
                <a:pt x="1294240" y="0"/>
              </a:lnTo>
              <a:lnTo>
                <a:pt x="13304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0.48435</cdr:x>
      <cdr:y>0.12345</cdr:y>
    </cdr:from>
    <cdr:to>
      <cdr:x>0.66369</cdr:x>
      <cdr:y>0.30154</cdr:y>
    </cdr:to>
    <cdr:sp macro="" textlink="">
      <cdr:nvSpPr>
        <cdr:cNvPr id="154" name="FracNo 424 StartRow 1875">
          <a:extLst xmlns:a="http://schemas.openxmlformats.org/drawingml/2006/main">
            <a:ext uri="{FF2B5EF4-FFF2-40B4-BE49-F238E27FC236}">
              <a16:creationId xmlns:a16="http://schemas.microsoft.com/office/drawing/2014/main" id="{D7A85819-4853-B37A-B8B2-DD7E006D3927}"/>
            </a:ext>
          </a:extLst>
        </cdr:cNvPr>
        <cdr:cNvSpPr/>
      </cdr:nvSpPr>
      <cdr:spPr>
        <a:xfrm xmlns:a="http://schemas.openxmlformats.org/drawingml/2006/main">
          <a:off x="3543091" y="940723"/>
          <a:ext cx="1311946" cy="135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1946" h="1357001">
              <a:moveTo>
                <a:pt x="763157" y="586387"/>
              </a:moveTo>
              <a:lnTo>
                <a:pt x="18130" y="1357000"/>
              </a:lnTo>
              <a:lnTo>
                <a:pt x="0" y="1338248"/>
              </a:lnTo>
              <a:lnTo>
                <a:pt x="745027" y="567635"/>
              </a:lnTo>
              <a:lnTo>
                <a:pt x="1267941" y="26764"/>
              </a:lnTo>
              <a:lnTo>
                <a:pt x="1293816" y="0"/>
              </a:lnTo>
              <a:lnTo>
                <a:pt x="1311945" y="18752"/>
              </a:lnTo>
              <a:lnTo>
                <a:pt x="1286070" y="455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0.76656</cdr:x>
      <cdr:y>0.57403</cdr:y>
    </cdr:from>
    <cdr:to>
      <cdr:x>0.94246</cdr:x>
      <cdr:y>0.75115</cdr:y>
    </cdr:to>
    <cdr:sp macro="" textlink="">
      <cdr:nvSpPr>
        <cdr:cNvPr id="155" name="FracNo 763 StartRow 1886">
          <a:extLst xmlns:a="http://schemas.openxmlformats.org/drawingml/2006/main">
            <a:ext uri="{FF2B5EF4-FFF2-40B4-BE49-F238E27FC236}">
              <a16:creationId xmlns:a16="http://schemas.microsoft.com/office/drawing/2014/main" id="{655FB2C7-D8B0-5420-86D0-67075C7638A4}"/>
            </a:ext>
          </a:extLst>
        </cdr:cNvPr>
        <cdr:cNvSpPr/>
      </cdr:nvSpPr>
      <cdr:spPr>
        <a:xfrm xmlns:a="http://schemas.openxmlformats.org/drawingml/2006/main">
          <a:off x="5607559" y="4374090"/>
          <a:ext cx="1286749" cy="13496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6749" h="1349691">
              <a:moveTo>
                <a:pt x="1272995" y="51730"/>
              </a:moveTo>
              <a:lnTo>
                <a:pt x="764964" y="577208"/>
              </a:lnTo>
              <a:lnTo>
                <a:pt x="18129" y="1349690"/>
              </a:lnTo>
              <a:lnTo>
                <a:pt x="0" y="1330938"/>
              </a:lnTo>
              <a:lnTo>
                <a:pt x="746834" y="558456"/>
              </a:lnTo>
              <a:lnTo>
                <a:pt x="1272516" y="14720"/>
              </a:lnTo>
              <a:lnTo>
                <a:pt x="1286748" y="0"/>
              </a:lnTo>
              <a:lnTo>
                <a:pt x="128674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0.76762</cdr:x>
      <cdr:y>0.47996</cdr:y>
    </cdr:from>
    <cdr:to>
      <cdr:x>0.94246</cdr:x>
      <cdr:y>0.65604</cdr:y>
    </cdr:to>
    <cdr:sp macro="" textlink="">
      <cdr:nvSpPr>
        <cdr:cNvPr id="156" name="FracNo 594 StartRow 1897">
          <a:extLst xmlns:a="http://schemas.openxmlformats.org/drawingml/2006/main">
            <a:ext uri="{FF2B5EF4-FFF2-40B4-BE49-F238E27FC236}">
              <a16:creationId xmlns:a16="http://schemas.microsoft.com/office/drawing/2014/main" id="{E8F87F99-6BBA-B941-3AB7-65C1726C7583}"/>
            </a:ext>
          </a:extLst>
        </cdr:cNvPr>
        <cdr:cNvSpPr/>
      </cdr:nvSpPr>
      <cdr:spPr>
        <a:xfrm xmlns:a="http://schemas.openxmlformats.org/drawingml/2006/main">
          <a:off x="5615295" y="3657314"/>
          <a:ext cx="1279013" cy="13416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9013" h="1341689">
              <a:moveTo>
                <a:pt x="856825" y="436686"/>
              </a:moveTo>
              <a:lnTo>
                <a:pt x="46120" y="1275232"/>
              </a:lnTo>
              <a:lnTo>
                <a:pt x="0" y="1322937"/>
              </a:lnTo>
              <a:lnTo>
                <a:pt x="18129" y="1341688"/>
              </a:lnTo>
              <a:lnTo>
                <a:pt x="64249" y="1293984"/>
              </a:lnTo>
              <a:lnTo>
                <a:pt x="863033" y="467768"/>
              </a:lnTo>
              <a:lnTo>
                <a:pt x="1279012" y="37504"/>
              </a:lnTo>
              <a:lnTo>
                <a:pt x="12790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0.22754</cdr:x>
      <cdr:y>0.08544</cdr:y>
    </cdr:from>
    <cdr:to>
      <cdr:x>0.40419</cdr:x>
      <cdr:y>0.25839</cdr:y>
    </cdr:to>
    <cdr:sp macro="" textlink="">
      <cdr:nvSpPr>
        <cdr:cNvPr id="157" name="FracNo 182 StartRow 1908">
          <a:extLst xmlns:a="http://schemas.openxmlformats.org/drawingml/2006/main">
            <a:ext uri="{FF2B5EF4-FFF2-40B4-BE49-F238E27FC236}">
              <a16:creationId xmlns:a16="http://schemas.microsoft.com/office/drawing/2014/main" id="{B97CF540-C412-7199-3518-045967F8E9EB}"/>
            </a:ext>
          </a:extLst>
        </cdr:cNvPr>
        <cdr:cNvSpPr/>
      </cdr:nvSpPr>
      <cdr:spPr>
        <a:xfrm xmlns:a="http://schemas.openxmlformats.org/drawingml/2006/main">
          <a:off x="1664500" y="651036"/>
          <a:ext cx="1292239" cy="13178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2239" h="1317865">
              <a:moveTo>
                <a:pt x="821151" y="487265"/>
              </a:moveTo>
              <a:lnTo>
                <a:pt x="18129" y="1317864"/>
              </a:lnTo>
              <a:lnTo>
                <a:pt x="0" y="1299112"/>
              </a:lnTo>
              <a:lnTo>
                <a:pt x="795099" y="476708"/>
              </a:lnTo>
              <a:lnTo>
                <a:pt x="1067006" y="195463"/>
              </a:lnTo>
              <a:lnTo>
                <a:pt x="1255979" y="0"/>
              </a:lnTo>
              <a:lnTo>
                <a:pt x="1292238" y="0"/>
              </a:lnTo>
              <a:lnTo>
                <a:pt x="1095767" y="2032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0.76954</cdr:x>
      <cdr:y>0.72629</cdr:y>
    </cdr:from>
    <cdr:to>
      <cdr:x>0.94246</cdr:x>
      <cdr:y>0.90046</cdr:y>
    </cdr:to>
    <cdr:sp macro="" textlink="">
      <cdr:nvSpPr>
        <cdr:cNvPr id="158" name="FracNo 510 StartRow 1919">
          <a:extLst xmlns:a="http://schemas.openxmlformats.org/drawingml/2006/main">
            <a:ext uri="{FF2B5EF4-FFF2-40B4-BE49-F238E27FC236}">
              <a16:creationId xmlns:a16="http://schemas.microsoft.com/office/drawing/2014/main" id="{040DCAF9-CAAA-1A47-9B94-D719F00361AC}"/>
            </a:ext>
          </a:extLst>
        </cdr:cNvPr>
        <cdr:cNvSpPr/>
      </cdr:nvSpPr>
      <cdr:spPr>
        <a:xfrm xmlns:a="http://schemas.openxmlformats.org/drawingml/2006/main">
          <a:off x="5629312" y="5534317"/>
          <a:ext cx="1264996" cy="13271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996" h="1327191">
              <a:moveTo>
                <a:pt x="133048" y="1208325"/>
              </a:moveTo>
              <a:lnTo>
                <a:pt x="18129" y="1327190"/>
              </a:lnTo>
              <a:lnTo>
                <a:pt x="0" y="1308437"/>
              </a:lnTo>
              <a:lnTo>
                <a:pt x="116589" y="1187845"/>
              </a:lnTo>
              <a:lnTo>
                <a:pt x="1264995" y="0"/>
              </a:lnTo>
              <a:lnTo>
                <a:pt x="126499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0.77018</cdr:x>
      <cdr:y>0.36037</cdr:y>
    </cdr:from>
    <cdr:to>
      <cdr:x>0.94246</cdr:x>
      <cdr:y>0.5339</cdr:y>
    </cdr:to>
    <cdr:sp macro="" textlink="">
      <cdr:nvSpPr>
        <cdr:cNvPr id="159" name="FracNo 589 StartRow 1928">
          <a:extLst xmlns:a="http://schemas.openxmlformats.org/drawingml/2006/main">
            <a:ext uri="{FF2B5EF4-FFF2-40B4-BE49-F238E27FC236}">
              <a16:creationId xmlns:a16="http://schemas.microsoft.com/office/drawing/2014/main" id="{7A9E5F61-3779-8008-E6B6-7071D27B34B8}"/>
            </a:ext>
          </a:extLst>
        </cdr:cNvPr>
        <cdr:cNvSpPr/>
      </cdr:nvSpPr>
      <cdr:spPr>
        <a:xfrm xmlns:a="http://schemas.openxmlformats.org/drawingml/2006/main">
          <a:off x="5634053" y="2746012"/>
          <a:ext cx="1260255" cy="13222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0255" h="1322287">
              <a:moveTo>
                <a:pt x="1216061" y="45711"/>
              </a:moveTo>
              <a:lnTo>
                <a:pt x="0" y="1303533"/>
              </a:lnTo>
              <a:lnTo>
                <a:pt x="18130" y="1322286"/>
              </a:lnTo>
              <a:lnTo>
                <a:pt x="1231268" y="67486"/>
              </a:lnTo>
              <a:lnTo>
                <a:pt x="1237188" y="61362"/>
              </a:lnTo>
              <a:lnTo>
                <a:pt x="1260254" y="37504"/>
              </a:lnTo>
              <a:lnTo>
                <a:pt x="1260254" y="0"/>
              </a:lnTo>
              <a:lnTo>
                <a:pt x="1221997" y="395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0.77398</cdr:x>
      <cdr:y>0.63478</cdr:y>
    </cdr:from>
    <cdr:to>
      <cdr:x>0.94246</cdr:x>
      <cdr:y>0.80453</cdr:y>
    </cdr:to>
    <cdr:sp macro="" textlink="">
      <cdr:nvSpPr>
        <cdr:cNvPr id="160" name="FracNo 819 StartRow 1939">
          <a:extLst xmlns:a="http://schemas.openxmlformats.org/drawingml/2006/main">
            <a:ext uri="{FF2B5EF4-FFF2-40B4-BE49-F238E27FC236}">
              <a16:creationId xmlns:a16="http://schemas.microsoft.com/office/drawing/2014/main" id="{0F940953-F142-320C-C181-9DF20803F94C}"/>
            </a:ext>
          </a:extLst>
        </cdr:cNvPr>
        <cdr:cNvSpPr/>
      </cdr:nvSpPr>
      <cdr:spPr>
        <a:xfrm xmlns:a="http://schemas.openxmlformats.org/drawingml/2006/main">
          <a:off x="5661833" y="4836995"/>
          <a:ext cx="1232475" cy="12935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2475" h="1293553">
              <a:moveTo>
                <a:pt x="1043041" y="195939"/>
              </a:moveTo>
              <a:lnTo>
                <a:pt x="0" y="1274801"/>
              </a:lnTo>
              <a:lnTo>
                <a:pt x="18129" y="1293552"/>
              </a:lnTo>
              <a:lnTo>
                <a:pt x="1052097" y="224076"/>
              </a:lnTo>
              <a:lnTo>
                <a:pt x="1153244" y="119454"/>
              </a:lnTo>
              <a:lnTo>
                <a:pt x="1232474" y="37504"/>
              </a:lnTo>
              <a:lnTo>
                <a:pt x="1232474" y="0"/>
              </a:lnTo>
              <a:lnTo>
                <a:pt x="1145076" y="904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0.31018</cdr:x>
      <cdr:y>0.19186</cdr:y>
    </cdr:from>
    <cdr:to>
      <cdr:x>0.47826</cdr:x>
      <cdr:y>0.35876</cdr:y>
    </cdr:to>
    <cdr:sp macro="" textlink="">
      <cdr:nvSpPr>
        <cdr:cNvPr id="161" name="FracNo 435 StartRow 1950">
          <a:extLst xmlns:a="http://schemas.openxmlformats.org/drawingml/2006/main">
            <a:ext uri="{FF2B5EF4-FFF2-40B4-BE49-F238E27FC236}">
              <a16:creationId xmlns:a16="http://schemas.microsoft.com/office/drawing/2014/main" id="{C70BC0A1-FFFC-49FB-838B-F1C820C99880}"/>
            </a:ext>
          </a:extLst>
        </cdr:cNvPr>
        <cdr:cNvSpPr/>
      </cdr:nvSpPr>
      <cdr:spPr>
        <a:xfrm xmlns:a="http://schemas.openxmlformats.org/drawingml/2006/main">
          <a:off x="2269042" y="1461999"/>
          <a:ext cx="1229521" cy="12717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9521" h="1271745">
              <a:moveTo>
                <a:pt x="532590" y="739615"/>
              </a:moveTo>
              <a:lnTo>
                <a:pt x="485909" y="787900"/>
              </a:lnTo>
              <a:lnTo>
                <a:pt x="18129" y="1271744"/>
              </a:lnTo>
              <a:lnTo>
                <a:pt x="0" y="1252992"/>
              </a:lnTo>
              <a:lnTo>
                <a:pt x="467780" y="769148"/>
              </a:lnTo>
              <a:lnTo>
                <a:pt x="514461" y="720864"/>
              </a:lnTo>
              <a:lnTo>
                <a:pt x="1211391" y="0"/>
              </a:lnTo>
              <a:lnTo>
                <a:pt x="122952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0.53879</cdr:x>
      <cdr:y>0.67901</cdr:y>
    </cdr:from>
    <cdr:to>
      <cdr:x>0.7068</cdr:x>
      <cdr:y>0.84583</cdr:y>
    </cdr:to>
    <cdr:sp macro="" textlink="">
      <cdr:nvSpPr>
        <cdr:cNvPr id="162" name="FracNo 766 StartRow 1961">
          <a:extLst xmlns:a="http://schemas.openxmlformats.org/drawingml/2006/main">
            <a:ext uri="{FF2B5EF4-FFF2-40B4-BE49-F238E27FC236}">
              <a16:creationId xmlns:a16="http://schemas.microsoft.com/office/drawing/2014/main" id="{73C446E0-85F5-7402-CAA5-934E4DA766B6}"/>
            </a:ext>
          </a:extLst>
        </cdr:cNvPr>
        <cdr:cNvSpPr/>
      </cdr:nvSpPr>
      <cdr:spPr>
        <a:xfrm xmlns:a="http://schemas.openxmlformats.org/drawingml/2006/main">
          <a:off x="3941361" y="5174035"/>
          <a:ext cx="1229017" cy="12712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9017" h="1271224">
              <a:moveTo>
                <a:pt x="60717" y="1189669"/>
              </a:moveTo>
              <a:lnTo>
                <a:pt x="0" y="1252471"/>
              </a:lnTo>
              <a:lnTo>
                <a:pt x="18129" y="1271223"/>
              </a:lnTo>
              <a:lnTo>
                <a:pt x="78846" y="1208421"/>
              </a:lnTo>
              <a:lnTo>
                <a:pt x="887800" y="371685"/>
              </a:lnTo>
              <a:lnTo>
                <a:pt x="1229016" y="18752"/>
              </a:lnTo>
              <a:lnTo>
                <a:pt x="1210887" y="0"/>
              </a:lnTo>
              <a:lnTo>
                <a:pt x="869671" y="3529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0.74108</cdr:x>
      <cdr:y>0.12093</cdr:y>
    </cdr:from>
    <cdr:to>
      <cdr:x>0.90847</cdr:x>
      <cdr:y>0.28714</cdr:y>
    </cdr:to>
    <cdr:sp macro="" textlink="">
      <cdr:nvSpPr>
        <cdr:cNvPr id="163" name="FracNo 748 StartRow 1972">
          <a:extLst xmlns:a="http://schemas.openxmlformats.org/drawingml/2006/main">
            <a:ext uri="{FF2B5EF4-FFF2-40B4-BE49-F238E27FC236}">
              <a16:creationId xmlns:a16="http://schemas.microsoft.com/office/drawing/2014/main" id="{BDF3B32F-A9E6-9A09-18E4-23FE34307F21}"/>
            </a:ext>
          </a:extLst>
        </cdr:cNvPr>
        <cdr:cNvSpPr/>
      </cdr:nvSpPr>
      <cdr:spPr>
        <a:xfrm xmlns:a="http://schemas.openxmlformats.org/drawingml/2006/main">
          <a:off x="5421150" y="921512"/>
          <a:ext cx="1224476" cy="12665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4476" h="1266526">
              <a:moveTo>
                <a:pt x="1114091" y="132926"/>
              </a:moveTo>
              <a:lnTo>
                <a:pt x="18130" y="1266525"/>
              </a:lnTo>
              <a:lnTo>
                <a:pt x="0" y="1247773"/>
              </a:lnTo>
              <a:lnTo>
                <a:pt x="1095962" y="114174"/>
              </a:lnTo>
              <a:lnTo>
                <a:pt x="1206345" y="0"/>
              </a:lnTo>
              <a:lnTo>
                <a:pt x="12244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0.73794</cdr:x>
      <cdr:y>0.11781</cdr:y>
    </cdr:from>
    <cdr:to>
      <cdr:x>0.90533</cdr:x>
      <cdr:y>0.28403</cdr:y>
    </cdr:to>
    <cdr:sp macro="" textlink="">
      <cdr:nvSpPr>
        <cdr:cNvPr id="164" name="FracNo 272 StartRow 1981">
          <a:extLst xmlns:a="http://schemas.openxmlformats.org/drawingml/2006/main">
            <a:ext uri="{FF2B5EF4-FFF2-40B4-BE49-F238E27FC236}">
              <a16:creationId xmlns:a16="http://schemas.microsoft.com/office/drawing/2014/main" id="{D06D2789-3933-F8E5-9132-A5645CA9CA2D}"/>
            </a:ext>
          </a:extLst>
        </cdr:cNvPr>
        <cdr:cNvSpPr/>
      </cdr:nvSpPr>
      <cdr:spPr>
        <a:xfrm xmlns:a="http://schemas.openxmlformats.org/drawingml/2006/main">
          <a:off x="5398173" y="897745"/>
          <a:ext cx="1224476" cy="12665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4476" h="1266526">
              <a:moveTo>
                <a:pt x="928608" y="287275"/>
              </a:moveTo>
              <a:lnTo>
                <a:pt x="0" y="1247773"/>
              </a:lnTo>
              <a:lnTo>
                <a:pt x="18129" y="1266525"/>
              </a:lnTo>
              <a:lnTo>
                <a:pt x="946737" y="306027"/>
              </a:lnTo>
              <a:lnTo>
                <a:pt x="1224475" y="18752"/>
              </a:lnTo>
              <a:lnTo>
                <a:pt x="12063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0.10663</cdr:x>
      <cdr:y>0.08544</cdr:y>
    </cdr:from>
    <cdr:to>
      <cdr:x>0.27481</cdr:x>
      <cdr:y>0.24998</cdr:y>
    </cdr:to>
    <cdr:sp macro="" textlink="">
      <cdr:nvSpPr>
        <cdr:cNvPr id="165" name="FracNo 185 StartRow 1990">
          <a:extLst xmlns:a="http://schemas.openxmlformats.org/drawingml/2006/main">
            <a:ext uri="{FF2B5EF4-FFF2-40B4-BE49-F238E27FC236}">
              <a16:creationId xmlns:a16="http://schemas.microsoft.com/office/drawing/2014/main" id="{78516B8C-73A9-3D9F-0082-57D0FF9E37D9}"/>
            </a:ext>
          </a:extLst>
        </cdr:cNvPr>
        <cdr:cNvSpPr/>
      </cdr:nvSpPr>
      <cdr:spPr>
        <a:xfrm xmlns:a="http://schemas.openxmlformats.org/drawingml/2006/main">
          <a:off x="780005" y="651036"/>
          <a:ext cx="1230286" cy="12537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0286" h="1253785">
              <a:moveTo>
                <a:pt x="248349" y="978154"/>
              </a:moveTo>
              <a:lnTo>
                <a:pt x="0" y="1235031"/>
              </a:lnTo>
              <a:lnTo>
                <a:pt x="18129" y="1253784"/>
              </a:lnTo>
              <a:lnTo>
                <a:pt x="270249" y="993006"/>
              </a:lnTo>
              <a:lnTo>
                <a:pt x="1230285" y="0"/>
              </a:lnTo>
              <a:lnTo>
                <a:pt x="11940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0.77711</cdr:x>
      <cdr:y>0.76591</cdr:y>
    </cdr:from>
    <cdr:to>
      <cdr:x>0.94246</cdr:x>
      <cdr:y>0.9301</cdr:y>
    </cdr:to>
    <cdr:sp macro="" textlink="">
      <cdr:nvSpPr>
        <cdr:cNvPr id="166" name="FracNo 507 StartRow 1999">
          <a:extLst xmlns:a="http://schemas.openxmlformats.org/drawingml/2006/main">
            <a:ext uri="{FF2B5EF4-FFF2-40B4-BE49-F238E27FC236}">
              <a16:creationId xmlns:a16="http://schemas.microsoft.com/office/drawing/2014/main" id="{B51D84F1-F795-C04D-6CD8-EB164C085524}"/>
            </a:ext>
          </a:extLst>
        </cdr:cNvPr>
        <cdr:cNvSpPr/>
      </cdr:nvSpPr>
      <cdr:spPr>
        <a:xfrm xmlns:a="http://schemas.openxmlformats.org/drawingml/2006/main">
          <a:off x="5684712" y="5836229"/>
          <a:ext cx="1209596" cy="1251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9596" h="1251137">
              <a:moveTo>
                <a:pt x="102591" y="1145022"/>
              </a:moveTo>
              <a:lnTo>
                <a:pt x="0" y="1251136"/>
              </a:lnTo>
              <a:lnTo>
                <a:pt x="36258" y="1251136"/>
              </a:lnTo>
              <a:lnTo>
                <a:pt x="135774" y="1148202"/>
              </a:lnTo>
              <a:lnTo>
                <a:pt x="1209595" y="37504"/>
              </a:lnTo>
              <a:lnTo>
                <a:pt x="12095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0.60752</cdr:y>
    </cdr:from>
    <cdr:to>
      <cdr:x>0.25521</cdr:x>
      <cdr:y>0.77222</cdr:y>
    </cdr:to>
    <cdr:sp macro="" textlink="">
      <cdr:nvSpPr>
        <cdr:cNvPr id="167" name="FracNo 36 StartRow 2008">
          <a:extLst xmlns:a="http://schemas.openxmlformats.org/drawingml/2006/main">
            <a:ext uri="{FF2B5EF4-FFF2-40B4-BE49-F238E27FC236}">
              <a16:creationId xmlns:a16="http://schemas.microsoft.com/office/drawing/2014/main" id="{19CE6EA0-C60C-4BCF-6C45-CBBC8C86015F}"/>
            </a:ext>
          </a:extLst>
        </cdr:cNvPr>
        <cdr:cNvSpPr/>
      </cdr:nvSpPr>
      <cdr:spPr>
        <a:xfrm xmlns:a="http://schemas.openxmlformats.org/drawingml/2006/main">
          <a:off x="671676" y="4629300"/>
          <a:ext cx="1195208" cy="12550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5208" h="1255005">
              <a:moveTo>
                <a:pt x="649900" y="545281"/>
              </a:moveTo>
              <a:lnTo>
                <a:pt x="0" y="1217500"/>
              </a:lnTo>
              <a:lnTo>
                <a:pt x="0" y="1255004"/>
              </a:lnTo>
              <a:lnTo>
                <a:pt x="663230" y="568997"/>
              </a:lnTo>
              <a:lnTo>
                <a:pt x="902029" y="321998"/>
              </a:lnTo>
              <a:lnTo>
                <a:pt x="1195207" y="18752"/>
              </a:lnTo>
              <a:lnTo>
                <a:pt x="1177077" y="0"/>
              </a:lnTo>
              <a:lnTo>
                <a:pt x="883899" y="3032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0.63106</cdr:x>
      <cdr:y>0.77008</cdr:y>
    </cdr:from>
    <cdr:to>
      <cdr:x>0.79469</cdr:x>
      <cdr:y>0.9301</cdr:y>
    </cdr:to>
    <cdr:sp macro="" textlink="">
      <cdr:nvSpPr>
        <cdr:cNvPr id="168" name="FracNo 520 StartRow 2019">
          <a:extLst xmlns:a="http://schemas.openxmlformats.org/drawingml/2006/main">
            <a:ext uri="{FF2B5EF4-FFF2-40B4-BE49-F238E27FC236}">
              <a16:creationId xmlns:a16="http://schemas.microsoft.com/office/drawing/2014/main" id="{1D0D3C17-1739-C1C3-6818-44B5EB5D765C}"/>
            </a:ext>
          </a:extLst>
        </cdr:cNvPr>
        <cdr:cNvSpPr/>
      </cdr:nvSpPr>
      <cdr:spPr>
        <a:xfrm xmlns:a="http://schemas.openxmlformats.org/drawingml/2006/main">
          <a:off x="4616366" y="5868029"/>
          <a:ext cx="1196982" cy="12193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6982" h="1219337">
              <a:moveTo>
                <a:pt x="997415" y="225172"/>
              </a:moveTo>
              <a:lnTo>
                <a:pt x="220123" y="1029157"/>
              </a:lnTo>
              <a:lnTo>
                <a:pt x="36259" y="1219336"/>
              </a:lnTo>
              <a:lnTo>
                <a:pt x="0" y="1219336"/>
              </a:lnTo>
              <a:lnTo>
                <a:pt x="187338" y="1025564"/>
              </a:lnTo>
              <a:lnTo>
                <a:pt x="976292" y="209516"/>
              </a:lnTo>
              <a:lnTo>
                <a:pt x="1178852" y="0"/>
              </a:lnTo>
              <a:lnTo>
                <a:pt x="11969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0.59236</cdr:x>
      <cdr:y>0.68822</cdr:y>
    </cdr:from>
    <cdr:to>
      <cdr:x>0.75419</cdr:x>
      <cdr:y>0.84892</cdr:y>
    </cdr:to>
    <cdr:sp macro="" textlink="">
      <cdr:nvSpPr>
        <cdr:cNvPr id="169" name="FracNo 678 StartRow 2030">
          <a:extLst xmlns:a="http://schemas.openxmlformats.org/drawingml/2006/main">
            <a:ext uri="{FF2B5EF4-FFF2-40B4-BE49-F238E27FC236}">
              <a16:creationId xmlns:a16="http://schemas.microsoft.com/office/drawing/2014/main" id="{B6B26ADE-366C-E3D5-EE61-3668BF4C882F}"/>
            </a:ext>
          </a:extLst>
        </cdr:cNvPr>
        <cdr:cNvSpPr/>
      </cdr:nvSpPr>
      <cdr:spPr>
        <a:xfrm xmlns:a="http://schemas.openxmlformats.org/drawingml/2006/main">
          <a:off x="4333228" y="5244263"/>
          <a:ext cx="1183837" cy="12244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3837" h="1224492">
              <a:moveTo>
                <a:pt x="265214" y="931417"/>
              </a:moveTo>
              <a:lnTo>
                <a:pt x="0" y="1205739"/>
              </a:lnTo>
              <a:lnTo>
                <a:pt x="18129" y="1224491"/>
              </a:lnTo>
              <a:lnTo>
                <a:pt x="283343" y="950169"/>
              </a:lnTo>
              <a:lnTo>
                <a:pt x="495933" y="730279"/>
              </a:lnTo>
              <a:lnTo>
                <a:pt x="1183836" y="18751"/>
              </a:lnTo>
              <a:lnTo>
                <a:pt x="1165707" y="0"/>
              </a:lnTo>
              <a:lnTo>
                <a:pt x="477804" y="7115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0.45024</cdr:x>
      <cdr:y>0.2114</cdr:y>
    </cdr:from>
    <cdr:to>
      <cdr:x>0.61187</cdr:x>
      <cdr:y>0.37189</cdr:y>
    </cdr:to>
    <cdr:sp macro="" textlink="">
      <cdr:nvSpPr>
        <cdr:cNvPr id="170" name="FracNo 438 StartRow 2041">
          <a:extLst xmlns:a="http://schemas.openxmlformats.org/drawingml/2006/main">
            <a:ext uri="{FF2B5EF4-FFF2-40B4-BE49-F238E27FC236}">
              <a16:creationId xmlns:a16="http://schemas.microsoft.com/office/drawing/2014/main" id="{5ED25900-0BBB-D4BB-88AE-7A5EBBBD5ABE}"/>
            </a:ext>
          </a:extLst>
        </cdr:cNvPr>
        <cdr:cNvSpPr/>
      </cdr:nvSpPr>
      <cdr:spPr>
        <a:xfrm xmlns:a="http://schemas.openxmlformats.org/drawingml/2006/main">
          <a:off x="3293597" y="1610852"/>
          <a:ext cx="1182321" cy="12229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2321" h="1222924">
              <a:moveTo>
                <a:pt x="127812" y="1071970"/>
              </a:moveTo>
              <a:lnTo>
                <a:pt x="26993" y="1176251"/>
              </a:lnTo>
              <a:lnTo>
                <a:pt x="0" y="1204172"/>
              </a:lnTo>
              <a:lnTo>
                <a:pt x="18129" y="1222923"/>
              </a:lnTo>
              <a:lnTo>
                <a:pt x="45122" y="1195003"/>
              </a:lnTo>
              <a:lnTo>
                <a:pt x="145941" y="1090722"/>
              </a:lnTo>
              <a:lnTo>
                <a:pt x="1182320" y="18752"/>
              </a:lnTo>
              <a:lnTo>
                <a:pt x="11641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0.16939</cdr:x>
      <cdr:y>0.77246</cdr:y>
    </cdr:from>
    <cdr:to>
      <cdr:x>0.33062</cdr:x>
      <cdr:y>0.9301</cdr:y>
    </cdr:to>
    <cdr:sp macro="" textlink="">
      <cdr:nvSpPr>
        <cdr:cNvPr id="171" name="FracNo 37 StartRow 2052">
          <a:extLst xmlns:a="http://schemas.openxmlformats.org/drawingml/2006/main">
            <a:ext uri="{FF2B5EF4-FFF2-40B4-BE49-F238E27FC236}">
              <a16:creationId xmlns:a16="http://schemas.microsoft.com/office/drawing/2014/main" id="{53C7D750-773B-3B41-C973-B96AE91A9226}"/>
            </a:ext>
          </a:extLst>
        </cdr:cNvPr>
        <cdr:cNvSpPr/>
      </cdr:nvSpPr>
      <cdr:spPr>
        <a:xfrm xmlns:a="http://schemas.openxmlformats.org/drawingml/2006/main">
          <a:off x="1239141" y="5886181"/>
          <a:ext cx="1179432" cy="12011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432" h="1201185">
              <a:moveTo>
                <a:pt x="269454" y="922477"/>
              </a:moveTo>
              <a:lnTo>
                <a:pt x="0" y="1201184"/>
              </a:lnTo>
              <a:lnTo>
                <a:pt x="36258" y="1201184"/>
              </a:lnTo>
              <a:lnTo>
                <a:pt x="301506" y="926828"/>
              </a:lnTo>
              <a:lnTo>
                <a:pt x="1179431" y="18752"/>
              </a:lnTo>
              <a:lnTo>
                <a:pt x="11613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0.35333</cdr:x>
      <cdr:y>0.35254</cdr:y>
    </cdr:from>
    <cdr:to>
      <cdr:x>0.51122</cdr:x>
      <cdr:y>0.50932</cdr:y>
    </cdr:to>
    <cdr:sp macro="" textlink="">
      <cdr:nvSpPr>
        <cdr:cNvPr id="172" name="FracNo 800 StartRow 2061">
          <a:extLst xmlns:a="http://schemas.openxmlformats.org/drawingml/2006/main">
            <a:ext uri="{FF2B5EF4-FFF2-40B4-BE49-F238E27FC236}">
              <a16:creationId xmlns:a16="http://schemas.microsoft.com/office/drawing/2014/main" id="{E0C07157-2946-96C6-A682-854BE17EA61C}"/>
            </a:ext>
          </a:extLst>
        </cdr:cNvPr>
        <cdr:cNvSpPr/>
      </cdr:nvSpPr>
      <cdr:spPr>
        <a:xfrm xmlns:a="http://schemas.openxmlformats.org/drawingml/2006/main">
          <a:off x="2584685" y="2686334"/>
          <a:ext cx="1155009" cy="11946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5009" h="1194674">
              <a:moveTo>
                <a:pt x="797552" y="350980"/>
              </a:moveTo>
              <a:lnTo>
                <a:pt x="152137" y="1018560"/>
              </a:lnTo>
              <a:lnTo>
                <a:pt x="0" y="1175921"/>
              </a:lnTo>
              <a:lnTo>
                <a:pt x="18130" y="1194673"/>
              </a:lnTo>
              <a:lnTo>
                <a:pt x="170266" y="1037311"/>
              </a:lnTo>
              <a:lnTo>
                <a:pt x="815681" y="369732"/>
              </a:lnTo>
              <a:lnTo>
                <a:pt x="1057584" y="119521"/>
              </a:lnTo>
              <a:lnTo>
                <a:pt x="1155008" y="18751"/>
              </a:lnTo>
              <a:lnTo>
                <a:pt x="1136879" y="0"/>
              </a:lnTo>
              <a:lnTo>
                <a:pt x="1039455" y="1007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0.17487</cdr:x>
      <cdr:y>0.77519</cdr:y>
    </cdr:from>
    <cdr:to>
      <cdr:x>0.33336</cdr:x>
      <cdr:y>0.9301</cdr:y>
    </cdr:to>
    <cdr:sp macro="" textlink="">
      <cdr:nvSpPr>
        <cdr:cNvPr id="173" name="FracNo 22 StartRow 2074">
          <a:extLst xmlns:a="http://schemas.openxmlformats.org/drawingml/2006/main">
            <a:ext uri="{FF2B5EF4-FFF2-40B4-BE49-F238E27FC236}">
              <a16:creationId xmlns:a16="http://schemas.microsoft.com/office/drawing/2014/main" id="{91370D00-144F-C0AF-8D79-2E8344153AF3}"/>
            </a:ext>
          </a:extLst>
        </cdr:cNvPr>
        <cdr:cNvSpPr/>
      </cdr:nvSpPr>
      <cdr:spPr>
        <a:xfrm xmlns:a="http://schemas.openxmlformats.org/drawingml/2006/main">
          <a:off x="1279236" y="5906917"/>
          <a:ext cx="1159385" cy="11804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9385" h="1180449">
              <a:moveTo>
                <a:pt x="726306" y="429199"/>
              </a:moveTo>
              <a:lnTo>
                <a:pt x="0" y="1180448"/>
              </a:lnTo>
              <a:lnTo>
                <a:pt x="36258" y="1180448"/>
              </a:lnTo>
              <a:lnTo>
                <a:pt x="751027" y="441132"/>
              </a:lnTo>
              <a:lnTo>
                <a:pt x="1159384" y="18752"/>
              </a:lnTo>
              <a:lnTo>
                <a:pt x="11412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0.29523</cdr:x>
      <cdr:y>0.48019</cdr:y>
    </cdr:from>
    <cdr:to>
      <cdr:x>0.45188</cdr:x>
      <cdr:y>0.63574</cdr:y>
    </cdr:to>
    <cdr:sp macro="" textlink="">
      <cdr:nvSpPr>
        <cdr:cNvPr id="174" name="FracNo 742 StartRow 2083">
          <a:extLst xmlns:a="http://schemas.openxmlformats.org/drawingml/2006/main">
            <a:ext uri="{FF2B5EF4-FFF2-40B4-BE49-F238E27FC236}">
              <a16:creationId xmlns:a16="http://schemas.microsoft.com/office/drawing/2014/main" id="{AB1B88A8-A31B-8B78-8E1D-DC425A7DFB81}"/>
            </a:ext>
          </a:extLst>
        </cdr:cNvPr>
        <cdr:cNvSpPr/>
      </cdr:nvSpPr>
      <cdr:spPr>
        <a:xfrm xmlns:a="http://schemas.openxmlformats.org/drawingml/2006/main">
          <a:off x="2159683" y="3659057"/>
          <a:ext cx="1145919" cy="11852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5919" h="1185271">
              <a:moveTo>
                <a:pt x="513341" y="635549"/>
              </a:moveTo>
              <a:lnTo>
                <a:pt x="0" y="1166518"/>
              </a:lnTo>
              <a:lnTo>
                <a:pt x="18130" y="1185270"/>
              </a:lnTo>
              <a:lnTo>
                <a:pt x="531470" y="654301"/>
              </a:lnTo>
              <a:lnTo>
                <a:pt x="595268" y="588312"/>
              </a:lnTo>
              <a:lnTo>
                <a:pt x="1145918" y="18752"/>
              </a:lnTo>
              <a:lnTo>
                <a:pt x="1127788" y="0"/>
              </a:lnTo>
              <a:lnTo>
                <a:pt x="577139" y="5695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0.17595</cdr:x>
      <cdr:y>0.3811</cdr:y>
    </cdr:from>
    <cdr:to>
      <cdr:x>0.33139</cdr:x>
      <cdr:y>0.53545</cdr:y>
    </cdr:to>
    <cdr:sp macro="" textlink="">
      <cdr:nvSpPr>
        <cdr:cNvPr id="175" name="FracNo 770 StartRow 2094">
          <a:extLst xmlns:a="http://schemas.openxmlformats.org/drawingml/2006/main">
            <a:ext uri="{FF2B5EF4-FFF2-40B4-BE49-F238E27FC236}">
              <a16:creationId xmlns:a16="http://schemas.microsoft.com/office/drawing/2014/main" id="{F1315DCC-3673-DB5F-5C67-79CB2E1F504F}"/>
            </a:ext>
          </a:extLst>
        </cdr:cNvPr>
        <cdr:cNvSpPr/>
      </cdr:nvSpPr>
      <cdr:spPr>
        <a:xfrm xmlns:a="http://schemas.openxmlformats.org/drawingml/2006/main">
          <a:off x="1287084" y="2904009"/>
          <a:ext cx="1137095" cy="11761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7095" h="1176145">
              <a:moveTo>
                <a:pt x="172972" y="978480"/>
              </a:moveTo>
              <a:lnTo>
                <a:pt x="0" y="1157392"/>
              </a:lnTo>
              <a:lnTo>
                <a:pt x="18129" y="1176144"/>
              </a:lnTo>
              <a:lnTo>
                <a:pt x="191102" y="997232"/>
              </a:lnTo>
              <a:lnTo>
                <a:pt x="1137094" y="18752"/>
              </a:lnTo>
              <a:lnTo>
                <a:pt x="11189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0.49471</cdr:x>
      <cdr:y>0.64338</cdr:y>
    </cdr:from>
    <cdr:to>
      <cdr:x>0.64927</cdr:x>
      <cdr:y>0.79685</cdr:y>
    </cdr:to>
    <cdr:sp macro="" textlink="">
      <cdr:nvSpPr>
        <cdr:cNvPr id="176" name="FracNo 661 StartRow 2103">
          <a:extLst xmlns:a="http://schemas.openxmlformats.org/drawingml/2006/main">
            <a:ext uri="{FF2B5EF4-FFF2-40B4-BE49-F238E27FC236}">
              <a16:creationId xmlns:a16="http://schemas.microsoft.com/office/drawing/2014/main" id="{8B4A8AA0-4070-527C-A19C-9E7603E35642}"/>
            </a:ext>
          </a:extLst>
        </cdr:cNvPr>
        <cdr:cNvSpPr/>
      </cdr:nvSpPr>
      <cdr:spPr>
        <a:xfrm xmlns:a="http://schemas.openxmlformats.org/drawingml/2006/main">
          <a:off x="3618890" y="4902557"/>
          <a:ext cx="1130633" cy="11694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0633" h="1169461">
              <a:moveTo>
                <a:pt x="236023" y="906580"/>
              </a:moveTo>
              <a:lnTo>
                <a:pt x="0" y="1150708"/>
              </a:lnTo>
              <a:lnTo>
                <a:pt x="18129" y="1169460"/>
              </a:lnTo>
              <a:lnTo>
                <a:pt x="254152" y="925331"/>
              </a:lnTo>
              <a:lnTo>
                <a:pt x="1101638" y="48741"/>
              </a:lnTo>
              <a:lnTo>
                <a:pt x="1130632" y="18752"/>
              </a:lnTo>
              <a:lnTo>
                <a:pt x="1112502" y="0"/>
              </a:lnTo>
              <a:lnTo>
                <a:pt x="1083509" y="299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0.19997</cdr:x>
      <cdr:y>0.66043</cdr:y>
    </cdr:from>
    <cdr:to>
      <cdr:x>0.35303</cdr:x>
      <cdr:y>0.81242</cdr:y>
    </cdr:to>
    <cdr:sp macro="" textlink="">
      <cdr:nvSpPr>
        <cdr:cNvPr id="177" name="FracNo 24 StartRow 2114">
          <a:extLst xmlns:a="http://schemas.openxmlformats.org/drawingml/2006/main">
            <a:ext uri="{FF2B5EF4-FFF2-40B4-BE49-F238E27FC236}">
              <a16:creationId xmlns:a16="http://schemas.microsoft.com/office/drawing/2014/main" id="{9116F1FA-9E64-4D0D-3708-AA1065AC29F9}"/>
            </a:ext>
          </a:extLst>
        </cdr:cNvPr>
        <cdr:cNvSpPr/>
      </cdr:nvSpPr>
      <cdr:spPr>
        <a:xfrm xmlns:a="http://schemas.openxmlformats.org/drawingml/2006/main">
          <a:off x="1462806" y="5032507"/>
          <a:ext cx="1119654" cy="11581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9654" h="1158105">
              <a:moveTo>
                <a:pt x="438698" y="685589"/>
              </a:moveTo>
              <a:lnTo>
                <a:pt x="0" y="1139353"/>
              </a:lnTo>
              <a:lnTo>
                <a:pt x="18129" y="1158104"/>
              </a:lnTo>
              <a:lnTo>
                <a:pt x="456827" y="704340"/>
              </a:lnTo>
              <a:lnTo>
                <a:pt x="1119653" y="18752"/>
              </a:lnTo>
              <a:lnTo>
                <a:pt x="11015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0.7137</cdr:x>
      <cdr:y>0.46907</cdr:y>
    </cdr:from>
    <cdr:to>
      <cdr:x>0.86447</cdr:x>
      <cdr:y>0.61878</cdr:y>
    </cdr:to>
    <cdr:sp macro="" textlink="">
      <cdr:nvSpPr>
        <cdr:cNvPr id="178" name="FracNo 733 StartRow 2123">
          <a:extLst xmlns:a="http://schemas.openxmlformats.org/drawingml/2006/main">
            <a:ext uri="{FF2B5EF4-FFF2-40B4-BE49-F238E27FC236}">
              <a16:creationId xmlns:a16="http://schemas.microsoft.com/office/drawing/2014/main" id="{2DF1048C-1F8D-7569-62C6-F3D2E1905DF8}"/>
            </a:ext>
          </a:extLst>
        </cdr:cNvPr>
        <cdr:cNvSpPr/>
      </cdr:nvSpPr>
      <cdr:spPr>
        <a:xfrm xmlns:a="http://schemas.openxmlformats.org/drawingml/2006/main">
          <a:off x="5220836" y="3574295"/>
          <a:ext cx="1102908" cy="1140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2908" h="1140784">
              <a:moveTo>
                <a:pt x="393206" y="715322"/>
              </a:moveTo>
              <a:lnTo>
                <a:pt x="0" y="1122031"/>
              </a:lnTo>
              <a:lnTo>
                <a:pt x="18130" y="1140783"/>
              </a:lnTo>
              <a:lnTo>
                <a:pt x="411335" y="734074"/>
              </a:lnTo>
              <a:lnTo>
                <a:pt x="1102907" y="18752"/>
              </a:lnTo>
              <a:lnTo>
                <a:pt x="10847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0.24204</cdr:x>
      <cdr:y>0.23461</cdr:y>
    </cdr:to>
    <cdr:sp macro="" textlink="">
      <cdr:nvSpPr>
        <cdr:cNvPr id="179" name="FracNo 833 StartRow 2132">
          <a:extLst xmlns:a="http://schemas.openxmlformats.org/drawingml/2006/main">
            <a:ext uri="{FF2B5EF4-FFF2-40B4-BE49-F238E27FC236}">
              <a16:creationId xmlns:a16="http://schemas.microsoft.com/office/drawing/2014/main" id="{3DC54C94-B2DD-A0AC-0D06-6BD3459BB999}"/>
            </a:ext>
          </a:extLst>
        </cdr:cNvPr>
        <cdr:cNvSpPr/>
      </cdr:nvSpPr>
      <cdr:spPr>
        <a:xfrm xmlns:a="http://schemas.openxmlformats.org/drawingml/2006/main">
          <a:off x="671676" y="651036"/>
          <a:ext cx="1098929" cy="1136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8929" h="1136669">
              <a:moveTo>
                <a:pt x="950545" y="115975"/>
              </a:moveTo>
              <a:lnTo>
                <a:pt x="0" y="1099164"/>
              </a:lnTo>
              <a:lnTo>
                <a:pt x="0" y="1136668"/>
              </a:lnTo>
              <a:lnTo>
                <a:pt x="982978" y="119932"/>
              </a:lnTo>
              <a:lnTo>
                <a:pt x="1098928" y="0"/>
              </a:lnTo>
              <a:lnTo>
                <a:pt x="10626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0.59774</cdr:x>
      <cdr:y>0.28608</cdr:y>
    </cdr:from>
    <cdr:to>
      <cdr:x>0.74469</cdr:x>
      <cdr:y>0.432</cdr:y>
    </cdr:to>
    <cdr:sp macro="" textlink="">
      <cdr:nvSpPr>
        <cdr:cNvPr id="180" name="FracNo 273 StartRow 2141">
          <a:extLst xmlns:a="http://schemas.openxmlformats.org/drawingml/2006/main">
            <a:ext uri="{FF2B5EF4-FFF2-40B4-BE49-F238E27FC236}">
              <a16:creationId xmlns:a16="http://schemas.microsoft.com/office/drawing/2014/main" id="{4AEB8527-E6B5-5FCD-C7F1-B798F82E53B8}"/>
            </a:ext>
          </a:extLst>
        </cdr:cNvPr>
        <cdr:cNvSpPr/>
      </cdr:nvSpPr>
      <cdr:spPr>
        <a:xfrm xmlns:a="http://schemas.openxmlformats.org/drawingml/2006/main">
          <a:off x="4372593" y="2179927"/>
          <a:ext cx="1074987" cy="11119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4987" h="1111905">
              <a:moveTo>
                <a:pt x="614881" y="457155"/>
              </a:moveTo>
              <a:lnTo>
                <a:pt x="469840" y="607176"/>
              </a:lnTo>
              <a:lnTo>
                <a:pt x="438439" y="639656"/>
              </a:lnTo>
              <a:lnTo>
                <a:pt x="0" y="1093152"/>
              </a:lnTo>
              <a:lnTo>
                <a:pt x="18129" y="1111904"/>
              </a:lnTo>
              <a:lnTo>
                <a:pt x="456568" y="658407"/>
              </a:lnTo>
              <a:lnTo>
                <a:pt x="487970" y="625928"/>
              </a:lnTo>
              <a:lnTo>
                <a:pt x="633010" y="475907"/>
              </a:lnTo>
              <a:lnTo>
                <a:pt x="1074986" y="18752"/>
              </a:lnTo>
              <a:lnTo>
                <a:pt x="10568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0.37029</cdr:x>
      <cdr:y>0.08544</cdr:y>
    </cdr:from>
    <cdr:to>
      <cdr:x>0.5177</cdr:x>
      <cdr:y>0.22935</cdr:y>
    </cdr:to>
    <cdr:sp macro="" textlink="">
      <cdr:nvSpPr>
        <cdr:cNvPr id="181" name="FracNo 828 StartRow 2154">
          <a:extLst xmlns:a="http://schemas.openxmlformats.org/drawingml/2006/main">
            <a:ext uri="{FF2B5EF4-FFF2-40B4-BE49-F238E27FC236}">
              <a16:creationId xmlns:a16="http://schemas.microsoft.com/office/drawing/2014/main" id="{0E0CB9B7-82ED-E778-3E70-2FC65BED9579}"/>
            </a:ext>
          </a:extLst>
        </cdr:cNvPr>
        <cdr:cNvSpPr/>
      </cdr:nvSpPr>
      <cdr:spPr>
        <a:xfrm xmlns:a="http://schemas.openxmlformats.org/drawingml/2006/main">
          <a:off x="2708717" y="651036"/>
          <a:ext cx="1078337" cy="10966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8337" h="1096616">
              <a:moveTo>
                <a:pt x="248235" y="858608"/>
              </a:moveTo>
              <a:lnTo>
                <a:pt x="46234" y="1067546"/>
              </a:lnTo>
              <a:lnTo>
                <a:pt x="18130" y="1096615"/>
              </a:lnTo>
              <a:lnTo>
                <a:pt x="0" y="1077864"/>
              </a:lnTo>
              <a:lnTo>
                <a:pt x="28105" y="1048794"/>
              </a:lnTo>
              <a:lnTo>
                <a:pt x="226557" y="843526"/>
              </a:lnTo>
              <a:lnTo>
                <a:pt x="1042077" y="0"/>
              </a:lnTo>
              <a:lnTo>
                <a:pt x="10783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0.18194</cdr:x>
      <cdr:y>0.08544</cdr:y>
    </cdr:from>
    <cdr:to>
      <cdr:x>0.3289</cdr:x>
      <cdr:y>0.2289</cdr:y>
    </cdr:to>
    <cdr:sp macro="" textlink="">
      <cdr:nvSpPr>
        <cdr:cNvPr id="182" name="FracNo 768 StartRow 2165">
          <a:extLst xmlns:a="http://schemas.openxmlformats.org/drawingml/2006/main">
            <a:ext uri="{FF2B5EF4-FFF2-40B4-BE49-F238E27FC236}">
              <a16:creationId xmlns:a16="http://schemas.microsoft.com/office/drawing/2014/main" id="{C977D4D5-EF82-80A2-292F-1D60F10C1D7F}"/>
            </a:ext>
          </a:extLst>
        </cdr:cNvPr>
        <cdr:cNvSpPr/>
      </cdr:nvSpPr>
      <cdr:spPr>
        <a:xfrm xmlns:a="http://schemas.openxmlformats.org/drawingml/2006/main">
          <a:off x="1330964" y="651036"/>
          <a:ext cx="1075008" cy="1093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5008" h="1093174">
              <a:moveTo>
                <a:pt x="134802" y="972493"/>
              </a:moveTo>
              <a:lnTo>
                <a:pt x="18129" y="1093173"/>
              </a:lnTo>
              <a:lnTo>
                <a:pt x="0" y="1074421"/>
              </a:lnTo>
              <a:lnTo>
                <a:pt x="114672" y="955811"/>
              </a:lnTo>
              <a:lnTo>
                <a:pt x="1038748" y="0"/>
              </a:lnTo>
              <a:lnTo>
                <a:pt x="10750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0.42212</cdr:x>
      <cdr:y>0.33719</cdr:y>
    </cdr:from>
    <cdr:to>
      <cdr:x>0.56769</cdr:x>
      <cdr:y>0.48173</cdr:y>
    </cdr:to>
    <cdr:sp macro="" textlink="">
      <cdr:nvSpPr>
        <cdr:cNvPr id="183" name="FracNo 354 StartRow 2174">
          <a:extLst xmlns:a="http://schemas.openxmlformats.org/drawingml/2006/main">
            <a:ext uri="{FF2B5EF4-FFF2-40B4-BE49-F238E27FC236}">
              <a16:creationId xmlns:a16="http://schemas.microsoft.com/office/drawing/2014/main" id="{975ABD09-A1DB-D2C0-FAB5-0920D31E5028}"/>
            </a:ext>
          </a:extLst>
        </cdr:cNvPr>
        <cdr:cNvSpPr/>
      </cdr:nvSpPr>
      <cdr:spPr>
        <a:xfrm xmlns:a="http://schemas.openxmlformats.org/drawingml/2006/main">
          <a:off x="3087927" y="2569392"/>
          <a:ext cx="1064830" cy="11013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4830" h="1101398">
              <a:moveTo>
                <a:pt x="712150" y="383542"/>
              </a:moveTo>
              <a:lnTo>
                <a:pt x="18129" y="1101397"/>
              </a:lnTo>
              <a:lnTo>
                <a:pt x="0" y="1082645"/>
              </a:lnTo>
              <a:lnTo>
                <a:pt x="694021" y="364790"/>
              </a:lnTo>
              <a:lnTo>
                <a:pt x="836217" y="217711"/>
              </a:lnTo>
              <a:lnTo>
                <a:pt x="1046700" y="0"/>
              </a:lnTo>
              <a:lnTo>
                <a:pt x="1064829" y="18752"/>
              </a:lnTo>
              <a:lnTo>
                <a:pt x="854346" y="2364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0.5163</cdr:x>
      <cdr:y>0.71625</cdr:y>
    </cdr:from>
    <cdr:to>
      <cdr:x>0.66078</cdr:x>
      <cdr:y>0.85971</cdr:y>
    </cdr:to>
    <cdr:sp macro="" textlink="">
      <cdr:nvSpPr>
        <cdr:cNvPr id="184" name="FracNo 665 StartRow 2185">
          <a:extLst xmlns:a="http://schemas.openxmlformats.org/drawingml/2006/main">
            <a:ext uri="{FF2B5EF4-FFF2-40B4-BE49-F238E27FC236}">
              <a16:creationId xmlns:a16="http://schemas.microsoft.com/office/drawing/2014/main" id="{E885D6DE-ECD5-1541-5F4A-E6727B8DC2FC}"/>
            </a:ext>
          </a:extLst>
        </cdr:cNvPr>
        <cdr:cNvSpPr/>
      </cdr:nvSpPr>
      <cdr:spPr>
        <a:xfrm xmlns:a="http://schemas.openxmlformats.org/drawingml/2006/main">
          <a:off x="3776870" y="5457804"/>
          <a:ext cx="1056862" cy="10931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6862" h="1093156">
              <a:moveTo>
                <a:pt x="239053" y="864644"/>
              </a:moveTo>
              <a:lnTo>
                <a:pt x="18130" y="1093155"/>
              </a:lnTo>
              <a:lnTo>
                <a:pt x="0" y="1074403"/>
              </a:lnTo>
              <a:lnTo>
                <a:pt x="220924" y="845892"/>
              </a:lnTo>
              <a:lnTo>
                <a:pt x="1034162" y="4726"/>
              </a:lnTo>
              <a:lnTo>
                <a:pt x="1038731" y="0"/>
              </a:lnTo>
              <a:lnTo>
                <a:pt x="1056861" y="18751"/>
              </a:lnTo>
              <a:lnTo>
                <a:pt x="1052291" y="234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0.41472</cdr:x>
      <cdr:y>0.32598</cdr:y>
    </cdr:from>
    <cdr:to>
      <cdr:x>0.5565</cdr:x>
      <cdr:y>0.46677</cdr:y>
    </cdr:to>
    <cdr:sp macro="" textlink="">
      <cdr:nvSpPr>
        <cdr:cNvPr id="185" name="FracNo 433 StartRow 2196">
          <a:extLst xmlns:a="http://schemas.openxmlformats.org/drawingml/2006/main">
            <a:ext uri="{FF2B5EF4-FFF2-40B4-BE49-F238E27FC236}">
              <a16:creationId xmlns:a16="http://schemas.microsoft.com/office/drawing/2014/main" id="{81FAF42D-B650-D862-2B4D-A68F2CB849F2}"/>
            </a:ext>
          </a:extLst>
        </cdr:cNvPr>
        <cdr:cNvSpPr/>
      </cdr:nvSpPr>
      <cdr:spPr>
        <a:xfrm xmlns:a="http://schemas.openxmlformats.org/drawingml/2006/main">
          <a:off x="3033746" y="2484001"/>
          <a:ext cx="1037158" cy="10727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7158" h="1072775">
              <a:moveTo>
                <a:pt x="981721" y="38587"/>
              </a:moveTo>
              <a:lnTo>
                <a:pt x="725988" y="303102"/>
              </a:lnTo>
              <a:lnTo>
                <a:pt x="0" y="1054022"/>
              </a:lnTo>
              <a:lnTo>
                <a:pt x="18129" y="1072774"/>
              </a:lnTo>
              <a:lnTo>
                <a:pt x="744117" y="321854"/>
              </a:lnTo>
              <a:lnTo>
                <a:pt x="999850" y="57339"/>
              </a:lnTo>
              <a:lnTo>
                <a:pt x="1037157" y="18751"/>
              </a:lnTo>
              <a:lnTo>
                <a:pt x="10190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0.25745</cdr:y>
    </cdr:from>
    <cdr:to>
      <cdr:x>0.23155</cdr:x>
      <cdr:y>0.39866</cdr:y>
    </cdr:to>
    <cdr:sp macro="" textlink="">
      <cdr:nvSpPr>
        <cdr:cNvPr id="186" name="FracNo 806 StartRow 2207">
          <a:extLst xmlns:a="http://schemas.openxmlformats.org/drawingml/2006/main">
            <a:ext uri="{FF2B5EF4-FFF2-40B4-BE49-F238E27FC236}">
              <a16:creationId xmlns:a16="http://schemas.microsoft.com/office/drawing/2014/main" id="{9964F892-2952-46A3-6CDD-2E786A9F34EB}"/>
            </a:ext>
          </a:extLst>
        </cdr:cNvPr>
        <cdr:cNvSpPr/>
      </cdr:nvSpPr>
      <cdr:spPr>
        <a:xfrm xmlns:a="http://schemas.openxmlformats.org/drawingml/2006/main">
          <a:off x="671676" y="1961757"/>
          <a:ext cx="1022178" cy="1076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2178" h="1076033">
              <a:moveTo>
                <a:pt x="459498" y="600754"/>
              </a:moveTo>
              <a:lnTo>
                <a:pt x="219467" y="849028"/>
              </a:lnTo>
              <a:lnTo>
                <a:pt x="0" y="1076032"/>
              </a:lnTo>
              <a:lnTo>
                <a:pt x="0" y="1038529"/>
              </a:lnTo>
              <a:lnTo>
                <a:pt x="210871" y="820416"/>
              </a:lnTo>
              <a:lnTo>
                <a:pt x="448051" y="575090"/>
              </a:lnTo>
              <a:lnTo>
                <a:pt x="1004048" y="0"/>
              </a:lnTo>
              <a:lnTo>
                <a:pt x="10221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0.34879</cdr:x>
      <cdr:y>0.30124</cdr:y>
    </cdr:from>
    <cdr:to>
      <cdr:x>0.48901</cdr:x>
      <cdr:y>0.44048</cdr:y>
    </cdr:to>
    <cdr:sp macro="" textlink="">
      <cdr:nvSpPr>
        <cdr:cNvPr id="187" name="FracNo 350 StartRow 2218">
          <a:extLst xmlns:a="http://schemas.openxmlformats.org/drawingml/2006/main">
            <a:ext uri="{FF2B5EF4-FFF2-40B4-BE49-F238E27FC236}">
              <a16:creationId xmlns:a16="http://schemas.microsoft.com/office/drawing/2014/main" id="{FBC4AFCC-7240-3FEB-768C-0676F423EB08}"/>
            </a:ext>
          </a:extLst>
        </cdr:cNvPr>
        <cdr:cNvSpPr/>
      </cdr:nvSpPr>
      <cdr:spPr>
        <a:xfrm xmlns:a="http://schemas.openxmlformats.org/drawingml/2006/main">
          <a:off x="2551453" y="2295482"/>
          <a:ext cx="1025732" cy="10609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5732" h="1060958">
              <a:moveTo>
                <a:pt x="265214" y="767883"/>
              </a:moveTo>
              <a:lnTo>
                <a:pt x="185369" y="850470"/>
              </a:lnTo>
              <a:lnTo>
                <a:pt x="0" y="1042205"/>
              </a:lnTo>
              <a:lnTo>
                <a:pt x="18129" y="1060957"/>
              </a:lnTo>
              <a:lnTo>
                <a:pt x="203498" y="869222"/>
              </a:lnTo>
              <a:lnTo>
                <a:pt x="283343" y="786635"/>
              </a:lnTo>
              <a:lnTo>
                <a:pt x="550432" y="510373"/>
              </a:lnTo>
              <a:lnTo>
                <a:pt x="1025731" y="18752"/>
              </a:lnTo>
              <a:lnTo>
                <a:pt x="1007601" y="0"/>
              </a:lnTo>
              <a:lnTo>
                <a:pt x="532303" y="4916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0.3925</cdr:y>
    </cdr:from>
    <cdr:to>
      <cdr:x>0.22983</cdr:x>
      <cdr:y>0.532</cdr:y>
    </cdr:to>
    <cdr:sp macro="" textlink="">
      <cdr:nvSpPr>
        <cdr:cNvPr id="188" name="FracNo 103 StartRow 2231">
          <a:extLst xmlns:a="http://schemas.openxmlformats.org/drawingml/2006/main">
            <a:ext uri="{FF2B5EF4-FFF2-40B4-BE49-F238E27FC236}">
              <a16:creationId xmlns:a16="http://schemas.microsoft.com/office/drawing/2014/main" id="{01F3D303-4D9C-459F-6568-61094E693404}"/>
            </a:ext>
          </a:extLst>
        </cdr:cNvPr>
        <cdr:cNvSpPr/>
      </cdr:nvSpPr>
      <cdr:spPr>
        <a:xfrm xmlns:a="http://schemas.openxmlformats.org/drawingml/2006/main">
          <a:off x="671676" y="2990852"/>
          <a:ext cx="1009576" cy="1062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9576" h="1062998">
              <a:moveTo>
                <a:pt x="783367" y="252728"/>
              </a:moveTo>
              <a:lnTo>
                <a:pt x="0" y="1062997"/>
              </a:lnTo>
              <a:lnTo>
                <a:pt x="0" y="1025494"/>
              </a:lnTo>
              <a:lnTo>
                <a:pt x="769300" y="229775"/>
              </a:lnTo>
              <a:lnTo>
                <a:pt x="991446" y="0"/>
              </a:lnTo>
              <a:lnTo>
                <a:pt x="100957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0.70884</cdr:x>
      <cdr:y>0.08544</cdr:y>
    </cdr:from>
    <cdr:to>
      <cdr:x>0.84805</cdr:x>
      <cdr:y>0.22121</cdr:y>
    </cdr:to>
    <cdr:sp macro="" textlink="">
      <cdr:nvSpPr>
        <cdr:cNvPr id="189" name="FracNo 265 StartRow 2240">
          <a:extLst xmlns:a="http://schemas.openxmlformats.org/drawingml/2006/main">
            <a:ext uri="{FF2B5EF4-FFF2-40B4-BE49-F238E27FC236}">
              <a16:creationId xmlns:a16="http://schemas.microsoft.com/office/drawing/2014/main" id="{642EF3D9-45C1-306A-990F-4DCB4C845850}"/>
            </a:ext>
          </a:extLst>
        </cdr:cNvPr>
        <cdr:cNvSpPr/>
      </cdr:nvSpPr>
      <cdr:spPr>
        <a:xfrm xmlns:a="http://schemas.openxmlformats.org/drawingml/2006/main">
          <a:off x="5185300" y="651036"/>
          <a:ext cx="1018349" cy="10345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8349" h="1034570">
              <a:moveTo>
                <a:pt x="147516" y="863234"/>
              </a:moveTo>
              <a:lnTo>
                <a:pt x="0" y="1015817"/>
              </a:lnTo>
              <a:lnTo>
                <a:pt x="18129" y="1034569"/>
              </a:lnTo>
              <a:lnTo>
                <a:pt x="168369" y="879170"/>
              </a:lnTo>
              <a:lnTo>
                <a:pt x="1018348" y="0"/>
              </a:lnTo>
              <a:lnTo>
                <a:pt x="9820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0.56718</cdr:x>
      <cdr:y>0.20493</cdr:y>
    </cdr:from>
    <cdr:to>
      <cdr:x>0.70483</cdr:x>
      <cdr:y>0.34161</cdr:y>
    </cdr:to>
    <cdr:sp macro="" textlink="">
      <cdr:nvSpPr>
        <cdr:cNvPr id="190" name="FracNo 727 StartRow 2249">
          <a:extLst xmlns:a="http://schemas.openxmlformats.org/drawingml/2006/main">
            <a:ext uri="{FF2B5EF4-FFF2-40B4-BE49-F238E27FC236}">
              <a16:creationId xmlns:a16="http://schemas.microsoft.com/office/drawing/2014/main" id="{A11DC189-8131-4C16-3F78-E91DE2B48C44}"/>
            </a:ext>
          </a:extLst>
        </cdr:cNvPr>
        <cdr:cNvSpPr/>
      </cdr:nvSpPr>
      <cdr:spPr>
        <a:xfrm xmlns:a="http://schemas.openxmlformats.org/drawingml/2006/main">
          <a:off x="4149040" y="1561544"/>
          <a:ext cx="1006928" cy="10415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6928" h="1041508">
              <a:moveTo>
                <a:pt x="353343" y="657277"/>
              </a:moveTo>
              <a:lnTo>
                <a:pt x="0" y="1022755"/>
              </a:lnTo>
              <a:lnTo>
                <a:pt x="18129" y="1041507"/>
              </a:lnTo>
              <a:lnTo>
                <a:pt x="371472" y="676029"/>
              </a:lnTo>
              <a:lnTo>
                <a:pt x="680121" y="356780"/>
              </a:lnTo>
              <a:lnTo>
                <a:pt x="1006927" y="18751"/>
              </a:lnTo>
              <a:lnTo>
                <a:pt x="988797" y="0"/>
              </a:lnTo>
              <a:lnTo>
                <a:pt x="661992" y="3380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0.52942</cdr:x>
      <cdr:y>0.3504</cdr:y>
    </cdr:from>
    <cdr:to>
      <cdr:x>0.66547</cdr:x>
      <cdr:y>0.4855</cdr:y>
    </cdr:to>
    <cdr:sp macro="" textlink="">
      <cdr:nvSpPr>
        <cdr:cNvPr id="191" name="FracNo 853 StartRow 2260">
          <a:extLst xmlns:a="http://schemas.openxmlformats.org/drawingml/2006/main">
            <a:ext uri="{FF2B5EF4-FFF2-40B4-BE49-F238E27FC236}">
              <a16:creationId xmlns:a16="http://schemas.microsoft.com/office/drawing/2014/main" id="{17A8D573-387B-211E-8B28-AB51095CEBE4}"/>
            </a:ext>
          </a:extLst>
        </cdr:cNvPr>
        <cdr:cNvSpPr/>
      </cdr:nvSpPr>
      <cdr:spPr>
        <a:xfrm xmlns:a="http://schemas.openxmlformats.org/drawingml/2006/main">
          <a:off x="3872780" y="2670051"/>
          <a:ext cx="995264" cy="10294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5264" h="1029444">
              <a:moveTo>
                <a:pt x="686971" y="300128"/>
              </a:moveTo>
              <a:lnTo>
                <a:pt x="0" y="1010691"/>
              </a:lnTo>
              <a:lnTo>
                <a:pt x="18129" y="1029443"/>
              </a:lnTo>
              <a:lnTo>
                <a:pt x="705100" y="318880"/>
              </a:lnTo>
              <a:lnTo>
                <a:pt x="882097" y="135804"/>
              </a:lnTo>
              <a:lnTo>
                <a:pt x="956381" y="58968"/>
              </a:lnTo>
              <a:lnTo>
                <a:pt x="995263" y="18752"/>
              </a:lnTo>
              <a:lnTo>
                <a:pt x="977134" y="0"/>
              </a:lnTo>
              <a:lnTo>
                <a:pt x="938252" y="40217"/>
              </a:lnTo>
              <a:lnTo>
                <a:pt x="863968" y="1170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0.22501</cdr:x>
      <cdr:y>0.21769</cdr:y>
    </cdr:to>
    <cdr:sp macro="" textlink="">
      <cdr:nvSpPr>
        <cdr:cNvPr id="192" name="FracNo 193 StartRow 2273">
          <a:extLst xmlns:a="http://schemas.openxmlformats.org/drawingml/2006/main">
            <a:ext uri="{FF2B5EF4-FFF2-40B4-BE49-F238E27FC236}">
              <a16:creationId xmlns:a16="http://schemas.microsoft.com/office/drawing/2014/main" id="{3BBE7E24-360C-BBA1-858E-D63C9A3CFF3F}"/>
            </a:ext>
          </a:extLst>
        </cdr:cNvPr>
        <cdr:cNvSpPr/>
      </cdr:nvSpPr>
      <cdr:spPr>
        <a:xfrm xmlns:a="http://schemas.openxmlformats.org/drawingml/2006/main">
          <a:off x="671676" y="651036"/>
          <a:ext cx="974314" cy="1007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4314" h="1007774">
              <a:moveTo>
                <a:pt x="337787" y="620883"/>
              </a:moveTo>
              <a:lnTo>
                <a:pt x="0" y="970269"/>
              </a:lnTo>
              <a:lnTo>
                <a:pt x="0" y="1007773"/>
              </a:lnTo>
              <a:lnTo>
                <a:pt x="350843" y="644882"/>
              </a:lnTo>
              <a:lnTo>
                <a:pt x="974313" y="0"/>
              </a:lnTo>
              <a:lnTo>
                <a:pt x="9380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0.56962</cdr:x>
      <cdr:y>0.80005</cdr:y>
    </cdr:from>
    <cdr:to>
      <cdr:x>0.70307</cdr:x>
      <cdr:y>0.9301</cdr:y>
    </cdr:to>
    <cdr:sp macro="" textlink="">
      <cdr:nvSpPr>
        <cdr:cNvPr id="193" name="FracNo 781 StartRow 2282">
          <a:extLst xmlns:a="http://schemas.openxmlformats.org/drawingml/2006/main">
            <a:ext uri="{FF2B5EF4-FFF2-40B4-BE49-F238E27FC236}">
              <a16:creationId xmlns:a16="http://schemas.microsoft.com/office/drawing/2014/main" id="{98981BF4-185C-369D-8484-1227E7B7296A}"/>
            </a:ext>
          </a:extLst>
        </cdr:cNvPr>
        <cdr:cNvSpPr/>
      </cdr:nvSpPr>
      <cdr:spPr>
        <a:xfrm xmlns:a="http://schemas.openxmlformats.org/drawingml/2006/main">
          <a:off x="4166897" y="6096411"/>
          <a:ext cx="976183" cy="9909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6183" h="990955">
              <a:moveTo>
                <a:pt x="298372" y="682336"/>
              </a:moveTo>
              <a:lnTo>
                <a:pt x="0" y="990954"/>
              </a:lnTo>
              <a:lnTo>
                <a:pt x="36258" y="990954"/>
              </a:lnTo>
              <a:lnTo>
                <a:pt x="326232" y="691022"/>
              </a:lnTo>
              <a:lnTo>
                <a:pt x="662264" y="343450"/>
              </a:lnTo>
              <a:lnTo>
                <a:pt x="976182" y="18751"/>
              </a:lnTo>
              <a:lnTo>
                <a:pt x="958053" y="0"/>
              </a:lnTo>
              <a:lnTo>
                <a:pt x="644135" y="3246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0.34235</cdr:x>
      <cdr:y>0.27809</cdr:y>
    </cdr:from>
    <cdr:to>
      <cdr:x>0.4743</cdr:x>
      <cdr:y>0.40911</cdr:y>
    </cdr:to>
    <cdr:sp macro="" textlink="">
      <cdr:nvSpPr>
        <cdr:cNvPr id="194" name="FracNo 427 StartRow 2293">
          <a:extLst xmlns:a="http://schemas.openxmlformats.org/drawingml/2006/main">
            <a:ext uri="{FF2B5EF4-FFF2-40B4-BE49-F238E27FC236}">
              <a16:creationId xmlns:a16="http://schemas.microsoft.com/office/drawing/2014/main" id="{A11C5462-A1F2-E494-7AF3-275B817B1937}"/>
            </a:ext>
          </a:extLst>
        </cdr:cNvPr>
        <cdr:cNvSpPr/>
      </cdr:nvSpPr>
      <cdr:spPr>
        <a:xfrm xmlns:a="http://schemas.openxmlformats.org/drawingml/2006/main">
          <a:off x="2504348" y="2119016"/>
          <a:ext cx="965220" cy="998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5220" h="998368">
              <a:moveTo>
                <a:pt x="628221" y="329819"/>
              </a:moveTo>
              <a:lnTo>
                <a:pt x="301185" y="668087"/>
              </a:lnTo>
              <a:lnTo>
                <a:pt x="232474" y="739158"/>
              </a:lnTo>
              <a:lnTo>
                <a:pt x="0" y="979615"/>
              </a:lnTo>
              <a:lnTo>
                <a:pt x="18129" y="998367"/>
              </a:lnTo>
              <a:lnTo>
                <a:pt x="250603" y="757910"/>
              </a:lnTo>
              <a:lnTo>
                <a:pt x="319314" y="686839"/>
              </a:lnTo>
              <a:lnTo>
                <a:pt x="646351" y="348571"/>
              </a:lnTo>
              <a:lnTo>
                <a:pt x="965219" y="18752"/>
              </a:lnTo>
              <a:lnTo>
                <a:pt x="9470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0.35384</cdr:x>
      <cdr:y>0.47997</cdr:y>
    </cdr:from>
    <cdr:to>
      <cdr:x>0.48379</cdr:x>
      <cdr:y>0.609</cdr:y>
    </cdr:to>
    <cdr:sp macro="" textlink="">
      <cdr:nvSpPr>
        <cdr:cNvPr id="195" name="FracNo 351 StartRow 2306">
          <a:extLst xmlns:a="http://schemas.openxmlformats.org/drawingml/2006/main">
            <a:ext uri="{FF2B5EF4-FFF2-40B4-BE49-F238E27FC236}">
              <a16:creationId xmlns:a16="http://schemas.microsoft.com/office/drawing/2014/main" id="{3C1B64D0-EB13-8227-9484-ABE94A1560EA}"/>
            </a:ext>
          </a:extLst>
        </cdr:cNvPr>
        <cdr:cNvSpPr/>
      </cdr:nvSpPr>
      <cdr:spPr>
        <a:xfrm xmlns:a="http://schemas.openxmlformats.org/drawingml/2006/main">
          <a:off x="2588439" y="3657405"/>
          <a:ext cx="950565" cy="9832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0565" h="983209">
              <a:moveTo>
                <a:pt x="677634" y="263551"/>
              </a:moveTo>
              <a:lnTo>
                <a:pt x="148383" y="810977"/>
              </a:lnTo>
              <a:lnTo>
                <a:pt x="0" y="964456"/>
              </a:lnTo>
              <a:lnTo>
                <a:pt x="18129" y="983208"/>
              </a:lnTo>
              <a:lnTo>
                <a:pt x="166512" y="829729"/>
              </a:lnTo>
              <a:lnTo>
                <a:pt x="695763" y="282303"/>
              </a:lnTo>
              <a:lnTo>
                <a:pt x="950564" y="18751"/>
              </a:lnTo>
              <a:lnTo>
                <a:pt x="9324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0.50356</cdr:y>
    </cdr:from>
    <cdr:to>
      <cdr:x>0.21993</cdr:x>
      <cdr:y>0.63323</cdr:y>
    </cdr:to>
    <cdr:sp macro="" textlink="">
      <cdr:nvSpPr>
        <cdr:cNvPr id="196" name="FracNo 741 StartRow 2317">
          <a:extLst xmlns:a="http://schemas.openxmlformats.org/drawingml/2006/main">
            <a:ext uri="{FF2B5EF4-FFF2-40B4-BE49-F238E27FC236}">
              <a16:creationId xmlns:a16="http://schemas.microsoft.com/office/drawing/2014/main" id="{43E06EE7-2914-AF51-D398-A36FD99FEB22}"/>
            </a:ext>
          </a:extLst>
        </cdr:cNvPr>
        <cdr:cNvSpPr/>
      </cdr:nvSpPr>
      <cdr:spPr>
        <a:xfrm xmlns:a="http://schemas.openxmlformats.org/drawingml/2006/main">
          <a:off x="671676" y="3837106"/>
          <a:ext cx="937171" cy="9881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7171" h="988108">
              <a:moveTo>
                <a:pt x="62780" y="923172"/>
              </a:moveTo>
              <a:lnTo>
                <a:pt x="0" y="988107"/>
              </a:lnTo>
              <a:lnTo>
                <a:pt x="0" y="950603"/>
              </a:lnTo>
              <a:lnTo>
                <a:pt x="61565" y="886924"/>
              </a:lnTo>
              <a:lnTo>
                <a:pt x="919041" y="0"/>
              </a:lnTo>
              <a:lnTo>
                <a:pt x="9371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0.62861</cdr:x>
      <cdr:y>0.39166</cdr:y>
    </cdr:from>
    <cdr:to>
      <cdr:x>0.75782</cdr:x>
      <cdr:y>0.51996</cdr:y>
    </cdr:to>
    <cdr:sp macro="" textlink="">
      <cdr:nvSpPr>
        <cdr:cNvPr id="197" name="FracNo 788 StartRow 2326">
          <a:extLst xmlns:a="http://schemas.openxmlformats.org/drawingml/2006/main">
            <a:ext uri="{FF2B5EF4-FFF2-40B4-BE49-F238E27FC236}">
              <a16:creationId xmlns:a16="http://schemas.microsoft.com/office/drawing/2014/main" id="{CE9E23FA-091F-97BA-BD0A-B39E86F64FCD}"/>
            </a:ext>
          </a:extLst>
        </cdr:cNvPr>
        <cdr:cNvSpPr/>
      </cdr:nvSpPr>
      <cdr:spPr>
        <a:xfrm xmlns:a="http://schemas.openxmlformats.org/drawingml/2006/main">
          <a:off x="4598381" y="2984472"/>
          <a:ext cx="945191" cy="977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5191" h="977650">
              <a:moveTo>
                <a:pt x="793643" y="175504"/>
              </a:moveTo>
              <a:lnTo>
                <a:pt x="230780" y="757696"/>
              </a:lnTo>
              <a:lnTo>
                <a:pt x="18130" y="977649"/>
              </a:lnTo>
              <a:lnTo>
                <a:pt x="0" y="958897"/>
              </a:lnTo>
              <a:lnTo>
                <a:pt x="212651" y="738944"/>
              </a:lnTo>
              <a:lnTo>
                <a:pt x="775513" y="156752"/>
              </a:lnTo>
              <a:lnTo>
                <a:pt x="927061" y="0"/>
              </a:lnTo>
              <a:lnTo>
                <a:pt x="9451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0.71605</cdr:y>
    </cdr:from>
    <cdr:to>
      <cdr:x>0.21953</cdr:x>
      <cdr:y>0.84532</cdr:y>
    </cdr:to>
    <cdr:sp macro="" textlink="">
      <cdr:nvSpPr>
        <cdr:cNvPr id="198" name="FracNo 28 StartRow 2337">
          <a:extLst xmlns:a="http://schemas.openxmlformats.org/drawingml/2006/main">
            <a:ext uri="{FF2B5EF4-FFF2-40B4-BE49-F238E27FC236}">
              <a16:creationId xmlns:a16="http://schemas.microsoft.com/office/drawing/2014/main" id="{66CE8511-537D-D8F1-516E-007720D3BFBC}"/>
            </a:ext>
          </a:extLst>
        </cdr:cNvPr>
        <cdr:cNvSpPr/>
      </cdr:nvSpPr>
      <cdr:spPr>
        <a:xfrm xmlns:a="http://schemas.openxmlformats.org/drawingml/2006/main">
          <a:off x="671676" y="5456309"/>
          <a:ext cx="934219" cy="9850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4219" h="985053">
              <a:moveTo>
                <a:pt x="830827" y="88189"/>
              </a:moveTo>
              <a:lnTo>
                <a:pt x="0" y="947549"/>
              </a:lnTo>
              <a:lnTo>
                <a:pt x="0" y="985052"/>
              </a:lnTo>
              <a:lnTo>
                <a:pt x="847269" y="108686"/>
              </a:lnTo>
              <a:lnTo>
                <a:pt x="934218" y="18751"/>
              </a:lnTo>
              <a:lnTo>
                <a:pt x="9160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0.81477</cdr:x>
      <cdr:y>0.21137</cdr:y>
    </cdr:from>
    <cdr:to>
      <cdr:x>0.94246</cdr:x>
      <cdr:y>0.34063</cdr:y>
    </cdr:to>
    <cdr:sp macro="" textlink="">
      <cdr:nvSpPr>
        <cdr:cNvPr id="199" name="FracNo 269 StartRow 2346">
          <a:extLst xmlns:a="http://schemas.openxmlformats.org/drawingml/2006/main">
            <a:ext uri="{FF2B5EF4-FFF2-40B4-BE49-F238E27FC236}">
              <a16:creationId xmlns:a16="http://schemas.microsoft.com/office/drawing/2014/main" id="{AA683DA3-8107-3986-7A5F-A036C2711B88}"/>
            </a:ext>
          </a:extLst>
        </cdr:cNvPr>
        <cdr:cNvSpPr/>
      </cdr:nvSpPr>
      <cdr:spPr>
        <a:xfrm xmlns:a="http://schemas.openxmlformats.org/drawingml/2006/main">
          <a:off x="5960206" y="1610633"/>
          <a:ext cx="934102" cy="984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4102" h="984933">
              <a:moveTo>
                <a:pt x="200985" y="795797"/>
              </a:moveTo>
              <a:lnTo>
                <a:pt x="18130" y="984932"/>
              </a:lnTo>
              <a:lnTo>
                <a:pt x="0" y="966180"/>
              </a:lnTo>
              <a:lnTo>
                <a:pt x="186475" y="773302"/>
              </a:lnTo>
              <a:lnTo>
                <a:pt x="934101" y="0"/>
              </a:lnTo>
              <a:lnTo>
                <a:pt x="93410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0.61304</cdr:x>
      <cdr:y>0.28309</cdr:y>
    </cdr:from>
    <cdr:to>
      <cdr:x>0.74195</cdr:x>
      <cdr:y>0.41109</cdr:y>
    </cdr:to>
    <cdr:sp macro="" textlink="">
      <cdr:nvSpPr>
        <cdr:cNvPr id="200" name="FracNo 798 StartRow 2355">
          <a:extLst xmlns:a="http://schemas.openxmlformats.org/drawingml/2006/main">
            <a:ext uri="{FF2B5EF4-FFF2-40B4-BE49-F238E27FC236}">
              <a16:creationId xmlns:a16="http://schemas.microsoft.com/office/drawing/2014/main" id="{02639596-8FAA-07FC-32E7-B8AE5E9DC336}"/>
            </a:ext>
          </a:extLst>
        </cdr:cNvPr>
        <cdr:cNvSpPr/>
      </cdr:nvSpPr>
      <cdr:spPr>
        <a:xfrm xmlns:a="http://schemas.openxmlformats.org/drawingml/2006/main">
          <a:off x="4484524" y="2157136"/>
          <a:ext cx="943011" cy="975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3011" h="975396">
              <a:moveTo>
                <a:pt x="154276" y="834572"/>
              </a:moveTo>
              <a:lnTo>
                <a:pt x="18129" y="975395"/>
              </a:lnTo>
              <a:lnTo>
                <a:pt x="0" y="956643"/>
              </a:lnTo>
              <a:lnTo>
                <a:pt x="136147" y="815821"/>
              </a:lnTo>
              <a:lnTo>
                <a:pt x="315830" y="629967"/>
              </a:lnTo>
              <a:lnTo>
                <a:pt x="326508" y="618922"/>
              </a:lnTo>
              <a:lnTo>
                <a:pt x="924881" y="0"/>
              </a:lnTo>
              <a:lnTo>
                <a:pt x="943010" y="18752"/>
              </a:lnTo>
              <a:lnTo>
                <a:pt x="344637" y="637674"/>
              </a:lnTo>
              <a:lnTo>
                <a:pt x="333959" y="6487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0.28156</cdr:x>
      <cdr:y>0.08544</cdr:y>
    </cdr:from>
    <cdr:to>
      <cdr:x>0.41151</cdr:x>
      <cdr:y>0.21201</cdr:y>
    </cdr:to>
    <cdr:sp macro="" textlink="">
      <cdr:nvSpPr>
        <cdr:cNvPr id="201" name="FracNo 439 StartRow 2368">
          <a:extLst xmlns:a="http://schemas.openxmlformats.org/drawingml/2006/main">
            <a:ext uri="{FF2B5EF4-FFF2-40B4-BE49-F238E27FC236}">
              <a16:creationId xmlns:a16="http://schemas.microsoft.com/office/drawing/2014/main" id="{273FD456-D762-7569-B01A-49FDDD4FADE2}"/>
            </a:ext>
          </a:extLst>
        </cdr:cNvPr>
        <cdr:cNvSpPr/>
      </cdr:nvSpPr>
      <cdr:spPr>
        <a:xfrm xmlns:a="http://schemas.openxmlformats.org/drawingml/2006/main">
          <a:off x="2059664" y="651036"/>
          <a:ext cx="950583" cy="9644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0583" h="964476">
              <a:moveTo>
                <a:pt x="932305" y="18905"/>
              </a:moveTo>
              <a:lnTo>
                <a:pt x="695287" y="264063"/>
              </a:lnTo>
              <a:lnTo>
                <a:pt x="18130" y="964475"/>
              </a:lnTo>
              <a:lnTo>
                <a:pt x="0" y="945723"/>
              </a:lnTo>
              <a:lnTo>
                <a:pt x="677158" y="245310"/>
              </a:lnTo>
              <a:lnTo>
                <a:pt x="897344" y="17563"/>
              </a:lnTo>
              <a:lnTo>
                <a:pt x="914324" y="0"/>
              </a:lnTo>
              <a:lnTo>
                <a:pt x="9505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0.49631</cdr:x>
      <cdr:y>0.30095</cdr:y>
    </cdr:from>
    <cdr:to>
      <cdr:x>0.62448</cdr:x>
      <cdr:y>0.42822</cdr:y>
    </cdr:to>
    <cdr:sp macro="" textlink="">
      <cdr:nvSpPr>
        <cdr:cNvPr id="202" name="FracNo 765 StartRow 2379">
          <a:extLst xmlns:a="http://schemas.openxmlformats.org/drawingml/2006/main">
            <a:ext uri="{FF2B5EF4-FFF2-40B4-BE49-F238E27FC236}">
              <a16:creationId xmlns:a16="http://schemas.microsoft.com/office/drawing/2014/main" id="{E17D99A8-9A21-0F3B-A588-A99B6D9AAEFA}"/>
            </a:ext>
          </a:extLst>
        </cdr:cNvPr>
        <cdr:cNvSpPr/>
      </cdr:nvSpPr>
      <cdr:spPr>
        <a:xfrm xmlns:a="http://schemas.openxmlformats.org/drawingml/2006/main">
          <a:off x="3630600" y="2293276"/>
          <a:ext cx="937581" cy="969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7581" h="969780">
              <a:moveTo>
                <a:pt x="392576" y="582473"/>
              </a:moveTo>
              <a:lnTo>
                <a:pt x="18129" y="969779"/>
              </a:lnTo>
              <a:lnTo>
                <a:pt x="0" y="951027"/>
              </a:lnTo>
              <a:lnTo>
                <a:pt x="374446" y="563721"/>
              </a:lnTo>
              <a:lnTo>
                <a:pt x="442020" y="493827"/>
              </a:lnTo>
              <a:lnTo>
                <a:pt x="919451" y="0"/>
              </a:lnTo>
              <a:lnTo>
                <a:pt x="937580" y="18751"/>
              </a:lnTo>
              <a:lnTo>
                <a:pt x="460149" y="5125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0.219</cdr:x>
      <cdr:y>0.21173</cdr:y>
    </cdr:to>
    <cdr:sp macro="" textlink="">
      <cdr:nvSpPr>
        <cdr:cNvPr id="203" name="FracNo 764 StartRow 2390">
          <a:extLst xmlns:a="http://schemas.openxmlformats.org/drawingml/2006/main">
            <a:ext uri="{FF2B5EF4-FFF2-40B4-BE49-F238E27FC236}">
              <a16:creationId xmlns:a16="http://schemas.microsoft.com/office/drawing/2014/main" id="{E23DA547-B99E-84B0-94F0-19BFB5091B20}"/>
            </a:ext>
          </a:extLst>
        </cdr:cNvPr>
        <cdr:cNvSpPr/>
      </cdr:nvSpPr>
      <cdr:spPr>
        <a:xfrm xmlns:a="http://schemas.openxmlformats.org/drawingml/2006/main">
          <a:off x="671676" y="651036"/>
          <a:ext cx="930388" cy="9623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0388" h="962339">
              <a:moveTo>
                <a:pt x="663848" y="275692"/>
              </a:moveTo>
              <a:lnTo>
                <a:pt x="0" y="962338"/>
              </a:lnTo>
              <a:lnTo>
                <a:pt x="0" y="924835"/>
              </a:lnTo>
              <a:lnTo>
                <a:pt x="637977" y="264948"/>
              </a:lnTo>
              <a:lnTo>
                <a:pt x="894128" y="0"/>
              </a:lnTo>
              <a:lnTo>
                <a:pt x="9303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0.81763</cdr:x>
      <cdr:y>0.80615</cdr:y>
    </cdr:from>
    <cdr:to>
      <cdr:x>0.94246</cdr:x>
      <cdr:y>0.9301</cdr:y>
    </cdr:to>
    <cdr:sp macro="" textlink="">
      <cdr:nvSpPr>
        <cdr:cNvPr id="204" name="FracNo 732 StartRow 2399">
          <a:extLst xmlns:a="http://schemas.openxmlformats.org/drawingml/2006/main">
            <a:ext uri="{FF2B5EF4-FFF2-40B4-BE49-F238E27FC236}">
              <a16:creationId xmlns:a16="http://schemas.microsoft.com/office/drawing/2014/main" id="{76E01E46-A846-19E8-032C-FCFE11632810}"/>
            </a:ext>
          </a:extLst>
        </cdr:cNvPr>
        <cdr:cNvSpPr/>
      </cdr:nvSpPr>
      <cdr:spPr>
        <a:xfrm xmlns:a="http://schemas.openxmlformats.org/drawingml/2006/main">
          <a:off x="5981145" y="6142843"/>
          <a:ext cx="913163" cy="9445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3163" h="944523">
              <a:moveTo>
                <a:pt x="106616" y="834244"/>
              </a:moveTo>
              <a:lnTo>
                <a:pt x="0" y="944522"/>
              </a:lnTo>
              <a:lnTo>
                <a:pt x="36259" y="944522"/>
              </a:lnTo>
              <a:lnTo>
                <a:pt x="138641" y="838623"/>
              </a:lnTo>
              <a:lnTo>
                <a:pt x="913162" y="37504"/>
              </a:lnTo>
              <a:lnTo>
                <a:pt x="9131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0.81891</cdr:x>
      <cdr:y>0.54887</cdr:y>
    </cdr:from>
    <cdr:to>
      <cdr:x>0.94246</cdr:x>
      <cdr:y>0.67402</cdr:y>
    </cdr:to>
    <cdr:sp macro="" textlink="">
      <cdr:nvSpPr>
        <cdr:cNvPr id="205" name="FracNo 797 StartRow 2408">
          <a:extLst xmlns:a="http://schemas.openxmlformats.org/drawingml/2006/main">
            <a:ext uri="{FF2B5EF4-FFF2-40B4-BE49-F238E27FC236}">
              <a16:creationId xmlns:a16="http://schemas.microsoft.com/office/drawing/2014/main" id="{23229F6C-9E84-AC05-3F60-98126A4AF6EB}"/>
            </a:ext>
          </a:extLst>
        </cdr:cNvPr>
        <cdr:cNvSpPr/>
      </cdr:nvSpPr>
      <cdr:spPr>
        <a:xfrm xmlns:a="http://schemas.openxmlformats.org/drawingml/2006/main">
          <a:off x="5990476" y="4182387"/>
          <a:ext cx="903832" cy="9536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3832" h="953624">
              <a:moveTo>
                <a:pt x="758343" y="187989"/>
              </a:moveTo>
              <a:lnTo>
                <a:pt x="196708" y="768911"/>
              </a:lnTo>
              <a:lnTo>
                <a:pt x="18129" y="953623"/>
              </a:lnTo>
              <a:lnTo>
                <a:pt x="0" y="934871"/>
              </a:lnTo>
              <a:lnTo>
                <a:pt x="178579" y="750159"/>
              </a:lnTo>
              <a:lnTo>
                <a:pt x="754612" y="154343"/>
              </a:lnTo>
              <a:lnTo>
                <a:pt x="903831" y="0"/>
              </a:lnTo>
              <a:lnTo>
                <a:pt x="90383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0.59126</cdr:x>
      <cdr:y>0.6155</cdr:y>
    </cdr:from>
    <cdr:to>
      <cdr:x>0.71535</cdr:x>
      <cdr:y>0.73871</cdr:y>
    </cdr:to>
    <cdr:sp macro="" textlink="">
      <cdr:nvSpPr>
        <cdr:cNvPr id="206" name="FracNo 730 StartRow 2419">
          <a:extLst xmlns:a="http://schemas.openxmlformats.org/drawingml/2006/main">
            <a:ext uri="{FF2B5EF4-FFF2-40B4-BE49-F238E27FC236}">
              <a16:creationId xmlns:a16="http://schemas.microsoft.com/office/drawing/2014/main" id="{808B301D-5A56-08CD-C4B4-9E9E167CF446}"/>
            </a:ext>
          </a:extLst>
        </cdr:cNvPr>
        <cdr:cNvSpPr/>
      </cdr:nvSpPr>
      <cdr:spPr>
        <a:xfrm xmlns:a="http://schemas.openxmlformats.org/drawingml/2006/main">
          <a:off x="4325208" y="4690090"/>
          <a:ext cx="907730" cy="938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7730" h="938903">
              <a:moveTo>
                <a:pt x="521227" y="418527"/>
              </a:moveTo>
              <a:lnTo>
                <a:pt x="503953" y="436394"/>
              </a:lnTo>
              <a:lnTo>
                <a:pt x="18130" y="938902"/>
              </a:lnTo>
              <a:lnTo>
                <a:pt x="0" y="920150"/>
              </a:lnTo>
              <a:lnTo>
                <a:pt x="485824" y="417642"/>
              </a:lnTo>
              <a:lnTo>
                <a:pt x="503098" y="399775"/>
              </a:lnTo>
              <a:lnTo>
                <a:pt x="655194" y="242456"/>
              </a:lnTo>
              <a:lnTo>
                <a:pt x="889600" y="0"/>
              </a:lnTo>
              <a:lnTo>
                <a:pt x="907729" y="18752"/>
              </a:lnTo>
              <a:lnTo>
                <a:pt x="673323" y="2612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0.21341</cdr:x>
      <cdr:y>0.20617</cdr:y>
    </cdr:to>
    <cdr:sp macro="" textlink="">
      <cdr:nvSpPr>
        <cdr:cNvPr id="207" name="FracNo 198 StartRow 2432">
          <a:extLst xmlns:a="http://schemas.openxmlformats.org/drawingml/2006/main">
            <a:ext uri="{FF2B5EF4-FFF2-40B4-BE49-F238E27FC236}">
              <a16:creationId xmlns:a16="http://schemas.microsoft.com/office/drawing/2014/main" id="{38FE03B9-CEFB-FD8C-96FE-ACB08EE68268}"/>
            </a:ext>
          </a:extLst>
        </cdr:cNvPr>
        <cdr:cNvSpPr/>
      </cdr:nvSpPr>
      <cdr:spPr>
        <a:xfrm xmlns:a="http://schemas.openxmlformats.org/drawingml/2006/main">
          <a:off x="671676" y="651036"/>
          <a:ext cx="889469" cy="9200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9469" h="920015">
              <a:moveTo>
                <a:pt x="283203" y="589581"/>
              </a:moveTo>
              <a:lnTo>
                <a:pt x="0" y="882511"/>
              </a:lnTo>
              <a:lnTo>
                <a:pt x="0" y="920014"/>
              </a:lnTo>
              <a:lnTo>
                <a:pt x="295239" y="614637"/>
              </a:lnTo>
              <a:lnTo>
                <a:pt x="889468" y="0"/>
              </a:lnTo>
              <a:lnTo>
                <a:pt x="8532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0.19241</cdr:x>
      <cdr:y>0.35681</cdr:y>
    </cdr:from>
    <cdr:to>
      <cdr:x>0.31317</cdr:x>
      <cdr:y>0.47672</cdr:y>
    </cdr:to>
    <cdr:sp macro="" textlink="">
      <cdr:nvSpPr>
        <cdr:cNvPr id="208" name="FracNo 120 StartRow 2441">
          <a:extLst xmlns:a="http://schemas.openxmlformats.org/drawingml/2006/main">
            <a:ext uri="{FF2B5EF4-FFF2-40B4-BE49-F238E27FC236}">
              <a16:creationId xmlns:a16="http://schemas.microsoft.com/office/drawing/2014/main" id="{D0431FBD-ABC4-B0DD-B3F5-34F1951CFAD0}"/>
            </a:ext>
          </a:extLst>
        </cdr:cNvPr>
        <cdr:cNvSpPr/>
      </cdr:nvSpPr>
      <cdr:spPr>
        <a:xfrm xmlns:a="http://schemas.openxmlformats.org/drawingml/2006/main">
          <a:off x="1407518" y="2718867"/>
          <a:ext cx="883402" cy="9137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3402" h="913740">
              <a:moveTo>
                <a:pt x="382315" y="537047"/>
              </a:moveTo>
              <a:lnTo>
                <a:pt x="18129" y="913739"/>
              </a:lnTo>
              <a:lnTo>
                <a:pt x="0" y="894988"/>
              </a:lnTo>
              <a:lnTo>
                <a:pt x="364185" y="518295"/>
              </a:lnTo>
              <a:lnTo>
                <a:pt x="799302" y="68236"/>
              </a:lnTo>
              <a:lnTo>
                <a:pt x="865272" y="0"/>
              </a:lnTo>
              <a:lnTo>
                <a:pt x="883401" y="18753"/>
              </a:lnTo>
              <a:lnTo>
                <a:pt x="817431" y="869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0.26548</cdr:x>
      <cdr:y>0.08544</cdr:y>
    </cdr:from>
    <cdr:to>
      <cdr:x>0.3866</cdr:x>
      <cdr:y>0.20324</cdr:y>
    </cdr:to>
    <cdr:sp macro="" textlink="">
      <cdr:nvSpPr>
        <cdr:cNvPr id="209" name="FracNo 194 StartRow 2452">
          <a:extLst xmlns:a="http://schemas.openxmlformats.org/drawingml/2006/main">
            <a:ext uri="{FF2B5EF4-FFF2-40B4-BE49-F238E27FC236}">
              <a16:creationId xmlns:a16="http://schemas.microsoft.com/office/drawing/2014/main" id="{AE42472C-E52F-D8DD-4851-C68F035ECE1C}"/>
            </a:ext>
          </a:extLst>
        </cdr:cNvPr>
        <cdr:cNvSpPr/>
      </cdr:nvSpPr>
      <cdr:spPr>
        <a:xfrm xmlns:a="http://schemas.openxmlformats.org/drawingml/2006/main">
          <a:off x="1942058" y="651036"/>
          <a:ext cx="886010" cy="8976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6010" h="897685">
              <a:moveTo>
                <a:pt x="110274" y="802375"/>
              </a:moveTo>
              <a:lnTo>
                <a:pt x="18129" y="897684"/>
              </a:lnTo>
              <a:lnTo>
                <a:pt x="0" y="878932"/>
              </a:lnTo>
              <a:lnTo>
                <a:pt x="90238" y="785595"/>
              </a:lnTo>
              <a:lnTo>
                <a:pt x="786455" y="65468"/>
              </a:lnTo>
              <a:lnTo>
                <a:pt x="849750" y="0"/>
              </a:lnTo>
              <a:lnTo>
                <a:pt x="886009" y="0"/>
              </a:lnTo>
              <a:lnTo>
                <a:pt x="821201" y="670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0.21487</cdr:x>
      <cdr:y>0.38443</cdr:y>
    </cdr:from>
    <cdr:to>
      <cdr:x>0.33474</cdr:x>
      <cdr:y>0.50346</cdr:y>
    </cdr:to>
    <cdr:sp macro="" textlink="">
      <cdr:nvSpPr>
        <cdr:cNvPr id="210" name="FracNo 779 StartRow 2463">
          <a:extLst xmlns:a="http://schemas.openxmlformats.org/drawingml/2006/main">
            <a:ext uri="{FF2B5EF4-FFF2-40B4-BE49-F238E27FC236}">
              <a16:creationId xmlns:a16="http://schemas.microsoft.com/office/drawing/2014/main" id="{88234419-E2DD-0D15-268A-F9CAF6B27BE5}"/>
            </a:ext>
          </a:extLst>
        </cdr:cNvPr>
        <cdr:cNvSpPr/>
      </cdr:nvSpPr>
      <cdr:spPr>
        <a:xfrm xmlns:a="http://schemas.openxmlformats.org/drawingml/2006/main">
          <a:off x="1571847" y="2929374"/>
          <a:ext cx="876855" cy="9069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6855" h="906967">
              <a:moveTo>
                <a:pt x="816535" y="43639"/>
              </a:moveTo>
              <a:lnTo>
                <a:pt x="0" y="888215"/>
              </a:lnTo>
              <a:lnTo>
                <a:pt x="18129" y="906966"/>
              </a:lnTo>
              <a:lnTo>
                <a:pt x="834664" y="62390"/>
              </a:lnTo>
              <a:lnTo>
                <a:pt x="876854" y="18752"/>
              </a:lnTo>
              <a:lnTo>
                <a:pt x="8587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0.19913</cdr:x>
      <cdr:y>0.8142</cdr:y>
    </cdr:from>
    <cdr:to>
      <cdr:x>0.31832</cdr:x>
      <cdr:y>0.9301</cdr:y>
    </cdr:to>
    <cdr:sp macro="" textlink="">
      <cdr:nvSpPr>
        <cdr:cNvPr id="211" name="FracNo 39 StartRow 2472">
          <a:extLst xmlns:a="http://schemas.openxmlformats.org/drawingml/2006/main">
            <a:ext uri="{FF2B5EF4-FFF2-40B4-BE49-F238E27FC236}">
              <a16:creationId xmlns:a16="http://schemas.microsoft.com/office/drawing/2014/main" id="{C73048BC-A7A9-B93B-0726-150898D3EE60}"/>
            </a:ext>
          </a:extLst>
        </cdr:cNvPr>
        <cdr:cNvSpPr/>
      </cdr:nvSpPr>
      <cdr:spPr>
        <a:xfrm xmlns:a="http://schemas.openxmlformats.org/drawingml/2006/main">
          <a:off x="1456665" y="6204237"/>
          <a:ext cx="871937" cy="8831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1937" h="883129">
              <a:moveTo>
                <a:pt x="553506" y="310613"/>
              </a:moveTo>
              <a:lnTo>
                <a:pt x="0" y="883128"/>
              </a:lnTo>
              <a:lnTo>
                <a:pt x="36258" y="883128"/>
              </a:lnTo>
              <a:lnTo>
                <a:pt x="578012" y="322770"/>
              </a:lnTo>
              <a:lnTo>
                <a:pt x="871936" y="18752"/>
              </a:lnTo>
              <a:lnTo>
                <a:pt x="8538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0.82548</cdr:x>
      <cdr:y>0.81394</cdr:y>
    </cdr:from>
    <cdr:to>
      <cdr:x>0.94246</cdr:x>
      <cdr:y>0.9301</cdr:y>
    </cdr:to>
    <cdr:sp macro="" textlink="">
      <cdr:nvSpPr>
        <cdr:cNvPr id="212" name="FracNo 838 StartRow 2481">
          <a:extLst xmlns:a="http://schemas.openxmlformats.org/drawingml/2006/main">
            <a:ext uri="{FF2B5EF4-FFF2-40B4-BE49-F238E27FC236}">
              <a16:creationId xmlns:a16="http://schemas.microsoft.com/office/drawing/2014/main" id="{3BDAA62F-570C-70AD-8175-4F99D1BE9D29}"/>
            </a:ext>
          </a:extLst>
        </cdr:cNvPr>
        <cdr:cNvSpPr/>
      </cdr:nvSpPr>
      <cdr:spPr>
        <a:xfrm xmlns:a="http://schemas.openxmlformats.org/drawingml/2006/main">
          <a:off x="6038517" y="6202186"/>
          <a:ext cx="855791" cy="885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5791" h="885180">
              <a:moveTo>
                <a:pt x="668784" y="193428"/>
              </a:moveTo>
              <a:lnTo>
                <a:pt x="0" y="885179"/>
              </a:lnTo>
              <a:lnTo>
                <a:pt x="36259" y="885179"/>
              </a:lnTo>
              <a:lnTo>
                <a:pt x="676706" y="222737"/>
              </a:lnTo>
              <a:lnTo>
                <a:pt x="855790" y="37503"/>
              </a:lnTo>
              <a:lnTo>
                <a:pt x="8557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0.82695</cdr:x>
      <cdr:y>0.32853</cdr:y>
    </cdr:from>
    <cdr:to>
      <cdr:x>0.94246</cdr:x>
      <cdr:y>0.44569</cdr:y>
    </cdr:to>
    <cdr:sp macro="" textlink="">
      <cdr:nvSpPr>
        <cdr:cNvPr id="213" name="FracNo 590 StartRow 2490">
          <a:extLst xmlns:a="http://schemas.openxmlformats.org/drawingml/2006/main">
            <a:ext uri="{FF2B5EF4-FFF2-40B4-BE49-F238E27FC236}">
              <a16:creationId xmlns:a16="http://schemas.microsoft.com/office/drawing/2014/main" id="{932AB98F-5577-E80B-57E5-88A4BB3108CB}"/>
            </a:ext>
          </a:extLst>
        </cdr:cNvPr>
        <cdr:cNvSpPr/>
      </cdr:nvSpPr>
      <cdr:spPr>
        <a:xfrm xmlns:a="http://schemas.openxmlformats.org/drawingml/2006/main">
          <a:off x="6049335" y="2503410"/>
          <a:ext cx="844973" cy="8927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4973" h="892743">
              <a:moveTo>
                <a:pt x="101680" y="806322"/>
              </a:moveTo>
              <a:lnTo>
                <a:pt x="18130" y="892742"/>
              </a:lnTo>
              <a:lnTo>
                <a:pt x="0" y="873990"/>
              </a:lnTo>
              <a:lnTo>
                <a:pt x="85286" y="785775"/>
              </a:lnTo>
              <a:lnTo>
                <a:pt x="576564" y="277626"/>
              </a:lnTo>
              <a:lnTo>
                <a:pt x="844972" y="0"/>
              </a:lnTo>
              <a:lnTo>
                <a:pt x="844972" y="37504"/>
              </a:lnTo>
              <a:lnTo>
                <a:pt x="582962" y="3085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0.43085</cdr:x>
      <cdr:y>0.81653</cdr:y>
    </cdr:from>
    <cdr:to>
      <cdr:x>0.54771</cdr:x>
      <cdr:y>0.9301</cdr:y>
    </cdr:to>
    <cdr:sp macro="" textlink="">
      <cdr:nvSpPr>
        <cdr:cNvPr id="214" name="FracNo 672 StartRow 2501">
          <a:extLst xmlns:a="http://schemas.openxmlformats.org/drawingml/2006/main">
            <a:ext uri="{FF2B5EF4-FFF2-40B4-BE49-F238E27FC236}">
              <a16:creationId xmlns:a16="http://schemas.microsoft.com/office/drawing/2014/main" id="{0D86C5FB-91D3-A332-6FFD-4D0CD0C17710}"/>
            </a:ext>
          </a:extLst>
        </cdr:cNvPr>
        <cdr:cNvSpPr/>
      </cdr:nvSpPr>
      <cdr:spPr>
        <a:xfrm xmlns:a="http://schemas.openxmlformats.org/drawingml/2006/main">
          <a:off x="3151787" y="6221966"/>
          <a:ext cx="854797" cy="8654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4797" h="865400">
              <a:moveTo>
                <a:pt x="744476" y="95357"/>
              </a:moveTo>
              <a:lnTo>
                <a:pt x="0" y="865399"/>
              </a:lnTo>
              <a:lnTo>
                <a:pt x="36259" y="865399"/>
              </a:lnTo>
              <a:lnTo>
                <a:pt x="764603" y="112042"/>
              </a:lnTo>
              <a:lnTo>
                <a:pt x="854796" y="18752"/>
              </a:lnTo>
              <a:lnTo>
                <a:pt x="8366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0.81244</cdr:y>
    </cdr:from>
    <cdr:to>
      <cdr:x>0.20495</cdr:x>
      <cdr:y>0.92723</cdr:y>
    </cdr:to>
    <cdr:sp macro="" textlink="">
      <cdr:nvSpPr>
        <cdr:cNvPr id="215" name="FracNo 31 StartRow 2510">
          <a:extLst xmlns:a="http://schemas.openxmlformats.org/drawingml/2006/main">
            <a:ext uri="{FF2B5EF4-FFF2-40B4-BE49-F238E27FC236}">
              <a16:creationId xmlns:a16="http://schemas.microsoft.com/office/drawing/2014/main" id="{00303D47-C42E-3714-1609-B1ED551C4F0B}"/>
            </a:ext>
          </a:extLst>
        </cdr:cNvPr>
        <cdr:cNvSpPr/>
      </cdr:nvSpPr>
      <cdr:spPr>
        <a:xfrm xmlns:a="http://schemas.openxmlformats.org/drawingml/2006/main">
          <a:off x="671676" y="6190789"/>
          <a:ext cx="827561" cy="8747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7561" h="874733">
              <a:moveTo>
                <a:pt x="386416" y="475045"/>
              </a:moveTo>
              <a:lnTo>
                <a:pt x="0" y="874732"/>
              </a:lnTo>
              <a:lnTo>
                <a:pt x="0" y="837229"/>
              </a:lnTo>
              <a:lnTo>
                <a:pt x="377951" y="446297"/>
              </a:lnTo>
              <a:lnTo>
                <a:pt x="809431" y="0"/>
              </a:lnTo>
              <a:lnTo>
                <a:pt x="8275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0.14505</cdr:x>
      <cdr:y>0.81096</cdr:y>
    </cdr:from>
    <cdr:to>
      <cdr:x>0.25911</cdr:x>
      <cdr:y>0.92421</cdr:y>
    </cdr:to>
    <cdr:sp macro="" textlink="">
      <cdr:nvSpPr>
        <cdr:cNvPr id="216" name="FracNo 40 StartRow 2519">
          <a:extLst xmlns:a="http://schemas.openxmlformats.org/drawingml/2006/main">
            <a:ext uri="{FF2B5EF4-FFF2-40B4-BE49-F238E27FC236}">
              <a16:creationId xmlns:a16="http://schemas.microsoft.com/office/drawing/2014/main" id="{D5D673BC-7B97-F808-60D5-BD9249C64453}"/>
            </a:ext>
          </a:extLst>
        </cdr:cNvPr>
        <cdr:cNvSpPr/>
      </cdr:nvSpPr>
      <cdr:spPr>
        <a:xfrm xmlns:a="http://schemas.openxmlformats.org/drawingml/2006/main">
          <a:off x="1061091" y="6179523"/>
          <a:ext cx="834333" cy="8629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4333" h="862985">
              <a:moveTo>
                <a:pt x="515401" y="311132"/>
              </a:moveTo>
              <a:lnTo>
                <a:pt x="0" y="844233"/>
              </a:lnTo>
              <a:lnTo>
                <a:pt x="18129" y="862984"/>
              </a:lnTo>
              <a:lnTo>
                <a:pt x="533530" y="329884"/>
              </a:lnTo>
              <a:lnTo>
                <a:pt x="834332" y="18752"/>
              </a:lnTo>
              <a:lnTo>
                <a:pt x="8162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0.14787</cdr:x>
      <cdr:y>0.81376</cdr:y>
    </cdr:from>
    <cdr:to>
      <cdr:x>0.26193</cdr:x>
      <cdr:y>0.92701</cdr:y>
    </cdr:to>
    <cdr:sp macro="" textlink="">
      <cdr:nvSpPr>
        <cdr:cNvPr id="217" name="FracNo 21 StartRow 2528">
          <a:extLst xmlns:a="http://schemas.openxmlformats.org/drawingml/2006/main">
            <a:ext uri="{FF2B5EF4-FFF2-40B4-BE49-F238E27FC236}">
              <a16:creationId xmlns:a16="http://schemas.microsoft.com/office/drawing/2014/main" id="{D6AC138A-9EB3-E058-270B-20BB89B9F194}"/>
            </a:ext>
          </a:extLst>
        </cdr:cNvPr>
        <cdr:cNvSpPr/>
      </cdr:nvSpPr>
      <cdr:spPr>
        <a:xfrm xmlns:a="http://schemas.openxmlformats.org/drawingml/2006/main">
          <a:off x="1081724" y="6200865"/>
          <a:ext cx="834333" cy="8629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4333" h="862985">
              <a:moveTo>
                <a:pt x="21521" y="821971"/>
              </a:moveTo>
              <a:lnTo>
                <a:pt x="0" y="844232"/>
              </a:lnTo>
              <a:lnTo>
                <a:pt x="18129" y="862984"/>
              </a:lnTo>
              <a:lnTo>
                <a:pt x="39651" y="840724"/>
              </a:lnTo>
              <a:lnTo>
                <a:pt x="834332" y="18751"/>
              </a:lnTo>
              <a:lnTo>
                <a:pt x="8162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0.27473</cdr:x>
      <cdr:y>0.24144</cdr:y>
    </cdr:from>
    <cdr:to>
      <cdr:x>0.38551</cdr:x>
      <cdr:y>0.35145</cdr:y>
    </cdr:to>
    <cdr:sp macro="" textlink="">
      <cdr:nvSpPr>
        <cdr:cNvPr id="218" name="FracNo 740 StartRow 2537">
          <a:extLst xmlns:a="http://schemas.openxmlformats.org/drawingml/2006/main">
            <a:ext uri="{FF2B5EF4-FFF2-40B4-BE49-F238E27FC236}">
              <a16:creationId xmlns:a16="http://schemas.microsoft.com/office/drawing/2014/main" id="{96CF7181-0C27-45D4-6021-E9F0F496DEE3}"/>
            </a:ext>
          </a:extLst>
        </cdr:cNvPr>
        <cdr:cNvSpPr/>
      </cdr:nvSpPr>
      <cdr:spPr>
        <a:xfrm xmlns:a="http://schemas.openxmlformats.org/drawingml/2006/main">
          <a:off x="2009673" y="1839809"/>
          <a:ext cx="810384" cy="8382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0384" h="838214">
              <a:moveTo>
                <a:pt x="103815" y="712081"/>
              </a:moveTo>
              <a:lnTo>
                <a:pt x="0" y="819461"/>
              </a:lnTo>
              <a:lnTo>
                <a:pt x="18130" y="838213"/>
              </a:lnTo>
              <a:lnTo>
                <a:pt x="121944" y="730834"/>
              </a:lnTo>
              <a:lnTo>
                <a:pt x="745278" y="86093"/>
              </a:lnTo>
              <a:lnTo>
                <a:pt x="810383" y="18751"/>
              </a:lnTo>
              <a:lnTo>
                <a:pt x="792254" y="0"/>
              </a:lnTo>
              <a:lnTo>
                <a:pt x="727149" y="673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0.39886</cdr:x>
      <cdr:y>0.08544</cdr:y>
    </cdr:from>
    <cdr:to>
      <cdr:x>0.50964</cdr:x>
      <cdr:y>0.19298</cdr:y>
    </cdr:to>
    <cdr:sp macro="" textlink="">
      <cdr:nvSpPr>
        <cdr:cNvPr id="219" name="FracNo 426 StartRow 2548">
          <a:extLst xmlns:a="http://schemas.openxmlformats.org/drawingml/2006/main">
            <a:ext uri="{FF2B5EF4-FFF2-40B4-BE49-F238E27FC236}">
              <a16:creationId xmlns:a16="http://schemas.microsoft.com/office/drawing/2014/main" id="{60CFD4F8-FEE7-968B-B4D5-4A798CB4945F}"/>
            </a:ext>
          </a:extLst>
        </cdr:cNvPr>
        <cdr:cNvSpPr/>
      </cdr:nvSpPr>
      <cdr:spPr>
        <a:xfrm xmlns:a="http://schemas.openxmlformats.org/drawingml/2006/main">
          <a:off x="2917729" y="651036"/>
          <a:ext cx="810393" cy="8194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0393" h="819471">
              <a:moveTo>
                <a:pt x="228141" y="602246"/>
              </a:moveTo>
              <a:lnTo>
                <a:pt x="18129" y="819470"/>
              </a:lnTo>
              <a:lnTo>
                <a:pt x="0" y="800719"/>
              </a:lnTo>
              <a:lnTo>
                <a:pt x="205206" y="588465"/>
              </a:lnTo>
              <a:lnTo>
                <a:pt x="774133" y="0"/>
              </a:lnTo>
              <a:lnTo>
                <a:pt x="8103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0.42105</cdr:x>
      <cdr:y>0.08544</cdr:y>
    </cdr:from>
    <cdr:to>
      <cdr:x>0.53137</cdr:x>
      <cdr:y>0.19252</cdr:y>
    </cdr:to>
    <cdr:sp macro="" textlink="">
      <cdr:nvSpPr>
        <cdr:cNvPr id="220" name="FracNo 429 StartRow 2557">
          <a:extLst xmlns:a="http://schemas.openxmlformats.org/drawingml/2006/main">
            <a:ext uri="{FF2B5EF4-FFF2-40B4-BE49-F238E27FC236}">
              <a16:creationId xmlns:a16="http://schemas.microsoft.com/office/drawing/2014/main" id="{40E7A11D-4B02-2B8F-93A8-A5EF110B5E1B}"/>
            </a:ext>
          </a:extLst>
        </cdr:cNvPr>
        <cdr:cNvSpPr/>
      </cdr:nvSpPr>
      <cdr:spPr>
        <a:xfrm xmlns:a="http://schemas.openxmlformats.org/drawingml/2006/main">
          <a:off x="3080073" y="651036"/>
          <a:ext cx="806969" cy="8159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6969" h="815930">
              <a:moveTo>
                <a:pt x="37555" y="795836"/>
              </a:moveTo>
              <a:lnTo>
                <a:pt x="18130" y="815929"/>
              </a:lnTo>
              <a:lnTo>
                <a:pt x="0" y="797177"/>
              </a:lnTo>
              <a:lnTo>
                <a:pt x="18979" y="777546"/>
              </a:lnTo>
              <a:lnTo>
                <a:pt x="770710" y="0"/>
              </a:lnTo>
              <a:lnTo>
                <a:pt x="8069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0.19834</cdr:x>
      <cdr:y>0.19121</cdr:y>
    </cdr:to>
    <cdr:sp macro="" textlink="">
      <cdr:nvSpPr>
        <cdr:cNvPr id="221" name="FracNo 814 StartRow 2566">
          <a:extLst xmlns:a="http://schemas.openxmlformats.org/drawingml/2006/main">
            <a:ext uri="{FF2B5EF4-FFF2-40B4-BE49-F238E27FC236}">
              <a16:creationId xmlns:a16="http://schemas.microsoft.com/office/drawing/2014/main" id="{21E9970E-D408-31F0-965B-827C3F4756DF}"/>
            </a:ext>
          </a:extLst>
        </cdr:cNvPr>
        <cdr:cNvSpPr/>
      </cdr:nvSpPr>
      <cdr:spPr>
        <a:xfrm xmlns:a="http://schemas.openxmlformats.org/drawingml/2006/main">
          <a:off x="671676" y="651036"/>
          <a:ext cx="779253" cy="8060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9253" h="806015">
              <a:moveTo>
                <a:pt x="263204" y="496267"/>
              </a:moveTo>
              <a:lnTo>
                <a:pt x="0" y="768510"/>
              </a:lnTo>
              <a:lnTo>
                <a:pt x="0" y="806014"/>
              </a:lnTo>
              <a:lnTo>
                <a:pt x="276048" y="520485"/>
              </a:lnTo>
              <a:lnTo>
                <a:pt x="779252" y="0"/>
              </a:lnTo>
              <a:lnTo>
                <a:pt x="7429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0.38313</cdr:x>
      <cdr:y>0.13993</cdr:y>
    </cdr:from>
    <cdr:to>
      <cdr:x>0.48793</cdr:x>
      <cdr:y>0.244</cdr:y>
    </cdr:to>
    <cdr:sp macro="" textlink="">
      <cdr:nvSpPr>
        <cdr:cNvPr id="222" name="FracNo 423 StartRow 2575">
          <a:extLst xmlns:a="http://schemas.openxmlformats.org/drawingml/2006/main">
            <a:ext uri="{FF2B5EF4-FFF2-40B4-BE49-F238E27FC236}">
              <a16:creationId xmlns:a16="http://schemas.microsoft.com/office/drawing/2014/main" id="{978D35A3-A132-7EAE-D72B-22ED5FC6FDCB}"/>
            </a:ext>
          </a:extLst>
        </cdr:cNvPr>
        <cdr:cNvSpPr/>
      </cdr:nvSpPr>
      <cdr:spPr>
        <a:xfrm xmlns:a="http://schemas.openxmlformats.org/drawingml/2006/main">
          <a:off x="2802646" y="1066296"/>
          <a:ext cx="766679" cy="7930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6679" h="793009">
              <a:moveTo>
                <a:pt x="702276" y="47862"/>
              </a:moveTo>
              <a:lnTo>
                <a:pt x="0" y="774256"/>
              </a:lnTo>
              <a:lnTo>
                <a:pt x="18129" y="793008"/>
              </a:lnTo>
              <a:lnTo>
                <a:pt x="720406" y="66614"/>
              </a:lnTo>
              <a:lnTo>
                <a:pt x="766678" y="18752"/>
              </a:lnTo>
              <a:lnTo>
                <a:pt x="7485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0.25377</cdr:x>
      <cdr:y>0.50828</cdr:y>
    </cdr:from>
    <cdr:to>
      <cdr:x>0.35724</cdr:x>
      <cdr:y>0.61102</cdr:y>
    </cdr:to>
    <cdr:sp macro="" textlink="">
      <cdr:nvSpPr>
        <cdr:cNvPr id="223" name="FracNo 817 StartRow 2584">
          <a:extLst xmlns:a="http://schemas.openxmlformats.org/drawingml/2006/main">
            <a:ext uri="{FF2B5EF4-FFF2-40B4-BE49-F238E27FC236}">
              <a16:creationId xmlns:a16="http://schemas.microsoft.com/office/drawing/2014/main" id="{CF9D573C-EB33-922C-76AE-03277BCBE21E}"/>
            </a:ext>
          </a:extLst>
        </cdr:cNvPr>
        <cdr:cNvSpPr/>
      </cdr:nvSpPr>
      <cdr:spPr>
        <a:xfrm xmlns:a="http://schemas.openxmlformats.org/drawingml/2006/main">
          <a:off x="1856400" y="3873084"/>
          <a:ext cx="756886" cy="782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6886" h="782879">
              <a:moveTo>
                <a:pt x="705467" y="34433"/>
              </a:moveTo>
              <a:lnTo>
                <a:pt x="0" y="764126"/>
              </a:lnTo>
              <a:lnTo>
                <a:pt x="18130" y="782878"/>
              </a:lnTo>
              <a:lnTo>
                <a:pt x="723596" y="53184"/>
              </a:lnTo>
              <a:lnTo>
                <a:pt x="756885" y="18752"/>
              </a:lnTo>
              <a:lnTo>
                <a:pt x="7387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0.3954</cdr:x>
      <cdr:y>0.1591</cdr:y>
    </cdr:from>
    <cdr:to>
      <cdr:x>0.49857</cdr:x>
      <cdr:y>0.26155</cdr:y>
    </cdr:to>
    <cdr:sp macro="" textlink="">
      <cdr:nvSpPr>
        <cdr:cNvPr id="224" name="FracNo 728 StartRow 2593">
          <a:extLst xmlns:a="http://schemas.openxmlformats.org/drawingml/2006/main">
            <a:ext uri="{FF2B5EF4-FFF2-40B4-BE49-F238E27FC236}">
              <a16:creationId xmlns:a16="http://schemas.microsoft.com/office/drawing/2014/main" id="{0B2C64B0-29E6-EF0F-25CB-ED51FC5030B4}"/>
            </a:ext>
          </a:extLst>
        </cdr:cNvPr>
        <cdr:cNvSpPr/>
      </cdr:nvSpPr>
      <cdr:spPr>
        <a:xfrm xmlns:a="http://schemas.openxmlformats.org/drawingml/2006/main">
          <a:off x="2892448" y="1212376"/>
          <a:ext cx="754698" cy="7806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4698" h="780615">
              <a:moveTo>
                <a:pt x="283013" y="506634"/>
              </a:moveTo>
              <a:lnTo>
                <a:pt x="18129" y="780614"/>
              </a:lnTo>
              <a:lnTo>
                <a:pt x="0" y="761862"/>
              </a:lnTo>
              <a:lnTo>
                <a:pt x="264884" y="487882"/>
              </a:lnTo>
              <a:lnTo>
                <a:pt x="736568" y="0"/>
              </a:lnTo>
              <a:lnTo>
                <a:pt x="75469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0.63339</cdr:x>
      <cdr:y>0.08544</cdr:y>
    </cdr:from>
    <cdr:to>
      <cdr:x>0.73755</cdr:x>
      <cdr:y>0.18641</cdr:y>
    </cdr:to>
    <cdr:sp macro="" textlink="">
      <cdr:nvSpPr>
        <cdr:cNvPr id="225" name="FracNo 757 StartRow 2602">
          <a:extLst xmlns:a="http://schemas.openxmlformats.org/drawingml/2006/main">
            <a:ext uri="{FF2B5EF4-FFF2-40B4-BE49-F238E27FC236}">
              <a16:creationId xmlns:a16="http://schemas.microsoft.com/office/drawing/2014/main" id="{26374B22-A0EA-0087-1CD4-CF46BF4507FB}"/>
            </a:ext>
          </a:extLst>
        </cdr:cNvPr>
        <cdr:cNvSpPr/>
      </cdr:nvSpPr>
      <cdr:spPr>
        <a:xfrm xmlns:a="http://schemas.openxmlformats.org/drawingml/2006/main">
          <a:off x="4633380" y="651036"/>
          <a:ext cx="761961" cy="7693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1961" h="769377">
              <a:moveTo>
                <a:pt x="252372" y="527088"/>
              </a:moveTo>
              <a:lnTo>
                <a:pt x="195781" y="585623"/>
              </a:lnTo>
              <a:lnTo>
                <a:pt x="18129" y="769376"/>
              </a:lnTo>
              <a:lnTo>
                <a:pt x="0" y="750624"/>
              </a:lnTo>
              <a:lnTo>
                <a:pt x="177652" y="566871"/>
              </a:lnTo>
              <a:lnTo>
                <a:pt x="232431" y="510211"/>
              </a:lnTo>
              <a:lnTo>
                <a:pt x="725702" y="0"/>
              </a:lnTo>
              <a:lnTo>
                <a:pt x="7619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0.09467</cdr:x>
      <cdr:y>0.47654</cdr:y>
    </cdr:from>
    <cdr:to>
      <cdr:x>0.19718</cdr:x>
      <cdr:y>0.57833</cdr:y>
    </cdr:to>
    <cdr:sp macro="" textlink="">
      <cdr:nvSpPr>
        <cdr:cNvPr id="226" name="FracNo 104 StartRow 2613">
          <a:extLst xmlns:a="http://schemas.openxmlformats.org/drawingml/2006/main">
            <a:ext uri="{FF2B5EF4-FFF2-40B4-BE49-F238E27FC236}">
              <a16:creationId xmlns:a16="http://schemas.microsoft.com/office/drawing/2014/main" id="{4E22D824-2159-DD93-8FC3-F83C2A74632D}"/>
            </a:ext>
          </a:extLst>
        </cdr:cNvPr>
        <cdr:cNvSpPr/>
      </cdr:nvSpPr>
      <cdr:spPr>
        <a:xfrm xmlns:a="http://schemas.openxmlformats.org/drawingml/2006/main">
          <a:off x="692496" y="3631214"/>
          <a:ext cx="749935" cy="7756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9935" h="775689">
              <a:moveTo>
                <a:pt x="361280" y="383249"/>
              </a:moveTo>
              <a:lnTo>
                <a:pt x="0" y="756936"/>
              </a:lnTo>
              <a:lnTo>
                <a:pt x="18129" y="775688"/>
              </a:lnTo>
              <a:lnTo>
                <a:pt x="379409" y="402001"/>
              </a:lnTo>
              <a:lnTo>
                <a:pt x="749934" y="18751"/>
              </a:lnTo>
              <a:lnTo>
                <a:pt x="7318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0.11622</cdr:x>
      <cdr:y>0.8298</cdr:y>
    </cdr:from>
    <cdr:to>
      <cdr:x>0.21971</cdr:x>
      <cdr:y>0.9301</cdr:y>
    </cdr:to>
    <cdr:sp macro="" textlink="">
      <cdr:nvSpPr>
        <cdr:cNvPr id="227" name="FracNo 789 StartRow 2622">
          <a:extLst xmlns:a="http://schemas.openxmlformats.org/drawingml/2006/main">
            <a:ext uri="{FF2B5EF4-FFF2-40B4-BE49-F238E27FC236}">
              <a16:creationId xmlns:a16="http://schemas.microsoft.com/office/drawing/2014/main" id="{79484893-FE31-A370-C4B6-E326F32883E4}"/>
            </a:ext>
          </a:extLst>
        </cdr:cNvPr>
        <cdr:cNvSpPr/>
      </cdr:nvSpPr>
      <cdr:spPr>
        <a:xfrm xmlns:a="http://schemas.openxmlformats.org/drawingml/2006/main">
          <a:off x="850137" y="6323066"/>
          <a:ext cx="757053" cy="7643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7053" h="764300">
              <a:moveTo>
                <a:pt x="747644" y="28483"/>
              </a:moveTo>
              <a:lnTo>
                <a:pt x="36259" y="764299"/>
              </a:lnTo>
              <a:lnTo>
                <a:pt x="0" y="764299"/>
              </a:lnTo>
              <a:lnTo>
                <a:pt x="729278" y="9976"/>
              </a:lnTo>
              <a:lnTo>
                <a:pt x="738923" y="0"/>
              </a:lnTo>
              <a:lnTo>
                <a:pt x="7570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0.35201</cdr:x>
      <cdr:y>0.36801</cdr:y>
    </cdr:from>
    <cdr:to>
      <cdr:x>0.45129</cdr:x>
      <cdr:y>0.4666</cdr:y>
    </cdr:to>
    <cdr:sp macro="" textlink="">
      <cdr:nvSpPr>
        <cdr:cNvPr id="228" name="FracNo 356 StartRow 2631">
          <a:extLst xmlns:a="http://schemas.openxmlformats.org/drawingml/2006/main">
            <a:ext uri="{FF2B5EF4-FFF2-40B4-BE49-F238E27FC236}">
              <a16:creationId xmlns:a16="http://schemas.microsoft.com/office/drawing/2014/main" id="{AB8A20B7-521B-AE66-5DA0-699E89D233B9}"/>
            </a:ext>
          </a:extLst>
        </cdr:cNvPr>
        <cdr:cNvSpPr/>
      </cdr:nvSpPr>
      <cdr:spPr>
        <a:xfrm xmlns:a="http://schemas.openxmlformats.org/drawingml/2006/main">
          <a:off x="2575007" y="2804237"/>
          <a:ext cx="726292" cy="751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6292" h="751234">
              <a:moveTo>
                <a:pt x="598029" y="151418"/>
              </a:moveTo>
              <a:lnTo>
                <a:pt x="179944" y="583861"/>
              </a:lnTo>
              <a:lnTo>
                <a:pt x="18129" y="751233"/>
              </a:lnTo>
              <a:lnTo>
                <a:pt x="0" y="732481"/>
              </a:lnTo>
              <a:lnTo>
                <a:pt x="161815" y="565109"/>
              </a:lnTo>
              <a:lnTo>
                <a:pt x="579899" y="132666"/>
              </a:lnTo>
              <a:lnTo>
                <a:pt x="708161" y="0"/>
              </a:lnTo>
              <a:lnTo>
                <a:pt x="7262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0.50124</cdr:x>
      <cdr:y>0.42946</cdr:y>
    </cdr:from>
    <cdr:to>
      <cdr:x>0.60015</cdr:x>
      <cdr:y>0.52767</cdr:y>
    </cdr:to>
    <cdr:sp macro="" textlink="">
      <cdr:nvSpPr>
        <cdr:cNvPr id="229" name="FracNo 357 StartRow 2642">
          <a:extLst xmlns:a="http://schemas.openxmlformats.org/drawingml/2006/main">
            <a:ext uri="{FF2B5EF4-FFF2-40B4-BE49-F238E27FC236}">
              <a16:creationId xmlns:a16="http://schemas.microsoft.com/office/drawing/2014/main" id="{9CC9F570-3D3D-70A7-0116-A21C70129A50}"/>
            </a:ext>
          </a:extLst>
        </cdr:cNvPr>
        <cdr:cNvSpPr/>
      </cdr:nvSpPr>
      <cdr:spPr>
        <a:xfrm xmlns:a="http://schemas.openxmlformats.org/drawingml/2006/main">
          <a:off x="3666691" y="3272518"/>
          <a:ext cx="723490" cy="7483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490" h="748336">
              <a:moveTo>
                <a:pt x="82155" y="644607"/>
              </a:moveTo>
              <a:lnTo>
                <a:pt x="0" y="729583"/>
              </a:lnTo>
              <a:lnTo>
                <a:pt x="18129" y="748335"/>
              </a:lnTo>
              <a:lnTo>
                <a:pt x="100284" y="663358"/>
              </a:lnTo>
              <a:lnTo>
                <a:pt x="723489" y="18752"/>
              </a:lnTo>
              <a:lnTo>
                <a:pt x="7053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0.54028</cdr:x>
      <cdr:y>0.83332</cdr:y>
    </cdr:from>
    <cdr:to>
      <cdr:x>0.64022</cdr:x>
      <cdr:y>0.9301</cdr:y>
    </cdr:to>
    <cdr:sp macro="" textlink="">
      <cdr:nvSpPr>
        <cdr:cNvPr id="230" name="FracNo 749 StartRow 2651">
          <a:extLst xmlns:a="http://schemas.openxmlformats.org/drawingml/2006/main">
            <a:ext uri="{FF2B5EF4-FFF2-40B4-BE49-F238E27FC236}">
              <a16:creationId xmlns:a16="http://schemas.microsoft.com/office/drawing/2014/main" id="{5C1B4ED7-E0D7-474E-B0CA-C02394965953}"/>
            </a:ext>
          </a:extLst>
        </cdr:cNvPr>
        <cdr:cNvSpPr/>
      </cdr:nvSpPr>
      <cdr:spPr>
        <a:xfrm xmlns:a="http://schemas.openxmlformats.org/drawingml/2006/main">
          <a:off x="3952241" y="6349879"/>
          <a:ext cx="731130" cy="7374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1130" h="737487">
              <a:moveTo>
                <a:pt x="463090" y="295996"/>
              </a:moveTo>
              <a:lnTo>
                <a:pt x="36259" y="737486"/>
              </a:lnTo>
              <a:lnTo>
                <a:pt x="0" y="737486"/>
              </a:lnTo>
              <a:lnTo>
                <a:pt x="437968" y="284478"/>
              </a:lnTo>
              <a:lnTo>
                <a:pt x="712999" y="0"/>
              </a:lnTo>
              <a:lnTo>
                <a:pt x="7311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0.35659</cdr:x>
      <cdr:y>0.41647</cdr:y>
    </cdr:from>
    <cdr:to>
      <cdr:x>0.45334</cdr:x>
      <cdr:y>0.51255</cdr:y>
    </cdr:to>
    <cdr:sp macro="" textlink="">
      <cdr:nvSpPr>
        <cdr:cNvPr id="231" name="FracNo 771 StartRow 2660">
          <a:extLst xmlns:a="http://schemas.openxmlformats.org/drawingml/2006/main">
            <a:ext uri="{FF2B5EF4-FFF2-40B4-BE49-F238E27FC236}">
              <a16:creationId xmlns:a16="http://schemas.microsoft.com/office/drawing/2014/main" id="{BD9ACE9D-A83B-BFC8-225E-6581DE7F02FF}"/>
            </a:ext>
          </a:extLst>
        </cdr:cNvPr>
        <cdr:cNvSpPr/>
      </cdr:nvSpPr>
      <cdr:spPr>
        <a:xfrm xmlns:a="http://schemas.openxmlformats.org/drawingml/2006/main">
          <a:off x="2608494" y="3173526"/>
          <a:ext cx="707801" cy="7321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7801" h="732108">
              <a:moveTo>
                <a:pt x="690712" y="36427"/>
              </a:moveTo>
              <a:lnTo>
                <a:pt x="146457" y="599372"/>
              </a:lnTo>
              <a:lnTo>
                <a:pt x="18130" y="732107"/>
              </a:lnTo>
              <a:lnTo>
                <a:pt x="0" y="713355"/>
              </a:lnTo>
              <a:lnTo>
                <a:pt x="128328" y="580620"/>
              </a:lnTo>
              <a:lnTo>
                <a:pt x="672583" y="17675"/>
              </a:lnTo>
              <a:lnTo>
                <a:pt x="689670" y="0"/>
              </a:lnTo>
              <a:lnTo>
                <a:pt x="7078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0.22874</cdr:y>
    </cdr:from>
    <cdr:to>
      <cdr:x>0.18674</cdr:x>
      <cdr:y>0.32545</cdr:y>
    </cdr:to>
    <cdr:sp macro="" textlink="">
      <cdr:nvSpPr>
        <cdr:cNvPr id="232" name="FracNo 184 StartRow 2671">
          <a:extLst xmlns:a="http://schemas.openxmlformats.org/drawingml/2006/main">
            <a:ext uri="{FF2B5EF4-FFF2-40B4-BE49-F238E27FC236}">
              <a16:creationId xmlns:a16="http://schemas.microsoft.com/office/drawing/2014/main" id="{351080EE-DC5F-2784-60C3-9A55A27DD721}"/>
            </a:ext>
          </a:extLst>
        </cdr:cNvPr>
        <cdr:cNvSpPr/>
      </cdr:nvSpPr>
      <cdr:spPr>
        <a:xfrm xmlns:a="http://schemas.openxmlformats.org/drawingml/2006/main">
          <a:off x="671676" y="1742965"/>
          <a:ext cx="694344" cy="7369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4344" h="736941">
              <a:moveTo>
                <a:pt x="538175" y="142779"/>
              </a:moveTo>
              <a:lnTo>
                <a:pt x="0" y="699437"/>
              </a:lnTo>
              <a:lnTo>
                <a:pt x="0" y="736940"/>
              </a:lnTo>
              <a:lnTo>
                <a:pt x="552604" y="165359"/>
              </a:lnTo>
              <a:lnTo>
                <a:pt x="694343" y="18752"/>
              </a:lnTo>
              <a:lnTo>
                <a:pt x="6762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0.81771</cdr:y>
    </cdr:from>
    <cdr:to>
      <cdr:x>0.1853</cdr:x>
      <cdr:y>0.91299</cdr:y>
    </cdr:to>
    <cdr:sp macro="" textlink="">
      <cdr:nvSpPr>
        <cdr:cNvPr id="233" name="FracNo 34 StartRow 2680">
          <a:extLst xmlns:a="http://schemas.openxmlformats.org/drawingml/2006/main">
            <a:ext uri="{FF2B5EF4-FFF2-40B4-BE49-F238E27FC236}">
              <a16:creationId xmlns:a16="http://schemas.microsoft.com/office/drawing/2014/main" id="{13557E21-7DE7-24B5-65A7-31FCFA1FF43A}"/>
            </a:ext>
          </a:extLst>
        </cdr:cNvPr>
        <cdr:cNvSpPr/>
      </cdr:nvSpPr>
      <cdr:spPr>
        <a:xfrm xmlns:a="http://schemas.openxmlformats.org/drawingml/2006/main">
          <a:off x="671676" y="6230938"/>
          <a:ext cx="683832" cy="726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3832" h="726069">
              <a:moveTo>
                <a:pt x="655915" y="10124"/>
              </a:moveTo>
              <a:lnTo>
                <a:pt x="0" y="688564"/>
              </a:lnTo>
              <a:lnTo>
                <a:pt x="0" y="726068"/>
              </a:lnTo>
              <a:lnTo>
                <a:pt x="673777" y="29151"/>
              </a:lnTo>
              <a:lnTo>
                <a:pt x="683831" y="18752"/>
              </a:lnTo>
              <a:lnTo>
                <a:pt x="6657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0.8507</cdr:x>
      <cdr:y>0.75572</cdr:y>
    </cdr:from>
    <cdr:to>
      <cdr:x>0.94246</cdr:x>
      <cdr:y>0.8493</cdr:y>
    </cdr:to>
    <cdr:sp macro="" textlink="">
      <cdr:nvSpPr>
        <cdr:cNvPr id="234" name="FracNo 505 StartRow 2689">
          <a:extLst xmlns:a="http://schemas.openxmlformats.org/drawingml/2006/main">
            <a:ext uri="{FF2B5EF4-FFF2-40B4-BE49-F238E27FC236}">
              <a16:creationId xmlns:a16="http://schemas.microsoft.com/office/drawing/2014/main" id="{B7E8141C-828A-17BB-21DA-1CCD1911EE28}"/>
            </a:ext>
          </a:extLst>
        </cdr:cNvPr>
        <cdr:cNvSpPr/>
      </cdr:nvSpPr>
      <cdr:spPr>
        <a:xfrm xmlns:a="http://schemas.openxmlformats.org/drawingml/2006/main">
          <a:off x="6223037" y="5758555"/>
          <a:ext cx="671271" cy="7130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1271" h="713076">
              <a:moveTo>
                <a:pt x="177397" y="510834"/>
              </a:moveTo>
              <a:lnTo>
                <a:pt x="0" y="694323"/>
              </a:lnTo>
              <a:lnTo>
                <a:pt x="18129" y="713075"/>
              </a:lnTo>
              <a:lnTo>
                <a:pt x="190735" y="534542"/>
              </a:lnTo>
              <a:lnTo>
                <a:pt x="671270" y="37504"/>
              </a:lnTo>
              <a:lnTo>
                <a:pt x="6712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0.78693</cdr:x>
      <cdr:y>0.84099</cdr:y>
    </cdr:from>
    <cdr:to>
      <cdr:x>0.87915</cdr:x>
      <cdr:y>0.9301</cdr:y>
    </cdr:to>
    <cdr:sp macro="" textlink="">
      <cdr:nvSpPr>
        <cdr:cNvPr id="235" name="FracNo 731 StartRow 2698">
          <a:extLst xmlns:a="http://schemas.openxmlformats.org/drawingml/2006/main">
            <a:ext uri="{FF2B5EF4-FFF2-40B4-BE49-F238E27FC236}">
              <a16:creationId xmlns:a16="http://schemas.microsoft.com/office/drawing/2014/main" id="{65C66382-BB8C-E7AB-CA85-403DBED28727}"/>
            </a:ext>
          </a:extLst>
        </cdr:cNvPr>
        <cdr:cNvSpPr/>
      </cdr:nvSpPr>
      <cdr:spPr>
        <a:xfrm xmlns:a="http://schemas.openxmlformats.org/drawingml/2006/main">
          <a:off x="5756566" y="6408353"/>
          <a:ext cx="674597" cy="6790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4597" h="679013">
              <a:moveTo>
                <a:pt x="462006" y="201140"/>
              </a:moveTo>
              <a:lnTo>
                <a:pt x="0" y="679012"/>
              </a:lnTo>
              <a:lnTo>
                <a:pt x="36258" y="679012"/>
              </a:lnTo>
              <a:lnTo>
                <a:pt x="485506" y="214337"/>
              </a:lnTo>
              <a:lnTo>
                <a:pt x="674596" y="18752"/>
              </a:lnTo>
              <a:lnTo>
                <a:pt x="6564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0.85311</cdr:x>
      <cdr:y>0.12615</cdr:y>
    </cdr:from>
    <cdr:to>
      <cdr:x>0.94246</cdr:x>
      <cdr:y>0.21733</cdr:y>
    </cdr:to>
    <cdr:sp macro="" textlink="">
      <cdr:nvSpPr>
        <cdr:cNvPr id="236" name="FracNo 264 StartRow 2707">
          <a:extLst xmlns:a="http://schemas.openxmlformats.org/drawingml/2006/main">
            <a:ext uri="{FF2B5EF4-FFF2-40B4-BE49-F238E27FC236}">
              <a16:creationId xmlns:a16="http://schemas.microsoft.com/office/drawing/2014/main" id="{E482BCFB-7F89-1178-FD91-C70A01BFD4BD}"/>
            </a:ext>
          </a:extLst>
        </cdr:cNvPr>
        <cdr:cNvSpPr/>
      </cdr:nvSpPr>
      <cdr:spPr>
        <a:xfrm xmlns:a="http://schemas.openxmlformats.org/drawingml/2006/main">
          <a:off x="6240698" y="961260"/>
          <a:ext cx="653610" cy="6948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610" h="694808">
              <a:moveTo>
                <a:pt x="513687" y="144727"/>
              </a:moveTo>
              <a:lnTo>
                <a:pt x="0" y="676055"/>
              </a:lnTo>
              <a:lnTo>
                <a:pt x="18130" y="694807"/>
              </a:lnTo>
              <a:lnTo>
                <a:pt x="517569" y="178217"/>
              </a:lnTo>
              <a:lnTo>
                <a:pt x="653609" y="37504"/>
              </a:lnTo>
              <a:lnTo>
                <a:pt x="6536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0.76334</cdr:y>
    </cdr:from>
    <cdr:to>
      <cdr:x>0.18047</cdr:x>
      <cdr:y>0.85382</cdr:y>
    </cdr:to>
    <cdr:sp macro="" textlink="">
      <cdr:nvSpPr>
        <cdr:cNvPr id="237" name="FracNo 23 StartRow 2716">
          <a:extLst xmlns:a="http://schemas.openxmlformats.org/drawingml/2006/main">
            <a:ext uri="{FF2B5EF4-FFF2-40B4-BE49-F238E27FC236}">
              <a16:creationId xmlns:a16="http://schemas.microsoft.com/office/drawing/2014/main" id="{B0121315-EE80-9FCF-050E-D69C823EB307}"/>
            </a:ext>
          </a:extLst>
        </cdr:cNvPr>
        <cdr:cNvSpPr/>
      </cdr:nvSpPr>
      <cdr:spPr>
        <a:xfrm xmlns:a="http://schemas.openxmlformats.org/drawingml/2006/main">
          <a:off x="671676" y="5816616"/>
          <a:ext cx="648490" cy="689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8490" h="689512">
              <a:moveTo>
                <a:pt x="313739" y="364998"/>
              </a:moveTo>
              <a:lnTo>
                <a:pt x="0" y="689511"/>
              </a:lnTo>
              <a:lnTo>
                <a:pt x="0" y="652007"/>
              </a:lnTo>
              <a:lnTo>
                <a:pt x="304968" y="336566"/>
              </a:lnTo>
              <a:lnTo>
                <a:pt x="630359" y="0"/>
              </a:lnTo>
              <a:lnTo>
                <a:pt x="6484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0.25892</cdr:x>
      <cdr:y>0.7267</cdr:y>
    </cdr:from>
    <cdr:to>
      <cdr:x>0.34855</cdr:x>
      <cdr:y>0.8157</cdr:y>
    </cdr:to>
    <cdr:sp macro="" textlink="">
      <cdr:nvSpPr>
        <cdr:cNvPr id="238" name="FracNo 759 StartRow 2725">
          <a:extLst xmlns:a="http://schemas.openxmlformats.org/drawingml/2006/main">
            <a:ext uri="{FF2B5EF4-FFF2-40B4-BE49-F238E27FC236}">
              <a16:creationId xmlns:a16="http://schemas.microsoft.com/office/drawing/2014/main" id="{10167652-33EA-6929-8215-99099F75283F}"/>
            </a:ext>
          </a:extLst>
        </cdr:cNvPr>
        <cdr:cNvSpPr/>
      </cdr:nvSpPr>
      <cdr:spPr>
        <a:xfrm xmlns:a="http://schemas.openxmlformats.org/drawingml/2006/main">
          <a:off x="1894062" y="5537422"/>
          <a:ext cx="655681" cy="6781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5681" h="678198">
              <a:moveTo>
                <a:pt x="304086" y="382421"/>
              </a:moveTo>
              <a:lnTo>
                <a:pt x="18130" y="678197"/>
              </a:lnTo>
              <a:lnTo>
                <a:pt x="0" y="659445"/>
              </a:lnTo>
              <a:lnTo>
                <a:pt x="285956" y="363669"/>
              </a:lnTo>
              <a:lnTo>
                <a:pt x="637551" y="0"/>
              </a:lnTo>
              <a:lnTo>
                <a:pt x="6556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0.28653</cdr:y>
    </cdr:from>
    <cdr:to>
      <cdr:x>0.18015</cdr:x>
      <cdr:y>0.3767</cdr:y>
    </cdr:to>
    <cdr:sp macro="" textlink="">
      <cdr:nvSpPr>
        <cdr:cNvPr id="239" name="FracNo 854 StartRow 2734">
          <a:extLst xmlns:a="http://schemas.openxmlformats.org/drawingml/2006/main">
            <a:ext uri="{FF2B5EF4-FFF2-40B4-BE49-F238E27FC236}">
              <a16:creationId xmlns:a16="http://schemas.microsoft.com/office/drawing/2014/main" id="{ED504979-E20C-BE88-8E36-1386404CFFF6}"/>
            </a:ext>
          </a:extLst>
        </cdr:cNvPr>
        <cdr:cNvSpPr/>
      </cdr:nvSpPr>
      <cdr:spPr>
        <a:xfrm xmlns:a="http://schemas.openxmlformats.org/drawingml/2006/main">
          <a:off x="671676" y="2183389"/>
          <a:ext cx="646156" cy="6870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6156" h="687098">
              <a:moveTo>
                <a:pt x="364774" y="309796"/>
              </a:moveTo>
              <a:lnTo>
                <a:pt x="54768" y="630448"/>
              </a:lnTo>
              <a:lnTo>
                <a:pt x="0" y="687097"/>
              </a:lnTo>
              <a:lnTo>
                <a:pt x="0" y="649594"/>
              </a:lnTo>
              <a:lnTo>
                <a:pt x="52073" y="595732"/>
              </a:lnTo>
              <a:lnTo>
                <a:pt x="353988" y="283448"/>
              </a:lnTo>
              <a:lnTo>
                <a:pt x="628026" y="0"/>
              </a:lnTo>
              <a:lnTo>
                <a:pt x="6461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0.17705</cdr:x>
      <cdr:y>0.19945</cdr:y>
    </cdr:from>
    <cdr:to>
      <cdr:x>0.26662</cdr:x>
      <cdr:y>0.28838</cdr:y>
    </cdr:to>
    <cdr:sp macro="" textlink="">
      <cdr:nvSpPr>
        <cdr:cNvPr id="240" name="FracNo 776 StartRow 2745">
          <a:extLst xmlns:a="http://schemas.openxmlformats.org/drawingml/2006/main">
            <a:ext uri="{FF2B5EF4-FFF2-40B4-BE49-F238E27FC236}">
              <a16:creationId xmlns:a16="http://schemas.microsoft.com/office/drawing/2014/main" id="{23EEE618-435E-8568-6995-34CA25E6DC6E}"/>
            </a:ext>
          </a:extLst>
        </cdr:cNvPr>
        <cdr:cNvSpPr/>
      </cdr:nvSpPr>
      <cdr:spPr>
        <a:xfrm xmlns:a="http://schemas.openxmlformats.org/drawingml/2006/main">
          <a:off x="1295191" y="1519805"/>
          <a:ext cx="655172" cy="6776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5172" h="677672">
              <a:moveTo>
                <a:pt x="589172" y="49514"/>
              </a:moveTo>
              <a:lnTo>
                <a:pt x="0" y="658919"/>
              </a:lnTo>
              <a:lnTo>
                <a:pt x="18130" y="677671"/>
              </a:lnTo>
              <a:lnTo>
                <a:pt x="607302" y="68265"/>
              </a:lnTo>
              <a:lnTo>
                <a:pt x="655171" y="18752"/>
              </a:lnTo>
              <a:lnTo>
                <a:pt x="6370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0.45094</cdr:x>
      <cdr:y>0.84312</cdr:y>
    </cdr:from>
    <cdr:to>
      <cdr:x>0.54101</cdr:x>
      <cdr:y>0.9301</cdr:y>
    </cdr:to>
    <cdr:sp macro="" textlink="">
      <cdr:nvSpPr>
        <cdr:cNvPr id="241" name="FracNo 670 StartRow 2754">
          <a:extLst xmlns:a="http://schemas.openxmlformats.org/drawingml/2006/main">
            <a:ext uri="{FF2B5EF4-FFF2-40B4-BE49-F238E27FC236}">
              <a16:creationId xmlns:a16="http://schemas.microsoft.com/office/drawing/2014/main" id="{6AFA3D46-FF18-F200-0578-3EFCDAF244F6}"/>
            </a:ext>
          </a:extLst>
        </cdr:cNvPr>
        <cdr:cNvSpPr/>
      </cdr:nvSpPr>
      <cdr:spPr>
        <a:xfrm xmlns:a="http://schemas.openxmlformats.org/drawingml/2006/main">
          <a:off x="3298716" y="6424578"/>
          <a:ext cx="658912" cy="662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8912" h="662788">
              <a:moveTo>
                <a:pt x="577544" y="102914"/>
              </a:moveTo>
              <a:lnTo>
                <a:pt x="36259" y="662787"/>
              </a:lnTo>
              <a:lnTo>
                <a:pt x="0" y="662787"/>
              </a:lnTo>
              <a:lnTo>
                <a:pt x="557045" y="86612"/>
              </a:lnTo>
              <a:lnTo>
                <a:pt x="640782" y="0"/>
              </a:lnTo>
              <a:lnTo>
                <a:pt x="6589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0.77417</cdr:x>
      <cdr:y>0.61406</cdr:y>
    </cdr:from>
    <cdr:to>
      <cdr:x>0.86287</cdr:x>
      <cdr:y>0.70215</cdr:y>
    </cdr:to>
    <cdr:sp macro="" textlink="">
      <cdr:nvSpPr>
        <cdr:cNvPr id="242" name="FracNo 761 StartRow 2763">
          <a:extLst xmlns:a="http://schemas.openxmlformats.org/drawingml/2006/main">
            <a:ext uri="{FF2B5EF4-FFF2-40B4-BE49-F238E27FC236}">
              <a16:creationId xmlns:a16="http://schemas.microsoft.com/office/drawing/2014/main" id="{0246005B-B039-C0E2-042C-91F3DDF40931}"/>
            </a:ext>
          </a:extLst>
        </cdr:cNvPr>
        <cdr:cNvSpPr/>
      </cdr:nvSpPr>
      <cdr:spPr>
        <a:xfrm xmlns:a="http://schemas.openxmlformats.org/drawingml/2006/main">
          <a:off x="5663181" y="4679164"/>
          <a:ext cx="648909" cy="6711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8909" h="671194">
              <a:moveTo>
                <a:pt x="154261" y="492882"/>
              </a:moveTo>
              <a:lnTo>
                <a:pt x="0" y="652441"/>
              </a:lnTo>
              <a:lnTo>
                <a:pt x="18129" y="671193"/>
              </a:lnTo>
              <a:lnTo>
                <a:pt x="172390" y="511634"/>
              </a:lnTo>
              <a:lnTo>
                <a:pt x="403939" y="272134"/>
              </a:lnTo>
              <a:lnTo>
                <a:pt x="648908" y="18752"/>
              </a:lnTo>
              <a:lnTo>
                <a:pt x="630779" y="0"/>
              </a:lnTo>
              <a:lnTo>
                <a:pt x="385809" y="2533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0.77075</cdr:x>
      <cdr:y>0.08544</cdr:y>
    </cdr:from>
    <cdr:to>
      <cdr:x>0.85978</cdr:x>
      <cdr:y>0.17139</cdr:y>
    </cdr:to>
    <cdr:sp macro="" textlink="">
      <cdr:nvSpPr>
        <cdr:cNvPr id="243" name="FracNo 852 StartRow 2774">
          <a:extLst xmlns:a="http://schemas.openxmlformats.org/drawingml/2006/main">
            <a:ext uri="{FF2B5EF4-FFF2-40B4-BE49-F238E27FC236}">
              <a16:creationId xmlns:a16="http://schemas.microsoft.com/office/drawing/2014/main" id="{2B5ACE55-F43B-1E26-D101-06559EC3AD9B}"/>
            </a:ext>
          </a:extLst>
        </cdr:cNvPr>
        <cdr:cNvSpPr/>
      </cdr:nvSpPr>
      <cdr:spPr>
        <a:xfrm xmlns:a="http://schemas.openxmlformats.org/drawingml/2006/main">
          <a:off x="5638165" y="651036"/>
          <a:ext cx="651314" cy="6549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1314" h="654929">
              <a:moveTo>
                <a:pt x="374939" y="248361"/>
              </a:moveTo>
              <a:lnTo>
                <a:pt x="0" y="636177"/>
              </a:lnTo>
              <a:lnTo>
                <a:pt x="18129" y="654928"/>
              </a:lnTo>
              <a:lnTo>
                <a:pt x="404120" y="255683"/>
              </a:lnTo>
              <a:lnTo>
                <a:pt x="651313" y="0"/>
              </a:lnTo>
              <a:lnTo>
                <a:pt x="6150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0.62445</cdr:x>
      <cdr:y>0.21917</cdr:y>
    </cdr:from>
    <cdr:to>
      <cdr:x>0.71174</cdr:x>
      <cdr:y>0.30585</cdr:y>
    </cdr:to>
    <cdr:sp macro="" textlink="">
      <cdr:nvSpPr>
        <cdr:cNvPr id="244" name="FracNo 783 StartRow 2783">
          <a:extLst xmlns:a="http://schemas.openxmlformats.org/drawingml/2006/main">
            <a:ext uri="{FF2B5EF4-FFF2-40B4-BE49-F238E27FC236}">
              <a16:creationId xmlns:a16="http://schemas.microsoft.com/office/drawing/2014/main" id="{FD38A053-54DE-A167-1A05-7512DF51FEED}"/>
            </a:ext>
          </a:extLst>
        </cdr:cNvPr>
        <cdr:cNvSpPr/>
      </cdr:nvSpPr>
      <cdr:spPr>
        <a:xfrm xmlns:a="http://schemas.openxmlformats.org/drawingml/2006/main">
          <a:off x="4567986" y="1670083"/>
          <a:ext cx="638567" cy="660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8567" h="660497">
              <a:moveTo>
                <a:pt x="513926" y="110168"/>
              </a:moveTo>
              <a:lnTo>
                <a:pt x="243046" y="390351"/>
              </a:lnTo>
              <a:lnTo>
                <a:pt x="0" y="641744"/>
              </a:lnTo>
              <a:lnTo>
                <a:pt x="18129" y="660496"/>
              </a:lnTo>
              <a:lnTo>
                <a:pt x="261175" y="409103"/>
              </a:lnTo>
              <a:lnTo>
                <a:pt x="532055" y="128921"/>
              </a:lnTo>
              <a:lnTo>
                <a:pt x="638566" y="18752"/>
              </a:lnTo>
              <a:lnTo>
                <a:pt x="6204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0.85809</cdr:x>
      <cdr:y>0.28833</cdr:y>
    </cdr:from>
    <cdr:to>
      <cdr:x>0.94246</cdr:x>
      <cdr:y>0.37457</cdr:y>
    </cdr:to>
    <cdr:sp macro="" textlink="">
      <cdr:nvSpPr>
        <cdr:cNvPr id="245" name="FracNo 268 StartRow 2794">
          <a:extLst xmlns:a="http://schemas.openxmlformats.org/drawingml/2006/main">
            <a:ext uri="{FF2B5EF4-FFF2-40B4-BE49-F238E27FC236}">
              <a16:creationId xmlns:a16="http://schemas.microsoft.com/office/drawing/2014/main" id="{4E3000C7-7631-C4FC-E89C-9D904B0C76B4}"/>
            </a:ext>
          </a:extLst>
        </cdr:cNvPr>
        <cdr:cNvSpPr/>
      </cdr:nvSpPr>
      <cdr:spPr>
        <a:xfrm xmlns:a="http://schemas.openxmlformats.org/drawingml/2006/main">
          <a:off x="6277074" y="2197047"/>
          <a:ext cx="617234" cy="6571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7234" h="657183">
              <a:moveTo>
                <a:pt x="162888" y="507453"/>
              </a:moveTo>
              <a:lnTo>
                <a:pt x="64897" y="608808"/>
              </a:lnTo>
              <a:lnTo>
                <a:pt x="18129" y="657182"/>
              </a:lnTo>
              <a:lnTo>
                <a:pt x="0" y="638431"/>
              </a:lnTo>
              <a:lnTo>
                <a:pt x="46768" y="590056"/>
              </a:lnTo>
              <a:lnTo>
                <a:pt x="147975" y="485374"/>
              </a:lnTo>
              <a:lnTo>
                <a:pt x="617233" y="0"/>
              </a:lnTo>
              <a:lnTo>
                <a:pt x="61723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0.32894</cdr:y>
    </cdr:from>
    <cdr:to>
      <cdr:x>0.17612</cdr:x>
      <cdr:y>0.41511</cdr:y>
    </cdr:to>
    <cdr:sp macro="" textlink="">
      <cdr:nvSpPr>
        <cdr:cNvPr id="246" name="FracNo 820 StartRow 2805">
          <a:extLst xmlns:a="http://schemas.openxmlformats.org/drawingml/2006/main">
            <a:ext uri="{FF2B5EF4-FFF2-40B4-BE49-F238E27FC236}">
              <a16:creationId xmlns:a16="http://schemas.microsoft.com/office/drawing/2014/main" id="{8D0C5590-0BF2-09F6-6D12-66D52B73322C}"/>
            </a:ext>
          </a:extLst>
        </cdr:cNvPr>
        <cdr:cNvSpPr/>
      </cdr:nvSpPr>
      <cdr:spPr>
        <a:xfrm xmlns:a="http://schemas.openxmlformats.org/drawingml/2006/main">
          <a:off x="671676" y="2506527"/>
          <a:ext cx="616694" cy="6566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6694" h="656624">
              <a:moveTo>
                <a:pt x="572447" y="27014"/>
              </a:moveTo>
              <a:lnTo>
                <a:pt x="331121" y="276627"/>
              </a:lnTo>
              <a:lnTo>
                <a:pt x="0" y="619120"/>
              </a:lnTo>
              <a:lnTo>
                <a:pt x="0" y="656623"/>
              </a:lnTo>
              <a:lnTo>
                <a:pt x="341615" y="303277"/>
              </a:lnTo>
              <a:lnTo>
                <a:pt x="589830" y="46537"/>
              </a:lnTo>
              <a:lnTo>
                <a:pt x="616693" y="18751"/>
              </a:lnTo>
              <a:lnTo>
                <a:pt x="5985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0.50815</cdr:x>
      <cdr:y>0.84647</cdr:y>
    </cdr:from>
    <cdr:to>
      <cdr:x>0.59485</cdr:x>
      <cdr:y>0.9301</cdr:y>
    </cdr:to>
    <cdr:sp macro="" textlink="">
      <cdr:nvSpPr>
        <cdr:cNvPr id="247" name="FracNo 803 StartRow 2816">
          <a:extLst xmlns:a="http://schemas.openxmlformats.org/drawingml/2006/main">
            <a:ext uri="{FF2B5EF4-FFF2-40B4-BE49-F238E27FC236}">
              <a16:creationId xmlns:a16="http://schemas.microsoft.com/office/drawing/2014/main" id="{A641078D-FE48-5CF7-9980-DBC1F2BEFA26}"/>
            </a:ext>
          </a:extLst>
        </cdr:cNvPr>
        <cdr:cNvSpPr/>
      </cdr:nvSpPr>
      <cdr:spPr>
        <a:xfrm xmlns:a="http://schemas.openxmlformats.org/drawingml/2006/main">
          <a:off x="3717211" y="6450097"/>
          <a:ext cx="634240" cy="6372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240" h="637269">
              <a:moveTo>
                <a:pt x="603698" y="50341"/>
              </a:moveTo>
              <a:lnTo>
                <a:pt x="36258" y="637268"/>
              </a:lnTo>
              <a:lnTo>
                <a:pt x="0" y="637268"/>
              </a:lnTo>
              <a:lnTo>
                <a:pt x="584643" y="32548"/>
              </a:lnTo>
              <a:lnTo>
                <a:pt x="616109" y="0"/>
              </a:lnTo>
              <a:lnTo>
                <a:pt x="6342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0.81179</cdr:x>
      <cdr:y>0.25393</cdr:y>
    </cdr:from>
    <cdr:to>
      <cdr:x>0.89612</cdr:x>
      <cdr:y>0.33767</cdr:y>
    </cdr:to>
    <cdr:sp macro="" textlink="">
      <cdr:nvSpPr>
        <cdr:cNvPr id="248" name="FracNo 261 StartRow 2825">
          <a:extLst xmlns:a="http://schemas.openxmlformats.org/drawingml/2006/main">
            <a:ext uri="{FF2B5EF4-FFF2-40B4-BE49-F238E27FC236}">
              <a16:creationId xmlns:a16="http://schemas.microsoft.com/office/drawing/2014/main" id="{748D4903-5ECE-3BC9-8687-7DBFDE35FA2C}"/>
            </a:ext>
          </a:extLst>
        </cdr:cNvPr>
        <cdr:cNvSpPr/>
      </cdr:nvSpPr>
      <cdr:spPr>
        <a:xfrm xmlns:a="http://schemas.openxmlformats.org/drawingml/2006/main">
          <a:off x="5938425" y="1934950"/>
          <a:ext cx="616901" cy="6380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6901" h="638086">
              <a:moveTo>
                <a:pt x="485599" y="117058"/>
              </a:moveTo>
              <a:lnTo>
                <a:pt x="0" y="619333"/>
              </a:lnTo>
              <a:lnTo>
                <a:pt x="18129" y="638085"/>
              </a:lnTo>
              <a:lnTo>
                <a:pt x="503728" y="135810"/>
              </a:lnTo>
              <a:lnTo>
                <a:pt x="616900" y="18752"/>
              </a:lnTo>
              <a:lnTo>
                <a:pt x="5987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0.6375</cdr:x>
      <cdr:y>0.75254</cdr:y>
    </cdr:from>
    <cdr:to>
      <cdr:x>0.72109</cdr:x>
      <cdr:y>0.83554</cdr:y>
    </cdr:to>
    <cdr:sp macro="" textlink="">
      <cdr:nvSpPr>
        <cdr:cNvPr id="249" name="FracNo 729 StartRow 2834">
          <a:extLst xmlns:a="http://schemas.openxmlformats.org/drawingml/2006/main">
            <a:ext uri="{FF2B5EF4-FFF2-40B4-BE49-F238E27FC236}">
              <a16:creationId xmlns:a16="http://schemas.microsoft.com/office/drawing/2014/main" id="{EDF9696E-4246-53DA-B6F8-59CC0ABD0FEB}"/>
            </a:ext>
          </a:extLst>
        </cdr:cNvPr>
        <cdr:cNvSpPr/>
      </cdr:nvSpPr>
      <cdr:spPr>
        <a:xfrm xmlns:a="http://schemas.openxmlformats.org/drawingml/2006/main">
          <a:off x="4663457" y="5734367"/>
          <a:ext cx="611424" cy="6324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1424" h="632421">
              <a:moveTo>
                <a:pt x="282978" y="358475"/>
              </a:moveTo>
              <a:lnTo>
                <a:pt x="165704" y="479777"/>
              </a:lnTo>
              <a:lnTo>
                <a:pt x="18129" y="632420"/>
              </a:lnTo>
              <a:lnTo>
                <a:pt x="0" y="613668"/>
              </a:lnTo>
              <a:lnTo>
                <a:pt x="147575" y="461025"/>
              </a:lnTo>
              <a:lnTo>
                <a:pt x="264849" y="339723"/>
              </a:lnTo>
              <a:lnTo>
                <a:pt x="593293" y="0"/>
              </a:lnTo>
              <a:lnTo>
                <a:pt x="6114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0.21651</cdr:x>
      <cdr:y>0.63531</cdr:y>
    </cdr:from>
    <cdr:to>
      <cdr:x>0.29976</cdr:x>
      <cdr:y>0.71797</cdr:y>
    </cdr:to>
    <cdr:sp macro="" textlink="">
      <cdr:nvSpPr>
        <cdr:cNvPr id="250" name="FracNo 38 StartRow 2845">
          <a:extLst xmlns:a="http://schemas.openxmlformats.org/drawingml/2006/main">
            <a:ext uri="{FF2B5EF4-FFF2-40B4-BE49-F238E27FC236}">
              <a16:creationId xmlns:a16="http://schemas.microsoft.com/office/drawing/2014/main" id="{28AB1DED-9CF5-C947-C34E-46303CE68104}"/>
            </a:ext>
          </a:extLst>
        </cdr:cNvPr>
        <cdr:cNvSpPr/>
      </cdr:nvSpPr>
      <cdr:spPr>
        <a:xfrm xmlns:a="http://schemas.openxmlformats.org/drawingml/2006/main">
          <a:off x="1583795" y="4841056"/>
          <a:ext cx="608986" cy="6299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8986" h="629900">
              <a:moveTo>
                <a:pt x="82156" y="526170"/>
              </a:moveTo>
              <a:lnTo>
                <a:pt x="0" y="611147"/>
              </a:lnTo>
              <a:lnTo>
                <a:pt x="18130" y="629899"/>
              </a:lnTo>
              <a:lnTo>
                <a:pt x="100285" y="544922"/>
              </a:lnTo>
              <a:lnTo>
                <a:pt x="520533" y="110242"/>
              </a:lnTo>
              <a:lnTo>
                <a:pt x="608985" y="18752"/>
              </a:lnTo>
              <a:lnTo>
                <a:pt x="590856" y="0"/>
              </a:lnTo>
              <a:lnTo>
                <a:pt x="502404" y="914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0.77055</cdr:x>
      <cdr:y>0.84867</cdr:y>
    </cdr:from>
    <cdr:to>
      <cdr:x>0.85503</cdr:x>
      <cdr:y>0.9301</cdr:y>
    </cdr:to>
    <cdr:sp macro="" textlink="">
      <cdr:nvSpPr>
        <cdr:cNvPr id="251" name="FracNo 503 StartRow 2856">
          <a:extLst xmlns:a="http://schemas.openxmlformats.org/drawingml/2006/main">
            <a:ext uri="{FF2B5EF4-FFF2-40B4-BE49-F238E27FC236}">
              <a16:creationId xmlns:a16="http://schemas.microsoft.com/office/drawing/2014/main" id="{DA537350-F2DE-4020-29E9-C518FF1E6C3B}"/>
            </a:ext>
          </a:extLst>
        </cdr:cNvPr>
        <cdr:cNvSpPr/>
      </cdr:nvSpPr>
      <cdr:spPr>
        <a:xfrm xmlns:a="http://schemas.openxmlformats.org/drawingml/2006/main">
          <a:off x="5636735" y="6466903"/>
          <a:ext cx="617992" cy="6204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7992" h="620463">
              <a:moveTo>
                <a:pt x="415034" y="191174"/>
              </a:moveTo>
              <a:lnTo>
                <a:pt x="0" y="620462"/>
              </a:lnTo>
              <a:lnTo>
                <a:pt x="36259" y="620462"/>
              </a:lnTo>
              <a:lnTo>
                <a:pt x="438750" y="204149"/>
              </a:lnTo>
              <a:lnTo>
                <a:pt x="617991" y="18752"/>
              </a:lnTo>
              <a:lnTo>
                <a:pt x="5998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0.34913</cdr:x>
      <cdr:y>0.28002</cdr:y>
    </cdr:from>
    <cdr:to>
      <cdr:x>0.43235</cdr:x>
      <cdr:y>0.36265</cdr:y>
    </cdr:to>
    <cdr:sp macro="" textlink="">
      <cdr:nvSpPr>
        <cdr:cNvPr id="252" name="FracNo 422 StartRow 2865">
          <a:extLst xmlns:a="http://schemas.openxmlformats.org/drawingml/2006/main">
            <a:ext uri="{FF2B5EF4-FFF2-40B4-BE49-F238E27FC236}">
              <a16:creationId xmlns:a16="http://schemas.microsoft.com/office/drawing/2014/main" id="{76A8DFFA-3011-94F7-0548-F0C70C9372F1}"/>
            </a:ext>
          </a:extLst>
        </cdr:cNvPr>
        <cdr:cNvSpPr/>
      </cdr:nvSpPr>
      <cdr:spPr>
        <a:xfrm xmlns:a="http://schemas.openxmlformats.org/drawingml/2006/main">
          <a:off x="2553937" y="2133728"/>
          <a:ext cx="608781" cy="6296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8781" h="629688">
              <a:moveTo>
                <a:pt x="323150" y="314191"/>
              </a:moveTo>
              <a:lnTo>
                <a:pt x="201014" y="440521"/>
              </a:lnTo>
              <a:lnTo>
                <a:pt x="18129" y="629687"/>
              </a:lnTo>
              <a:lnTo>
                <a:pt x="0" y="610935"/>
              </a:lnTo>
              <a:lnTo>
                <a:pt x="182885" y="421769"/>
              </a:lnTo>
              <a:lnTo>
                <a:pt x="305021" y="295439"/>
              </a:lnTo>
              <a:lnTo>
                <a:pt x="590651" y="0"/>
              </a:lnTo>
              <a:lnTo>
                <a:pt x="6087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0.81046</cdr:x>
      <cdr:y>0.08544</cdr:y>
    </cdr:from>
    <cdr:to>
      <cdr:x>0.89467</cdr:x>
      <cdr:y>0.16659</cdr:y>
    </cdr:to>
    <cdr:sp macro="" textlink="">
      <cdr:nvSpPr>
        <cdr:cNvPr id="253" name="FracNo 276 StartRow 2876">
          <a:extLst xmlns:a="http://schemas.openxmlformats.org/drawingml/2006/main">
            <a:ext uri="{FF2B5EF4-FFF2-40B4-BE49-F238E27FC236}">
              <a16:creationId xmlns:a16="http://schemas.microsoft.com/office/drawing/2014/main" id="{6AEF31F4-2833-E2D1-77A1-553D84982A6B}"/>
            </a:ext>
          </a:extLst>
        </cdr:cNvPr>
        <cdr:cNvSpPr/>
      </cdr:nvSpPr>
      <cdr:spPr>
        <a:xfrm xmlns:a="http://schemas.openxmlformats.org/drawingml/2006/main">
          <a:off x="5928701" y="651036"/>
          <a:ext cx="615980" cy="6183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5980" h="618382">
              <a:moveTo>
                <a:pt x="138007" y="456883"/>
              </a:moveTo>
              <a:lnTo>
                <a:pt x="0" y="599629"/>
              </a:lnTo>
              <a:lnTo>
                <a:pt x="18129" y="618381"/>
              </a:lnTo>
              <a:lnTo>
                <a:pt x="160452" y="471171"/>
              </a:lnTo>
              <a:lnTo>
                <a:pt x="615979" y="0"/>
              </a:lnTo>
              <a:lnTo>
                <a:pt x="5797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0.34277</cdr:x>
      <cdr:y>0.19212</cdr:y>
    </cdr:from>
    <cdr:to>
      <cdr:x>0.42561</cdr:x>
      <cdr:y>0.27438</cdr:y>
    </cdr:to>
    <cdr:sp macro="" textlink="">
      <cdr:nvSpPr>
        <cdr:cNvPr id="254" name="FracNo 758 StartRow 2885">
          <a:extLst xmlns:a="http://schemas.openxmlformats.org/drawingml/2006/main">
            <a:ext uri="{FF2B5EF4-FFF2-40B4-BE49-F238E27FC236}">
              <a16:creationId xmlns:a16="http://schemas.microsoft.com/office/drawing/2014/main" id="{5C57DF7D-9F0F-A61C-468A-17717DCEF302}"/>
            </a:ext>
          </a:extLst>
        </cdr:cNvPr>
        <cdr:cNvSpPr/>
      </cdr:nvSpPr>
      <cdr:spPr>
        <a:xfrm xmlns:a="http://schemas.openxmlformats.org/drawingml/2006/main">
          <a:off x="2507452" y="1463978"/>
          <a:ext cx="605993" cy="6268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993" h="626803">
              <a:moveTo>
                <a:pt x="604101" y="20707"/>
              </a:moveTo>
              <a:lnTo>
                <a:pt x="247499" y="389556"/>
              </a:lnTo>
              <a:lnTo>
                <a:pt x="18130" y="626802"/>
              </a:lnTo>
              <a:lnTo>
                <a:pt x="0" y="608051"/>
              </a:lnTo>
              <a:lnTo>
                <a:pt x="229370" y="370804"/>
              </a:lnTo>
              <a:lnTo>
                <a:pt x="585972" y="1955"/>
              </a:lnTo>
              <a:lnTo>
                <a:pt x="587863" y="0"/>
              </a:lnTo>
              <a:lnTo>
                <a:pt x="6059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0.81427</cdr:x>
      <cdr:y>0.14644</cdr:y>
    </cdr:from>
    <cdr:to>
      <cdr:x>0.89706</cdr:x>
      <cdr:y>0.22865</cdr:y>
    </cdr:to>
    <cdr:sp macro="" textlink="">
      <cdr:nvSpPr>
        <cdr:cNvPr id="255" name="FracNo 263 StartRow 2896">
          <a:extLst xmlns:a="http://schemas.openxmlformats.org/drawingml/2006/main">
            <a:ext uri="{FF2B5EF4-FFF2-40B4-BE49-F238E27FC236}">
              <a16:creationId xmlns:a16="http://schemas.microsoft.com/office/drawing/2014/main" id="{30C0DEB0-0F01-0F2B-328C-ED029D6E180E}"/>
            </a:ext>
          </a:extLst>
        </cdr:cNvPr>
        <cdr:cNvSpPr/>
      </cdr:nvSpPr>
      <cdr:spPr>
        <a:xfrm xmlns:a="http://schemas.openxmlformats.org/drawingml/2006/main">
          <a:off x="5956545" y="1115849"/>
          <a:ext cx="605638" cy="6264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8" h="626438">
              <a:moveTo>
                <a:pt x="259147" y="377142"/>
              </a:moveTo>
              <a:lnTo>
                <a:pt x="18129" y="626437"/>
              </a:lnTo>
              <a:lnTo>
                <a:pt x="0" y="607685"/>
              </a:lnTo>
              <a:lnTo>
                <a:pt x="241017" y="358390"/>
              </a:lnTo>
              <a:lnTo>
                <a:pt x="587508" y="0"/>
              </a:lnTo>
              <a:lnTo>
                <a:pt x="6056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0.53385</cdr:x>
      <cdr:y>0.40872</cdr:y>
    </cdr:from>
    <cdr:to>
      <cdr:x>0.61561</cdr:x>
      <cdr:y>0.4899</cdr:y>
    </cdr:to>
    <cdr:sp macro="" textlink="">
      <cdr:nvSpPr>
        <cdr:cNvPr id="256" name="FracNo 341 StartRow 2905">
          <a:extLst xmlns:a="http://schemas.openxmlformats.org/drawingml/2006/main">
            <a:ext uri="{FF2B5EF4-FFF2-40B4-BE49-F238E27FC236}">
              <a16:creationId xmlns:a16="http://schemas.microsoft.com/office/drawing/2014/main" id="{400CDF7A-7511-1072-ACD4-F9AA39FC2404}"/>
            </a:ext>
          </a:extLst>
        </cdr:cNvPr>
        <cdr:cNvSpPr/>
      </cdr:nvSpPr>
      <cdr:spPr>
        <a:xfrm xmlns:a="http://schemas.openxmlformats.org/drawingml/2006/main">
          <a:off x="3905216" y="3114435"/>
          <a:ext cx="598072" cy="6186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8072" h="618611">
              <a:moveTo>
                <a:pt x="307976" y="281305"/>
              </a:moveTo>
              <a:lnTo>
                <a:pt x="0" y="599858"/>
              </a:lnTo>
              <a:lnTo>
                <a:pt x="18130" y="618610"/>
              </a:lnTo>
              <a:lnTo>
                <a:pt x="326106" y="300057"/>
              </a:lnTo>
              <a:lnTo>
                <a:pt x="598071" y="18752"/>
              </a:lnTo>
              <a:lnTo>
                <a:pt x="5799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0.17892</cdr:x>
      <cdr:y>0.68643</cdr:y>
    </cdr:from>
    <cdr:to>
      <cdr:x>0.25978</cdr:x>
      <cdr:y>0.76672</cdr:y>
    </cdr:to>
    <cdr:sp macro="" textlink="">
      <cdr:nvSpPr>
        <cdr:cNvPr id="257" name="FracNo 35 StartRow 2914">
          <a:extLst xmlns:a="http://schemas.openxmlformats.org/drawingml/2006/main">
            <a:ext uri="{FF2B5EF4-FFF2-40B4-BE49-F238E27FC236}">
              <a16:creationId xmlns:a16="http://schemas.microsoft.com/office/drawing/2014/main" id="{6FE1443E-7F9A-7CBA-C7EE-28533D0F851C}"/>
            </a:ext>
          </a:extLst>
        </cdr:cNvPr>
        <cdr:cNvSpPr/>
      </cdr:nvSpPr>
      <cdr:spPr>
        <a:xfrm xmlns:a="http://schemas.openxmlformats.org/drawingml/2006/main">
          <a:off x="1308817" y="5230579"/>
          <a:ext cx="591492" cy="6118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1492" h="611805">
              <a:moveTo>
                <a:pt x="339076" y="242332"/>
              </a:moveTo>
              <a:lnTo>
                <a:pt x="0" y="593052"/>
              </a:lnTo>
              <a:lnTo>
                <a:pt x="18129" y="611804"/>
              </a:lnTo>
              <a:lnTo>
                <a:pt x="357205" y="261083"/>
              </a:lnTo>
              <a:lnTo>
                <a:pt x="591491" y="18752"/>
              </a:lnTo>
              <a:lnTo>
                <a:pt x="5733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0.74488</cdr:x>
      <cdr:y>0.21117</cdr:y>
    </cdr:from>
    <cdr:to>
      <cdr:x>0.82546</cdr:x>
      <cdr:y>0.29119</cdr:y>
    </cdr:to>
    <cdr:sp macro="" textlink="">
      <cdr:nvSpPr>
        <cdr:cNvPr id="258" name="FracNo 746 StartRow 2923">
          <a:extLst xmlns:a="http://schemas.openxmlformats.org/drawingml/2006/main">
            <a:ext uri="{FF2B5EF4-FFF2-40B4-BE49-F238E27FC236}">
              <a16:creationId xmlns:a16="http://schemas.microsoft.com/office/drawing/2014/main" id="{60623D85-895B-5F99-E525-AB870CDC84A0}"/>
            </a:ext>
          </a:extLst>
        </cdr:cNvPr>
        <cdr:cNvSpPr/>
      </cdr:nvSpPr>
      <cdr:spPr>
        <a:xfrm xmlns:a="http://schemas.openxmlformats.org/drawingml/2006/main">
          <a:off x="5448934" y="1609126"/>
          <a:ext cx="589464" cy="6097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9464" h="609707">
              <a:moveTo>
                <a:pt x="68319" y="520289"/>
              </a:moveTo>
              <a:lnTo>
                <a:pt x="0" y="590954"/>
              </a:lnTo>
              <a:lnTo>
                <a:pt x="18129" y="609706"/>
              </a:lnTo>
              <a:lnTo>
                <a:pt x="86449" y="539041"/>
              </a:lnTo>
              <a:lnTo>
                <a:pt x="589463" y="18752"/>
              </a:lnTo>
              <a:lnTo>
                <a:pt x="5713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0.86327</cdr:x>
      <cdr:y>0.3917</cdr:y>
    </cdr:from>
    <cdr:to>
      <cdr:x>0.94246</cdr:x>
      <cdr:y>0.4728</cdr:y>
    </cdr:to>
    <cdr:sp macro="" textlink="">
      <cdr:nvSpPr>
        <cdr:cNvPr id="259" name="FracNo 805 StartRow 2932">
          <a:extLst xmlns:a="http://schemas.openxmlformats.org/drawingml/2006/main">
            <a:ext uri="{FF2B5EF4-FFF2-40B4-BE49-F238E27FC236}">
              <a16:creationId xmlns:a16="http://schemas.microsoft.com/office/drawing/2014/main" id="{0B3060D4-1664-71CF-0926-E9EB626CD032}"/>
            </a:ext>
          </a:extLst>
        </cdr:cNvPr>
        <cdr:cNvSpPr/>
      </cdr:nvSpPr>
      <cdr:spPr>
        <a:xfrm xmlns:a="http://schemas.openxmlformats.org/drawingml/2006/main">
          <a:off x="6314959" y="2984717"/>
          <a:ext cx="579349" cy="6179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9349" h="617997">
              <a:moveTo>
                <a:pt x="463804" y="157016"/>
              </a:moveTo>
              <a:lnTo>
                <a:pt x="18129" y="617996"/>
              </a:lnTo>
              <a:lnTo>
                <a:pt x="0" y="599244"/>
              </a:lnTo>
              <a:lnTo>
                <a:pt x="460071" y="123373"/>
              </a:lnTo>
              <a:lnTo>
                <a:pt x="579348" y="0"/>
              </a:lnTo>
              <a:lnTo>
                <a:pt x="57934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0.31403</cdr:x>
      <cdr:y>0.85171</cdr:y>
    </cdr:from>
    <cdr:to>
      <cdr:x>0.39545</cdr:x>
      <cdr:y>0.9301</cdr:y>
    </cdr:to>
    <cdr:sp macro="" textlink="">
      <cdr:nvSpPr>
        <cdr:cNvPr id="260" name="FracNo 751 StartRow 2941">
          <a:extLst xmlns:a="http://schemas.openxmlformats.org/drawingml/2006/main">
            <a:ext uri="{FF2B5EF4-FFF2-40B4-BE49-F238E27FC236}">
              <a16:creationId xmlns:a16="http://schemas.microsoft.com/office/drawing/2014/main" id="{41C3104A-9CAF-0BE5-5510-D8960D4547A1}"/>
            </a:ext>
          </a:extLst>
        </cdr:cNvPr>
        <cdr:cNvSpPr/>
      </cdr:nvSpPr>
      <cdr:spPr>
        <a:xfrm xmlns:a="http://schemas.openxmlformats.org/drawingml/2006/main">
          <a:off x="2297166" y="6490043"/>
          <a:ext cx="595620" cy="5973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5620" h="597323">
              <a:moveTo>
                <a:pt x="576718" y="798"/>
              </a:moveTo>
              <a:lnTo>
                <a:pt x="437467" y="144832"/>
              </a:lnTo>
              <a:lnTo>
                <a:pt x="0" y="597322"/>
              </a:lnTo>
              <a:lnTo>
                <a:pt x="36259" y="597322"/>
              </a:lnTo>
              <a:lnTo>
                <a:pt x="459974" y="159056"/>
              </a:lnTo>
              <a:lnTo>
                <a:pt x="594872" y="19525"/>
              </a:lnTo>
              <a:lnTo>
                <a:pt x="595619" y="18752"/>
              </a:lnTo>
              <a:lnTo>
                <a:pt x="5774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0.78101</cdr:x>
      <cdr:y>0.45587</cdr:y>
    </cdr:from>
    <cdr:to>
      <cdr:x>0.85831</cdr:x>
      <cdr:y>0.53263</cdr:y>
    </cdr:to>
    <cdr:sp macro="" textlink="">
      <cdr:nvSpPr>
        <cdr:cNvPr id="261" name="FracNo 595 StartRow 2952">
          <a:extLst xmlns:a="http://schemas.openxmlformats.org/drawingml/2006/main">
            <a:ext uri="{FF2B5EF4-FFF2-40B4-BE49-F238E27FC236}">
              <a16:creationId xmlns:a16="http://schemas.microsoft.com/office/drawing/2014/main" id="{07E9AEBD-0ED3-99E4-FF97-6F05A0AFFAB7}"/>
            </a:ext>
          </a:extLst>
        </cdr:cNvPr>
        <cdr:cNvSpPr/>
      </cdr:nvSpPr>
      <cdr:spPr>
        <a:xfrm xmlns:a="http://schemas.openxmlformats.org/drawingml/2006/main">
          <a:off x="5713247" y="3473761"/>
          <a:ext cx="565482" cy="5849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5482" h="584902">
              <a:moveTo>
                <a:pt x="90917" y="509614"/>
              </a:moveTo>
              <a:lnTo>
                <a:pt x="18130" y="584901"/>
              </a:lnTo>
              <a:lnTo>
                <a:pt x="0" y="566149"/>
              </a:lnTo>
              <a:lnTo>
                <a:pt x="72787" y="490862"/>
              </a:lnTo>
              <a:lnTo>
                <a:pt x="547352" y="0"/>
              </a:lnTo>
              <a:lnTo>
                <a:pt x="5654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0.43942</cdr:x>
      <cdr:y>0.8555</cdr:y>
    </cdr:from>
    <cdr:to>
      <cdr:x>0.51703</cdr:x>
      <cdr:y>0.9301</cdr:y>
    </cdr:to>
    <cdr:sp macro="" textlink="">
      <cdr:nvSpPr>
        <cdr:cNvPr id="262" name="FracNo 680 StartRow 2961">
          <a:extLst xmlns:a="http://schemas.openxmlformats.org/drawingml/2006/main">
            <a:ext uri="{FF2B5EF4-FFF2-40B4-BE49-F238E27FC236}">
              <a16:creationId xmlns:a16="http://schemas.microsoft.com/office/drawing/2014/main" id="{C2ADF544-A496-6CC8-D12B-C24462018786}"/>
            </a:ext>
          </a:extLst>
        </cdr:cNvPr>
        <cdr:cNvSpPr/>
      </cdr:nvSpPr>
      <cdr:spPr>
        <a:xfrm xmlns:a="http://schemas.openxmlformats.org/drawingml/2006/main">
          <a:off x="3214434" y="6518910"/>
          <a:ext cx="567711" cy="568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7711" h="568456">
              <a:moveTo>
                <a:pt x="331826" y="225234"/>
              </a:moveTo>
              <a:lnTo>
                <a:pt x="0" y="568455"/>
              </a:lnTo>
              <a:lnTo>
                <a:pt x="36259" y="568455"/>
              </a:lnTo>
              <a:lnTo>
                <a:pt x="357138" y="236556"/>
              </a:lnTo>
              <a:lnTo>
                <a:pt x="567710" y="18752"/>
              </a:lnTo>
              <a:lnTo>
                <a:pt x="5495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0.85857</cdr:x>
      <cdr:y>0.5405</cdr:y>
    </cdr:from>
    <cdr:to>
      <cdr:x>0.9333</cdr:x>
      <cdr:y>0.61471</cdr:y>
    </cdr:to>
    <cdr:sp macro="" textlink="">
      <cdr:nvSpPr>
        <cdr:cNvPr id="263" name="FracNo 600 StartRow 2970">
          <a:extLst xmlns:a="http://schemas.openxmlformats.org/drawingml/2006/main">
            <a:ext uri="{FF2B5EF4-FFF2-40B4-BE49-F238E27FC236}">
              <a16:creationId xmlns:a16="http://schemas.microsoft.com/office/drawing/2014/main" id="{564D57C9-B6AB-7420-1624-2F3DAFBA976B}"/>
            </a:ext>
          </a:extLst>
        </cdr:cNvPr>
        <cdr:cNvSpPr/>
      </cdr:nvSpPr>
      <cdr:spPr>
        <a:xfrm xmlns:a="http://schemas.openxmlformats.org/drawingml/2006/main">
          <a:off x="6280584" y="4118642"/>
          <a:ext cx="546665" cy="5654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6665" h="565440">
              <a:moveTo>
                <a:pt x="518168" y="48227"/>
              </a:moveTo>
              <a:lnTo>
                <a:pt x="18129" y="565439"/>
              </a:lnTo>
              <a:lnTo>
                <a:pt x="0" y="546687"/>
              </a:lnTo>
              <a:lnTo>
                <a:pt x="500039" y="29476"/>
              </a:lnTo>
              <a:lnTo>
                <a:pt x="528535" y="0"/>
              </a:lnTo>
              <a:lnTo>
                <a:pt x="5466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0.51577</cdr:x>
      <cdr:y>0.54783</cdr:y>
    </cdr:from>
    <cdr:to>
      <cdr:x>0.58824</cdr:x>
      <cdr:y>0.6198</cdr:y>
    </cdr:to>
    <cdr:sp macro="" textlink="">
      <cdr:nvSpPr>
        <cdr:cNvPr id="264" name="FracNo 349 StartRow 2979">
          <a:extLst xmlns:a="http://schemas.openxmlformats.org/drawingml/2006/main">
            <a:ext uri="{FF2B5EF4-FFF2-40B4-BE49-F238E27FC236}">
              <a16:creationId xmlns:a16="http://schemas.microsoft.com/office/drawing/2014/main" id="{2666BF92-E509-5472-4454-572F01EA8E61}"/>
            </a:ext>
          </a:extLst>
        </cdr:cNvPr>
        <cdr:cNvSpPr/>
      </cdr:nvSpPr>
      <cdr:spPr>
        <a:xfrm xmlns:a="http://schemas.openxmlformats.org/drawingml/2006/main">
          <a:off x="3772965" y="4174491"/>
          <a:ext cx="530157" cy="5483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0157" h="548365">
              <a:moveTo>
                <a:pt x="316415" y="239835"/>
              </a:moveTo>
              <a:lnTo>
                <a:pt x="18129" y="548364"/>
              </a:lnTo>
              <a:lnTo>
                <a:pt x="0" y="529612"/>
              </a:lnTo>
              <a:lnTo>
                <a:pt x="298285" y="221083"/>
              </a:lnTo>
              <a:lnTo>
                <a:pt x="512028" y="0"/>
              </a:lnTo>
              <a:lnTo>
                <a:pt x="5301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0.2813</cdr:x>
      <cdr:y>0.08544</cdr:y>
    </cdr:from>
    <cdr:to>
      <cdr:x>0.35442</cdr:x>
      <cdr:y>0.15559</cdr:y>
    </cdr:to>
    <cdr:sp macro="" textlink="">
      <cdr:nvSpPr>
        <cdr:cNvPr id="265" name="FracNo 739 StartRow 2988">
          <a:extLst xmlns:a="http://schemas.openxmlformats.org/drawingml/2006/main">
            <a:ext uri="{FF2B5EF4-FFF2-40B4-BE49-F238E27FC236}">
              <a16:creationId xmlns:a16="http://schemas.microsoft.com/office/drawing/2014/main" id="{D57DA16E-BE86-4370-2B23-50DB3F5340F5}"/>
            </a:ext>
          </a:extLst>
        </cdr:cNvPr>
        <cdr:cNvSpPr/>
      </cdr:nvSpPr>
      <cdr:spPr>
        <a:xfrm xmlns:a="http://schemas.openxmlformats.org/drawingml/2006/main">
          <a:off x="2057748" y="651036"/>
          <a:ext cx="534911" cy="534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4911" h="534528">
              <a:moveTo>
                <a:pt x="383580" y="156527"/>
              </a:moveTo>
              <a:lnTo>
                <a:pt x="18129" y="534527"/>
              </a:lnTo>
              <a:lnTo>
                <a:pt x="0" y="515776"/>
              </a:lnTo>
              <a:lnTo>
                <a:pt x="352631" y="151035"/>
              </a:lnTo>
              <a:lnTo>
                <a:pt x="498651" y="0"/>
              </a:lnTo>
              <a:lnTo>
                <a:pt x="5349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0.52667</cdr:y>
    </cdr:from>
    <cdr:to>
      <cdr:x>0.16184</cdr:x>
      <cdr:y>0.59865</cdr:y>
    </cdr:to>
    <cdr:sp macro="" textlink="">
      <cdr:nvSpPr>
        <cdr:cNvPr id="266" name="FracNo 107 StartRow 2997">
          <a:extLst xmlns:a="http://schemas.openxmlformats.org/drawingml/2006/main">
            <a:ext uri="{FF2B5EF4-FFF2-40B4-BE49-F238E27FC236}">
              <a16:creationId xmlns:a16="http://schemas.microsoft.com/office/drawing/2014/main" id="{055DE988-45D1-DC15-D298-11A25915CE68}"/>
            </a:ext>
          </a:extLst>
        </cdr:cNvPr>
        <cdr:cNvSpPr/>
      </cdr:nvSpPr>
      <cdr:spPr>
        <a:xfrm xmlns:a="http://schemas.openxmlformats.org/drawingml/2006/main">
          <a:off x="671676" y="4013196"/>
          <a:ext cx="512207" cy="548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2207" h="548550">
              <a:moveTo>
                <a:pt x="2133" y="508839"/>
              </a:moveTo>
              <a:lnTo>
                <a:pt x="0" y="511045"/>
              </a:lnTo>
              <a:lnTo>
                <a:pt x="0" y="548549"/>
              </a:lnTo>
              <a:lnTo>
                <a:pt x="2211" y="546262"/>
              </a:lnTo>
              <a:lnTo>
                <a:pt x="512206" y="18752"/>
              </a:lnTo>
              <a:lnTo>
                <a:pt x="4940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0.80581</cdr:x>
      <cdr:y>0.86121</cdr:y>
    </cdr:from>
    <cdr:to>
      <cdr:x>0.87767</cdr:x>
      <cdr:y>0.9301</cdr:y>
    </cdr:to>
    <cdr:sp macro="" textlink="">
      <cdr:nvSpPr>
        <cdr:cNvPr id="267" name="FracNo 506 StartRow 3006">
          <a:extLst xmlns:a="http://schemas.openxmlformats.org/drawingml/2006/main">
            <a:ext uri="{FF2B5EF4-FFF2-40B4-BE49-F238E27FC236}">
              <a16:creationId xmlns:a16="http://schemas.microsoft.com/office/drawing/2014/main" id="{A0B72BFC-77EE-3C00-2267-32DA60568A20}"/>
            </a:ext>
          </a:extLst>
        </cdr:cNvPr>
        <cdr:cNvSpPr/>
      </cdr:nvSpPr>
      <cdr:spPr>
        <a:xfrm xmlns:a="http://schemas.openxmlformats.org/drawingml/2006/main">
          <a:off x="5894685" y="6562422"/>
          <a:ext cx="525644" cy="524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5644" h="524944">
              <a:moveTo>
                <a:pt x="223268" y="331511"/>
              </a:moveTo>
              <a:lnTo>
                <a:pt x="36258" y="524943"/>
              </a:lnTo>
              <a:lnTo>
                <a:pt x="0" y="524943"/>
              </a:lnTo>
              <a:lnTo>
                <a:pt x="193938" y="324345"/>
              </a:lnTo>
              <a:lnTo>
                <a:pt x="507514" y="0"/>
              </a:lnTo>
              <a:lnTo>
                <a:pt x="5256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0.87323</cdr:x>
      <cdr:y>0.79051</cdr:y>
    </cdr:from>
    <cdr:to>
      <cdr:x>0.94246</cdr:x>
      <cdr:y>0.86172</cdr:y>
    </cdr:to>
    <cdr:sp macro="" textlink="">
      <cdr:nvSpPr>
        <cdr:cNvPr id="268" name="FracNo 517 StartRow 3015">
          <a:extLst xmlns:a="http://schemas.openxmlformats.org/drawingml/2006/main">
            <a:ext uri="{FF2B5EF4-FFF2-40B4-BE49-F238E27FC236}">
              <a16:creationId xmlns:a16="http://schemas.microsoft.com/office/drawing/2014/main" id="{619D7861-1612-D628-26E5-FFF1FD7A7F92}"/>
            </a:ext>
          </a:extLst>
        </cdr:cNvPr>
        <cdr:cNvSpPr/>
      </cdr:nvSpPr>
      <cdr:spPr>
        <a:xfrm xmlns:a="http://schemas.openxmlformats.org/drawingml/2006/main">
          <a:off x="6387842" y="6023713"/>
          <a:ext cx="506466" cy="5426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6466" h="542612">
              <a:moveTo>
                <a:pt x="327409" y="222710"/>
              </a:moveTo>
              <a:lnTo>
                <a:pt x="18129" y="542611"/>
              </a:lnTo>
              <a:lnTo>
                <a:pt x="0" y="523859"/>
              </a:lnTo>
              <a:lnTo>
                <a:pt x="320761" y="192082"/>
              </a:lnTo>
              <a:lnTo>
                <a:pt x="506465" y="0"/>
              </a:lnTo>
              <a:lnTo>
                <a:pt x="50646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0.87766</cdr:x>
      <cdr:y>0.77763</cdr:y>
    </cdr:from>
    <cdr:to>
      <cdr:x>0.94246</cdr:x>
      <cdr:y>0.84444</cdr:y>
    </cdr:to>
    <cdr:sp macro="" textlink="">
      <cdr:nvSpPr>
        <cdr:cNvPr id="269" name="FracNo 511 StartRow 3024">
          <a:extLst xmlns:a="http://schemas.openxmlformats.org/drawingml/2006/main">
            <a:ext uri="{FF2B5EF4-FFF2-40B4-BE49-F238E27FC236}">
              <a16:creationId xmlns:a16="http://schemas.microsoft.com/office/drawing/2014/main" id="{4801BFFA-258F-EE12-F4D4-AF7CF93C5F27}"/>
            </a:ext>
          </a:extLst>
        </cdr:cNvPr>
        <cdr:cNvSpPr/>
      </cdr:nvSpPr>
      <cdr:spPr>
        <a:xfrm xmlns:a="http://schemas.openxmlformats.org/drawingml/2006/main">
          <a:off x="6420284" y="5925550"/>
          <a:ext cx="474024" cy="5090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4024" h="509056">
              <a:moveTo>
                <a:pt x="205262" y="277992"/>
              </a:moveTo>
              <a:lnTo>
                <a:pt x="0" y="490303"/>
              </a:lnTo>
              <a:lnTo>
                <a:pt x="18128" y="509055"/>
              </a:lnTo>
              <a:lnTo>
                <a:pt x="215540" y="304864"/>
              </a:lnTo>
              <a:lnTo>
                <a:pt x="474023" y="37504"/>
              </a:lnTo>
              <a:lnTo>
                <a:pt x="4740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0.76623</cdr:x>
      <cdr:y>0.8318</cdr:y>
    </cdr:from>
    <cdr:to>
      <cdr:x>0.83207</cdr:x>
      <cdr:y>0.89718</cdr:y>
    </cdr:to>
    <cdr:sp macro="" textlink="">
      <cdr:nvSpPr>
        <cdr:cNvPr id="270" name="FracNo 514 StartRow 3033">
          <a:extLst xmlns:a="http://schemas.openxmlformats.org/drawingml/2006/main">
            <a:ext uri="{FF2B5EF4-FFF2-40B4-BE49-F238E27FC236}">
              <a16:creationId xmlns:a16="http://schemas.microsoft.com/office/drawing/2014/main" id="{FACFF9F0-8B55-E075-D71A-898F22699A40}"/>
            </a:ext>
          </a:extLst>
        </cdr:cNvPr>
        <cdr:cNvSpPr/>
      </cdr:nvSpPr>
      <cdr:spPr>
        <a:xfrm xmlns:a="http://schemas.openxmlformats.org/drawingml/2006/main">
          <a:off x="5605140" y="6338346"/>
          <a:ext cx="481619" cy="4981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1619" h="498159">
              <a:moveTo>
                <a:pt x="28298" y="450137"/>
              </a:moveTo>
              <a:lnTo>
                <a:pt x="0" y="479406"/>
              </a:lnTo>
              <a:lnTo>
                <a:pt x="18129" y="498158"/>
              </a:lnTo>
              <a:lnTo>
                <a:pt x="46427" y="468888"/>
              </a:lnTo>
              <a:lnTo>
                <a:pt x="481618" y="18752"/>
              </a:lnTo>
              <a:lnTo>
                <a:pt x="4634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0.7195</cdr:x>
      <cdr:y>0.53184</cdr:y>
    </cdr:from>
    <cdr:to>
      <cdr:x>0.78517</cdr:x>
      <cdr:y>0.59704</cdr:y>
    </cdr:to>
    <cdr:sp macro="" textlink="">
      <cdr:nvSpPr>
        <cdr:cNvPr id="271" name="FracNo 848 StartRow 3042">
          <a:extLst xmlns:a="http://schemas.openxmlformats.org/drawingml/2006/main">
            <a:ext uri="{FF2B5EF4-FFF2-40B4-BE49-F238E27FC236}">
              <a16:creationId xmlns:a16="http://schemas.microsoft.com/office/drawing/2014/main" id="{66872FFB-68FF-507D-9E4E-770D3BD2AA88}"/>
            </a:ext>
          </a:extLst>
        </cdr:cNvPr>
        <cdr:cNvSpPr/>
      </cdr:nvSpPr>
      <cdr:spPr>
        <a:xfrm xmlns:a="http://schemas.openxmlformats.org/drawingml/2006/main">
          <a:off x="5263285" y="4052606"/>
          <a:ext cx="480367" cy="4968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0367" h="496863">
              <a:moveTo>
                <a:pt x="172517" y="337173"/>
              </a:moveTo>
              <a:lnTo>
                <a:pt x="18129" y="496862"/>
              </a:lnTo>
              <a:lnTo>
                <a:pt x="0" y="478110"/>
              </a:lnTo>
              <a:lnTo>
                <a:pt x="154387" y="318421"/>
              </a:lnTo>
              <a:lnTo>
                <a:pt x="462236" y="0"/>
              </a:lnTo>
              <a:lnTo>
                <a:pt x="4803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0.44397</cdr:y>
    </cdr:from>
    <cdr:to>
      <cdr:x>0.15298</cdr:x>
      <cdr:y>0.50716</cdr:y>
    </cdr:to>
    <cdr:sp macro="" textlink="">
      <cdr:nvSpPr>
        <cdr:cNvPr id="272" name="FracNo 113 StartRow 3051">
          <a:extLst xmlns:a="http://schemas.openxmlformats.org/drawingml/2006/main">
            <a:ext uri="{FF2B5EF4-FFF2-40B4-BE49-F238E27FC236}">
              <a16:creationId xmlns:a16="http://schemas.microsoft.com/office/drawing/2014/main" id="{6CDB4BE0-9B6C-C4F7-D2CE-466CBECFEA12}"/>
            </a:ext>
          </a:extLst>
        </cdr:cNvPr>
        <cdr:cNvSpPr/>
      </cdr:nvSpPr>
      <cdr:spPr>
        <a:xfrm xmlns:a="http://schemas.openxmlformats.org/drawingml/2006/main">
          <a:off x="671676" y="3383059"/>
          <a:ext cx="447410" cy="481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7410" h="481527">
              <a:moveTo>
                <a:pt x="317688" y="115424"/>
              </a:moveTo>
              <a:lnTo>
                <a:pt x="0" y="444023"/>
              </a:lnTo>
              <a:lnTo>
                <a:pt x="0" y="481526"/>
              </a:lnTo>
              <a:lnTo>
                <a:pt x="331105" y="139051"/>
              </a:lnTo>
              <a:lnTo>
                <a:pt x="447409" y="18752"/>
              </a:lnTo>
              <a:lnTo>
                <a:pt x="4292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0.87403</cdr:x>
      <cdr:y>0.38058</cdr:y>
    </cdr:from>
    <cdr:to>
      <cdr:x>0.93572</cdr:x>
      <cdr:y>0.44184</cdr:y>
    </cdr:to>
    <cdr:sp macro="" textlink="">
      <cdr:nvSpPr>
        <cdr:cNvPr id="273" name="FracNo 591 StartRow 3060">
          <a:extLst xmlns:a="http://schemas.openxmlformats.org/drawingml/2006/main">
            <a:ext uri="{FF2B5EF4-FFF2-40B4-BE49-F238E27FC236}">
              <a16:creationId xmlns:a16="http://schemas.microsoft.com/office/drawing/2014/main" id="{944375E3-B288-F170-7A8C-0F9126208959}"/>
            </a:ext>
          </a:extLst>
        </cdr:cNvPr>
        <cdr:cNvSpPr/>
      </cdr:nvSpPr>
      <cdr:spPr>
        <a:xfrm xmlns:a="http://schemas.openxmlformats.org/drawingml/2006/main">
          <a:off x="6393708" y="2900050"/>
          <a:ext cx="451240" cy="466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1240" h="466737">
              <a:moveTo>
                <a:pt x="432958" y="157"/>
              </a:moveTo>
              <a:lnTo>
                <a:pt x="0" y="447984"/>
              </a:lnTo>
              <a:lnTo>
                <a:pt x="18129" y="466736"/>
              </a:lnTo>
              <a:lnTo>
                <a:pt x="451087" y="18908"/>
              </a:lnTo>
              <a:lnTo>
                <a:pt x="451239" y="18751"/>
              </a:lnTo>
              <a:lnTo>
                <a:pt x="4331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0.82357</cdr:x>
      <cdr:y>0.6804</cdr:y>
    </cdr:from>
    <cdr:to>
      <cdr:x>0.88437</cdr:x>
      <cdr:y>0.74077</cdr:y>
    </cdr:to>
    <cdr:sp macro="" textlink="">
      <cdr:nvSpPr>
        <cdr:cNvPr id="274" name="FracNo 502 StartRow 3069">
          <a:extLst xmlns:a="http://schemas.openxmlformats.org/drawingml/2006/main">
            <a:ext uri="{FF2B5EF4-FFF2-40B4-BE49-F238E27FC236}">
              <a16:creationId xmlns:a16="http://schemas.microsoft.com/office/drawing/2014/main" id="{0A485C7D-A604-653C-8AE9-71D04EA74637}"/>
            </a:ext>
          </a:extLst>
        </cdr:cNvPr>
        <cdr:cNvSpPr/>
      </cdr:nvSpPr>
      <cdr:spPr>
        <a:xfrm xmlns:a="http://schemas.openxmlformats.org/drawingml/2006/main">
          <a:off x="6024575" y="5184614"/>
          <a:ext cx="444778" cy="4600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4778" h="460052">
              <a:moveTo>
                <a:pt x="39025" y="400933"/>
              </a:moveTo>
              <a:lnTo>
                <a:pt x="0" y="441299"/>
              </a:lnTo>
              <a:lnTo>
                <a:pt x="18129" y="460051"/>
              </a:lnTo>
              <a:lnTo>
                <a:pt x="57154" y="419685"/>
              </a:lnTo>
              <a:lnTo>
                <a:pt x="444777" y="18751"/>
              </a:lnTo>
              <a:lnTo>
                <a:pt x="4266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0.16805</cdr:x>
      <cdr:y>0.35114</cdr:y>
    </cdr:from>
    <cdr:to>
      <cdr:x>0.22831</cdr:x>
      <cdr:y>0.41098</cdr:y>
    </cdr:to>
    <cdr:sp macro="" textlink="">
      <cdr:nvSpPr>
        <cdr:cNvPr id="275" name="FracNo 111 StartRow 3078">
          <a:extLst xmlns:a="http://schemas.openxmlformats.org/drawingml/2006/main">
            <a:ext uri="{FF2B5EF4-FFF2-40B4-BE49-F238E27FC236}">
              <a16:creationId xmlns:a16="http://schemas.microsoft.com/office/drawing/2014/main" id="{321F7FD2-0B5E-1D66-7089-6BB6EE060F22}"/>
            </a:ext>
          </a:extLst>
        </cdr:cNvPr>
        <cdr:cNvSpPr/>
      </cdr:nvSpPr>
      <cdr:spPr>
        <a:xfrm xmlns:a="http://schemas.openxmlformats.org/drawingml/2006/main">
          <a:off x="1229316" y="2675708"/>
          <a:ext cx="440842" cy="4559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0842" h="455982">
              <a:moveTo>
                <a:pt x="32501" y="441115"/>
              </a:moveTo>
              <a:lnTo>
                <a:pt x="18129" y="455981"/>
              </a:lnTo>
              <a:lnTo>
                <a:pt x="0" y="437229"/>
              </a:lnTo>
              <a:lnTo>
                <a:pt x="14372" y="422364"/>
              </a:lnTo>
              <a:lnTo>
                <a:pt x="315015" y="111395"/>
              </a:lnTo>
              <a:lnTo>
                <a:pt x="422712" y="0"/>
              </a:lnTo>
              <a:lnTo>
                <a:pt x="440841" y="18752"/>
              </a:lnTo>
              <a:lnTo>
                <a:pt x="333145" y="1301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0.14472</cdr:x>
      <cdr:y>0.69764</cdr:y>
    </cdr:from>
    <cdr:to>
      <cdr:x>0.20401</cdr:x>
      <cdr:y>0.75651</cdr:y>
    </cdr:to>
    <cdr:sp macro="" textlink="">
      <cdr:nvSpPr>
        <cdr:cNvPr id="276" name="FracNo 822 StartRow 3089">
          <a:extLst xmlns:a="http://schemas.openxmlformats.org/drawingml/2006/main">
            <a:ext uri="{FF2B5EF4-FFF2-40B4-BE49-F238E27FC236}">
              <a16:creationId xmlns:a16="http://schemas.microsoft.com/office/drawing/2014/main" id="{DCFF9A57-71C0-1764-626B-3B23CC90724B}"/>
            </a:ext>
          </a:extLst>
        </cdr:cNvPr>
        <cdr:cNvSpPr/>
      </cdr:nvSpPr>
      <cdr:spPr>
        <a:xfrm xmlns:a="http://schemas.openxmlformats.org/drawingml/2006/main">
          <a:off x="1058659" y="5315982"/>
          <a:ext cx="433751" cy="4486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3751" h="448647">
              <a:moveTo>
                <a:pt x="323239" y="133058"/>
              </a:moveTo>
              <a:lnTo>
                <a:pt x="18129" y="448646"/>
              </a:lnTo>
              <a:lnTo>
                <a:pt x="0" y="429894"/>
              </a:lnTo>
              <a:lnTo>
                <a:pt x="305110" y="114306"/>
              </a:lnTo>
              <a:lnTo>
                <a:pt x="415621" y="0"/>
              </a:lnTo>
              <a:lnTo>
                <a:pt x="4337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0.75616</cdr:x>
      <cdr:y>0.33623</cdr:y>
    </cdr:from>
    <cdr:to>
      <cdr:x>0.8153</cdr:x>
      <cdr:y>0.39494</cdr:y>
    </cdr:to>
    <cdr:sp macro="" textlink="">
      <cdr:nvSpPr>
        <cdr:cNvPr id="277" name="FracNo 267 StartRow 3098">
          <a:extLst xmlns:a="http://schemas.openxmlformats.org/drawingml/2006/main">
            <a:ext uri="{FF2B5EF4-FFF2-40B4-BE49-F238E27FC236}">
              <a16:creationId xmlns:a16="http://schemas.microsoft.com/office/drawing/2014/main" id="{779A0F9F-2451-C7CD-2125-831481F55F38}"/>
            </a:ext>
          </a:extLst>
        </cdr:cNvPr>
        <cdr:cNvSpPr/>
      </cdr:nvSpPr>
      <cdr:spPr>
        <a:xfrm xmlns:a="http://schemas.openxmlformats.org/drawingml/2006/main">
          <a:off x="5531481" y="2562041"/>
          <a:ext cx="432575" cy="4474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575" h="447430">
              <a:moveTo>
                <a:pt x="229944" y="190837"/>
              </a:moveTo>
              <a:lnTo>
                <a:pt x="196855" y="225062"/>
              </a:lnTo>
              <a:lnTo>
                <a:pt x="0" y="428678"/>
              </a:lnTo>
              <a:lnTo>
                <a:pt x="18129" y="447429"/>
              </a:lnTo>
              <a:lnTo>
                <a:pt x="214985" y="243814"/>
              </a:lnTo>
              <a:lnTo>
                <a:pt x="248073" y="209589"/>
              </a:lnTo>
              <a:lnTo>
                <a:pt x="432574" y="18752"/>
              </a:lnTo>
              <a:lnTo>
                <a:pt x="4144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0.4858</cdr:x>
      <cdr:y>0.08544</cdr:y>
    </cdr:from>
    <cdr:to>
      <cdr:x>0.54598</cdr:x>
      <cdr:y>0.14273</cdr:y>
    </cdr:to>
    <cdr:sp macro="" textlink="">
      <cdr:nvSpPr>
        <cdr:cNvPr id="278" name="FracNo 428 StartRow 3109">
          <a:extLst xmlns:a="http://schemas.openxmlformats.org/drawingml/2006/main">
            <a:ext uri="{FF2B5EF4-FFF2-40B4-BE49-F238E27FC236}">
              <a16:creationId xmlns:a16="http://schemas.microsoft.com/office/drawing/2014/main" id="{270E33FF-BAA0-BE7E-0C63-C58E1FD5FAF7}"/>
            </a:ext>
          </a:extLst>
        </cdr:cNvPr>
        <cdr:cNvSpPr/>
      </cdr:nvSpPr>
      <cdr:spPr>
        <a:xfrm xmlns:a="http://schemas.openxmlformats.org/drawingml/2006/main">
          <a:off x="3553699" y="651036"/>
          <a:ext cx="440236" cy="4366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0236" h="436603">
              <a:moveTo>
                <a:pt x="63717" y="389448"/>
              </a:moveTo>
              <a:lnTo>
                <a:pt x="18129" y="436602"/>
              </a:lnTo>
              <a:lnTo>
                <a:pt x="0" y="417849"/>
              </a:lnTo>
              <a:lnTo>
                <a:pt x="43629" y="372722"/>
              </a:lnTo>
              <a:lnTo>
                <a:pt x="403976" y="0"/>
              </a:lnTo>
              <a:lnTo>
                <a:pt x="4402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0.88164</cdr:x>
      <cdr:y>0.62443</cdr:y>
    </cdr:from>
    <cdr:to>
      <cdr:x>0.94023</cdr:x>
      <cdr:y>0.68261</cdr:y>
    </cdr:to>
    <cdr:sp macro="" textlink="">
      <cdr:nvSpPr>
        <cdr:cNvPr id="279" name="FracNo 583 StartRow 3118">
          <a:extLst xmlns:a="http://schemas.openxmlformats.org/drawingml/2006/main">
            <a:ext uri="{FF2B5EF4-FFF2-40B4-BE49-F238E27FC236}">
              <a16:creationId xmlns:a16="http://schemas.microsoft.com/office/drawing/2014/main" id="{2E37799E-381C-1D5D-CEEB-A76B3C156A24}"/>
            </a:ext>
          </a:extLst>
        </cdr:cNvPr>
        <cdr:cNvSpPr/>
      </cdr:nvSpPr>
      <cdr:spPr>
        <a:xfrm xmlns:a="http://schemas.openxmlformats.org/drawingml/2006/main">
          <a:off x="6449385" y="4758151"/>
          <a:ext cx="428596" cy="4433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596" h="443315">
              <a:moveTo>
                <a:pt x="385048" y="26291"/>
              </a:moveTo>
              <a:lnTo>
                <a:pt x="241862" y="174395"/>
              </a:lnTo>
              <a:lnTo>
                <a:pt x="0" y="424562"/>
              </a:lnTo>
              <a:lnTo>
                <a:pt x="18130" y="443314"/>
              </a:lnTo>
              <a:lnTo>
                <a:pt x="259991" y="193147"/>
              </a:lnTo>
              <a:lnTo>
                <a:pt x="403177" y="45043"/>
              </a:lnTo>
              <a:lnTo>
                <a:pt x="428595" y="18752"/>
              </a:lnTo>
              <a:lnTo>
                <a:pt x="4104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0.44004</cdr:x>
      <cdr:y>0.79545</cdr:y>
    </cdr:from>
    <cdr:to>
      <cdr:x>0.49825</cdr:x>
      <cdr:y>0.85326</cdr:y>
    </cdr:to>
    <cdr:sp macro="" textlink="">
      <cdr:nvSpPr>
        <cdr:cNvPr id="280" name="FracNo 666 StartRow 3129">
          <a:extLst xmlns:a="http://schemas.openxmlformats.org/drawingml/2006/main">
            <a:ext uri="{FF2B5EF4-FFF2-40B4-BE49-F238E27FC236}">
              <a16:creationId xmlns:a16="http://schemas.microsoft.com/office/drawing/2014/main" id="{E2912BD7-6DD2-1DB2-490D-63EE9B2602EE}"/>
            </a:ext>
          </a:extLst>
        </cdr:cNvPr>
        <cdr:cNvSpPr/>
      </cdr:nvSpPr>
      <cdr:spPr>
        <a:xfrm xmlns:a="http://schemas.openxmlformats.org/drawingml/2006/main">
          <a:off x="3218964" y="6061330"/>
          <a:ext cx="425853" cy="4404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5853" h="440478">
              <a:moveTo>
                <a:pt x="181359" y="271641"/>
              </a:moveTo>
              <a:lnTo>
                <a:pt x="18129" y="440477"/>
              </a:lnTo>
              <a:lnTo>
                <a:pt x="0" y="421725"/>
              </a:lnTo>
              <a:lnTo>
                <a:pt x="163230" y="252889"/>
              </a:lnTo>
              <a:lnTo>
                <a:pt x="407723" y="0"/>
              </a:lnTo>
              <a:lnTo>
                <a:pt x="4258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0.71882</cdr:x>
      <cdr:y>0.69874</cdr:y>
    </cdr:from>
    <cdr:to>
      <cdr:x>0.7757</cdr:x>
      <cdr:y>0.75522</cdr:y>
    </cdr:to>
    <cdr:sp macro="" textlink="">
      <cdr:nvSpPr>
        <cdr:cNvPr id="281" name="FracNo 777 StartRow 3138">
          <a:extLst xmlns:a="http://schemas.openxmlformats.org/drawingml/2006/main">
            <a:ext uri="{FF2B5EF4-FFF2-40B4-BE49-F238E27FC236}">
              <a16:creationId xmlns:a16="http://schemas.microsoft.com/office/drawing/2014/main" id="{11EC787C-3210-460D-233D-68E34A02CB15}"/>
            </a:ext>
          </a:extLst>
        </cdr:cNvPr>
        <cdr:cNvSpPr/>
      </cdr:nvSpPr>
      <cdr:spPr>
        <a:xfrm xmlns:a="http://schemas.openxmlformats.org/drawingml/2006/main">
          <a:off x="5258326" y="5324421"/>
          <a:ext cx="416039" cy="430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039" h="430328">
              <a:moveTo>
                <a:pt x="297124" y="141750"/>
              </a:moveTo>
              <a:lnTo>
                <a:pt x="18129" y="430327"/>
              </a:lnTo>
              <a:lnTo>
                <a:pt x="0" y="411575"/>
              </a:lnTo>
              <a:lnTo>
                <a:pt x="278995" y="122998"/>
              </a:lnTo>
              <a:lnTo>
                <a:pt x="397909" y="0"/>
              </a:lnTo>
              <a:lnTo>
                <a:pt x="4160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0.72872</cdr:x>
      <cdr:y>0.08544</cdr:y>
    </cdr:from>
    <cdr:to>
      <cdr:x>0.78617</cdr:x>
      <cdr:y>0.14003</cdr:y>
    </cdr:to>
    <cdr:sp macro="" textlink="">
      <cdr:nvSpPr>
        <cdr:cNvPr id="282" name="FracNo 278 StartRow 3147">
          <a:extLst xmlns:a="http://schemas.openxmlformats.org/drawingml/2006/main">
            <a:ext uri="{FF2B5EF4-FFF2-40B4-BE49-F238E27FC236}">
              <a16:creationId xmlns:a16="http://schemas.microsoft.com/office/drawing/2014/main" id="{202D7716-74E7-DCEA-40F4-1E14D4E548CF}"/>
            </a:ext>
          </a:extLst>
        </cdr:cNvPr>
        <cdr:cNvSpPr/>
      </cdr:nvSpPr>
      <cdr:spPr>
        <a:xfrm xmlns:a="http://schemas.openxmlformats.org/drawingml/2006/main">
          <a:off x="5330711" y="651036"/>
          <a:ext cx="420277" cy="4159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0277" h="415958">
              <a:moveTo>
                <a:pt x="378683" y="5517"/>
              </a:moveTo>
              <a:lnTo>
                <a:pt x="0" y="397206"/>
              </a:lnTo>
              <a:lnTo>
                <a:pt x="18129" y="415957"/>
              </a:lnTo>
              <a:lnTo>
                <a:pt x="414690" y="5777"/>
              </a:lnTo>
              <a:lnTo>
                <a:pt x="420276" y="0"/>
              </a:lnTo>
              <a:lnTo>
                <a:pt x="3840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0.42569</cdr:x>
      <cdr:y>0.6933</cdr:y>
    </cdr:from>
    <cdr:to>
      <cdr:x>0.47897</cdr:x>
      <cdr:y>0.7462</cdr:y>
    </cdr:to>
    <cdr:sp macro="" textlink="">
      <cdr:nvSpPr>
        <cdr:cNvPr id="283" name="FracNo 668 StartRow 3156">
          <a:extLst xmlns:a="http://schemas.openxmlformats.org/drawingml/2006/main">
            <a:ext uri="{FF2B5EF4-FFF2-40B4-BE49-F238E27FC236}">
              <a16:creationId xmlns:a16="http://schemas.microsoft.com/office/drawing/2014/main" id="{C8E9438B-316F-CCAF-3DE8-BF768BD77639}"/>
            </a:ext>
          </a:extLst>
        </cdr:cNvPr>
        <cdr:cNvSpPr/>
      </cdr:nvSpPr>
      <cdr:spPr>
        <a:xfrm xmlns:a="http://schemas.openxmlformats.org/drawingml/2006/main">
          <a:off x="3114043" y="5282944"/>
          <a:ext cx="389699" cy="403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699" h="403083">
              <a:moveTo>
                <a:pt x="224281" y="189851"/>
              </a:moveTo>
              <a:lnTo>
                <a:pt x="18129" y="403082"/>
              </a:lnTo>
              <a:lnTo>
                <a:pt x="0" y="384330"/>
              </a:lnTo>
              <a:lnTo>
                <a:pt x="206151" y="171099"/>
              </a:lnTo>
              <a:lnTo>
                <a:pt x="371569" y="0"/>
              </a:lnTo>
              <a:lnTo>
                <a:pt x="389698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0.37586</cdr:x>
      <cdr:y>0.74467</cdr:y>
    </cdr:from>
    <cdr:to>
      <cdr:x>0.42912</cdr:x>
      <cdr:y>0.79756</cdr:y>
    </cdr:to>
    <cdr:sp macro="" textlink="">
      <cdr:nvSpPr>
        <cdr:cNvPr id="284" name="FracNo 750 StartRow 3165">
          <a:extLst xmlns:a="http://schemas.openxmlformats.org/drawingml/2006/main">
            <a:ext uri="{FF2B5EF4-FFF2-40B4-BE49-F238E27FC236}">
              <a16:creationId xmlns:a16="http://schemas.microsoft.com/office/drawing/2014/main" id="{0F634958-D649-D94D-E7E6-1BC9F709E470}"/>
            </a:ext>
          </a:extLst>
        </cdr:cNvPr>
        <cdr:cNvSpPr/>
      </cdr:nvSpPr>
      <cdr:spPr>
        <a:xfrm xmlns:a="http://schemas.openxmlformats.org/drawingml/2006/main">
          <a:off x="2749473" y="5674413"/>
          <a:ext cx="389602" cy="4029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602" h="402982">
              <a:moveTo>
                <a:pt x="247110" y="166136"/>
              </a:moveTo>
              <a:lnTo>
                <a:pt x="18130" y="402981"/>
              </a:lnTo>
              <a:lnTo>
                <a:pt x="0" y="384229"/>
              </a:lnTo>
              <a:lnTo>
                <a:pt x="228981" y="147384"/>
              </a:lnTo>
              <a:lnTo>
                <a:pt x="371472" y="0"/>
              </a:lnTo>
              <a:lnTo>
                <a:pt x="3896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0.43329</cdr:y>
    </cdr:from>
    <cdr:to>
      <cdr:x>0.14238</cdr:x>
      <cdr:y>0.48596</cdr:y>
    </cdr:to>
    <cdr:sp macro="" textlink="">
      <cdr:nvSpPr>
        <cdr:cNvPr id="285" name="FracNo 744 StartRow 3174">
          <a:extLst xmlns:a="http://schemas.openxmlformats.org/drawingml/2006/main">
            <a:ext uri="{FF2B5EF4-FFF2-40B4-BE49-F238E27FC236}">
              <a16:creationId xmlns:a16="http://schemas.microsoft.com/office/drawing/2014/main" id="{A608C85D-FA70-493C-642C-33C39412A4A0}"/>
            </a:ext>
          </a:extLst>
        </cdr:cNvPr>
        <cdr:cNvSpPr/>
      </cdr:nvSpPr>
      <cdr:spPr>
        <a:xfrm xmlns:a="http://schemas.openxmlformats.org/drawingml/2006/main">
          <a:off x="671676" y="3301637"/>
          <a:ext cx="369891" cy="401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891" h="401346">
              <a:moveTo>
                <a:pt x="206039" y="188230"/>
              </a:moveTo>
              <a:lnTo>
                <a:pt x="0" y="401345"/>
              </a:lnTo>
              <a:lnTo>
                <a:pt x="0" y="363841"/>
              </a:lnTo>
              <a:lnTo>
                <a:pt x="195940" y="161172"/>
              </a:lnTo>
              <a:lnTo>
                <a:pt x="351761" y="0"/>
              </a:lnTo>
              <a:lnTo>
                <a:pt x="3698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0.89218</cdr:x>
      <cdr:y>0.20254</cdr:y>
    </cdr:from>
    <cdr:to>
      <cdr:x>0.94246</cdr:x>
      <cdr:y>0.25493</cdr:y>
    </cdr:to>
    <cdr:sp macro="" textlink="">
      <cdr:nvSpPr>
        <cdr:cNvPr id="286" name="FracNo 801 StartRow 3183">
          <a:extLst xmlns:a="http://schemas.openxmlformats.org/drawingml/2006/main">
            <a:ext uri="{FF2B5EF4-FFF2-40B4-BE49-F238E27FC236}">
              <a16:creationId xmlns:a16="http://schemas.microsoft.com/office/drawing/2014/main" id="{A76EAB0D-710D-7B0A-885B-F09046F73EF7}"/>
            </a:ext>
          </a:extLst>
        </cdr:cNvPr>
        <cdr:cNvSpPr/>
      </cdr:nvSpPr>
      <cdr:spPr>
        <a:xfrm xmlns:a="http://schemas.openxmlformats.org/drawingml/2006/main">
          <a:off x="6526443" y="1543332"/>
          <a:ext cx="367865" cy="3992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865" h="399250">
              <a:moveTo>
                <a:pt x="168691" y="243517"/>
              </a:moveTo>
              <a:lnTo>
                <a:pt x="18129" y="399249"/>
              </a:lnTo>
              <a:lnTo>
                <a:pt x="0" y="380497"/>
              </a:lnTo>
              <a:lnTo>
                <a:pt x="158366" y="216692"/>
              </a:lnTo>
              <a:lnTo>
                <a:pt x="367864" y="0"/>
              </a:lnTo>
              <a:lnTo>
                <a:pt x="36786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0.89256</cdr:x>
      <cdr:y>0.23097</cdr:y>
    </cdr:from>
    <cdr:to>
      <cdr:x>0.94246</cdr:x>
      <cdr:y>0.28298</cdr:y>
    </cdr:to>
    <cdr:sp macro="" textlink="">
      <cdr:nvSpPr>
        <cdr:cNvPr id="287" name="FracNo 262 StartRow 3192">
          <a:extLst xmlns:a="http://schemas.openxmlformats.org/drawingml/2006/main">
            <a:ext uri="{FF2B5EF4-FFF2-40B4-BE49-F238E27FC236}">
              <a16:creationId xmlns:a16="http://schemas.microsoft.com/office/drawing/2014/main" id="{2A4C9EA8-690A-A32D-CE25-B1BD323D4FE0}"/>
            </a:ext>
          </a:extLst>
        </cdr:cNvPr>
        <cdr:cNvSpPr/>
      </cdr:nvSpPr>
      <cdr:spPr>
        <a:xfrm xmlns:a="http://schemas.openxmlformats.org/drawingml/2006/main">
          <a:off x="6529288" y="1760011"/>
          <a:ext cx="365020" cy="3963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5020" h="396308">
              <a:moveTo>
                <a:pt x="246449" y="160146"/>
              </a:moveTo>
              <a:lnTo>
                <a:pt x="18129" y="396307"/>
              </a:lnTo>
              <a:lnTo>
                <a:pt x="0" y="377555"/>
              </a:lnTo>
              <a:lnTo>
                <a:pt x="240252" y="129052"/>
              </a:lnTo>
              <a:lnTo>
                <a:pt x="365019" y="0"/>
              </a:lnTo>
              <a:lnTo>
                <a:pt x="36501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0.12774</cdr:x>
      <cdr:y>0.53264</cdr:y>
    </cdr:from>
    <cdr:to>
      <cdr:x>0.17807</cdr:x>
      <cdr:y>0.58263</cdr:y>
    </cdr:to>
    <cdr:sp macro="" textlink="">
      <cdr:nvSpPr>
        <cdr:cNvPr id="288" name="FracNo 112 StartRow 3201">
          <a:extLst xmlns:a="http://schemas.openxmlformats.org/drawingml/2006/main">
            <a:ext uri="{FF2B5EF4-FFF2-40B4-BE49-F238E27FC236}">
              <a16:creationId xmlns:a16="http://schemas.microsoft.com/office/drawing/2014/main" id="{5FAB0C7E-D9CA-0868-5452-C89B9AFFAFC5}"/>
            </a:ext>
          </a:extLst>
        </cdr:cNvPr>
        <cdr:cNvSpPr/>
      </cdr:nvSpPr>
      <cdr:spPr>
        <a:xfrm xmlns:a="http://schemas.openxmlformats.org/drawingml/2006/main">
          <a:off x="934415" y="4058753"/>
          <a:ext cx="368239" cy="380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8239" h="380884">
              <a:moveTo>
                <a:pt x="164345" y="229646"/>
              </a:moveTo>
              <a:lnTo>
                <a:pt x="18130" y="380883"/>
              </a:lnTo>
              <a:lnTo>
                <a:pt x="0" y="362131"/>
              </a:lnTo>
              <a:lnTo>
                <a:pt x="146216" y="210895"/>
              </a:lnTo>
              <a:lnTo>
                <a:pt x="350109" y="0"/>
              </a:lnTo>
              <a:lnTo>
                <a:pt x="3682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0.89274</cdr:x>
      <cdr:y>0.88072</cdr:y>
    </cdr:from>
    <cdr:to>
      <cdr:x>0.94246</cdr:x>
      <cdr:y>0.9301</cdr:y>
    </cdr:to>
    <cdr:sp macro="" textlink="">
      <cdr:nvSpPr>
        <cdr:cNvPr id="289" name="FracNo 512 StartRow 3210">
          <a:extLst xmlns:a="http://schemas.openxmlformats.org/drawingml/2006/main">
            <a:ext uri="{FF2B5EF4-FFF2-40B4-BE49-F238E27FC236}">
              <a16:creationId xmlns:a16="http://schemas.microsoft.com/office/drawing/2014/main" id="{185D87B8-8ED7-77DF-FFD2-76A0EEFECA44}"/>
            </a:ext>
          </a:extLst>
        </cdr:cNvPr>
        <cdr:cNvSpPr/>
      </cdr:nvSpPr>
      <cdr:spPr>
        <a:xfrm xmlns:a="http://schemas.openxmlformats.org/drawingml/2006/main">
          <a:off x="6530555" y="6711121"/>
          <a:ext cx="363753" cy="3762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753" h="376245">
              <a:moveTo>
                <a:pt x="324578" y="78024"/>
              </a:moveTo>
              <a:lnTo>
                <a:pt x="36258" y="376244"/>
              </a:lnTo>
              <a:lnTo>
                <a:pt x="0" y="376244"/>
              </a:lnTo>
              <a:lnTo>
                <a:pt x="320241" y="45006"/>
              </a:lnTo>
              <a:lnTo>
                <a:pt x="363752" y="0"/>
              </a:lnTo>
              <a:lnTo>
                <a:pt x="36375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0.56929</cdr:x>
      <cdr:y>0.38784</cdr:y>
    </cdr:from>
    <cdr:to>
      <cdr:x>0.61772</cdr:x>
      <cdr:y>0.43593</cdr:y>
    </cdr:to>
    <cdr:sp macro="" textlink="">
      <cdr:nvSpPr>
        <cdr:cNvPr id="290" name="FracNo 827 StartRow 3219">
          <a:extLst xmlns:a="http://schemas.openxmlformats.org/drawingml/2006/main">
            <a:ext uri="{FF2B5EF4-FFF2-40B4-BE49-F238E27FC236}">
              <a16:creationId xmlns:a16="http://schemas.microsoft.com/office/drawing/2014/main" id="{EE206376-D4EC-11D6-A498-34B76623E856}"/>
            </a:ext>
          </a:extLst>
        </cdr:cNvPr>
        <cdr:cNvSpPr/>
      </cdr:nvSpPr>
      <cdr:spPr>
        <a:xfrm xmlns:a="http://schemas.openxmlformats.org/drawingml/2006/main">
          <a:off x="4164463" y="2955325"/>
          <a:ext cx="354259" cy="3664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4259" h="366426">
              <a:moveTo>
                <a:pt x="36594" y="347327"/>
              </a:moveTo>
              <a:lnTo>
                <a:pt x="18129" y="366425"/>
              </a:lnTo>
              <a:lnTo>
                <a:pt x="0" y="347673"/>
              </a:lnTo>
              <a:lnTo>
                <a:pt x="18465" y="328575"/>
              </a:lnTo>
              <a:lnTo>
                <a:pt x="336130" y="0"/>
              </a:lnTo>
              <a:lnTo>
                <a:pt x="3542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0.22653</cdr:x>
      <cdr:y>0.3464</cdr:y>
    </cdr:from>
    <cdr:to>
      <cdr:x>0.2746</cdr:x>
      <cdr:y>0.39414</cdr:y>
    </cdr:to>
    <cdr:sp macro="" textlink="">
      <cdr:nvSpPr>
        <cdr:cNvPr id="291" name="FracNo 199 StartRow 3228">
          <a:extLst xmlns:a="http://schemas.openxmlformats.org/drawingml/2006/main">
            <a:ext uri="{FF2B5EF4-FFF2-40B4-BE49-F238E27FC236}">
              <a16:creationId xmlns:a16="http://schemas.microsoft.com/office/drawing/2014/main" id="{4EAFD1AA-A2DC-0EA5-D710-C27C217BDC80}"/>
            </a:ext>
          </a:extLst>
        </cdr:cNvPr>
        <cdr:cNvSpPr/>
      </cdr:nvSpPr>
      <cdr:spPr>
        <a:xfrm xmlns:a="http://schemas.openxmlformats.org/drawingml/2006/main">
          <a:off x="1657076" y="2639580"/>
          <a:ext cx="351692" cy="363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692" h="363770">
              <a:moveTo>
                <a:pt x="217628" y="119916"/>
              </a:moveTo>
              <a:lnTo>
                <a:pt x="190937" y="147523"/>
              </a:lnTo>
              <a:lnTo>
                <a:pt x="0" y="345017"/>
              </a:lnTo>
              <a:lnTo>
                <a:pt x="18129" y="363769"/>
              </a:lnTo>
              <a:lnTo>
                <a:pt x="209066" y="166275"/>
              </a:lnTo>
              <a:lnTo>
                <a:pt x="235757" y="138667"/>
              </a:lnTo>
              <a:lnTo>
                <a:pt x="351691" y="18752"/>
              </a:lnTo>
              <a:lnTo>
                <a:pt x="3335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0.45866</cdr:x>
      <cdr:y>0.42675</cdr:y>
    </cdr:from>
    <cdr:to>
      <cdr:x>0.49979</cdr:x>
      <cdr:y>0.46759</cdr:y>
    </cdr:to>
    <cdr:sp macro="" textlink="">
      <cdr:nvSpPr>
        <cdr:cNvPr id="292" name="FracNo 809 StartRow 3239">
          <a:extLst xmlns:a="http://schemas.openxmlformats.org/drawingml/2006/main">
            <a:ext uri="{FF2B5EF4-FFF2-40B4-BE49-F238E27FC236}">
              <a16:creationId xmlns:a16="http://schemas.microsoft.com/office/drawing/2014/main" id="{DE424438-FDA7-1642-3376-6FFE4D74FE0A}"/>
            </a:ext>
          </a:extLst>
        </cdr:cNvPr>
        <cdr:cNvSpPr/>
      </cdr:nvSpPr>
      <cdr:spPr>
        <a:xfrm xmlns:a="http://schemas.openxmlformats.org/drawingml/2006/main">
          <a:off x="3355195" y="3251871"/>
          <a:ext cx="300852" cy="311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852" h="311184">
              <a:moveTo>
                <a:pt x="282722" y="0"/>
              </a:moveTo>
              <a:lnTo>
                <a:pt x="0" y="292431"/>
              </a:lnTo>
              <a:lnTo>
                <a:pt x="18129" y="311183"/>
              </a:lnTo>
              <a:lnTo>
                <a:pt x="300851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0.25975</cdr:y>
    </cdr:from>
    <cdr:to>
      <cdr:x>0.13099</cdr:x>
      <cdr:y>0.30111</cdr:y>
    </cdr:to>
    <cdr:sp macro="" textlink="">
      <cdr:nvSpPr>
        <cdr:cNvPr id="293" name="FracNo 192 StartRow 3247">
          <a:extLst xmlns:a="http://schemas.openxmlformats.org/drawingml/2006/main">
            <a:ext uri="{FF2B5EF4-FFF2-40B4-BE49-F238E27FC236}">
              <a16:creationId xmlns:a16="http://schemas.microsoft.com/office/drawing/2014/main" id="{F0009BC3-15A1-BF76-638A-3815D614E285}"/>
            </a:ext>
          </a:extLst>
        </cdr:cNvPr>
        <cdr:cNvSpPr/>
      </cdr:nvSpPr>
      <cdr:spPr>
        <a:xfrm xmlns:a="http://schemas.openxmlformats.org/drawingml/2006/main">
          <a:off x="671676" y="1979323"/>
          <a:ext cx="286553" cy="315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553" h="315146">
              <a:moveTo>
                <a:pt x="99138" y="175098"/>
              </a:moveTo>
              <a:lnTo>
                <a:pt x="0" y="277641"/>
              </a:lnTo>
              <a:lnTo>
                <a:pt x="0" y="315145"/>
              </a:lnTo>
              <a:lnTo>
                <a:pt x="105834" y="205677"/>
              </a:lnTo>
              <a:lnTo>
                <a:pt x="286552" y="18752"/>
              </a:lnTo>
              <a:lnTo>
                <a:pt x="2684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0.79628</cdr:x>
      <cdr:y>0.39372</cdr:y>
    </cdr:from>
    <cdr:to>
      <cdr:x>0.83611</cdr:x>
      <cdr:y>0.43327</cdr:y>
    </cdr:to>
    <cdr:sp macro="" textlink="">
      <cdr:nvSpPr>
        <cdr:cNvPr id="294" name="FracNo 585 StartRow 3256">
          <a:extLst xmlns:a="http://schemas.openxmlformats.org/drawingml/2006/main">
            <a:ext uri="{FF2B5EF4-FFF2-40B4-BE49-F238E27FC236}">
              <a16:creationId xmlns:a16="http://schemas.microsoft.com/office/drawing/2014/main" id="{B89A5C9E-2AF8-D5C5-7524-D0ED7BD3813B}"/>
            </a:ext>
          </a:extLst>
        </cdr:cNvPr>
        <cdr:cNvSpPr/>
      </cdr:nvSpPr>
      <cdr:spPr>
        <a:xfrm xmlns:a="http://schemas.openxmlformats.org/drawingml/2006/main">
          <a:off x="5824958" y="3000147"/>
          <a:ext cx="291385" cy="3013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385" h="301391">
              <a:moveTo>
                <a:pt x="272182" y="38613"/>
              </a:moveTo>
              <a:lnTo>
                <a:pt x="18130" y="301390"/>
              </a:lnTo>
              <a:lnTo>
                <a:pt x="0" y="282639"/>
              </a:lnTo>
              <a:lnTo>
                <a:pt x="254052" y="19861"/>
              </a:lnTo>
              <a:lnTo>
                <a:pt x="273255" y="0"/>
              </a:lnTo>
              <a:lnTo>
                <a:pt x="29138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0.90507</cdr:x>
      <cdr:y>0.08544</cdr:y>
    </cdr:from>
    <cdr:to>
      <cdr:x>0.94361</cdr:x>
      <cdr:y>0.12248</cdr:y>
    </cdr:to>
    <cdr:sp macro="" textlink="">
      <cdr:nvSpPr>
        <cdr:cNvPr id="295" name="FracNo 274 StartRow 3265">
          <a:extLst xmlns:a="http://schemas.openxmlformats.org/drawingml/2006/main">
            <a:ext uri="{FF2B5EF4-FFF2-40B4-BE49-F238E27FC236}">
              <a16:creationId xmlns:a16="http://schemas.microsoft.com/office/drawing/2014/main" id="{AA73D844-9F69-6776-3C1C-8AB607363753}"/>
            </a:ext>
          </a:extLst>
        </cdr:cNvPr>
        <cdr:cNvSpPr/>
      </cdr:nvSpPr>
      <cdr:spPr>
        <a:xfrm xmlns:a="http://schemas.openxmlformats.org/drawingml/2006/main">
          <a:off x="6620764" y="651036"/>
          <a:ext cx="281958" cy="2822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958" h="282265">
              <a:moveTo>
                <a:pt x="114501" y="145079"/>
              </a:moveTo>
              <a:lnTo>
                <a:pt x="0" y="263513"/>
              </a:lnTo>
              <a:lnTo>
                <a:pt x="18128" y="282264"/>
              </a:lnTo>
              <a:lnTo>
                <a:pt x="136704" y="159617"/>
              </a:lnTo>
              <a:lnTo>
                <a:pt x="281957" y="9376"/>
              </a:lnTo>
              <a:lnTo>
                <a:pt x="2547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0.11216</cdr:x>
      <cdr:y>0.09469</cdr:y>
    </cdr:from>
    <cdr:to>
      <cdr:x>0.15059</cdr:x>
      <cdr:y>0.13285</cdr:y>
    </cdr:to>
    <cdr:sp macro="" textlink="">
      <cdr:nvSpPr>
        <cdr:cNvPr id="296" name="FracNo 224 StartRow 3274">
          <a:extLst xmlns:a="http://schemas.openxmlformats.org/drawingml/2006/main">
            <a:ext uri="{FF2B5EF4-FFF2-40B4-BE49-F238E27FC236}">
              <a16:creationId xmlns:a16="http://schemas.microsoft.com/office/drawing/2014/main" id="{3B69BE56-CBEA-BD3D-68B7-98779FAF551F}"/>
            </a:ext>
          </a:extLst>
        </cdr:cNvPr>
        <cdr:cNvSpPr/>
      </cdr:nvSpPr>
      <cdr:spPr>
        <a:xfrm xmlns:a="http://schemas.openxmlformats.org/drawingml/2006/main">
          <a:off x="820476" y="721566"/>
          <a:ext cx="281133" cy="290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133" h="290788">
              <a:moveTo>
                <a:pt x="251087" y="222206"/>
              </a:moveTo>
              <a:lnTo>
                <a:pt x="36258" y="0"/>
              </a:lnTo>
              <a:lnTo>
                <a:pt x="0" y="0"/>
              </a:lnTo>
              <a:lnTo>
                <a:pt x="246638" y="255108"/>
              </a:lnTo>
              <a:lnTo>
                <a:pt x="281132" y="290787"/>
              </a:lnTo>
              <a:lnTo>
                <a:pt x="281132" y="2532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0.09215</cdr:x>
      <cdr:y>0.11457</cdr:y>
    </cdr:from>
    <cdr:to>
      <cdr:x>0.13058</cdr:x>
      <cdr:y>0.15273</cdr:y>
    </cdr:to>
    <cdr:sp macro="" textlink="">
      <cdr:nvSpPr>
        <cdr:cNvPr id="297" name="FracNo 948 StartRow 3283">
          <a:extLst xmlns:a="http://schemas.openxmlformats.org/drawingml/2006/main">
            <a:ext uri="{FF2B5EF4-FFF2-40B4-BE49-F238E27FC236}">
              <a16:creationId xmlns:a16="http://schemas.microsoft.com/office/drawing/2014/main" id="{9D0C5AFC-81B1-2DB0-51CE-F9F9314BF826}"/>
            </a:ext>
          </a:extLst>
        </cdr:cNvPr>
        <cdr:cNvSpPr/>
      </cdr:nvSpPr>
      <cdr:spPr>
        <a:xfrm xmlns:a="http://schemas.openxmlformats.org/drawingml/2006/main">
          <a:off x="674076" y="872993"/>
          <a:ext cx="281133" cy="290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133" h="290788">
              <a:moveTo>
                <a:pt x="136791" y="178992"/>
              </a:moveTo>
              <a:lnTo>
                <a:pt x="0" y="37504"/>
              </a:lnTo>
              <a:lnTo>
                <a:pt x="0" y="0"/>
              </a:lnTo>
              <a:lnTo>
                <a:pt x="157046" y="162439"/>
              </a:lnTo>
              <a:lnTo>
                <a:pt x="281132" y="290787"/>
              </a:lnTo>
              <a:lnTo>
                <a:pt x="244874" y="2907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0.87043</cdr:x>
      <cdr:y>0.88546</cdr:y>
    </cdr:from>
    <cdr:to>
      <cdr:x>0.90654</cdr:x>
      <cdr:y>0.92131</cdr:y>
    </cdr:to>
    <cdr:sp macro="" textlink="">
      <cdr:nvSpPr>
        <cdr:cNvPr id="298" name="FracNo 550 StartRow 3292">
          <a:extLst xmlns:a="http://schemas.openxmlformats.org/drawingml/2006/main">
            <a:ext uri="{FF2B5EF4-FFF2-40B4-BE49-F238E27FC236}">
              <a16:creationId xmlns:a16="http://schemas.microsoft.com/office/drawing/2014/main" id="{5AC08437-34C9-A3F7-B7D3-704AF11F16A9}"/>
            </a:ext>
          </a:extLst>
        </cdr:cNvPr>
        <cdr:cNvSpPr/>
      </cdr:nvSpPr>
      <cdr:spPr>
        <a:xfrm xmlns:a="http://schemas.openxmlformats.org/drawingml/2006/main">
          <a:off x="6367389" y="6747199"/>
          <a:ext cx="264149" cy="2732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149" h="273221">
              <a:moveTo>
                <a:pt x="101641" y="105132"/>
              </a:moveTo>
              <a:lnTo>
                <a:pt x="0" y="0"/>
              </a:lnTo>
              <a:lnTo>
                <a:pt x="0" y="37504"/>
              </a:lnTo>
              <a:lnTo>
                <a:pt x="87689" y="128204"/>
              </a:lnTo>
              <a:lnTo>
                <a:pt x="227890" y="273220"/>
              </a:lnTo>
              <a:lnTo>
                <a:pt x="264148" y="2732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0.88394</cdr:x>
      <cdr:y>0.87205</cdr:y>
    </cdr:from>
    <cdr:to>
      <cdr:x>0.92005</cdr:x>
      <cdr:y>0.9079</cdr:y>
    </cdr:to>
    <cdr:sp macro="" textlink="">
      <cdr:nvSpPr>
        <cdr:cNvPr id="299" name="FracNo 883 StartRow 3301">
          <a:extLst xmlns:a="http://schemas.openxmlformats.org/drawingml/2006/main">
            <a:ext uri="{FF2B5EF4-FFF2-40B4-BE49-F238E27FC236}">
              <a16:creationId xmlns:a16="http://schemas.microsoft.com/office/drawing/2014/main" id="{00CB52F1-56E3-0B17-3BAE-5B937597B9CA}"/>
            </a:ext>
          </a:extLst>
        </cdr:cNvPr>
        <cdr:cNvSpPr/>
      </cdr:nvSpPr>
      <cdr:spPr>
        <a:xfrm xmlns:a="http://schemas.openxmlformats.org/drawingml/2006/main">
          <a:off x="6466191" y="6645004"/>
          <a:ext cx="264149" cy="2732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149" h="273221">
              <a:moveTo>
                <a:pt x="139168" y="143948"/>
              </a:moveTo>
              <a:lnTo>
                <a:pt x="0" y="0"/>
              </a:lnTo>
              <a:lnTo>
                <a:pt x="36258" y="0"/>
              </a:lnTo>
              <a:lnTo>
                <a:pt x="156323" y="124189"/>
              </a:lnTo>
              <a:lnTo>
                <a:pt x="264148" y="235716"/>
              </a:lnTo>
              <a:lnTo>
                <a:pt x="264148" y="2732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0.36738</cdr:x>
      <cdr:y>0.19163</cdr:y>
    </cdr:from>
    <cdr:to>
      <cdr:x>0.40246</cdr:x>
      <cdr:y>0.22646</cdr:y>
    </cdr:to>
    <cdr:sp macro="" textlink="">
      <cdr:nvSpPr>
        <cdr:cNvPr id="300" name="FracNo 181 StartRow 3310">
          <a:extLst xmlns:a="http://schemas.openxmlformats.org/drawingml/2006/main">
            <a:ext uri="{FF2B5EF4-FFF2-40B4-BE49-F238E27FC236}">
              <a16:creationId xmlns:a16="http://schemas.microsoft.com/office/drawing/2014/main" id="{0D388BCA-70E9-9F9C-1942-0084ED2FCA89}"/>
            </a:ext>
          </a:extLst>
        </cdr:cNvPr>
        <cdr:cNvSpPr/>
      </cdr:nvSpPr>
      <cdr:spPr>
        <a:xfrm xmlns:a="http://schemas.openxmlformats.org/drawingml/2006/main">
          <a:off x="2687439" y="1460224"/>
          <a:ext cx="256608" cy="265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608" h="265420">
              <a:moveTo>
                <a:pt x="34235" y="211257"/>
              </a:moveTo>
              <a:lnTo>
                <a:pt x="0" y="246667"/>
              </a:lnTo>
              <a:lnTo>
                <a:pt x="18130" y="265419"/>
              </a:lnTo>
              <a:lnTo>
                <a:pt x="52364" y="230009"/>
              </a:lnTo>
              <a:lnTo>
                <a:pt x="67512" y="214340"/>
              </a:lnTo>
              <a:lnTo>
                <a:pt x="256607" y="18751"/>
              </a:lnTo>
              <a:lnTo>
                <a:pt x="238478" y="0"/>
              </a:lnTo>
              <a:lnTo>
                <a:pt x="49383" y="1955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0.12644</cdr:x>
      <cdr:y>0.11981</cdr:y>
    </cdr:to>
    <cdr:sp macro="" textlink="">
      <cdr:nvSpPr>
        <cdr:cNvPr id="301" name="FracNo 836 StartRow 3321">
          <a:extLst xmlns:a="http://schemas.openxmlformats.org/drawingml/2006/main">
            <a:ext uri="{FF2B5EF4-FFF2-40B4-BE49-F238E27FC236}">
              <a16:creationId xmlns:a16="http://schemas.microsoft.com/office/drawing/2014/main" id="{237248E8-692F-54BD-A55C-743174CEAD29}"/>
            </a:ext>
          </a:extLst>
        </cdr:cNvPr>
        <cdr:cNvSpPr/>
      </cdr:nvSpPr>
      <cdr:spPr>
        <a:xfrm xmlns:a="http://schemas.openxmlformats.org/drawingml/2006/main">
          <a:off x="671676" y="651036"/>
          <a:ext cx="253247" cy="261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247" h="261944">
              <a:moveTo>
                <a:pt x="95785" y="162868"/>
              </a:moveTo>
              <a:lnTo>
                <a:pt x="0" y="261943"/>
              </a:lnTo>
              <a:lnTo>
                <a:pt x="0" y="224439"/>
              </a:lnTo>
              <a:lnTo>
                <a:pt x="82071" y="139549"/>
              </a:lnTo>
              <a:lnTo>
                <a:pt x="216987" y="0"/>
              </a:lnTo>
              <a:lnTo>
                <a:pt x="2532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0.79388</cdr:x>
      <cdr:y>0.74028</cdr:y>
    </cdr:from>
    <cdr:to>
      <cdr:x>0.82803</cdr:x>
      <cdr:y>0.77419</cdr:y>
    </cdr:to>
    <cdr:sp macro="" textlink="">
      <cdr:nvSpPr>
        <cdr:cNvPr id="302" name="FracNo 518 StartRow 3330">
          <a:extLst xmlns:a="http://schemas.openxmlformats.org/drawingml/2006/main">
            <a:ext uri="{FF2B5EF4-FFF2-40B4-BE49-F238E27FC236}">
              <a16:creationId xmlns:a16="http://schemas.microsoft.com/office/drawing/2014/main" id="{C20E95B8-0401-0AC9-4CFC-A726469AA6FF}"/>
            </a:ext>
          </a:extLst>
        </cdr:cNvPr>
        <cdr:cNvSpPr/>
      </cdr:nvSpPr>
      <cdr:spPr>
        <a:xfrm xmlns:a="http://schemas.openxmlformats.org/drawingml/2006/main">
          <a:off x="5807367" y="5640921"/>
          <a:ext cx="249848" cy="2584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848" h="258428">
              <a:moveTo>
                <a:pt x="194411" y="38588"/>
              </a:moveTo>
              <a:lnTo>
                <a:pt x="0" y="239675"/>
              </a:lnTo>
              <a:lnTo>
                <a:pt x="18130" y="258427"/>
              </a:lnTo>
              <a:lnTo>
                <a:pt x="212540" y="57340"/>
              </a:lnTo>
              <a:lnTo>
                <a:pt x="249847" y="18752"/>
              </a:lnTo>
              <a:lnTo>
                <a:pt x="2317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0.55484</cdr:x>
      <cdr:y>0.08544</cdr:y>
    </cdr:from>
    <cdr:to>
      <cdr:x>0.58529</cdr:x>
      <cdr:y>0.11321</cdr:y>
    </cdr:to>
    <cdr:sp macro="" textlink="">
      <cdr:nvSpPr>
        <cdr:cNvPr id="303" name="FracNo 726 StartRow 3339">
          <a:extLst xmlns:a="http://schemas.openxmlformats.org/drawingml/2006/main">
            <a:ext uri="{FF2B5EF4-FFF2-40B4-BE49-F238E27FC236}">
              <a16:creationId xmlns:a16="http://schemas.microsoft.com/office/drawing/2014/main" id="{AA5E2614-B077-25DB-7C8E-9B1B9368DF8F}"/>
            </a:ext>
          </a:extLst>
        </cdr:cNvPr>
        <cdr:cNvSpPr/>
      </cdr:nvSpPr>
      <cdr:spPr>
        <a:xfrm xmlns:a="http://schemas.openxmlformats.org/drawingml/2006/main">
          <a:off x="4058771" y="651036"/>
          <a:ext cx="222740" cy="211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740" h="211638">
              <a:moveTo>
                <a:pt x="103062" y="123787"/>
              </a:moveTo>
              <a:lnTo>
                <a:pt x="18129" y="211637"/>
              </a:lnTo>
              <a:lnTo>
                <a:pt x="0" y="192885"/>
              </a:lnTo>
              <a:lnTo>
                <a:pt x="77408" y="112819"/>
              </a:lnTo>
              <a:lnTo>
                <a:pt x="186481" y="0"/>
              </a:lnTo>
              <a:lnTo>
                <a:pt x="2227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0.14192</cdr:x>
      <cdr:y>0.40893</cdr:y>
    </cdr:from>
    <cdr:to>
      <cdr:x>0.17094</cdr:x>
      <cdr:y>0.43774</cdr:y>
    </cdr:to>
    <cdr:sp macro="" textlink="">
      <cdr:nvSpPr>
        <cdr:cNvPr id="304" name="FracNo 101 StartRow 3348">
          <a:extLst xmlns:a="http://schemas.openxmlformats.org/drawingml/2006/main">
            <a:ext uri="{FF2B5EF4-FFF2-40B4-BE49-F238E27FC236}">
              <a16:creationId xmlns:a16="http://schemas.microsoft.com/office/drawing/2014/main" id="{C821C712-789C-F99F-F735-0EF772371A0B}"/>
            </a:ext>
          </a:extLst>
        </cdr:cNvPr>
        <cdr:cNvSpPr/>
      </cdr:nvSpPr>
      <cdr:spPr>
        <a:xfrm xmlns:a="http://schemas.openxmlformats.org/drawingml/2006/main">
          <a:off x="1038137" y="3116018"/>
          <a:ext cx="212287" cy="2195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287" h="219577">
              <a:moveTo>
                <a:pt x="193084" y="38613"/>
              </a:moveTo>
              <a:lnTo>
                <a:pt x="18129" y="219576"/>
              </a:lnTo>
              <a:lnTo>
                <a:pt x="0" y="200824"/>
              </a:lnTo>
              <a:lnTo>
                <a:pt x="174955" y="19861"/>
              </a:lnTo>
              <a:lnTo>
                <a:pt x="194157" y="0"/>
              </a:lnTo>
              <a:lnTo>
                <a:pt x="21228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0.60928</cdr:x>
      <cdr:y>0.18564</cdr:y>
    </cdr:from>
    <cdr:to>
      <cdr:x>0.63758</cdr:x>
      <cdr:y>0.21375</cdr:y>
    </cdr:to>
    <cdr:sp macro="" textlink="">
      <cdr:nvSpPr>
        <cdr:cNvPr id="305" name="FracNo 791 StartRow 3357">
          <a:extLst xmlns:a="http://schemas.openxmlformats.org/drawingml/2006/main">
            <a:ext uri="{FF2B5EF4-FFF2-40B4-BE49-F238E27FC236}">
              <a16:creationId xmlns:a16="http://schemas.microsoft.com/office/drawing/2014/main" id="{71B09D43-B5B4-335C-5C86-8F7DDB5AAE7C}"/>
            </a:ext>
          </a:extLst>
        </cdr:cNvPr>
        <cdr:cNvSpPr/>
      </cdr:nvSpPr>
      <cdr:spPr>
        <a:xfrm xmlns:a="http://schemas.openxmlformats.org/drawingml/2006/main">
          <a:off x="4456975" y="1414604"/>
          <a:ext cx="207049" cy="214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049" h="214160">
              <a:moveTo>
                <a:pt x="78888" y="113809"/>
              </a:moveTo>
              <a:lnTo>
                <a:pt x="0" y="195407"/>
              </a:lnTo>
              <a:lnTo>
                <a:pt x="18129" y="214159"/>
              </a:lnTo>
              <a:lnTo>
                <a:pt x="97018" y="132561"/>
              </a:lnTo>
              <a:lnTo>
                <a:pt x="207048" y="18751"/>
              </a:lnTo>
              <a:lnTo>
                <a:pt x="1889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0.39216</cdr:x>
      <cdr:y>0.23069</cdr:y>
    </cdr:from>
    <cdr:to>
      <cdr:x>0.42</cdr:x>
      <cdr:y>0.25833</cdr:y>
    </cdr:to>
    <cdr:sp macro="" textlink="">
      <cdr:nvSpPr>
        <cdr:cNvPr id="306" name="FracNo 831 StartRow 3366">
          <a:extLst xmlns:a="http://schemas.openxmlformats.org/drawingml/2006/main">
            <a:ext uri="{FF2B5EF4-FFF2-40B4-BE49-F238E27FC236}">
              <a16:creationId xmlns:a16="http://schemas.microsoft.com/office/drawing/2014/main" id="{4018622E-BBCA-B865-A197-1CD2DB888461}"/>
            </a:ext>
          </a:extLst>
        </cdr:cNvPr>
        <cdr:cNvSpPr/>
      </cdr:nvSpPr>
      <cdr:spPr>
        <a:xfrm xmlns:a="http://schemas.openxmlformats.org/drawingml/2006/main">
          <a:off x="2868751" y="1757844"/>
          <a:ext cx="203642" cy="2106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642" h="210636">
              <a:moveTo>
                <a:pt x="42568" y="185357"/>
              </a:moveTo>
              <a:lnTo>
                <a:pt x="18129" y="210635"/>
              </a:lnTo>
              <a:lnTo>
                <a:pt x="0" y="191883"/>
              </a:lnTo>
              <a:lnTo>
                <a:pt x="24438" y="166606"/>
              </a:lnTo>
              <a:lnTo>
                <a:pt x="185512" y="0"/>
              </a:lnTo>
              <a:lnTo>
                <a:pt x="2036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0.40737</cdr:y>
    </cdr:from>
    <cdr:to>
      <cdr:x>0.11799</cdr:x>
      <cdr:y>0.43582</cdr:y>
    </cdr:to>
    <cdr:sp macro="" textlink="">
      <cdr:nvSpPr>
        <cdr:cNvPr id="307" name="FracNo 825 StartRow 3375">
          <a:extLst xmlns:a="http://schemas.openxmlformats.org/drawingml/2006/main">
            <a:ext uri="{FF2B5EF4-FFF2-40B4-BE49-F238E27FC236}">
              <a16:creationId xmlns:a16="http://schemas.microsoft.com/office/drawing/2014/main" id="{2A598A23-5751-5EAA-B300-3D0B9891ED56}"/>
            </a:ext>
          </a:extLst>
        </cdr:cNvPr>
        <cdr:cNvSpPr/>
      </cdr:nvSpPr>
      <cdr:spPr>
        <a:xfrm xmlns:a="http://schemas.openxmlformats.org/drawingml/2006/main">
          <a:off x="671676" y="3104166"/>
          <a:ext cx="191427" cy="2167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427" h="216753">
              <a:moveTo>
                <a:pt x="2772" y="176382"/>
              </a:moveTo>
              <a:lnTo>
                <a:pt x="0" y="179249"/>
              </a:lnTo>
              <a:lnTo>
                <a:pt x="0" y="216752"/>
              </a:lnTo>
              <a:lnTo>
                <a:pt x="3062" y="213585"/>
              </a:lnTo>
              <a:lnTo>
                <a:pt x="191426" y="18752"/>
              </a:lnTo>
              <a:lnTo>
                <a:pt x="1732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0.20869</cdr:x>
      <cdr:y>0.90542</cdr:y>
    </cdr:from>
    <cdr:to>
      <cdr:x>0.23603</cdr:x>
      <cdr:y>0.9301</cdr:y>
    </cdr:to>
    <cdr:sp macro="" textlink="">
      <cdr:nvSpPr>
        <cdr:cNvPr id="308" name="FracNo 33 StartRow 3384">
          <a:extLst xmlns:a="http://schemas.openxmlformats.org/drawingml/2006/main">
            <a:ext uri="{FF2B5EF4-FFF2-40B4-BE49-F238E27FC236}">
              <a16:creationId xmlns:a16="http://schemas.microsoft.com/office/drawing/2014/main" id="{37CD6FC5-3644-9119-17DA-6DCC9947FD11}"/>
            </a:ext>
          </a:extLst>
        </cdr:cNvPr>
        <cdr:cNvSpPr/>
      </cdr:nvSpPr>
      <cdr:spPr>
        <a:xfrm xmlns:a="http://schemas.openxmlformats.org/drawingml/2006/main">
          <a:off x="1526632" y="6899293"/>
          <a:ext cx="199958" cy="1880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958" h="188073">
              <a:moveTo>
                <a:pt x="39315" y="147407"/>
              </a:moveTo>
              <a:lnTo>
                <a:pt x="0" y="188072"/>
              </a:lnTo>
              <a:lnTo>
                <a:pt x="36258" y="188072"/>
              </a:lnTo>
              <a:lnTo>
                <a:pt x="71654" y="151461"/>
              </a:lnTo>
              <a:lnTo>
                <a:pt x="199957" y="18752"/>
              </a:lnTo>
              <a:lnTo>
                <a:pt x="1818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0.83236</cdr:x>
      <cdr:y>0.36951</cdr:y>
    </cdr:from>
    <cdr:to>
      <cdr:x>0.85794</cdr:x>
      <cdr:y>0.39491</cdr:y>
    </cdr:to>
    <cdr:sp macro="" textlink="">
      <cdr:nvSpPr>
        <cdr:cNvPr id="309" name="FracNo 598 StartRow 3393">
          <a:extLst xmlns:a="http://schemas.openxmlformats.org/drawingml/2006/main">
            <a:ext uri="{FF2B5EF4-FFF2-40B4-BE49-F238E27FC236}">
              <a16:creationId xmlns:a16="http://schemas.microsoft.com/office/drawing/2014/main" id="{4B52CAAD-544F-0C8E-B7D9-5964279C39C8}"/>
            </a:ext>
          </a:extLst>
        </cdr:cNvPr>
        <cdr:cNvSpPr/>
      </cdr:nvSpPr>
      <cdr:spPr>
        <a:xfrm xmlns:a="http://schemas.openxmlformats.org/drawingml/2006/main">
          <a:off x="6088859" y="2815636"/>
          <a:ext cx="187162" cy="1935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162" h="193589">
              <a:moveTo>
                <a:pt x="22556" y="151506"/>
              </a:moveTo>
              <a:lnTo>
                <a:pt x="0" y="174836"/>
              </a:lnTo>
              <a:lnTo>
                <a:pt x="18129" y="193588"/>
              </a:lnTo>
              <a:lnTo>
                <a:pt x="40685" y="170258"/>
              </a:lnTo>
              <a:lnTo>
                <a:pt x="187161" y="18752"/>
              </a:lnTo>
              <a:lnTo>
                <a:pt x="1690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0.33082</cdr:x>
      <cdr:y>0.36251</cdr:y>
    </cdr:from>
    <cdr:to>
      <cdr:x>0.35394</cdr:x>
      <cdr:y>0.38546</cdr:y>
    </cdr:to>
    <cdr:sp macro="" textlink="">
      <cdr:nvSpPr>
        <cdr:cNvPr id="310" name="FracNo 762 StartRow 3402">
          <a:extLst xmlns:a="http://schemas.openxmlformats.org/drawingml/2006/main">
            <a:ext uri="{FF2B5EF4-FFF2-40B4-BE49-F238E27FC236}">
              <a16:creationId xmlns:a16="http://schemas.microsoft.com/office/drawing/2014/main" id="{5C96DB5B-78AC-D916-0BFF-540DA96FFB25}"/>
            </a:ext>
          </a:extLst>
        </cdr:cNvPr>
        <cdr:cNvSpPr/>
      </cdr:nvSpPr>
      <cdr:spPr>
        <a:xfrm xmlns:a="http://schemas.openxmlformats.org/drawingml/2006/main">
          <a:off x="2420048" y="2762333"/>
          <a:ext cx="169102" cy="1749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02" h="174909">
              <a:moveTo>
                <a:pt x="98101" y="92189"/>
              </a:moveTo>
              <a:lnTo>
                <a:pt x="18129" y="174908"/>
              </a:lnTo>
              <a:lnTo>
                <a:pt x="0" y="156156"/>
              </a:lnTo>
              <a:lnTo>
                <a:pt x="79972" y="73437"/>
              </a:lnTo>
              <a:lnTo>
                <a:pt x="127023" y="24770"/>
              </a:lnTo>
              <a:lnTo>
                <a:pt x="150972" y="0"/>
              </a:lnTo>
              <a:lnTo>
                <a:pt x="169101" y="18751"/>
              </a:lnTo>
              <a:lnTo>
                <a:pt x="145153" y="435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0.10807</cdr:x>
      <cdr:y>0.77792</cdr:y>
    </cdr:from>
    <cdr:to>
      <cdr:x>0.12998</cdr:x>
      <cdr:y>0.79968</cdr:y>
    </cdr:to>
    <cdr:sp macro="" textlink="">
      <cdr:nvSpPr>
        <cdr:cNvPr id="311" name="FracNo 64 StartRow 3413">
          <a:extLst xmlns:a="http://schemas.openxmlformats.org/drawingml/2006/main">
            <a:ext uri="{FF2B5EF4-FFF2-40B4-BE49-F238E27FC236}">
              <a16:creationId xmlns:a16="http://schemas.microsoft.com/office/drawing/2014/main" id="{C9DA9883-3B72-CEDE-7B92-31A08A4D9697}"/>
            </a:ext>
          </a:extLst>
        </cdr:cNvPr>
        <cdr:cNvSpPr/>
      </cdr:nvSpPr>
      <cdr:spPr>
        <a:xfrm xmlns:a="http://schemas.openxmlformats.org/drawingml/2006/main">
          <a:off x="790522" y="5927733"/>
          <a:ext cx="160309" cy="1658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309" h="165815">
              <a:moveTo>
                <a:pt x="91489" y="94632"/>
              </a:moveTo>
              <a:lnTo>
                <a:pt x="0" y="0"/>
              </a:lnTo>
              <a:lnTo>
                <a:pt x="0" y="37504"/>
              </a:lnTo>
              <a:lnTo>
                <a:pt x="70796" y="110731"/>
              </a:lnTo>
              <a:lnTo>
                <a:pt x="124050" y="165814"/>
              </a:lnTo>
              <a:lnTo>
                <a:pt x="160308" y="1658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0.13012</cdr:x>
      <cdr:y>0.75602</cdr:y>
    </cdr:from>
    <cdr:to>
      <cdr:x>0.15204</cdr:x>
      <cdr:y>0.77778</cdr:y>
    </cdr:to>
    <cdr:sp macro="" textlink="">
      <cdr:nvSpPr>
        <cdr:cNvPr id="312" name="FracNo 62 StartRow 3422">
          <a:extLst xmlns:a="http://schemas.openxmlformats.org/drawingml/2006/main">
            <a:ext uri="{FF2B5EF4-FFF2-40B4-BE49-F238E27FC236}">
              <a16:creationId xmlns:a16="http://schemas.microsoft.com/office/drawing/2014/main" id="{95FEE3C3-477B-3341-3BE4-20F2927058A9}"/>
            </a:ext>
          </a:extLst>
        </cdr:cNvPr>
        <cdr:cNvSpPr/>
      </cdr:nvSpPr>
      <cdr:spPr>
        <a:xfrm xmlns:a="http://schemas.openxmlformats.org/drawingml/2006/main">
          <a:off x="951869" y="5760845"/>
          <a:ext cx="160309" cy="1658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309" h="165814">
              <a:moveTo>
                <a:pt x="49261" y="50953"/>
              </a:moveTo>
              <a:lnTo>
                <a:pt x="0" y="0"/>
              </a:lnTo>
              <a:lnTo>
                <a:pt x="36259" y="0"/>
              </a:lnTo>
              <a:lnTo>
                <a:pt x="74378" y="39428"/>
              </a:lnTo>
              <a:lnTo>
                <a:pt x="160308" y="128310"/>
              </a:lnTo>
              <a:lnTo>
                <a:pt x="160308" y="1658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0.74982</cdr:x>
      <cdr:y>0.89602</cdr:y>
    </cdr:from>
    <cdr:to>
      <cdr:x>0.77002</cdr:x>
      <cdr:y>0.91608</cdr:y>
    </cdr:to>
    <cdr:sp macro="" textlink="">
      <cdr:nvSpPr>
        <cdr:cNvPr id="313" name="FracNo 513 StartRow 3431">
          <a:extLst xmlns:a="http://schemas.openxmlformats.org/drawingml/2006/main">
            <a:ext uri="{FF2B5EF4-FFF2-40B4-BE49-F238E27FC236}">
              <a16:creationId xmlns:a16="http://schemas.microsoft.com/office/drawing/2014/main" id="{B4135448-171A-3434-3D3C-9A28FED8B4D8}"/>
            </a:ext>
          </a:extLst>
        </cdr:cNvPr>
        <cdr:cNvSpPr/>
      </cdr:nvSpPr>
      <cdr:spPr>
        <a:xfrm xmlns:a="http://schemas.openxmlformats.org/drawingml/2006/main">
          <a:off x="5485087" y="6827681"/>
          <a:ext cx="147783" cy="1528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783" h="152858">
              <a:moveTo>
                <a:pt x="109395" y="20953"/>
              </a:moveTo>
              <a:lnTo>
                <a:pt x="0" y="134106"/>
              </a:lnTo>
              <a:lnTo>
                <a:pt x="18129" y="152857"/>
              </a:lnTo>
              <a:lnTo>
                <a:pt x="127525" y="39704"/>
              </a:lnTo>
              <a:lnTo>
                <a:pt x="147782" y="18752"/>
              </a:lnTo>
              <a:lnTo>
                <a:pt x="1296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0.85561</cdr:x>
      <cdr:y>0.43836</cdr:y>
    </cdr:from>
    <cdr:to>
      <cdr:x>0.87549</cdr:x>
      <cdr:y>0.45811</cdr:y>
    </cdr:to>
    <cdr:sp macro="" textlink="">
      <cdr:nvSpPr>
        <cdr:cNvPr id="314" name="FracNo 811 StartRow 3440">
          <a:extLst xmlns:a="http://schemas.openxmlformats.org/drawingml/2006/main">
            <a:ext uri="{FF2B5EF4-FFF2-40B4-BE49-F238E27FC236}">
              <a16:creationId xmlns:a16="http://schemas.microsoft.com/office/drawing/2014/main" id="{ADF8C655-A320-62DD-8A66-794905304A16}"/>
            </a:ext>
          </a:extLst>
        </cdr:cNvPr>
        <cdr:cNvSpPr/>
      </cdr:nvSpPr>
      <cdr:spPr>
        <a:xfrm xmlns:a="http://schemas.openxmlformats.org/drawingml/2006/main">
          <a:off x="6258930" y="3340331"/>
          <a:ext cx="145461" cy="150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461" h="150456">
              <a:moveTo>
                <a:pt x="87627" y="41067"/>
              </a:moveTo>
              <a:lnTo>
                <a:pt x="0" y="131703"/>
              </a:lnTo>
              <a:lnTo>
                <a:pt x="18129" y="150455"/>
              </a:lnTo>
              <a:lnTo>
                <a:pt x="105756" y="59819"/>
              </a:lnTo>
              <a:lnTo>
                <a:pt x="145460" y="18752"/>
              </a:lnTo>
              <a:lnTo>
                <a:pt x="1273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0.90867</cdr:x>
      <cdr:y>0.72623</cdr:y>
    </cdr:from>
    <cdr:to>
      <cdr:x>0.92807</cdr:x>
      <cdr:y>0.7455</cdr:y>
    </cdr:to>
    <cdr:sp macro="" textlink="">
      <cdr:nvSpPr>
        <cdr:cNvPr id="315" name="FracNo 963 StartRow 3449">
          <a:extLst xmlns:a="http://schemas.openxmlformats.org/drawingml/2006/main">
            <a:ext uri="{FF2B5EF4-FFF2-40B4-BE49-F238E27FC236}">
              <a16:creationId xmlns:a16="http://schemas.microsoft.com/office/drawing/2014/main" id="{D49CBBC0-5689-62D5-39FE-7B959CCA7430}"/>
            </a:ext>
          </a:extLst>
        </cdr:cNvPr>
        <cdr:cNvSpPr/>
      </cdr:nvSpPr>
      <cdr:spPr>
        <a:xfrm xmlns:a="http://schemas.openxmlformats.org/drawingml/2006/main">
          <a:off x="6647079" y="5533901"/>
          <a:ext cx="141945" cy="146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945" h="146821">
              <a:moveTo>
                <a:pt x="83950" y="86834"/>
              </a:moveTo>
              <a:lnTo>
                <a:pt x="0" y="0"/>
              </a:lnTo>
              <a:lnTo>
                <a:pt x="36259" y="0"/>
              </a:lnTo>
              <a:lnTo>
                <a:pt x="98764" y="64653"/>
              </a:lnTo>
              <a:lnTo>
                <a:pt x="141944" y="109316"/>
              </a:lnTo>
              <a:lnTo>
                <a:pt x="141944" y="1468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0.8629</cdr:x>
      <cdr:y>0.77168</cdr:y>
    </cdr:from>
    <cdr:to>
      <cdr:x>0.8823</cdr:x>
      <cdr:y>0.79095</cdr:y>
    </cdr:to>
    <cdr:sp macro="" textlink="">
      <cdr:nvSpPr>
        <cdr:cNvPr id="316" name="FracNo 1069 StartRow 3458">
          <a:extLst xmlns:a="http://schemas.openxmlformats.org/drawingml/2006/main">
            <a:ext uri="{FF2B5EF4-FFF2-40B4-BE49-F238E27FC236}">
              <a16:creationId xmlns:a16="http://schemas.microsoft.com/office/drawing/2014/main" id="{7707FA58-45B3-1CDA-8844-92D3EF8A636F}"/>
            </a:ext>
          </a:extLst>
        </cdr:cNvPr>
        <cdr:cNvSpPr/>
      </cdr:nvSpPr>
      <cdr:spPr>
        <a:xfrm xmlns:a="http://schemas.openxmlformats.org/drawingml/2006/main">
          <a:off x="6312281" y="5880196"/>
          <a:ext cx="141946" cy="146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946" h="146820">
              <a:moveTo>
                <a:pt x="92117" y="95280"/>
              </a:moveTo>
              <a:lnTo>
                <a:pt x="0" y="0"/>
              </a:lnTo>
              <a:lnTo>
                <a:pt x="36259" y="0"/>
              </a:lnTo>
              <a:lnTo>
                <a:pt x="104845" y="70942"/>
              </a:lnTo>
              <a:lnTo>
                <a:pt x="141945" y="109316"/>
              </a:lnTo>
              <a:lnTo>
                <a:pt x="141945" y="146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0.84274</cdr:x>
      <cdr:y>0.7917</cdr:y>
    </cdr:from>
    <cdr:to>
      <cdr:x>0.86214</cdr:x>
      <cdr:y>0.81096</cdr:y>
    </cdr:to>
    <cdr:sp macro="" textlink="">
      <cdr:nvSpPr>
        <cdr:cNvPr id="317" name="FracNo 961 StartRow 3467">
          <a:extLst xmlns:a="http://schemas.openxmlformats.org/drawingml/2006/main">
            <a:ext uri="{FF2B5EF4-FFF2-40B4-BE49-F238E27FC236}">
              <a16:creationId xmlns:a16="http://schemas.microsoft.com/office/drawing/2014/main" id="{241D6683-3F6A-B823-154B-DD1D57D5545E}"/>
            </a:ext>
          </a:extLst>
        </cdr:cNvPr>
        <cdr:cNvSpPr/>
      </cdr:nvSpPr>
      <cdr:spPr>
        <a:xfrm xmlns:a="http://schemas.openxmlformats.org/drawingml/2006/main">
          <a:off x="6164810" y="6032732"/>
          <a:ext cx="141946" cy="146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946" h="146820">
              <a:moveTo>
                <a:pt x="34547" y="35732"/>
              </a:moveTo>
              <a:lnTo>
                <a:pt x="0" y="0"/>
              </a:lnTo>
              <a:lnTo>
                <a:pt x="0" y="37503"/>
              </a:lnTo>
              <a:lnTo>
                <a:pt x="25722" y="64109"/>
              </a:lnTo>
              <a:lnTo>
                <a:pt x="105686" y="146819"/>
              </a:lnTo>
              <a:lnTo>
                <a:pt x="141945" y="146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0.90453</cdr:x>
      <cdr:y>0.47201</cdr:y>
    </cdr:from>
    <cdr:to>
      <cdr:x>0.92393</cdr:x>
      <cdr:y>0.49128</cdr:y>
    </cdr:to>
    <cdr:sp macro="" textlink="">
      <cdr:nvSpPr>
        <cdr:cNvPr id="318" name="FracNo 1100 StartRow 3476">
          <a:extLst xmlns:a="http://schemas.openxmlformats.org/drawingml/2006/main">
            <a:ext uri="{FF2B5EF4-FFF2-40B4-BE49-F238E27FC236}">
              <a16:creationId xmlns:a16="http://schemas.microsoft.com/office/drawing/2014/main" id="{336C3148-98F8-6EBF-15B7-7D75B57CB1A9}"/>
            </a:ext>
          </a:extLst>
        </cdr:cNvPr>
        <cdr:cNvSpPr/>
      </cdr:nvSpPr>
      <cdr:spPr>
        <a:xfrm xmlns:a="http://schemas.openxmlformats.org/drawingml/2006/main">
          <a:off x="6616818" y="3596730"/>
          <a:ext cx="141938" cy="1468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938" h="146812">
              <a:moveTo>
                <a:pt x="21233" y="21962"/>
              </a:moveTo>
              <a:lnTo>
                <a:pt x="0" y="0"/>
              </a:lnTo>
              <a:lnTo>
                <a:pt x="36258" y="0"/>
              </a:lnTo>
              <a:lnTo>
                <a:pt x="52067" y="16352"/>
              </a:lnTo>
              <a:lnTo>
                <a:pt x="141937" y="109308"/>
              </a:lnTo>
              <a:lnTo>
                <a:pt x="141937" y="1468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0.20148</cdr:x>
      <cdr:y>0.12079</cdr:y>
    </cdr:from>
    <cdr:to>
      <cdr:x>0.22282</cdr:x>
      <cdr:y>0.13706</cdr:y>
    </cdr:to>
    <cdr:sp macro="" textlink="">
      <cdr:nvSpPr>
        <cdr:cNvPr id="319" name="FracNo 225 StartRow 3485">
          <a:extLst xmlns:a="http://schemas.openxmlformats.org/drawingml/2006/main">
            <a:ext uri="{FF2B5EF4-FFF2-40B4-BE49-F238E27FC236}">
              <a16:creationId xmlns:a16="http://schemas.microsoft.com/office/drawing/2014/main" id="{FF0CC3C9-4133-8A2D-494D-9DD3F11F9E7B}"/>
            </a:ext>
          </a:extLst>
        </cdr:cNvPr>
        <cdr:cNvSpPr/>
      </cdr:nvSpPr>
      <cdr:spPr>
        <a:xfrm xmlns:a="http://schemas.openxmlformats.org/drawingml/2006/main">
          <a:off x="1473900" y="920426"/>
          <a:ext cx="156102" cy="123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102" h="123959">
              <a:moveTo>
                <a:pt x="8698" y="8996"/>
              </a:moveTo>
              <a:lnTo>
                <a:pt x="0" y="0"/>
              </a:lnTo>
              <a:lnTo>
                <a:pt x="36259" y="0"/>
              </a:lnTo>
              <a:lnTo>
                <a:pt x="44956" y="8996"/>
              </a:lnTo>
              <a:lnTo>
                <a:pt x="156101" y="123958"/>
              </a:lnTo>
              <a:lnTo>
                <a:pt x="119843" y="1239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0.87403</cdr:x>
      <cdr:y>0.11459</cdr:y>
    </cdr:from>
    <cdr:to>
      <cdr:x>0.89502</cdr:x>
      <cdr:y>0.13051</cdr:y>
    </cdr:to>
    <cdr:sp macro="" textlink="">
      <cdr:nvSpPr>
        <cdr:cNvPr id="320" name="FracNo 306 StartRow 3494">
          <a:extLst xmlns:a="http://schemas.openxmlformats.org/drawingml/2006/main">
            <a:ext uri="{FF2B5EF4-FFF2-40B4-BE49-F238E27FC236}">
              <a16:creationId xmlns:a16="http://schemas.microsoft.com/office/drawing/2014/main" id="{1D4CC041-FB3D-D54C-81C8-E431746FD916}"/>
            </a:ext>
          </a:extLst>
        </cdr:cNvPr>
        <cdr:cNvSpPr/>
      </cdr:nvSpPr>
      <cdr:spPr>
        <a:xfrm xmlns:a="http://schemas.openxmlformats.org/drawingml/2006/main">
          <a:off x="6393715" y="873178"/>
          <a:ext cx="153537" cy="1213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537" h="121306">
              <a:moveTo>
                <a:pt x="54262" y="56125"/>
              </a:moveTo>
              <a:lnTo>
                <a:pt x="0" y="0"/>
              </a:lnTo>
              <a:lnTo>
                <a:pt x="36258" y="0"/>
              </a:lnTo>
              <a:lnTo>
                <a:pt x="90520" y="56125"/>
              </a:lnTo>
              <a:lnTo>
                <a:pt x="153536" y="121305"/>
              </a:lnTo>
              <a:lnTo>
                <a:pt x="117277" y="1213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0.87064</cdr:x>
      <cdr:y>0.11795</cdr:y>
    </cdr:from>
    <cdr:to>
      <cdr:x>0.89163</cdr:x>
      <cdr:y>0.13387</cdr:y>
    </cdr:to>
    <cdr:sp macro="" textlink="">
      <cdr:nvSpPr>
        <cdr:cNvPr id="321" name="FracNo 1077 StartRow 3503">
          <a:extLst xmlns:a="http://schemas.openxmlformats.org/drawingml/2006/main">
            <a:ext uri="{FF2B5EF4-FFF2-40B4-BE49-F238E27FC236}">
              <a16:creationId xmlns:a16="http://schemas.microsoft.com/office/drawing/2014/main" id="{373BD21F-C5A1-C866-4200-FDDA57F57E82}"/>
            </a:ext>
          </a:extLst>
        </cdr:cNvPr>
        <cdr:cNvSpPr/>
      </cdr:nvSpPr>
      <cdr:spPr>
        <a:xfrm xmlns:a="http://schemas.openxmlformats.org/drawingml/2006/main">
          <a:off x="6368927" y="898817"/>
          <a:ext cx="153537" cy="1213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537" h="121306">
              <a:moveTo>
                <a:pt x="106122" y="109768"/>
              </a:moveTo>
              <a:lnTo>
                <a:pt x="0" y="0"/>
              </a:lnTo>
              <a:lnTo>
                <a:pt x="36258" y="0"/>
              </a:lnTo>
              <a:lnTo>
                <a:pt x="142381" y="109768"/>
              </a:lnTo>
              <a:lnTo>
                <a:pt x="153536" y="121305"/>
              </a:lnTo>
              <a:lnTo>
                <a:pt x="117277" y="1213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0.91961</cdr:x>
      <cdr:y>0.10558</cdr:y>
    </cdr:from>
    <cdr:to>
      <cdr:x>0.9381</cdr:x>
      <cdr:y>0.12394</cdr:y>
    </cdr:to>
    <cdr:sp macro="" textlink="">
      <cdr:nvSpPr>
        <cdr:cNvPr id="322" name="FracNo 958 StartRow 3512">
          <a:extLst xmlns:a="http://schemas.openxmlformats.org/drawingml/2006/main">
            <a:ext uri="{FF2B5EF4-FFF2-40B4-BE49-F238E27FC236}">
              <a16:creationId xmlns:a16="http://schemas.microsoft.com/office/drawing/2014/main" id="{AE5D82BA-D16B-F006-9DA5-87E435786C59}"/>
            </a:ext>
          </a:extLst>
        </cdr:cNvPr>
        <cdr:cNvSpPr/>
      </cdr:nvSpPr>
      <cdr:spPr>
        <a:xfrm xmlns:a="http://schemas.openxmlformats.org/drawingml/2006/main">
          <a:off x="6727119" y="804540"/>
          <a:ext cx="135255" cy="1399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255" h="139900">
              <a:moveTo>
                <a:pt x="46491" y="48088"/>
              </a:moveTo>
              <a:lnTo>
                <a:pt x="0" y="0"/>
              </a:lnTo>
              <a:lnTo>
                <a:pt x="36259" y="0"/>
              </a:lnTo>
              <a:lnTo>
                <a:pt x="70286" y="35196"/>
              </a:lnTo>
              <a:lnTo>
                <a:pt x="135254" y="102395"/>
              </a:lnTo>
              <a:lnTo>
                <a:pt x="135254" y="1398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0.73255</cdr:x>
      <cdr:y>0.91328</cdr:y>
    </cdr:from>
    <cdr:to>
      <cdr:x>0.75196</cdr:x>
      <cdr:y>0.9301</cdr:y>
    </cdr:to>
    <cdr:sp macro="" textlink="">
      <cdr:nvSpPr>
        <cdr:cNvPr id="323" name="FracNo 515 StartRow 3521">
          <a:extLst xmlns:a="http://schemas.openxmlformats.org/drawingml/2006/main">
            <a:ext uri="{FF2B5EF4-FFF2-40B4-BE49-F238E27FC236}">
              <a16:creationId xmlns:a16="http://schemas.microsoft.com/office/drawing/2014/main" id="{FF02AF03-DD05-98B0-7C89-9DFF1CD9F631}"/>
            </a:ext>
          </a:extLst>
        </cdr:cNvPr>
        <cdr:cNvSpPr/>
      </cdr:nvSpPr>
      <cdr:spPr>
        <a:xfrm xmlns:a="http://schemas.openxmlformats.org/drawingml/2006/main">
          <a:off x="5358716" y="6959221"/>
          <a:ext cx="142020" cy="1281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020" h="128145">
              <a:moveTo>
                <a:pt x="13664" y="114011"/>
              </a:moveTo>
              <a:lnTo>
                <a:pt x="0" y="128144"/>
              </a:lnTo>
              <a:lnTo>
                <a:pt x="36258" y="128144"/>
              </a:lnTo>
              <a:lnTo>
                <a:pt x="47923" y="116079"/>
              </a:lnTo>
              <a:lnTo>
                <a:pt x="142019" y="18752"/>
              </a:lnTo>
              <a:lnTo>
                <a:pt x="1238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0.34734</cdr:x>
      <cdr:y>0.55049</cdr:y>
    </cdr:from>
    <cdr:to>
      <cdr:x>0.36793</cdr:x>
      <cdr:y>0.56601</cdr:y>
    </cdr:to>
    <cdr:sp macro="" textlink="">
      <cdr:nvSpPr>
        <cdr:cNvPr id="324" name="FracNo 157 StartRow 3530">
          <a:extLst xmlns:a="http://schemas.openxmlformats.org/drawingml/2006/main">
            <a:ext uri="{FF2B5EF4-FFF2-40B4-BE49-F238E27FC236}">
              <a16:creationId xmlns:a16="http://schemas.microsoft.com/office/drawing/2014/main" id="{70BD40B0-97AD-8AC2-76BB-602C81FDA36D}"/>
            </a:ext>
          </a:extLst>
        </cdr:cNvPr>
        <cdr:cNvSpPr/>
      </cdr:nvSpPr>
      <cdr:spPr>
        <a:xfrm xmlns:a="http://schemas.openxmlformats.org/drawingml/2006/main">
          <a:off x="2540866" y="4194732"/>
          <a:ext cx="150617" cy="1182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617" h="118286">
              <a:moveTo>
                <a:pt x="114103" y="118022"/>
              </a:moveTo>
              <a:lnTo>
                <a:pt x="0" y="0"/>
              </a:lnTo>
              <a:lnTo>
                <a:pt x="36259" y="0"/>
              </a:lnTo>
              <a:lnTo>
                <a:pt x="150362" y="118022"/>
              </a:lnTo>
              <a:lnTo>
                <a:pt x="150616" y="118285"/>
              </a:lnTo>
              <a:lnTo>
                <a:pt x="114358" y="1182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0.32316</cdr:x>
      <cdr:y>0.27101</cdr:y>
    </cdr:from>
    <cdr:to>
      <cdr:x>0.33821</cdr:x>
      <cdr:y>0.29087</cdr:y>
    </cdr:to>
    <cdr:sp macro="" textlink="">
      <cdr:nvSpPr>
        <cdr:cNvPr id="325" name="FracNo 1080 StartRow 3539">
          <a:extLst xmlns:a="http://schemas.openxmlformats.org/drawingml/2006/main">
            <a:ext uri="{FF2B5EF4-FFF2-40B4-BE49-F238E27FC236}">
              <a16:creationId xmlns:a16="http://schemas.microsoft.com/office/drawing/2014/main" id="{73CE717F-F4F0-45AC-8F78-18CC803ABD6C}"/>
            </a:ext>
          </a:extLst>
        </cdr:cNvPr>
        <cdr:cNvSpPr/>
      </cdr:nvSpPr>
      <cdr:spPr>
        <a:xfrm xmlns:a="http://schemas.openxmlformats.org/drawingml/2006/main">
          <a:off x="2363993" y="2065089"/>
          <a:ext cx="110068" cy="1513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068" h="151352">
              <a:moveTo>
                <a:pt x="70389" y="72806"/>
              </a:moveTo>
              <a:lnTo>
                <a:pt x="0" y="0"/>
              </a:lnTo>
              <a:lnTo>
                <a:pt x="0" y="37504"/>
              </a:lnTo>
              <a:lnTo>
                <a:pt x="70389" y="110310"/>
              </a:lnTo>
              <a:lnTo>
                <a:pt x="110067" y="151351"/>
              </a:lnTo>
              <a:lnTo>
                <a:pt x="110067" y="1138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0.45248</cdr:x>
      <cdr:y>0.40325</cdr:y>
    </cdr:from>
    <cdr:to>
      <cdr:x>0.46988</cdr:x>
      <cdr:y>0.42054</cdr:y>
    </cdr:to>
    <cdr:sp macro="" textlink="">
      <cdr:nvSpPr>
        <cdr:cNvPr id="326" name="FracNo 347 StartRow 3548">
          <a:extLst xmlns:a="http://schemas.openxmlformats.org/drawingml/2006/main">
            <a:ext uri="{FF2B5EF4-FFF2-40B4-BE49-F238E27FC236}">
              <a16:creationId xmlns:a16="http://schemas.microsoft.com/office/drawing/2014/main" id="{12F4A8C7-C53D-7D14-5CB5-06241E1A12A2}"/>
            </a:ext>
          </a:extLst>
        </cdr:cNvPr>
        <cdr:cNvSpPr/>
      </cdr:nvSpPr>
      <cdr:spPr>
        <a:xfrm xmlns:a="http://schemas.openxmlformats.org/drawingml/2006/main">
          <a:off x="3309965" y="3072783"/>
          <a:ext cx="127329" cy="131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329" h="131702">
              <a:moveTo>
                <a:pt x="64402" y="83839"/>
              </a:moveTo>
              <a:lnTo>
                <a:pt x="18129" y="131701"/>
              </a:lnTo>
              <a:lnTo>
                <a:pt x="0" y="112949"/>
              </a:lnTo>
              <a:lnTo>
                <a:pt x="46273" y="65087"/>
              </a:lnTo>
              <a:lnTo>
                <a:pt x="109199" y="0"/>
              </a:lnTo>
              <a:lnTo>
                <a:pt x="12732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0.38995</cdr:x>
      <cdr:y>0.81063</cdr:y>
    </cdr:from>
    <cdr:to>
      <cdr:x>0.40943</cdr:x>
      <cdr:y>0.82505</cdr:y>
    </cdr:to>
    <cdr:sp macro="" textlink="">
      <cdr:nvSpPr>
        <cdr:cNvPr id="327" name="FracNo 875 StartRow 3557">
          <a:extLst xmlns:a="http://schemas.openxmlformats.org/drawingml/2006/main">
            <a:ext uri="{FF2B5EF4-FFF2-40B4-BE49-F238E27FC236}">
              <a16:creationId xmlns:a16="http://schemas.microsoft.com/office/drawing/2014/main" id="{D5D0B9DD-F894-FC13-48FA-5DCF8B5D365F}"/>
            </a:ext>
          </a:extLst>
        </cdr:cNvPr>
        <cdr:cNvSpPr/>
      </cdr:nvSpPr>
      <cdr:spPr>
        <a:xfrm xmlns:a="http://schemas.openxmlformats.org/drawingml/2006/main">
          <a:off x="2852528" y="6176987"/>
          <a:ext cx="142498" cy="1098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498" h="109888">
              <a:moveTo>
                <a:pt x="11638" y="12038"/>
              </a:moveTo>
              <a:lnTo>
                <a:pt x="0" y="0"/>
              </a:lnTo>
              <a:lnTo>
                <a:pt x="36258" y="0"/>
              </a:lnTo>
              <a:lnTo>
                <a:pt x="47897" y="12038"/>
              </a:lnTo>
              <a:lnTo>
                <a:pt x="142497" y="109887"/>
              </a:lnTo>
              <a:lnTo>
                <a:pt x="106238" y="1098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0.33703</cdr:x>
      <cdr:y>0.86317</cdr:y>
    </cdr:from>
    <cdr:to>
      <cdr:x>0.35155</cdr:x>
      <cdr:y>0.88251</cdr:y>
    </cdr:to>
    <cdr:sp macro="" textlink="">
      <cdr:nvSpPr>
        <cdr:cNvPr id="328" name="FracNo 1140 StartRow 3566">
          <a:extLst xmlns:a="http://schemas.openxmlformats.org/drawingml/2006/main">
            <a:ext uri="{FF2B5EF4-FFF2-40B4-BE49-F238E27FC236}">
              <a16:creationId xmlns:a16="http://schemas.microsoft.com/office/drawing/2014/main" id="{C1EA3EEE-9A13-C8C7-9C2C-197F386C18DF}"/>
            </a:ext>
          </a:extLst>
        </cdr:cNvPr>
        <cdr:cNvSpPr/>
      </cdr:nvSpPr>
      <cdr:spPr>
        <a:xfrm xmlns:a="http://schemas.openxmlformats.org/drawingml/2006/main">
          <a:off x="2465449" y="6577358"/>
          <a:ext cx="106240" cy="1473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240" h="147392">
              <a:moveTo>
                <a:pt x="45552" y="47117"/>
              </a:moveTo>
              <a:lnTo>
                <a:pt x="0" y="0"/>
              </a:lnTo>
              <a:lnTo>
                <a:pt x="0" y="37504"/>
              </a:lnTo>
              <a:lnTo>
                <a:pt x="45552" y="84621"/>
              </a:lnTo>
              <a:lnTo>
                <a:pt x="106239" y="147391"/>
              </a:lnTo>
              <a:lnTo>
                <a:pt x="106239" y="1098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0.36132</cdr:x>
      <cdr:y>0.83905</cdr:y>
    </cdr:from>
    <cdr:to>
      <cdr:x>0.3808</cdr:x>
      <cdr:y>0.85347</cdr:y>
    </cdr:to>
    <cdr:sp macro="" textlink="">
      <cdr:nvSpPr>
        <cdr:cNvPr id="329" name="FracNo 944 StartRow 3575">
          <a:extLst xmlns:a="http://schemas.openxmlformats.org/drawingml/2006/main">
            <a:ext uri="{FF2B5EF4-FFF2-40B4-BE49-F238E27FC236}">
              <a16:creationId xmlns:a16="http://schemas.microsoft.com/office/drawing/2014/main" id="{E2E74444-3D37-4EA6-D45E-6FEACC2D98CF}"/>
            </a:ext>
          </a:extLst>
        </cdr:cNvPr>
        <cdr:cNvSpPr/>
      </cdr:nvSpPr>
      <cdr:spPr>
        <a:xfrm xmlns:a="http://schemas.openxmlformats.org/drawingml/2006/main">
          <a:off x="2643127" y="6393578"/>
          <a:ext cx="142499" cy="1098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499" h="109888">
              <a:moveTo>
                <a:pt x="106088" y="109732"/>
              </a:moveTo>
              <a:lnTo>
                <a:pt x="91867" y="95021"/>
              </a:lnTo>
              <a:lnTo>
                <a:pt x="0" y="0"/>
              </a:lnTo>
              <a:lnTo>
                <a:pt x="36259" y="0"/>
              </a:lnTo>
              <a:lnTo>
                <a:pt x="113652" y="80052"/>
              </a:lnTo>
              <a:lnTo>
                <a:pt x="142195" y="109575"/>
              </a:lnTo>
              <a:lnTo>
                <a:pt x="142498" y="109887"/>
              </a:lnTo>
              <a:lnTo>
                <a:pt x="106239" y="1098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0.55468</cdr:x>
      <cdr:y>0.31236</cdr:y>
    </cdr:from>
    <cdr:to>
      <cdr:x>0.57154</cdr:x>
      <cdr:y>0.3291</cdr:y>
    </cdr:to>
    <cdr:sp macro="" textlink="">
      <cdr:nvSpPr>
        <cdr:cNvPr id="330" name="FracNo 725 StartRow 3586">
          <a:extLst xmlns:a="http://schemas.openxmlformats.org/drawingml/2006/main">
            <a:ext uri="{FF2B5EF4-FFF2-40B4-BE49-F238E27FC236}">
              <a16:creationId xmlns:a16="http://schemas.microsoft.com/office/drawing/2014/main" id="{7C7C342B-F70B-8BA6-AF28-83F12A965940}"/>
            </a:ext>
          </a:extLst>
        </cdr:cNvPr>
        <cdr:cNvSpPr/>
      </cdr:nvSpPr>
      <cdr:spPr>
        <a:xfrm xmlns:a="http://schemas.openxmlformats.org/drawingml/2006/main">
          <a:off x="4057598" y="2380201"/>
          <a:ext cx="123309" cy="127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309" h="127543">
              <a:moveTo>
                <a:pt x="46985" y="97696"/>
              </a:moveTo>
              <a:lnTo>
                <a:pt x="18130" y="127542"/>
              </a:lnTo>
              <a:lnTo>
                <a:pt x="0" y="108790"/>
              </a:lnTo>
              <a:lnTo>
                <a:pt x="28855" y="78944"/>
              </a:lnTo>
              <a:lnTo>
                <a:pt x="105178" y="0"/>
              </a:lnTo>
              <a:lnTo>
                <a:pt x="1233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0.22176</cdr:x>
      <cdr:y>0.67519</cdr:y>
    </cdr:from>
    <cdr:to>
      <cdr:x>0.23855</cdr:x>
      <cdr:y>0.69187</cdr:y>
    </cdr:to>
    <cdr:sp macro="" textlink="">
      <cdr:nvSpPr>
        <cdr:cNvPr id="331" name="FracNo 78 StartRow 3595">
          <a:extLst xmlns:a="http://schemas.openxmlformats.org/drawingml/2006/main">
            <a:ext uri="{FF2B5EF4-FFF2-40B4-BE49-F238E27FC236}">
              <a16:creationId xmlns:a16="http://schemas.microsoft.com/office/drawing/2014/main" id="{DBFFD845-CC13-07B9-B876-A8F8565921A9}"/>
            </a:ext>
          </a:extLst>
        </cdr:cNvPr>
        <cdr:cNvSpPr/>
      </cdr:nvSpPr>
      <cdr:spPr>
        <a:xfrm xmlns:a="http://schemas.openxmlformats.org/drawingml/2006/main">
          <a:off x="1622202" y="5144946"/>
          <a:ext cx="122868" cy="1270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868" h="127087">
              <a:moveTo>
                <a:pt x="20773" y="21486"/>
              </a:moveTo>
              <a:lnTo>
                <a:pt x="0" y="0"/>
              </a:lnTo>
              <a:lnTo>
                <a:pt x="0" y="37503"/>
              </a:lnTo>
              <a:lnTo>
                <a:pt x="14643" y="52649"/>
              </a:lnTo>
              <a:lnTo>
                <a:pt x="86608" y="127086"/>
              </a:lnTo>
              <a:lnTo>
                <a:pt x="122867" y="1270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0.26943</cdr:x>
      <cdr:y>0.8028</cdr:y>
    </cdr:from>
    <cdr:to>
      <cdr:x>0.28599</cdr:x>
      <cdr:y>0.81924</cdr:y>
    </cdr:to>
    <cdr:sp macro="" textlink="">
      <cdr:nvSpPr>
        <cdr:cNvPr id="332" name="FracNo 71 StartRow 3604">
          <a:extLst xmlns:a="http://schemas.openxmlformats.org/drawingml/2006/main">
            <a:ext uri="{FF2B5EF4-FFF2-40B4-BE49-F238E27FC236}">
              <a16:creationId xmlns:a16="http://schemas.microsoft.com/office/drawing/2014/main" id="{5BEAE555-E714-2DEE-858F-0663D66DFF3F}"/>
            </a:ext>
          </a:extLst>
        </cdr:cNvPr>
        <cdr:cNvSpPr/>
      </cdr:nvSpPr>
      <cdr:spPr>
        <a:xfrm xmlns:a="http://schemas.openxmlformats.org/drawingml/2006/main">
          <a:off x="1970957" y="6117333"/>
          <a:ext cx="121135" cy="1252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135" h="125295">
              <a:moveTo>
                <a:pt x="79091" y="119310"/>
              </a:moveTo>
              <a:lnTo>
                <a:pt x="0" y="37504"/>
              </a:lnTo>
              <a:lnTo>
                <a:pt x="0" y="0"/>
              </a:lnTo>
              <a:lnTo>
                <a:pt x="112878" y="116754"/>
              </a:lnTo>
              <a:lnTo>
                <a:pt x="121134" y="125294"/>
              </a:lnTo>
              <a:lnTo>
                <a:pt x="84875" y="1252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0.55195</cdr:x>
      <cdr:y>0.08617</cdr:y>
    </cdr:from>
    <cdr:to>
      <cdr:x>0.56825</cdr:x>
      <cdr:y>0.10235</cdr:y>
    </cdr:to>
    <cdr:sp macro="" textlink="">
      <cdr:nvSpPr>
        <cdr:cNvPr id="333" name="FracNo 1066 StartRow 3613">
          <a:extLst xmlns:a="http://schemas.openxmlformats.org/drawingml/2006/main">
            <a:ext uri="{FF2B5EF4-FFF2-40B4-BE49-F238E27FC236}">
              <a16:creationId xmlns:a16="http://schemas.microsoft.com/office/drawing/2014/main" id="{4447FBBB-2904-6A48-6E47-13E850CB3D7F}"/>
            </a:ext>
          </a:extLst>
        </cdr:cNvPr>
        <cdr:cNvSpPr/>
      </cdr:nvSpPr>
      <cdr:spPr>
        <a:xfrm xmlns:a="http://schemas.openxmlformats.org/drawingml/2006/main">
          <a:off x="4037631" y="656592"/>
          <a:ext cx="119255" cy="1233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255" h="123350">
              <a:moveTo>
                <a:pt x="107961" y="111669"/>
              </a:moveTo>
              <a:lnTo>
                <a:pt x="0" y="0"/>
              </a:lnTo>
              <a:lnTo>
                <a:pt x="0" y="37504"/>
              </a:lnTo>
              <a:lnTo>
                <a:pt x="75135" y="115220"/>
              </a:lnTo>
              <a:lnTo>
                <a:pt x="82995" y="123349"/>
              </a:lnTo>
              <a:lnTo>
                <a:pt x="119254" y="1233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0.68792</cdr:x>
      <cdr:y>0.30713</cdr:y>
    </cdr:from>
    <cdr:to>
      <cdr:x>0.70407</cdr:x>
      <cdr:y>0.32317</cdr:y>
    </cdr:to>
    <cdr:sp macro="" textlink="">
      <cdr:nvSpPr>
        <cdr:cNvPr id="334" name="FracNo 311 StartRow 3622">
          <a:extLst xmlns:a="http://schemas.openxmlformats.org/drawingml/2006/main">
            <a:ext uri="{FF2B5EF4-FFF2-40B4-BE49-F238E27FC236}">
              <a16:creationId xmlns:a16="http://schemas.microsoft.com/office/drawing/2014/main" id="{80C5A304-C5C2-BF15-A19B-D3802A0D613F}"/>
            </a:ext>
          </a:extLst>
        </cdr:cNvPr>
        <cdr:cNvSpPr/>
      </cdr:nvSpPr>
      <cdr:spPr>
        <a:xfrm xmlns:a="http://schemas.openxmlformats.org/drawingml/2006/main">
          <a:off x="5032285" y="2340326"/>
          <a:ext cx="118137" cy="1221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37" h="122193">
              <a:moveTo>
                <a:pt x="49229" y="50919"/>
              </a:moveTo>
              <a:lnTo>
                <a:pt x="0" y="0"/>
              </a:lnTo>
              <a:lnTo>
                <a:pt x="0" y="37503"/>
              </a:lnTo>
              <a:lnTo>
                <a:pt x="34120" y="72794"/>
              </a:lnTo>
              <a:lnTo>
                <a:pt x="81877" y="122192"/>
              </a:lnTo>
              <a:lnTo>
                <a:pt x="118136" y="1221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0.24515</cdr:y>
    </cdr:from>
    <cdr:to>
      <cdr:x>0.10673</cdr:x>
      <cdr:y>0.26242</cdr:y>
    </cdr:to>
    <cdr:sp macro="" textlink="">
      <cdr:nvSpPr>
        <cdr:cNvPr id="335" name="FracNo 851 StartRow 3631">
          <a:extLst xmlns:a="http://schemas.openxmlformats.org/drawingml/2006/main">
            <a:ext uri="{FF2B5EF4-FFF2-40B4-BE49-F238E27FC236}">
              <a16:creationId xmlns:a16="http://schemas.microsoft.com/office/drawing/2014/main" id="{8B90736F-2488-F45A-0B00-50E3C589A8ED}"/>
            </a:ext>
          </a:extLst>
        </cdr:cNvPr>
        <cdr:cNvSpPr/>
      </cdr:nvSpPr>
      <cdr:spPr>
        <a:xfrm xmlns:a="http://schemas.openxmlformats.org/drawingml/2006/main">
          <a:off x="671676" y="1868060"/>
          <a:ext cx="109050" cy="1315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050" h="131547">
              <a:moveTo>
                <a:pt x="37186" y="55579"/>
              </a:moveTo>
              <a:lnTo>
                <a:pt x="0" y="94042"/>
              </a:lnTo>
              <a:lnTo>
                <a:pt x="0" y="131546"/>
              </a:lnTo>
              <a:lnTo>
                <a:pt x="44601" y="85413"/>
              </a:lnTo>
              <a:lnTo>
                <a:pt x="109049" y="18752"/>
              </a:lnTo>
              <a:lnTo>
                <a:pt x="909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0.81535</cdr:x>
      <cdr:y>0.8189</cdr:y>
    </cdr:from>
    <cdr:to>
      <cdr:x>0.82897</cdr:x>
      <cdr:y>0.83735</cdr:y>
    </cdr:to>
    <cdr:sp macro="" textlink="">
      <cdr:nvSpPr>
        <cdr:cNvPr id="336" name="FracNo 1068 StartRow 3640">
          <a:extLst xmlns:a="http://schemas.openxmlformats.org/drawingml/2006/main">
            <a:ext uri="{FF2B5EF4-FFF2-40B4-BE49-F238E27FC236}">
              <a16:creationId xmlns:a16="http://schemas.microsoft.com/office/drawing/2014/main" id="{38C55A1C-DB9E-638D-A9AD-6F878F135B09}"/>
            </a:ext>
          </a:extLst>
        </cdr:cNvPr>
        <cdr:cNvSpPr/>
      </cdr:nvSpPr>
      <cdr:spPr>
        <a:xfrm xmlns:a="http://schemas.openxmlformats.org/drawingml/2006/main">
          <a:off x="5964415" y="6240009"/>
          <a:ext cx="99644" cy="1405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644" h="140570">
              <a:moveTo>
                <a:pt x="26485" y="27395"/>
              </a:moveTo>
              <a:lnTo>
                <a:pt x="0" y="0"/>
              </a:lnTo>
              <a:lnTo>
                <a:pt x="0" y="37504"/>
              </a:lnTo>
              <a:lnTo>
                <a:pt x="26485" y="64899"/>
              </a:lnTo>
              <a:lnTo>
                <a:pt x="99643" y="140569"/>
              </a:lnTo>
              <a:lnTo>
                <a:pt x="99643" y="1030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0.45876</cdr:x>
      <cdr:y>0.86674</cdr:y>
    </cdr:from>
    <cdr:to>
      <cdr:x>0.47232</cdr:x>
      <cdr:y>0.88512</cdr:y>
    </cdr:to>
    <cdr:sp macro="" textlink="">
      <cdr:nvSpPr>
        <cdr:cNvPr id="337" name="FracNo 991 StartRow 3649">
          <a:extLst xmlns:a="http://schemas.openxmlformats.org/drawingml/2006/main">
            <a:ext uri="{FF2B5EF4-FFF2-40B4-BE49-F238E27FC236}">
              <a16:creationId xmlns:a16="http://schemas.microsoft.com/office/drawing/2014/main" id="{C08112B4-A7E9-BF0A-916D-92D21AA93BBA}"/>
            </a:ext>
          </a:extLst>
        </cdr:cNvPr>
        <cdr:cNvSpPr/>
      </cdr:nvSpPr>
      <cdr:spPr>
        <a:xfrm xmlns:a="http://schemas.openxmlformats.org/drawingml/2006/main">
          <a:off x="3355904" y="6604545"/>
          <a:ext cx="99191" cy="1401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191" h="140102">
              <a:moveTo>
                <a:pt x="7033" y="44778"/>
              </a:moveTo>
              <a:lnTo>
                <a:pt x="0" y="37504"/>
              </a:lnTo>
              <a:lnTo>
                <a:pt x="0" y="0"/>
              </a:lnTo>
              <a:lnTo>
                <a:pt x="7033" y="7275"/>
              </a:lnTo>
              <a:lnTo>
                <a:pt x="99190" y="102597"/>
              </a:lnTo>
              <a:lnTo>
                <a:pt x="99190" y="1401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0.17768</cdr:x>
      <cdr:y>0.72132</cdr:y>
    </cdr:from>
    <cdr:to>
      <cdr:x>0.19081</cdr:x>
      <cdr:y>0.73928</cdr:y>
    </cdr:to>
    <cdr:sp macro="" textlink="">
      <cdr:nvSpPr>
        <cdr:cNvPr id="338" name="FracNo 1025 StartRow 3658">
          <a:extLst xmlns:a="http://schemas.openxmlformats.org/drawingml/2006/main">
            <a:ext uri="{FF2B5EF4-FFF2-40B4-BE49-F238E27FC236}">
              <a16:creationId xmlns:a16="http://schemas.microsoft.com/office/drawing/2014/main" id="{AC7DA825-60FB-F1B0-B83C-2D05C2F2D83C}"/>
            </a:ext>
          </a:extLst>
        </cdr:cNvPr>
        <cdr:cNvSpPr/>
      </cdr:nvSpPr>
      <cdr:spPr>
        <a:xfrm xmlns:a="http://schemas.openxmlformats.org/drawingml/2006/main">
          <a:off x="1299761" y="5496494"/>
          <a:ext cx="96021" cy="1368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021" h="136822">
              <a:moveTo>
                <a:pt x="34024" y="72696"/>
              </a:moveTo>
              <a:lnTo>
                <a:pt x="0" y="37503"/>
              </a:lnTo>
              <a:lnTo>
                <a:pt x="0" y="0"/>
              </a:lnTo>
              <a:lnTo>
                <a:pt x="34024" y="35192"/>
              </a:lnTo>
              <a:lnTo>
                <a:pt x="96020" y="99317"/>
              </a:lnTo>
              <a:lnTo>
                <a:pt x="96020" y="1368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0.77093</cdr:x>
      <cdr:y>0.83778</cdr:y>
    </cdr:from>
    <cdr:to>
      <cdr:x>0.78611</cdr:x>
      <cdr:y>0.85285</cdr:y>
    </cdr:to>
    <cdr:sp macro="" textlink="">
      <cdr:nvSpPr>
        <cdr:cNvPr id="339" name="FracNo 1048 StartRow 3667">
          <a:extLst xmlns:a="http://schemas.openxmlformats.org/drawingml/2006/main">
            <a:ext uri="{FF2B5EF4-FFF2-40B4-BE49-F238E27FC236}">
              <a16:creationId xmlns:a16="http://schemas.microsoft.com/office/drawing/2014/main" id="{F1F268A1-ACC2-FC4B-89DE-E3314F9CE931}"/>
            </a:ext>
          </a:extLst>
        </cdr:cNvPr>
        <cdr:cNvSpPr/>
      </cdr:nvSpPr>
      <cdr:spPr>
        <a:xfrm xmlns:a="http://schemas.openxmlformats.org/drawingml/2006/main">
          <a:off x="5639501" y="6383899"/>
          <a:ext cx="111031" cy="114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031" h="114844">
              <a:moveTo>
                <a:pt x="41237" y="5150"/>
              </a:moveTo>
              <a:lnTo>
                <a:pt x="36258" y="0"/>
              </a:lnTo>
              <a:lnTo>
                <a:pt x="0" y="0"/>
              </a:lnTo>
              <a:lnTo>
                <a:pt x="7392" y="7647"/>
              </a:lnTo>
              <a:lnTo>
                <a:pt x="111030" y="114843"/>
              </a:lnTo>
              <a:lnTo>
                <a:pt x="111030" y="773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0.72869</cdr:x>
      <cdr:y>0.87972</cdr:y>
    </cdr:from>
    <cdr:to>
      <cdr:x>0.74387</cdr:x>
      <cdr:y>0.89479</cdr:y>
    </cdr:to>
    <cdr:sp macro="" textlink="">
      <cdr:nvSpPr>
        <cdr:cNvPr id="340" name="FracNo 542 StartRow 3676">
          <a:extLst xmlns:a="http://schemas.openxmlformats.org/drawingml/2006/main">
            <a:ext uri="{FF2B5EF4-FFF2-40B4-BE49-F238E27FC236}">
              <a16:creationId xmlns:a16="http://schemas.microsoft.com/office/drawing/2014/main" id="{2E73B5B1-062D-B139-0A1E-0823A47C1247}"/>
            </a:ext>
          </a:extLst>
        </cdr:cNvPr>
        <cdr:cNvSpPr/>
      </cdr:nvSpPr>
      <cdr:spPr>
        <a:xfrm xmlns:a="http://schemas.openxmlformats.org/drawingml/2006/main">
          <a:off x="5330547" y="6703464"/>
          <a:ext cx="111031" cy="1148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031" h="114843">
              <a:moveTo>
                <a:pt x="96902" y="62725"/>
              </a:moveTo>
              <a:lnTo>
                <a:pt x="36258" y="0"/>
              </a:lnTo>
              <a:lnTo>
                <a:pt x="0" y="0"/>
              </a:lnTo>
              <a:lnTo>
                <a:pt x="90051" y="93144"/>
              </a:lnTo>
              <a:lnTo>
                <a:pt x="111030" y="114842"/>
              </a:lnTo>
              <a:lnTo>
                <a:pt x="111030" y="773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0.72739</cdr:x>
      <cdr:y>0.88101</cdr:y>
    </cdr:from>
    <cdr:to>
      <cdr:x>0.74257</cdr:x>
      <cdr:y>0.89608</cdr:y>
    </cdr:to>
    <cdr:sp macro="" textlink="">
      <cdr:nvSpPr>
        <cdr:cNvPr id="341" name="FracNo 939 StartRow 3685">
          <a:extLst xmlns:a="http://schemas.openxmlformats.org/drawingml/2006/main">
            <a:ext uri="{FF2B5EF4-FFF2-40B4-BE49-F238E27FC236}">
              <a16:creationId xmlns:a16="http://schemas.microsoft.com/office/drawing/2014/main" id="{BE0E8E09-8274-9897-4D4E-87DDFC4AB017}"/>
            </a:ext>
          </a:extLst>
        </cdr:cNvPr>
        <cdr:cNvSpPr/>
      </cdr:nvSpPr>
      <cdr:spPr>
        <a:xfrm xmlns:a="http://schemas.openxmlformats.org/drawingml/2006/main">
          <a:off x="5321019" y="6713318"/>
          <a:ext cx="111031" cy="114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031" h="114845">
              <a:moveTo>
                <a:pt x="53225" y="92557"/>
              </a:moveTo>
              <a:lnTo>
                <a:pt x="0" y="37504"/>
              </a:lnTo>
              <a:lnTo>
                <a:pt x="0" y="0"/>
              </a:lnTo>
              <a:lnTo>
                <a:pt x="79035" y="81749"/>
              </a:lnTo>
              <a:lnTo>
                <a:pt x="111030" y="114844"/>
              </a:lnTo>
              <a:lnTo>
                <a:pt x="74771" y="1148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0.14731</cdr:x>
      <cdr:y>0.35509</cdr:y>
    </cdr:from>
    <cdr:to>
      <cdr:x>0.16228</cdr:x>
      <cdr:y>0.36996</cdr:y>
    </cdr:to>
    <cdr:sp macro="" textlink="">
      <cdr:nvSpPr>
        <cdr:cNvPr id="342" name="FracNo 901 StartRow 3694">
          <a:extLst xmlns:a="http://schemas.openxmlformats.org/drawingml/2006/main">
            <a:ext uri="{FF2B5EF4-FFF2-40B4-BE49-F238E27FC236}">
              <a16:creationId xmlns:a16="http://schemas.microsoft.com/office/drawing/2014/main" id="{43627C90-0368-66B7-B8E1-AF6E93662E56}"/>
            </a:ext>
          </a:extLst>
        </cdr:cNvPr>
        <cdr:cNvSpPr/>
      </cdr:nvSpPr>
      <cdr:spPr>
        <a:xfrm xmlns:a="http://schemas.openxmlformats.org/drawingml/2006/main">
          <a:off x="1077579" y="2705804"/>
          <a:ext cx="109550" cy="1133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550" h="113313">
              <a:moveTo>
                <a:pt x="85004" y="87924"/>
              </a:moveTo>
              <a:lnTo>
                <a:pt x="78008" y="80687"/>
              </a:lnTo>
              <a:lnTo>
                <a:pt x="0" y="0"/>
              </a:lnTo>
              <a:lnTo>
                <a:pt x="0" y="37504"/>
              </a:lnTo>
              <a:lnTo>
                <a:pt x="61062" y="100663"/>
              </a:lnTo>
              <a:lnTo>
                <a:pt x="63774" y="103469"/>
              </a:lnTo>
              <a:lnTo>
                <a:pt x="73291" y="113312"/>
              </a:lnTo>
              <a:lnTo>
                <a:pt x="109549" y="1133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0.3297</cdr:x>
      <cdr:y>0.17441</cdr:y>
    </cdr:from>
    <cdr:to>
      <cdr:x>0.34694</cdr:x>
      <cdr:y>0.18661</cdr:y>
    </cdr:to>
    <cdr:sp macro="" textlink="">
      <cdr:nvSpPr>
        <cdr:cNvPr id="343" name="FracNo 1035 StartRow 3705">
          <a:extLst xmlns:a="http://schemas.openxmlformats.org/drawingml/2006/main">
            <a:ext uri="{FF2B5EF4-FFF2-40B4-BE49-F238E27FC236}">
              <a16:creationId xmlns:a16="http://schemas.microsoft.com/office/drawing/2014/main" id="{0EA21169-CE8E-68FB-1447-B63F56129AD7}"/>
            </a:ext>
          </a:extLst>
        </cdr:cNvPr>
        <cdr:cNvSpPr/>
      </cdr:nvSpPr>
      <cdr:spPr>
        <a:xfrm xmlns:a="http://schemas.openxmlformats.org/drawingml/2006/main">
          <a:off x="2411858" y="1329041"/>
          <a:ext cx="126067" cy="928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067" h="92892">
              <a:moveTo>
                <a:pt x="54983" y="19367"/>
              </a:moveTo>
              <a:lnTo>
                <a:pt x="36259" y="0"/>
              </a:lnTo>
              <a:lnTo>
                <a:pt x="0" y="0"/>
              </a:lnTo>
              <a:lnTo>
                <a:pt x="18724" y="19367"/>
              </a:lnTo>
              <a:lnTo>
                <a:pt x="89807" y="92891"/>
              </a:lnTo>
              <a:lnTo>
                <a:pt x="126066" y="928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0.20213</cdr:x>
      <cdr:y>0.30109</cdr:y>
    </cdr:from>
    <cdr:to>
      <cdr:x>0.21936</cdr:x>
      <cdr:y>0.31328</cdr:y>
    </cdr:to>
    <cdr:sp macro="" textlink="">
      <cdr:nvSpPr>
        <cdr:cNvPr id="344" name="FracNo 908 StartRow 3714">
          <a:extLst xmlns:a="http://schemas.openxmlformats.org/drawingml/2006/main">
            <a:ext uri="{FF2B5EF4-FFF2-40B4-BE49-F238E27FC236}">
              <a16:creationId xmlns:a16="http://schemas.microsoft.com/office/drawing/2014/main" id="{C6D27172-23DE-696A-BB11-E80459C2003F}"/>
            </a:ext>
          </a:extLst>
        </cdr:cNvPr>
        <cdr:cNvSpPr/>
      </cdr:nvSpPr>
      <cdr:spPr>
        <a:xfrm xmlns:a="http://schemas.openxmlformats.org/drawingml/2006/main">
          <a:off x="1478616" y="2294333"/>
          <a:ext cx="126066" cy="928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066" h="92892">
              <a:moveTo>
                <a:pt x="108571" y="74796"/>
              </a:moveTo>
              <a:lnTo>
                <a:pt x="36258" y="0"/>
              </a:lnTo>
              <a:lnTo>
                <a:pt x="0" y="0"/>
              </a:lnTo>
              <a:lnTo>
                <a:pt x="72312" y="74796"/>
              </a:lnTo>
              <a:lnTo>
                <a:pt x="89807" y="92891"/>
              </a:lnTo>
              <a:lnTo>
                <a:pt x="126065" y="928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0.79757</cdr:x>
      <cdr:y>0.19825</cdr:y>
    </cdr:from>
    <cdr:to>
      <cdr:x>0.8097</cdr:x>
      <cdr:y>0.21523</cdr:y>
    </cdr:to>
    <cdr:sp macro="" textlink="">
      <cdr:nvSpPr>
        <cdr:cNvPr id="345" name="FracNo 996 StartRow 3723">
          <a:extLst xmlns:a="http://schemas.openxmlformats.org/drawingml/2006/main">
            <a:ext uri="{FF2B5EF4-FFF2-40B4-BE49-F238E27FC236}">
              <a16:creationId xmlns:a16="http://schemas.microsoft.com/office/drawing/2014/main" id="{7E1F79DE-DEEB-8C5F-C72E-581AA6A72496}"/>
            </a:ext>
          </a:extLst>
        </cdr:cNvPr>
        <cdr:cNvSpPr/>
      </cdr:nvSpPr>
      <cdr:spPr>
        <a:xfrm xmlns:a="http://schemas.openxmlformats.org/drawingml/2006/main">
          <a:off x="5834372" y="1510694"/>
          <a:ext cx="88775" cy="129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775" h="129328">
              <a:moveTo>
                <a:pt x="39240" y="40587"/>
              </a:moveTo>
              <a:lnTo>
                <a:pt x="0" y="0"/>
              </a:lnTo>
              <a:lnTo>
                <a:pt x="0" y="37504"/>
              </a:lnTo>
              <a:lnTo>
                <a:pt x="39240" y="78091"/>
              </a:lnTo>
              <a:lnTo>
                <a:pt x="88774" y="129327"/>
              </a:lnTo>
              <a:lnTo>
                <a:pt x="88774" y="918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0.51782</cdr:x>
      <cdr:y>0.12006</cdr:y>
    </cdr:from>
    <cdr:to>
      <cdr:x>0.53242</cdr:x>
      <cdr:y>0.13455</cdr:y>
    </cdr:to>
    <cdr:sp macro="" textlink="">
      <cdr:nvSpPr>
        <cdr:cNvPr id="346" name="FracNo 478 StartRow 3732">
          <a:extLst xmlns:a="http://schemas.openxmlformats.org/drawingml/2006/main">
            <a:ext uri="{FF2B5EF4-FFF2-40B4-BE49-F238E27FC236}">
              <a16:creationId xmlns:a16="http://schemas.microsoft.com/office/drawing/2014/main" id="{9C18B030-E6A3-2A40-2598-1EC85B095E33}"/>
            </a:ext>
          </a:extLst>
        </cdr:cNvPr>
        <cdr:cNvSpPr/>
      </cdr:nvSpPr>
      <cdr:spPr>
        <a:xfrm xmlns:a="http://schemas.openxmlformats.org/drawingml/2006/main">
          <a:off x="3787955" y="914841"/>
          <a:ext cx="106798" cy="110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798" h="110466">
              <a:moveTo>
                <a:pt x="3499" y="3619"/>
              </a:moveTo>
              <a:lnTo>
                <a:pt x="0" y="0"/>
              </a:lnTo>
              <a:lnTo>
                <a:pt x="0" y="37504"/>
              </a:lnTo>
              <a:lnTo>
                <a:pt x="2311" y="39894"/>
              </a:lnTo>
              <a:lnTo>
                <a:pt x="70539" y="110465"/>
              </a:lnTo>
              <a:lnTo>
                <a:pt x="106797" y="1104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0.76394</cdr:x>
      <cdr:y>0.12665</cdr:y>
    </cdr:from>
    <cdr:to>
      <cdr:x>0.78094</cdr:x>
      <cdr:y>0.13861</cdr:y>
    </cdr:to>
    <cdr:sp macro="" textlink="">
      <cdr:nvSpPr>
        <cdr:cNvPr id="347" name="FracNo 864 StartRow 3741">
          <a:extLst xmlns:a="http://schemas.openxmlformats.org/drawingml/2006/main">
            <a:ext uri="{FF2B5EF4-FFF2-40B4-BE49-F238E27FC236}">
              <a16:creationId xmlns:a16="http://schemas.microsoft.com/office/drawing/2014/main" id="{28EE2A49-6BF6-8738-E2CA-72F5A124EC12}"/>
            </a:ext>
          </a:extLst>
        </cdr:cNvPr>
        <cdr:cNvSpPr/>
      </cdr:nvSpPr>
      <cdr:spPr>
        <a:xfrm xmlns:a="http://schemas.openxmlformats.org/drawingml/2006/main">
          <a:off x="5588386" y="965101"/>
          <a:ext cx="124352" cy="911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352" h="91118">
              <a:moveTo>
                <a:pt x="39670" y="41032"/>
              </a:moveTo>
              <a:lnTo>
                <a:pt x="0" y="0"/>
              </a:lnTo>
              <a:lnTo>
                <a:pt x="36259" y="0"/>
              </a:lnTo>
              <a:lnTo>
                <a:pt x="75929" y="41032"/>
              </a:lnTo>
              <a:lnTo>
                <a:pt x="124351" y="91117"/>
              </a:lnTo>
              <a:lnTo>
                <a:pt x="88092" y="911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0.28376</cdr:x>
      <cdr:y>0.91606</cdr:y>
    </cdr:from>
    <cdr:to>
      <cdr:x>0.2979</cdr:x>
      <cdr:y>0.9301</cdr:y>
    </cdr:to>
    <cdr:sp macro="" textlink="">
      <cdr:nvSpPr>
        <cdr:cNvPr id="348" name="FracNo 1090 StartRow 3750">
          <a:extLst xmlns:a="http://schemas.openxmlformats.org/drawingml/2006/main">
            <a:ext uri="{FF2B5EF4-FFF2-40B4-BE49-F238E27FC236}">
              <a16:creationId xmlns:a16="http://schemas.microsoft.com/office/drawing/2014/main" id="{CF3A4A15-7F5F-6BED-4808-66C14C94E47A}"/>
            </a:ext>
          </a:extLst>
        </cdr:cNvPr>
        <cdr:cNvSpPr/>
      </cdr:nvSpPr>
      <cdr:spPr>
        <a:xfrm xmlns:a="http://schemas.openxmlformats.org/drawingml/2006/main">
          <a:off x="2075776" y="6980413"/>
          <a:ext cx="103401" cy="1069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401" h="106953">
              <a:moveTo>
                <a:pt x="49654" y="51360"/>
              </a:moveTo>
              <a:lnTo>
                <a:pt x="0" y="0"/>
              </a:lnTo>
              <a:lnTo>
                <a:pt x="0" y="37504"/>
              </a:lnTo>
              <a:lnTo>
                <a:pt x="32242" y="70853"/>
              </a:lnTo>
              <a:lnTo>
                <a:pt x="67142" y="106952"/>
              </a:lnTo>
              <a:lnTo>
                <a:pt x="103400" y="1069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0.26986</cdr:x>
      <cdr:y>0.907</cdr:y>
    </cdr:from>
    <cdr:to>
      <cdr:x>0.28633</cdr:x>
      <cdr:y>0.91844</cdr:y>
    </cdr:to>
    <cdr:sp macro="" textlink="">
      <cdr:nvSpPr>
        <cdr:cNvPr id="349" name="FracNo 878 StartRow 3759">
          <a:extLst xmlns:a="http://schemas.openxmlformats.org/drawingml/2006/main">
            <a:ext uri="{FF2B5EF4-FFF2-40B4-BE49-F238E27FC236}">
              <a16:creationId xmlns:a16="http://schemas.microsoft.com/office/drawing/2014/main" id="{4C7E8214-EF83-8728-2DAE-FEFB32356E9B}"/>
            </a:ext>
          </a:extLst>
        </cdr:cNvPr>
        <cdr:cNvSpPr/>
      </cdr:nvSpPr>
      <cdr:spPr>
        <a:xfrm xmlns:a="http://schemas.openxmlformats.org/drawingml/2006/main">
          <a:off x="1974082" y="6911367"/>
          <a:ext cx="120484" cy="871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484" h="87118">
              <a:moveTo>
                <a:pt x="47810" y="49452"/>
              </a:moveTo>
              <a:lnTo>
                <a:pt x="0" y="0"/>
              </a:lnTo>
              <a:lnTo>
                <a:pt x="36259" y="0"/>
              </a:lnTo>
              <a:lnTo>
                <a:pt x="84068" y="49452"/>
              </a:lnTo>
              <a:lnTo>
                <a:pt x="120483" y="87117"/>
              </a:lnTo>
              <a:lnTo>
                <a:pt x="84224" y="871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0.72269</cdr:x>
      <cdr:y>0.68618</cdr:y>
    </cdr:from>
    <cdr:to>
      <cdr:x>0.73655</cdr:x>
      <cdr:y>0.69994</cdr:y>
    </cdr:to>
    <cdr:sp macro="" textlink="">
      <cdr:nvSpPr>
        <cdr:cNvPr id="350" name="FracNo 547 StartRow 3768">
          <a:extLst xmlns:a="http://schemas.openxmlformats.org/drawingml/2006/main">
            <a:ext uri="{FF2B5EF4-FFF2-40B4-BE49-F238E27FC236}">
              <a16:creationId xmlns:a16="http://schemas.microsoft.com/office/drawing/2014/main" id="{8C60110B-A645-EB64-1437-D5E04EFB3B52}"/>
            </a:ext>
          </a:extLst>
        </cdr:cNvPr>
        <cdr:cNvSpPr/>
      </cdr:nvSpPr>
      <cdr:spPr>
        <a:xfrm xmlns:a="http://schemas.openxmlformats.org/drawingml/2006/main">
          <a:off x="5286632" y="5228716"/>
          <a:ext cx="101351" cy="104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351" h="104833">
              <a:moveTo>
                <a:pt x="52301" y="16594"/>
              </a:moveTo>
              <a:lnTo>
                <a:pt x="36258" y="0"/>
              </a:lnTo>
              <a:lnTo>
                <a:pt x="0" y="0"/>
              </a:lnTo>
              <a:lnTo>
                <a:pt x="24979" y="25838"/>
              </a:lnTo>
              <a:lnTo>
                <a:pt x="101350" y="104832"/>
              </a:lnTo>
              <a:lnTo>
                <a:pt x="101350" y="673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0.7423</cdr:x>
      <cdr:y>0.66671</cdr:y>
    </cdr:from>
    <cdr:to>
      <cdr:x>0.75616</cdr:x>
      <cdr:y>0.68047</cdr:y>
    </cdr:to>
    <cdr:sp macro="" textlink="">
      <cdr:nvSpPr>
        <cdr:cNvPr id="351" name="FracNo 1030 StartRow 3777">
          <a:extLst xmlns:a="http://schemas.openxmlformats.org/drawingml/2006/main">
            <a:ext uri="{FF2B5EF4-FFF2-40B4-BE49-F238E27FC236}">
              <a16:creationId xmlns:a16="http://schemas.microsoft.com/office/drawing/2014/main" id="{D6FFD668-F187-83F8-FCDC-FAC70710E8A5}"/>
            </a:ext>
          </a:extLst>
        </cdr:cNvPr>
        <cdr:cNvSpPr/>
      </cdr:nvSpPr>
      <cdr:spPr>
        <a:xfrm xmlns:a="http://schemas.openxmlformats.org/drawingml/2006/main">
          <a:off x="5430101" y="5080320"/>
          <a:ext cx="101352" cy="1048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352" h="104832">
              <a:moveTo>
                <a:pt x="34671" y="73365"/>
              </a:moveTo>
              <a:lnTo>
                <a:pt x="0" y="37504"/>
              </a:lnTo>
              <a:lnTo>
                <a:pt x="0" y="0"/>
              </a:lnTo>
              <a:lnTo>
                <a:pt x="53984" y="55837"/>
              </a:lnTo>
              <a:lnTo>
                <a:pt x="101351" y="104831"/>
              </a:lnTo>
              <a:lnTo>
                <a:pt x="65093" y="1048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0.14317</cdr:x>
      <cdr:y>0.2898</cdr:y>
    </cdr:from>
    <cdr:to>
      <cdr:x>0.15451</cdr:x>
      <cdr:y>0.30597</cdr:y>
    </cdr:to>
    <cdr:sp macro="" textlink="">
      <cdr:nvSpPr>
        <cdr:cNvPr id="352" name="FracNo 1107 StartRow 3786">
          <a:extLst xmlns:a="http://schemas.openxmlformats.org/drawingml/2006/main">
            <a:ext uri="{FF2B5EF4-FFF2-40B4-BE49-F238E27FC236}">
              <a16:creationId xmlns:a16="http://schemas.microsoft.com/office/drawing/2014/main" id="{36915975-F14D-A4CF-B042-D9BB90571C47}"/>
            </a:ext>
          </a:extLst>
        </cdr:cNvPr>
        <cdr:cNvSpPr/>
      </cdr:nvSpPr>
      <cdr:spPr>
        <a:xfrm xmlns:a="http://schemas.openxmlformats.org/drawingml/2006/main">
          <a:off x="1047350" y="2208277"/>
          <a:ext cx="82892" cy="1232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892" h="123242">
              <a:moveTo>
                <a:pt x="21628" y="22371"/>
              </a:moveTo>
              <a:lnTo>
                <a:pt x="0" y="0"/>
              </a:lnTo>
              <a:lnTo>
                <a:pt x="0" y="37504"/>
              </a:lnTo>
              <a:lnTo>
                <a:pt x="21628" y="59874"/>
              </a:lnTo>
              <a:lnTo>
                <a:pt x="82891" y="123241"/>
              </a:lnTo>
              <a:lnTo>
                <a:pt x="82891" y="857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0.2822</cdr:x>
      <cdr:y>0.15175</cdr:y>
    </cdr:from>
    <cdr:to>
      <cdr:x>0.29354</cdr:x>
      <cdr:y>0.16792</cdr:y>
    </cdr:to>
    <cdr:sp macro="" textlink="">
      <cdr:nvSpPr>
        <cdr:cNvPr id="353" name="FracNo 893 StartRow 3795">
          <a:extLst xmlns:a="http://schemas.openxmlformats.org/drawingml/2006/main">
            <a:ext uri="{FF2B5EF4-FFF2-40B4-BE49-F238E27FC236}">
              <a16:creationId xmlns:a16="http://schemas.microsoft.com/office/drawing/2014/main" id="{88851174-C201-4C04-C082-E7A05B06F2C7}"/>
            </a:ext>
          </a:extLst>
        </cdr:cNvPr>
        <cdr:cNvSpPr/>
      </cdr:nvSpPr>
      <cdr:spPr>
        <a:xfrm xmlns:a="http://schemas.openxmlformats.org/drawingml/2006/main">
          <a:off x="2064385" y="1156315"/>
          <a:ext cx="82892" cy="1232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892" h="123242">
              <a:moveTo>
                <a:pt x="70796" y="73227"/>
              </a:moveTo>
              <a:lnTo>
                <a:pt x="0" y="0"/>
              </a:lnTo>
              <a:lnTo>
                <a:pt x="0" y="37504"/>
              </a:lnTo>
              <a:lnTo>
                <a:pt x="70796" y="110731"/>
              </a:lnTo>
              <a:lnTo>
                <a:pt x="82891" y="123241"/>
              </a:lnTo>
              <a:lnTo>
                <a:pt x="82891" y="857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0.16976</cdr:x>
      <cdr:y>0.2634</cdr:y>
    </cdr:from>
    <cdr:to>
      <cdr:x>0.18605</cdr:x>
      <cdr:y>0.27466</cdr:y>
    </cdr:to>
    <cdr:sp macro="" textlink="">
      <cdr:nvSpPr>
        <cdr:cNvPr id="354" name="FracNo 239 StartRow 3804">
          <a:extLst xmlns:a="http://schemas.openxmlformats.org/drawingml/2006/main">
            <a:ext uri="{FF2B5EF4-FFF2-40B4-BE49-F238E27FC236}">
              <a16:creationId xmlns:a16="http://schemas.microsoft.com/office/drawing/2014/main" id="{CF997A03-E1C4-CBA4-5B7D-BCC38C112430}"/>
            </a:ext>
          </a:extLst>
        </cdr:cNvPr>
        <cdr:cNvSpPr/>
      </cdr:nvSpPr>
      <cdr:spPr>
        <a:xfrm xmlns:a="http://schemas.openxmlformats.org/drawingml/2006/main">
          <a:off x="1241808" y="2007141"/>
          <a:ext cx="119150" cy="857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150" h="85738">
              <a:moveTo>
                <a:pt x="30977" y="32041"/>
              </a:moveTo>
              <a:lnTo>
                <a:pt x="0" y="0"/>
              </a:lnTo>
              <a:lnTo>
                <a:pt x="36258" y="0"/>
              </a:lnTo>
              <a:lnTo>
                <a:pt x="67236" y="32041"/>
              </a:lnTo>
              <a:lnTo>
                <a:pt x="119149" y="85737"/>
              </a:lnTo>
              <a:lnTo>
                <a:pt x="82891" y="857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0.87295</cdr:x>
      <cdr:y>0.43843</cdr:y>
    </cdr:from>
    <cdr:to>
      <cdr:x>0.88665</cdr:x>
      <cdr:y>0.45203</cdr:y>
    </cdr:to>
    <cdr:sp macro="" textlink="">
      <cdr:nvSpPr>
        <cdr:cNvPr id="355" name="FracNo 624 StartRow 3813">
          <a:extLst xmlns:a="http://schemas.openxmlformats.org/drawingml/2006/main">
            <a:ext uri="{FF2B5EF4-FFF2-40B4-BE49-F238E27FC236}">
              <a16:creationId xmlns:a16="http://schemas.microsoft.com/office/drawing/2014/main" id="{6BFB3099-685C-E9EC-C690-C58FBD9F48C6}"/>
            </a:ext>
          </a:extLst>
        </cdr:cNvPr>
        <cdr:cNvSpPr/>
      </cdr:nvSpPr>
      <cdr:spPr>
        <a:xfrm xmlns:a="http://schemas.openxmlformats.org/drawingml/2006/main">
          <a:off x="6385798" y="3340809"/>
          <a:ext cx="100251" cy="1036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251" h="103693">
              <a:moveTo>
                <a:pt x="46215" y="47801"/>
              </a:moveTo>
              <a:lnTo>
                <a:pt x="0" y="0"/>
              </a:lnTo>
              <a:lnTo>
                <a:pt x="0" y="37503"/>
              </a:lnTo>
              <a:lnTo>
                <a:pt x="29500" y="68016"/>
              </a:lnTo>
              <a:lnTo>
                <a:pt x="63991" y="103692"/>
              </a:lnTo>
              <a:lnTo>
                <a:pt x="100250" y="1036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0.29597</cdr:x>
      <cdr:y>0.13855</cdr:y>
    </cdr:from>
    <cdr:to>
      <cdr:x>0.30954</cdr:x>
      <cdr:y>0.15203</cdr:y>
    </cdr:to>
    <cdr:sp macro="" textlink="">
      <cdr:nvSpPr>
        <cdr:cNvPr id="356" name="FracNo 1127 StartRow 3822">
          <a:extLst xmlns:a="http://schemas.openxmlformats.org/drawingml/2006/main">
            <a:ext uri="{FF2B5EF4-FFF2-40B4-BE49-F238E27FC236}">
              <a16:creationId xmlns:a16="http://schemas.microsoft.com/office/drawing/2014/main" id="{163DDAB9-E434-EC3E-B909-C995FC58A8F8}"/>
            </a:ext>
          </a:extLst>
        </cdr:cNvPr>
        <cdr:cNvSpPr/>
      </cdr:nvSpPr>
      <cdr:spPr>
        <a:xfrm xmlns:a="http://schemas.openxmlformats.org/drawingml/2006/main">
          <a:off x="2165104" y="1055770"/>
          <a:ext cx="99265" cy="1026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265" h="102674">
              <a:moveTo>
                <a:pt x="61343" y="25946"/>
              </a:moveTo>
              <a:lnTo>
                <a:pt x="36258" y="0"/>
              </a:lnTo>
              <a:lnTo>
                <a:pt x="0" y="0"/>
              </a:lnTo>
              <a:lnTo>
                <a:pt x="39521" y="40877"/>
              </a:lnTo>
              <a:lnTo>
                <a:pt x="99264" y="102673"/>
              </a:lnTo>
              <a:lnTo>
                <a:pt x="99264" y="651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0.932</cdr:x>
      <cdr:y>0.70306</cdr:y>
    </cdr:from>
    <cdr:to>
      <cdr:x>0.94246</cdr:x>
      <cdr:y>0.71837</cdr:y>
    </cdr:to>
    <cdr:sp macro="" textlink="">
      <cdr:nvSpPr>
        <cdr:cNvPr id="357" name="FracNo 546 StartRow 3831">
          <a:extLst xmlns:a="http://schemas.openxmlformats.org/drawingml/2006/main">
            <a:ext uri="{FF2B5EF4-FFF2-40B4-BE49-F238E27FC236}">
              <a16:creationId xmlns:a16="http://schemas.microsoft.com/office/drawing/2014/main" id="{DFEA3471-2BC2-6315-F633-27FF5CF186C6}"/>
            </a:ext>
          </a:extLst>
        </cdr:cNvPr>
        <cdr:cNvSpPr/>
      </cdr:nvSpPr>
      <cdr:spPr>
        <a:xfrm xmlns:a="http://schemas.openxmlformats.org/drawingml/2006/main">
          <a:off x="6817793" y="5357325"/>
          <a:ext cx="76515" cy="116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515" h="116646">
              <a:moveTo>
                <a:pt x="26195" y="27094"/>
              </a:moveTo>
              <a:lnTo>
                <a:pt x="0" y="0"/>
              </a:lnTo>
              <a:lnTo>
                <a:pt x="0" y="37503"/>
              </a:lnTo>
              <a:lnTo>
                <a:pt x="26195" y="64598"/>
              </a:lnTo>
              <a:lnTo>
                <a:pt x="76514" y="116645"/>
              </a:lnTo>
              <a:lnTo>
                <a:pt x="76514" y="791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0.38439</cdr:x>
      <cdr:y>0.6909</cdr:y>
    </cdr:from>
    <cdr:to>
      <cdr:x>0.3998</cdr:x>
      <cdr:y>0.70127</cdr:y>
    </cdr:to>
    <cdr:sp macro="" textlink="">
      <cdr:nvSpPr>
        <cdr:cNvPr id="358" name="FracNo 1136 StartRow 3840">
          <a:extLst xmlns:a="http://schemas.openxmlformats.org/drawingml/2006/main">
            <a:ext uri="{FF2B5EF4-FFF2-40B4-BE49-F238E27FC236}">
              <a16:creationId xmlns:a16="http://schemas.microsoft.com/office/drawing/2014/main" id="{A63F33D2-B160-1FC0-B29B-7E3F18EFC826}"/>
            </a:ext>
          </a:extLst>
        </cdr:cNvPr>
        <cdr:cNvSpPr/>
      </cdr:nvSpPr>
      <cdr:spPr>
        <a:xfrm xmlns:a="http://schemas.openxmlformats.org/drawingml/2006/main">
          <a:off x="2811921" y="5264630"/>
          <a:ext cx="112694" cy="79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694" h="79060">
              <a:moveTo>
                <a:pt x="10336" y="10691"/>
              </a:moveTo>
              <a:lnTo>
                <a:pt x="0" y="0"/>
              </a:lnTo>
              <a:lnTo>
                <a:pt x="36258" y="0"/>
              </a:lnTo>
              <a:lnTo>
                <a:pt x="46594" y="10691"/>
              </a:lnTo>
              <a:lnTo>
                <a:pt x="112693" y="79059"/>
              </a:lnTo>
              <a:lnTo>
                <a:pt x="76434" y="790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0.35648</cdr:x>
      <cdr:y>0.71861</cdr:y>
    </cdr:from>
    <cdr:to>
      <cdr:x>0.37189</cdr:x>
      <cdr:y>0.72899</cdr:y>
    </cdr:to>
    <cdr:sp macro="" textlink="">
      <cdr:nvSpPr>
        <cdr:cNvPr id="359" name="FracNo 1141 StartRow 3849">
          <a:extLst xmlns:a="http://schemas.openxmlformats.org/drawingml/2006/main">
            <a:ext uri="{FF2B5EF4-FFF2-40B4-BE49-F238E27FC236}">
              <a16:creationId xmlns:a16="http://schemas.microsoft.com/office/drawing/2014/main" id="{D5988A57-70C0-BC61-A84E-F3B6B59B33DE}"/>
            </a:ext>
          </a:extLst>
        </cdr:cNvPr>
        <cdr:cNvSpPr/>
      </cdr:nvSpPr>
      <cdr:spPr>
        <a:xfrm xmlns:a="http://schemas.openxmlformats.org/drawingml/2006/main">
          <a:off x="2607744" y="5475818"/>
          <a:ext cx="112694" cy="790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694" h="79061">
              <a:moveTo>
                <a:pt x="2302" y="2382"/>
              </a:moveTo>
              <a:lnTo>
                <a:pt x="0" y="0"/>
              </a:lnTo>
              <a:lnTo>
                <a:pt x="36258" y="0"/>
              </a:lnTo>
              <a:lnTo>
                <a:pt x="38561" y="2382"/>
              </a:lnTo>
              <a:lnTo>
                <a:pt x="112693" y="79060"/>
              </a:lnTo>
              <a:lnTo>
                <a:pt x="76434" y="790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0.56588</cdr:x>
      <cdr:y>0.19738</cdr:y>
    </cdr:from>
    <cdr:to>
      <cdr:x>0.5788</cdr:x>
      <cdr:y>0.21021</cdr:y>
    </cdr:to>
    <cdr:sp macro="" textlink="">
      <cdr:nvSpPr>
        <cdr:cNvPr id="360" name="FracNo 914 StartRow 3858">
          <a:extLst xmlns:a="http://schemas.openxmlformats.org/drawingml/2006/main">
            <a:ext uri="{FF2B5EF4-FFF2-40B4-BE49-F238E27FC236}">
              <a16:creationId xmlns:a16="http://schemas.microsoft.com/office/drawing/2014/main" id="{435B3902-73C0-C221-4932-1532AB7EA144}"/>
            </a:ext>
          </a:extLst>
        </cdr:cNvPr>
        <cdr:cNvSpPr/>
      </cdr:nvSpPr>
      <cdr:spPr>
        <a:xfrm xmlns:a="http://schemas.openxmlformats.org/drawingml/2006/main">
          <a:off x="4139493" y="1504029"/>
          <a:ext cx="94536" cy="97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536" h="97782">
              <a:moveTo>
                <a:pt x="20869" y="21587"/>
              </a:moveTo>
              <a:lnTo>
                <a:pt x="0" y="0"/>
              </a:lnTo>
              <a:lnTo>
                <a:pt x="0" y="37504"/>
              </a:lnTo>
              <a:lnTo>
                <a:pt x="12865" y="50811"/>
              </a:lnTo>
              <a:lnTo>
                <a:pt x="58276" y="97781"/>
              </a:lnTo>
              <a:lnTo>
                <a:pt x="94535" y="977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0.60296</cdr:x>
      <cdr:y>0.16055</cdr:y>
    </cdr:from>
    <cdr:to>
      <cdr:x>0.61588</cdr:x>
      <cdr:y>0.17339</cdr:y>
    </cdr:to>
    <cdr:sp macro="" textlink="">
      <cdr:nvSpPr>
        <cdr:cNvPr id="361" name="FracNo 889 StartRow 3867">
          <a:extLst xmlns:a="http://schemas.openxmlformats.org/drawingml/2006/main">
            <a:ext uri="{FF2B5EF4-FFF2-40B4-BE49-F238E27FC236}">
              <a16:creationId xmlns:a16="http://schemas.microsoft.com/office/drawing/2014/main" id="{1DDE8666-D7A5-503A-2CC1-5B080C51C235}"/>
            </a:ext>
          </a:extLst>
        </cdr:cNvPr>
        <cdr:cNvSpPr/>
      </cdr:nvSpPr>
      <cdr:spPr>
        <a:xfrm xmlns:a="http://schemas.openxmlformats.org/drawingml/2006/main">
          <a:off x="4410782" y="1223423"/>
          <a:ext cx="94536" cy="97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536" h="97782">
              <a:moveTo>
                <a:pt x="61278" y="63381"/>
              </a:moveTo>
              <a:lnTo>
                <a:pt x="0" y="0"/>
              </a:lnTo>
              <a:lnTo>
                <a:pt x="36259" y="0"/>
              </a:lnTo>
              <a:lnTo>
                <a:pt x="74033" y="39071"/>
              </a:lnTo>
              <a:lnTo>
                <a:pt x="94535" y="60278"/>
              </a:lnTo>
              <a:lnTo>
                <a:pt x="94535" y="977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0.54071</cdr:x>
      <cdr:y>0.22236</cdr:y>
    </cdr:from>
    <cdr:to>
      <cdr:x>0.55364</cdr:x>
      <cdr:y>0.2352</cdr:y>
    </cdr:to>
    <cdr:sp macro="" textlink="">
      <cdr:nvSpPr>
        <cdr:cNvPr id="362" name="FracNo 467 StartRow 3876">
          <a:extLst xmlns:a="http://schemas.openxmlformats.org/drawingml/2006/main">
            <a:ext uri="{FF2B5EF4-FFF2-40B4-BE49-F238E27FC236}">
              <a16:creationId xmlns:a16="http://schemas.microsoft.com/office/drawing/2014/main" id="{C606BECB-50C6-F6C6-D1B8-7A1E433DE7ED}"/>
            </a:ext>
          </a:extLst>
        </cdr:cNvPr>
        <cdr:cNvSpPr/>
      </cdr:nvSpPr>
      <cdr:spPr>
        <a:xfrm xmlns:a="http://schemas.openxmlformats.org/drawingml/2006/main">
          <a:off x="3955428" y="1694416"/>
          <a:ext cx="94535" cy="97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535" h="97782">
              <a:moveTo>
                <a:pt x="71949" y="74420"/>
              </a:moveTo>
              <a:lnTo>
                <a:pt x="0" y="0"/>
              </a:lnTo>
              <a:lnTo>
                <a:pt x="0" y="37503"/>
              </a:lnTo>
              <a:lnTo>
                <a:pt x="44353" y="83380"/>
              </a:lnTo>
              <a:lnTo>
                <a:pt x="58276" y="97781"/>
              </a:lnTo>
              <a:lnTo>
                <a:pt x="94534" y="977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0.56732</cdr:x>
      <cdr:y>0.19595</cdr:y>
    </cdr:from>
    <cdr:to>
      <cdr:x>0.58024</cdr:x>
      <cdr:y>0.20878</cdr:y>
    </cdr:to>
    <cdr:sp macro="" textlink="">
      <cdr:nvSpPr>
        <cdr:cNvPr id="363" name="FracNo 469 StartRow 3885">
          <a:extLst xmlns:a="http://schemas.openxmlformats.org/drawingml/2006/main">
            <a:ext uri="{FF2B5EF4-FFF2-40B4-BE49-F238E27FC236}">
              <a16:creationId xmlns:a16="http://schemas.microsoft.com/office/drawing/2014/main" id="{2B17FC4E-6DC8-51FE-4484-9FA6E0B666D9}"/>
            </a:ext>
          </a:extLst>
        </cdr:cNvPr>
        <cdr:cNvSpPr/>
      </cdr:nvSpPr>
      <cdr:spPr>
        <a:xfrm xmlns:a="http://schemas.openxmlformats.org/drawingml/2006/main">
          <a:off x="4150046" y="1493114"/>
          <a:ext cx="94535" cy="97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535" h="97782">
              <a:moveTo>
                <a:pt x="26622" y="27536"/>
              </a:moveTo>
              <a:lnTo>
                <a:pt x="0" y="0"/>
              </a:lnTo>
              <a:lnTo>
                <a:pt x="36258" y="0"/>
              </a:lnTo>
              <a:lnTo>
                <a:pt x="52669" y="16975"/>
              </a:lnTo>
              <a:lnTo>
                <a:pt x="94534" y="60278"/>
              </a:lnTo>
              <a:lnTo>
                <a:pt x="94534" y="977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0.64109</cdr:x>
      <cdr:y>0.12269</cdr:y>
    </cdr:from>
    <cdr:to>
      <cdr:x>0.65401</cdr:x>
      <cdr:y>0.13552</cdr:y>
    </cdr:to>
    <cdr:sp macro="" textlink="">
      <cdr:nvSpPr>
        <cdr:cNvPr id="364" name="FracNo 1052 StartRow 3894">
          <a:extLst xmlns:a="http://schemas.openxmlformats.org/drawingml/2006/main">
            <a:ext uri="{FF2B5EF4-FFF2-40B4-BE49-F238E27FC236}">
              <a16:creationId xmlns:a16="http://schemas.microsoft.com/office/drawing/2014/main" id="{4B0E8447-5997-3738-41D5-C10B6969AE4E}"/>
            </a:ext>
          </a:extLst>
        </cdr:cNvPr>
        <cdr:cNvSpPr/>
      </cdr:nvSpPr>
      <cdr:spPr>
        <a:xfrm xmlns:a="http://schemas.openxmlformats.org/drawingml/2006/main">
          <a:off x="4689714" y="934912"/>
          <a:ext cx="94536" cy="97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536" h="97782">
              <a:moveTo>
                <a:pt x="44951" y="46496"/>
              </a:moveTo>
              <a:lnTo>
                <a:pt x="0" y="0"/>
              </a:lnTo>
              <a:lnTo>
                <a:pt x="36258" y="0"/>
              </a:lnTo>
              <a:lnTo>
                <a:pt x="63969" y="28663"/>
              </a:lnTo>
              <a:lnTo>
                <a:pt x="94535" y="60278"/>
              </a:lnTo>
              <a:lnTo>
                <a:pt x="94535" y="977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0.35912</cdr:x>
      <cdr:y>0.2353</cdr:y>
    </cdr:from>
    <cdr:to>
      <cdr:x>0.37186</cdr:x>
      <cdr:y>0.24796</cdr:y>
    </cdr:to>
    <cdr:sp macro="" textlink="">
      <cdr:nvSpPr>
        <cdr:cNvPr id="365" name="FracNo 223 StartRow 3903">
          <a:extLst xmlns:a="http://schemas.openxmlformats.org/drawingml/2006/main">
            <a:ext uri="{FF2B5EF4-FFF2-40B4-BE49-F238E27FC236}">
              <a16:creationId xmlns:a16="http://schemas.microsoft.com/office/drawing/2014/main" id="{AE8745D0-698D-D891-2259-805FF5F66DB5}"/>
            </a:ext>
          </a:extLst>
        </cdr:cNvPr>
        <cdr:cNvSpPr/>
      </cdr:nvSpPr>
      <cdr:spPr>
        <a:xfrm xmlns:a="http://schemas.openxmlformats.org/drawingml/2006/main">
          <a:off x="2627036" y="1793013"/>
          <a:ext cx="93214" cy="964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214" h="96415">
              <a:moveTo>
                <a:pt x="17120" y="17707"/>
              </a:moveTo>
              <a:lnTo>
                <a:pt x="0" y="0"/>
              </a:lnTo>
              <a:lnTo>
                <a:pt x="36259" y="0"/>
              </a:lnTo>
              <a:lnTo>
                <a:pt x="46719" y="10820"/>
              </a:lnTo>
              <a:lnTo>
                <a:pt x="93213" y="58911"/>
              </a:lnTo>
              <a:lnTo>
                <a:pt x="93213" y="964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0.90225</cdr:x>
      <cdr:y>0.43838</cdr:y>
    </cdr:from>
    <cdr:to>
      <cdr:x>0.91493</cdr:x>
      <cdr:y>0.45097</cdr:y>
    </cdr:to>
    <cdr:sp macro="" textlink="">
      <cdr:nvSpPr>
        <cdr:cNvPr id="366" name="FracNo 1117 StartRow 3912">
          <a:extLst xmlns:a="http://schemas.openxmlformats.org/drawingml/2006/main">
            <a:ext uri="{FF2B5EF4-FFF2-40B4-BE49-F238E27FC236}">
              <a16:creationId xmlns:a16="http://schemas.microsoft.com/office/drawing/2014/main" id="{A0FB50E9-D57D-824E-6620-DC94248C1065}"/>
            </a:ext>
          </a:extLst>
        </cdr:cNvPr>
        <cdr:cNvSpPr/>
      </cdr:nvSpPr>
      <cdr:spPr>
        <a:xfrm xmlns:a="http://schemas.openxmlformats.org/drawingml/2006/main">
          <a:off x="6600147" y="3340421"/>
          <a:ext cx="92766" cy="959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766" h="95952">
              <a:moveTo>
                <a:pt x="53634" y="55476"/>
              </a:moveTo>
              <a:lnTo>
                <a:pt x="0" y="0"/>
              </a:lnTo>
              <a:lnTo>
                <a:pt x="36259" y="0"/>
              </a:lnTo>
              <a:lnTo>
                <a:pt x="68928" y="33792"/>
              </a:lnTo>
              <a:lnTo>
                <a:pt x="92765" y="58448"/>
              </a:lnTo>
              <a:lnTo>
                <a:pt x="92765" y="959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0.90825</cdr:x>
      <cdr:y>0.43242</cdr:y>
    </cdr:from>
    <cdr:to>
      <cdr:x>0.92093</cdr:x>
      <cdr:y>0.44501</cdr:y>
    </cdr:to>
    <cdr:sp macro="" textlink="">
      <cdr:nvSpPr>
        <cdr:cNvPr id="367" name="FracNo 950 StartRow 3921">
          <a:extLst xmlns:a="http://schemas.openxmlformats.org/drawingml/2006/main">
            <a:ext uri="{FF2B5EF4-FFF2-40B4-BE49-F238E27FC236}">
              <a16:creationId xmlns:a16="http://schemas.microsoft.com/office/drawing/2014/main" id="{248119B3-9825-508B-CACF-0D5289C4FD53}"/>
            </a:ext>
          </a:extLst>
        </cdr:cNvPr>
        <cdr:cNvSpPr/>
      </cdr:nvSpPr>
      <cdr:spPr>
        <a:xfrm xmlns:a="http://schemas.openxmlformats.org/drawingml/2006/main">
          <a:off x="6644055" y="3295006"/>
          <a:ext cx="92766" cy="959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766" h="95952">
              <a:moveTo>
                <a:pt x="59894" y="61951"/>
              </a:moveTo>
              <a:lnTo>
                <a:pt x="0" y="0"/>
              </a:lnTo>
              <a:lnTo>
                <a:pt x="0" y="37503"/>
              </a:lnTo>
              <a:lnTo>
                <a:pt x="36484" y="75240"/>
              </a:lnTo>
              <a:lnTo>
                <a:pt x="56507" y="95951"/>
              </a:lnTo>
              <a:lnTo>
                <a:pt x="92765" y="959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0.90982</cdr:x>
      <cdr:y>0.43086</cdr:y>
    </cdr:from>
    <cdr:to>
      <cdr:x>0.9225</cdr:x>
      <cdr:y>0.44345</cdr:y>
    </cdr:to>
    <cdr:sp macro="" textlink="">
      <cdr:nvSpPr>
        <cdr:cNvPr id="368" name="FracNo 919 StartRow 3930">
          <a:extLst xmlns:a="http://schemas.openxmlformats.org/drawingml/2006/main">
            <a:ext uri="{FF2B5EF4-FFF2-40B4-BE49-F238E27FC236}">
              <a16:creationId xmlns:a16="http://schemas.microsoft.com/office/drawing/2014/main" id="{CB11B1F6-573E-03B1-BF32-76FFD9856F5B}"/>
            </a:ext>
          </a:extLst>
        </cdr:cNvPr>
        <cdr:cNvSpPr/>
      </cdr:nvSpPr>
      <cdr:spPr>
        <a:xfrm xmlns:a="http://schemas.openxmlformats.org/drawingml/2006/main">
          <a:off x="6655502" y="3283165"/>
          <a:ext cx="92765" cy="959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765" h="95952">
              <a:moveTo>
                <a:pt x="4780" y="4945"/>
              </a:moveTo>
              <a:lnTo>
                <a:pt x="0" y="0"/>
              </a:lnTo>
              <a:lnTo>
                <a:pt x="36259" y="0"/>
              </a:lnTo>
              <a:lnTo>
                <a:pt x="39170" y="3012"/>
              </a:lnTo>
              <a:lnTo>
                <a:pt x="92764" y="58448"/>
              </a:lnTo>
              <a:lnTo>
                <a:pt x="92764" y="959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0.81312</cdr:x>
      <cdr:y>0.73243</cdr:y>
    </cdr:from>
    <cdr:to>
      <cdr:x>0.82329</cdr:x>
      <cdr:y>0.74745</cdr:y>
    </cdr:to>
    <cdr:sp macro="" textlink="">
      <cdr:nvSpPr>
        <cdr:cNvPr id="369" name="FracNo 553 StartRow 3939">
          <a:extLst xmlns:a="http://schemas.openxmlformats.org/drawingml/2006/main">
            <a:ext uri="{FF2B5EF4-FFF2-40B4-BE49-F238E27FC236}">
              <a16:creationId xmlns:a16="http://schemas.microsoft.com/office/drawing/2014/main" id="{3308756C-8AFD-6B95-7008-CA54DCAD87A9}"/>
            </a:ext>
          </a:extLst>
        </cdr:cNvPr>
        <cdr:cNvSpPr/>
      </cdr:nvSpPr>
      <cdr:spPr>
        <a:xfrm xmlns:a="http://schemas.openxmlformats.org/drawingml/2006/main">
          <a:off x="5948139" y="5581145"/>
          <a:ext cx="74370" cy="1144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370" h="114427">
              <a:moveTo>
                <a:pt x="60952" y="63045"/>
              </a:moveTo>
              <a:lnTo>
                <a:pt x="0" y="0"/>
              </a:lnTo>
              <a:lnTo>
                <a:pt x="0" y="37504"/>
              </a:lnTo>
              <a:lnTo>
                <a:pt x="60952" y="100549"/>
              </a:lnTo>
              <a:lnTo>
                <a:pt x="74369" y="114426"/>
              </a:lnTo>
              <a:lnTo>
                <a:pt x="74369" y="769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0.11878</cdr:x>
      <cdr:y>0.25207</cdr:y>
    </cdr:from>
    <cdr:to>
      <cdr:x>0.13385</cdr:x>
      <cdr:y>0.26211</cdr:y>
    </cdr:to>
    <cdr:sp macro="" textlink="">
      <cdr:nvSpPr>
        <cdr:cNvPr id="370" name="FracNo 234 StartRow 3948">
          <a:extLst xmlns:a="http://schemas.openxmlformats.org/drawingml/2006/main">
            <a:ext uri="{FF2B5EF4-FFF2-40B4-BE49-F238E27FC236}">
              <a16:creationId xmlns:a16="http://schemas.microsoft.com/office/drawing/2014/main" id="{4309BE01-56C1-F8DA-D3E0-0771B060FDA5}"/>
            </a:ext>
          </a:extLst>
        </cdr:cNvPr>
        <cdr:cNvSpPr/>
      </cdr:nvSpPr>
      <cdr:spPr>
        <a:xfrm xmlns:a="http://schemas.openxmlformats.org/drawingml/2006/main">
          <a:off x="868890" y="1920761"/>
          <a:ext cx="110227" cy="765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227" h="76508">
              <a:moveTo>
                <a:pt x="37375" y="1155"/>
              </a:moveTo>
              <a:lnTo>
                <a:pt x="36258" y="0"/>
              </a:lnTo>
              <a:lnTo>
                <a:pt x="0" y="0"/>
              </a:lnTo>
              <a:lnTo>
                <a:pt x="1116" y="1155"/>
              </a:lnTo>
              <a:lnTo>
                <a:pt x="73967" y="76507"/>
              </a:lnTo>
              <a:lnTo>
                <a:pt x="110226" y="765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0.25817</cdr:x>
      <cdr:y>0.11365</cdr:y>
    </cdr:from>
    <cdr:to>
      <cdr:x>0.26828</cdr:x>
      <cdr:y>0.12862</cdr:y>
    </cdr:to>
    <cdr:sp macro="" textlink="">
      <cdr:nvSpPr>
        <cdr:cNvPr id="371" name="FracNo 238 StartRow 3957">
          <a:extLst xmlns:a="http://schemas.openxmlformats.org/drawingml/2006/main">
            <a:ext uri="{FF2B5EF4-FFF2-40B4-BE49-F238E27FC236}">
              <a16:creationId xmlns:a16="http://schemas.microsoft.com/office/drawing/2014/main" id="{CB458811-DD22-5080-1CCA-2D7D1EF9D07A}"/>
            </a:ext>
          </a:extLst>
        </cdr:cNvPr>
        <cdr:cNvSpPr/>
      </cdr:nvSpPr>
      <cdr:spPr>
        <a:xfrm xmlns:a="http://schemas.openxmlformats.org/drawingml/2006/main">
          <a:off x="1888582" y="866051"/>
          <a:ext cx="73968" cy="1140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968" h="114012">
              <a:moveTo>
                <a:pt x="60362" y="99938"/>
              </a:moveTo>
              <a:lnTo>
                <a:pt x="0" y="37503"/>
              </a:lnTo>
              <a:lnTo>
                <a:pt x="0" y="0"/>
              </a:lnTo>
              <a:lnTo>
                <a:pt x="60362" y="62435"/>
              </a:lnTo>
              <a:lnTo>
                <a:pt x="73967" y="76507"/>
              </a:lnTo>
              <a:lnTo>
                <a:pt x="73967" y="1140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0.14943</cdr:x>
      <cdr:y>0.22163</cdr:y>
    </cdr:from>
    <cdr:to>
      <cdr:x>0.15954</cdr:x>
      <cdr:y>0.2366</cdr:y>
    </cdr:to>
    <cdr:sp macro="" textlink="">
      <cdr:nvSpPr>
        <cdr:cNvPr id="372" name="FracNo 1005 StartRow 3966">
          <a:extLst xmlns:a="http://schemas.openxmlformats.org/drawingml/2006/main">
            <a:ext uri="{FF2B5EF4-FFF2-40B4-BE49-F238E27FC236}">
              <a16:creationId xmlns:a16="http://schemas.microsoft.com/office/drawing/2014/main" id="{E981C45A-E249-8901-3A1D-8FC0141894A9}"/>
            </a:ext>
          </a:extLst>
        </cdr:cNvPr>
        <cdr:cNvSpPr/>
      </cdr:nvSpPr>
      <cdr:spPr>
        <a:xfrm xmlns:a="http://schemas.openxmlformats.org/drawingml/2006/main">
          <a:off x="1093101" y="1688850"/>
          <a:ext cx="73969" cy="1140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969" h="114012">
              <a:moveTo>
                <a:pt x="11016" y="48897"/>
              </a:moveTo>
              <a:lnTo>
                <a:pt x="0" y="37504"/>
              </a:lnTo>
              <a:lnTo>
                <a:pt x="0" y="0"/>
              </a:lnTo>
              <a:lnTo>
                <a:pt x="11016" y="11394"/>
              </a:lnTo>
              <a:lnTo>
                <a:pt x="73968" y="76507"/>
              </a:lnTo>
              <a:lnTo>
                <a:pt x="73968" y="1140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0.61468</cdr:x>
      <cdr:y>0.79606</cdr:y>
    </cdr:from>
    <cdr:to>
      <cdr:x>0.62721</cdr:x>
      <cdr:y>0.80851</cdr:y>
    </cdr:to>
    <cdr:sp macro="" textlink="">
      <cdr:nvSpPr>
        <cdr:cNvPr id="373" name="FracNo 706 StartRow 3975">
          <a:extLst xmlns:a="http://schemas.openxmlformats.org/drawingml/2006/main">
            <a:ext uri="{FF2B5EF4-FFF2-40B4-BE49-F238E27FC236}">
              <a16:creationId xmlns:a16="http://schemas.microsoft.com/office/drawing/2014/main" id="{FF3813A3-B991-522E-3F4A-790AF3182DC4}"/>
            </a:ext>
          </a:extLst>
        </cdr:cNvPr>
        <cdr:cNvSpPr/>
      </cdr:nvSpPr>
      <cdr:spPr>
        <a:xfrm xmlns:a="http://schemas.openxmlformats.org/drawingml/2006/main">
          <a:off x="4496472" y="6066001"/>
          <a:ext cx="91689" cy="94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689" h="94838">
              <a:moveTo>
                <a:pt x="1508" y="39065"/>
              </a:moveTo>
              <a:lnTo>
                <a:pt x="0" y="37504"/>
              </a:lnTo>
              <a:lnTo>
                <a:pt x="0" y="0"/>
              </a:lnTo>
              <a:lnTo>
                <a:pt x="2495" y="2582"/>
              </a:lnTo>
              <a:lnTo>
                <a:pt x="91688" y="94837"/>
              </a:lnTo>
              <a:lnTo>
                <a:pt x="55429" y="948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0.57232</cdr:x>
      <cdr:y>0.83812</cdr:y>
    </cdr:from>
    <cdr:to>
      <cdr:x>0.58485</cdr:x>
      <cdr:y>0.85057</cdr:y>
    </cdr:to>
    <cdr:sp macro="" textlink="">
      <cdr:nvSpPr>
        <cdr:cNvPr id="374" name="FracNo 710 StartRow 3984">
          <a:extLst xmlns:a="http://schemas.openxmlformats.org/drawingml/2006/main">
            <a:ext uri="{FF2B5EF4-FFF2-40B4-BE49-F238E27FC236}">
              <a16:creationId xmlns:a16="http://schemas.microsoft.com/office/drawing/2014/main" id="{5C011EB1-11D8-6099-5A45-F9CFE1E59413}"/>
            </a:ext>
          </a:extLst>
        </cdr:cNvPr>
        <cdr:cNvSpPr/>
      </cdr:nvSpPr>
      <cdr:spPr>
        <a:xfrm xmlns:a="http://schemas.openxmlformats.org/drawingml/2006/main">
          <a:off x="4186612" y="6386503"/>
          <a:ext cx="91689" cy="94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689" h="94837">
              <a:moveTo>
                <a:pt x="85524" y="50957"/>
              </a:moveTo>
              <a:lnTo>
                <a:pt x="36259" y="0"/>
              </a:lnTo>
              <a:lnTo>
                <a:pt x="0" y="0"/>
              </a:lnTo>
              <a:lnTo>
                <a:pt x="81492" y="84290"/>
              </a:lnTo>
              <a:lnTo>
                <a:pt x="91688" y="94836"/>
              </a:lnTo>
              <a:lnTo>
                <a:pt x="91688" y="573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0.57013</cdr:x>
      <cdr:y>0.84029</cdr:y>
    </cdr:from>
    <cdr:to>
      <cdr:x>0.58267</cdr:x>
      <cdr:y>0.85274</cdr:y>
    </cdr:to>
    <cdr:sp macro="" textlink="">
      <cdr:nvSpPr>
        <cdr:cNvPr id="375" name="FracNo 1088 StartRow 3993">
          <a:extLst xmlns:a="http://schemas.openxmlformats.org/drawingml/2006/main">
            <a:ext uri="{FF2B5EF4-FFF2-40B4-BE49-F238E27FC236}">
              <a16:creationId xmlns:a16="http://schemas.microsoft.com/office/drawing/2014/main" id="{C1B27E21-B2B4-C0AD-5E25-ED2C8BEB2017}"/>
            </a:ext>
          </a:extLst>
        </cdr:cNvPr>
        <cdr:cNvSpPr/>
      </cdr:nvSpPr>
      <cdr:spPr>
        <a:xfrm xmlns:a="http://schemas.openxmlformats.org/drawingml/2006/main">
          <a:off x="4170633" y="6403030"/>
          <a:ext cx="91689" cy="94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689" h="94838">
              <a:moveTo>
                <a:pt x="16026" y="54081"/>
              </a:moveTo>
              <a:lnTo>
                <a:pt x="0" y="37504"/>
              </a:lnTo>
              <a:lnTo>
                <a:pt x="0" y="0"/>
              </a:lnTo>
              <a:lnTo>
                <a:pt x="26509" y="27420"/>
              </a:lnTo>
              <a:lnTo>
                <a:pt x="91688" y="94837"/>
              </a:lnTo>
              <a:lnTo>
                <a:pt x="55429" y="948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0.63832</cdr:x>
      <cdr:y>0.77259</cdr:y>
    </cdr:from>
    <cdr:to>
      <cdr:x>0.65085</cdr:x>
      <cdr:y>0.78504</cdr:y>
    </cdr:to>
    <cdr:sp macro="" textlink="">
      <cdr:nvSpPr>
        <cdr:cNvPr id="376" name="FracNo 713 StartRow 4002">
          <a:extLst xmlns:a="http://schemas.openxmlformats.org/drawingml/2006/main">
            <a:ext uri="{FF2B5EF4-FFF2-40B4-BE49-F238E27FC236}">
              <a16:creationId xmlns:a16="http://schemas.microsoft.com/office/drawing/2014/main" id="{F80B93E9-F475-350B-8519-F908964092FD}"/>
            </a:ext>
          </a:extLst>
        </cdr:cNvPr>
        <cdr:cNvSpPr/>
      </cdr:nvSpPr>
      <cdr:spPr>
        <a:xfrm xmlns:a="http://schemas.openxmlformats.org/drawingml/2006/main">
          <a:off x="4669405" y="5887129"/>
          <a:ext cx="91689" cy="94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689" h="94838">
              <a:moveTo>
                <a:pt x="53298" y="17625"/>
              </a:moveTo>
              <a:lnTo>
                <a:pt x="36259" y="0"/>
              </a:lnTo>
              <a:lnTo>
                <a:pt x="0" y="0"/>
              </a:lnTo>
              <a:lnTo>
                <a:pt x="28185" y="29154"/>
              </a:lnTo>
              <a:lnTo>
                <a:pt x="91688" y="94837"/>
              </a:lnTo>
              <a:lnTo>
                <a:pt x="91688" y="573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0.70561</cdr:x>
      <cdr:y>0.70577</cdr:y>
    </cdr:from>
    <cdr:to>
      <cdr:x>0.71814</cdr:x>
      <cdr:y>0.71822</cdr:y>
    </cdr:to>
    <cdr:sp macro="" textlink="">
      <cdr:nvSpPr>
        <cdr:cNvPr id="377" name="FracNo 962 StartRow 4011">
          <a:extLst xmlns:a="http://schemas.openxmlformats.org/drawingml/2006/main">
            <a:ext uri="{FF2B5EF4-FFF2-40B4-BE49-F238E27FC236}">
              <a16:creationId xmlns:a16="http://schemas.microsoft.com/office/drawing/2014/main" id="{3F08D4A5-3ACF-C485-5038-A4C62188FF1C}"/>
            </a:ext>
          </a:extLst>
        </cdr:cNvPr>
        <cdr:cNvSpPr/>
      </cdr:nvSpPr>
      <cdr:spPr>
        <a:xfrm xmlns:a="http://schemas.openxmlformats.org/drawingml/2006/main">
          <a:off x="5161664" y="5377965"/>
          <a:ext cx="91689" cy="94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689" h="94837">
              <a:moveTo>
                <a:pt x="61453" y="26059"/>
              </a:moveTo>
              <a:lnTo>
                <a:pt x="36259" y="0"/>
              </a:lnTo>
              <a:lnTo>
                <a:pt x="0" y="0"/>
              </a:lnTo>
              <a:lnTo>
                <a:pt x="41675" y="43106"/>
              </a:lnTo>
              <a:lnTo>
                <a:pt x="91688" y="94836"/>
              </a:lnTo>
              <a:lnTo>
                <a:pt x="91688" y="573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0.55411</cdr:x>
      <cdr:y>0.13033</cdr:y>
    </cdr:from>
    <cdr:to>
      <cdr:x>0.56659</cdr:x>
      <cdr:y>0.14272</cdr:y>
    </cdr:to>
    <cdr:sp macro="" textlink="">
      <cdr:nvSpPr>
        <cdr:cNvPr id="378" name="FracNo 1148 StartRow 4020">
          <a:extLst xmlns:a="http://schemas.openxmlformats.org/drawingml/2006/main">
            <a:ext uri="{FF2B5EF4-FFF2-40B4-BE49-F238E27FC236}">
              <a16:creationId xmlns:a16="http://schemas.microsoft.com/office/drawing/2014/main" id="{08EC77A3-5E94-9B70-EAC6-0F8AE631ADA5}"/>
            </a:ext>
          </a:extLst>
        </cdr:cNvPr>
        <cdr:cNvSpPr/>
      </cdr:nvSpPr>
      <cdr:spPr>
        <a:xfrm xmlns:a="http://schemas.openxmlformats.org/drawingml/2006/main">
          <a:off x="4053445" y="993089"/>
          <a:ext cx="91275" cy="944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275" h="94410">
              <a:moveTo>
                <a:pt x="49931" y="14142"/>
              </a:moveTo>
              <a:lnTo>
                <a:pt x="36258" y="0"/>
              </a:lnTo>
              <a:lnTo>
                <a:pt x="0" y="0"/>
              </a:lnTo>
              <a:lnTo>
                <a:pt x="22683" y="23463"/>
              </a:lnTo>
              <a:lnTo>
                <a:pt x="91274" y="94409"/>
              </a:lnTo>
              <a:lnTo>
                <a:pt x="91274" y="569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0.51847</cdr:x>
      <cdr:y>0.16572</cdr:y>
    </cdr:from>
    <cdr:to>
      <cdr:x>0.53095</cdr:x>
      <cdr:y>0.17811</cdr:y>
    </cdr:to>
    <cdr:sp macro="" textlink="">
      <cdr:nvSpPr>
        <cdr:cNvPr id="379" name="FracNo 999 StartRow 4029">
          <a:extLst xmlns:a="http://schemas.openxmlformats.org/drawingml/2006/main">
            <a:ext uri="{FF2B5EF4-FFF2-40B4-BE49-F238E27FC236}">
              <a16:creationId xmlns:a16="http://schemas.microsoft.com/office/drawing/2014/main" id="{625CB40B-BB98-1A9C-F2F5-9BE25B726A5D}"/>
            </a:ext>
          </a:extLst>
        </cdr:cNvPr>
        <cdr:cNvSpPr/>
      </cdr:nvSpPr>
      <cdr:spPr>
        <a:xfrm xmlns:a="http://schemas.openxmlformats.org/drawingml/2006/main">
          <a:off x="3792697" y="1262791"/>
          <a:ext cx="91276" cy="944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276" h="94410">
              <a:moveTo>
                <a:pt x="20569" y="58780"/>
              </a:moveTo>
              <a:lnTo>
                <a:pt x="0" y="37504"/>
              </a:lnTo>
              <a:lnTo>
                <a:pt x="0" y="0"/>
              </a:lnTo>
              <a:lnTo>
                <a:pt x="34126" y="35298"/>
              </a:lnTo>
              <a:lnTo>
                <a:pt x="91275" y="94409"/>
              </a:lnTo>
              <a:lnTo>
                <a:pt x="55016" y="944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0.80732</cdr:x>
      <cdr:y>0.56854</cdr:y>
    </cdr:from>
    <cdr:to>
      <cdr:x>0.81976</cdr:x>
      <cdr:y>0.5809</cdr:y>
    </cdr:to>
    <cdr:sp macro="" textlink="">
      <cdr:nvSpPr>
        <cdr:cNvPr id="380" name="FracNo 868 StartRow 4038">
          <a:extLst xmlns:a="http://schemas.openxmlformats.org/drawingml/2006/main">
            <a:ext uri="{FF2B5EF4-FFF2-40B4-BE49-F238E27FC236}">
              <a16:creationId xmlns:a16="http://schemas.microsoft.com/office/drawing/2014/main" id="{62128277-9B56-63D7-EFE6-C354EE8D9AC4}"/>
            </a:ext>
          </a:extLst>
        </cdr:cNvPr>
        <cdr:cNvSpPr/>
      </cdr:nvSpPr>
      <cdr:spPr>
        <a:xfrm xmlns:a="http://schemas.openxmlformats.org/drawingml/2006/main">
          <a:off x="5905676" y="4332294"/>
          <a:ext cx="91012" cy="941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012" h="94138">
              <a:moveTo>
                <a:pt x="57576" y="59554"/>
              </a:moveTo>
              <a:lnTo>
                <a:pt x="0" y="0"/>
              </a:lnTo>
              <a:lnTo>
                <a:pt x="0" y="37504"/>
              </a:lnTo>
              <a:lnTo>
                <a:pt x="34638" y="73331"/>
              </a:lnTo>
              <a:lnTo>
                <a:pt x="54752" y="94137"/>
              </a:lnTo>
              <a:lnTo>
                <a:pt x="91011" y="941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0.77618</cdr:x>
      <cdr:y>0.59946</cdr:y>
    </cdr:from>
    <cdr:to>
      <cdr:x>0.78862</cdr:x>
      <cdr:y>0.61182</cdr:y>
    </cdr:to>
    <cdr:sp macro="" textlink="">
      <cdr:nvSpPr>
        <cdr:cNvPr id="381" name="FracNo 869 StartRow 4047">
          <a:extLst xmlns:a="http://schemas.openxmlformats.org/drawingml/2006/main">
            <a:ext uri="{FF2B5EF4-FFF2-40B4-BE49-F238E27FC236}">
              <a16:creationId xmlns:a16="http://schemas.microsoft.com/office/drawing/2014/main" id="{175A1740-7A9A-5924-EF91-A93316D1E898}"/>
            </a:ext>
          </a:extLst>
        </cdr:cNvPr>
        <cdr:cNvSpPr/>
      </cdr:nvSpPr>
      <cdr:spPr>
        <a:xfrm xmlns:a="http://schemas.openxmlformats.org/drawingml/2006/main">
          <a:off x="5677895" y="4567897"/>
          <a:ext cx="91013" cy="941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013" h="94138">
              <a:moveTo>
                <a:pt x="42991" y="44467"/>
              </a:moveTo>
              <a:lnTo>
                <a:pt x="0" y="0"/>
              </a:lnTo>
              <a:lnTo>
                <a:pt x="0" y="37503"/>
              </a:lnTo>
              <a:lnTo>
                <a:pt x="25863" y="64255"/>
              </a:lnTo>
              <a:lnTo>
                <a:pt x="54754" y="94137"/>
              </a:lnTo>
              <a:lnTo>
                <a:pt x="91012" y="941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0.71688</cdr:x>
      <cdr:y>0.65834</cdr:y>
    </cdr:from>
    <cdr:to>
      <cdr:x>0.72932</cdr:x>
      <cdr:y>0.6707</cdr:y>
    </cdr:to>
    <cdr:sp macro="" textlink="">
      <cdr:nvSpPr>
        <cdr:cNvPr id="382" name="FracNo 554 StartRow 4056">
          <a:extLst xmlns:a="http://schemas.openxmlformats.org/drawingml/2006/main">
            <a:ext uri="{FF2B5EF4-FFF2-40B4-BE49-F238E27FC236}">
              <a16:creationId xmlns:a16="http://schemas.microsoft.com/office/drawing/2014/main" id="{B443153B-FC43-F0F5-4938-72509E29B72C}"/>
            </a:ext>
          </a:extLst>
        </cdr:cNvPr>
        <cdr:cNvSpPr/>
      </cdr:nvSpPr>
      <cdr:spPr>
        <a:xfrm xmlns:a="http://schemas.openxmlformats.org/drawingml/2006/main">
          <a:off x="5244115" y="5016574"/>
          <a:ext cx="91013" cy="941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013" h="94138">
              <a:moveTo>
                <a:pt x="24941" y="25797"/>
              </a:moveTo>
              <a:lnTo>
                <a:pt x="0" y="0"/>
              </a:lnTo>
              <a:lnTo>
                <a:pt x="36258" y="0"/>
              </a:lnTo>
              <a:lnTo>
                <a:pt x="51263" y="15519"/>
              </a:lnTo>
              <a:lnTo>
                <a:pt x="91012" y="56633"/>
              </a:lnTo>
              <a:lnTo>
                <a:pt x="91012" y="941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0.27349</cdr:x>
      <cdr:y>0.75459</cdr:y>
    </cdr:from>
    <cdr:to>
      <cdr:x>0.28341</cdr:x>
      <cdr:y>0.76936</cdr:y>
    </cdr:to>
    <cdr:sp macro="" textlink="">
      <cdr:nvSpPr>
        <cdr:cNvPr id="383" name="FracNo 65 StartRow 4065">
          <a:extLst xmlns:a="http://schemas.openxmlformats.org/drawingml/2006/main">
            <a:ext uri="{FF2B5EF4-FFF2-40B4-BE49-F238E27FC236}">
              <a16:creationId xmlns:a16="http://schemas.microsoft.com/office/drawing/2014/main" id="{3236F655-7EBB-3C6B-0355-69E86BE68C51}"/>
            </a:ext>
          </a:extLst>
        </cdr:cNvPr>
        <cdr:cNvSpPr/>
      </cdr:nvSpPr>
      <cdr:spPr>
        <a:xfrm xmlns:a="http://schemas.openxmlformats.org/drawingml/2006/main">
          <a:off x="2000601" y="5749965"/>
          <a:ext cx="72595" cy="1125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595" h="112592">
              <a:moveTo>
                <a:pt x="10787" y="11159"/>
              </a:moveTo>
              <a:lnTo>
                <a:pt x="0" y="0"/>
              </a:lnTo>
              <a:lnTo>
                <a:pt x="0" y="37504"/>
              </a:lnTo>
              <a:lnTo>
                <a:pt x="10787" y="48662"/>
              </a:lnTo>
              <a:lnTo>
                <a:pt x="72594" y="112591"/>
              </a:lnTo>
              <a:lnTo>
                <a:pt x="72594" y="750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0.70719</cdr:x>
      <cdr:y>0.08544</cdr:y>
    </cdr:from>
    <cdr:to>
      <cdr:x>0.71954</cdr:x>
      <cdr:y>0.09771</cdr:y>
    </cdr:to>
    <cdr:sp macro="" textlink="">
      <cdr:nvSpPr>
        <cdr:cNvPr id="384" name="FracNo 320 StartRow 4074">
          <a:extLst xmlns:a="http://schemas.openxmlformats.org/drawingml/2006/main">
            <a:ext uri="{FF2B5EF4-FFF2-40B4-BE49-F238E27FC236}">
              <a16:creationId xmlns:a16="http://schemas.microsoft.com/office/drawing/2014/main" id="{FEB6609F-61BE-AC4C-330D-7205081A5414}"/>
            </a:ext>
          </a:extLst>
        </cdr:cNvPr>
        <cdr:cNvSpPr/>
      </cdr:nvSpPr>
      <cdr:spPr>
        <a:xfrm xmlns:a="http://schemas.openxmlformats.org/drawingml/2006/main">
          <a:off x="5173203" y="651036"/>
          <a:ext cx="90400" cy="935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400" h="93504">
              <a:moveTo>
                <a:pt x="81077" y="46358"/>
              </a:moveTo>
              <a:lnTo>
                <a:pt x="36258" y="0"/>
              </a:lnTo>
              <a:lnTo>
                <a:pt x="0" y="0"/>
              </a:lnTo>
              <a:lnTo>
                <a:pt x="74835" y="77405"/>
              </a:lnTo>
              <a:lnTo>
                <a:pt x="90399" y="93503"/>
              </a:lnTo>
              <a:lnTo>
                <a:pt x="90399" y="560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0.74489</cdr:x>
      <cdr:y>0.695</cdr:y>
    </cdr:from>
    <cdr:to>
      <cdr:x>0.75723</cdr:x>
      <cdr:y>0.70725</cdr:y>
    </cdr:to>
    <cdr:sp macro="" textlink="">
      <cdr:nvSpPr>
        <cdr:cNvPr id="385" name="FracNo 1103 StartRow 4083">
          <a:extLst xmlns:a="http://schemas.openxmlformats.org/drawingml/2006/main">
            <a:ext uri="{FF2B5EF4-FFF2-40B4-BE49-F238E27FC236}">
              <a16:creationId xmlns:a16="http://schemas.microsoft.com/office/drawing/2014/main" id="{EE1B7DF5-AA4E-4E6E-3613-1E0EBFA057F6}"/>
            </a:ext>
          </a:extLst>
        </cdr:cNvPr>
        <cdr:cNvSpPr/>
      </cdr:nvSpPr>
      <cdr:spPr>
        <a:xfrm xmlns:a="http://schemas.openxmlformats.org/drawingml/2006/main">
          <a:off x="5449004" y="5295909"/>
          <a:ext cx="90259" cy="93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259" h="93358">
              <a:moveTo>
                <a:pt x="77970" y="80647"/>
              </a:moveTo>
              <a:lnTo>
                <a:pt x="0" y="0"/>
              </a:lnTo>
              <a:lnTo>
                <a:pt x="36258" y="0"/>
              </a:lnTo>
              <a:lnTo>
                <a:pt x="82906" y="48249"/>
              </a:lnTo>
              <a:lnTo>
                <a:pt x="90258" y="55853"/>
              </a:lnTo>
              <a:lnTo>
                <a:pt x="90258" y="933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0.11131</cdr:x>
      <cdr:y>0.91563</cdr:y>
    </cdr:from>
    <cdr:to>
      <cdr:x>0.12353</cdr:x>
      <cdr:y>0.92776</cdr:y>
    </cdr:to>
    <cdr:sp macro="" textlink="">
      <cdr:nvSpPr>
        <cdr:cNvPr id="386" name="FracNo 987 StartRow 4092">
          <a:extLst xmlns:a="http://schemas.openxmlformats.org/drawingml/2006/main">
            <a:ext uri="{FF2B5EF4-FFF2-40B4-BE49-F238E27FC236}">
              <a16:creationId xmlns:a16="http://schemas.microsoft.com/office/drawing/2014/main" id="{2ED6691C-CE81-B1FD-1D23-F83A7D06B4FD}"/>
            </a:ext>
          </a:extLst>
        </cdr:cNvPr>
        <cdr:cNvSpPr/>
      </cdr:nvSpPr>
      <cdr:spPr>
        <a:xfrm xmlns:a="http://schemas.openxmlformats.org/drawingml/2006/main">
          <a:off x="814222" y="6977087"/>
          <a:ext cx="89396" cy="92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396" h="92466">
              <a:moveTo>
                <a:pt x="61882" y="64007"/>
              </a:moveTo>
              <a:lnTo>
                <a:pt x="0" y="0"/>
              </a:lnTo>
              <a:lnTo>
                <a:pt x="36258" y="0"/>
              </a:lnTo>
              <a:lnTo>
                <a:pt x="73041" y="38046"/>
              </a:lnTo>
              <a:lnTo>
                <a:pt x="89395" y="54961"/>
              </a:lnTo>
              <a:lnTo>
                <a:pt x="89395" y="924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0.39121</cdr:x>
      <cdr:y>0.88668</cdr:y>
    </cdr:from>
    <cdr:to>
      <cdr:x>0.4058</cdr:x>
      <cdr:y>0.89625</cdr:y>
    </cdr:to>
    <cdr:sp macro="" textlink="">
      <cdr:nvSpPr>
        <cdr:cNvPr id="387" name="FracNo 1087 StartRow 4101">
          <a:extLst xmlns:a="http://schemas.openxmlformats.org/drawingml/2006/main">
            <a:ext uri="{FF2B5EF4-FFF2-40B4-BE49-F238E27FC236}">
              <a16:creationId xmlns:a16="http://schemas.microsoft.com/office/drawing/2014/main" id="{867CBC5D-EE84-23B8-95DE-BD1F1D407B9D}"/>
            </a:ext>
          </a:extLst>
        </cdr:cNvPr>
        <cdr:cNvSpPr/>
      </cdr:nvSpPr>
      <cdr:spPr>
        <a:xfrm xmlns:a="http://schemas.openxmlformats.org/drawingml/2006/main">
          <a:off x="2861764" y="6756507"/>
          <a:ext cx="106752" cy="729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752" h="72914">
              <a:moveTo>
                <a:pt x="15238" y="15761"/>
              </a:moveTo>
              <a:lnTo>
                <a:pt x="0" y="0"/>
              </a:lnTo>
              <a:lnTo>
                <a:pt x="36259" y="0"/>
              </a:lnTo>
              <a:lnTo>
                <a:pt x="51496" y="15761"/>
              </a:lnTo>
              <a:lnTo>
                <a:pt x="106751" y="72913"/>
              </a:lnTo>
              <a:lnTo>
                <a:pt x="70492" y="729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0.38534</cdr:x>
      <cdr:y>0.89251</cdr:y>
    </cdr:from>
    <cdr:to>
      <cdr:x>0.39497</cdr:x>
      <cdr:y>0.907</cdr:y>
    </cdr:to>
    <cdr:sp macro="" textlink="">
      <cdr:nvSpPr>
        <cdr:cNvPr id="388" name="FracNo 712 StartRow 4110">
          <a:extLst xmlns:a="http://schemas.openxmlformats.org/drawingml/2006/main">
            <a:ext uri="{FF2B5EF4-FFF2-40B4-BE49-F238E27FC236}">
              <a16:creationId xmlns:a16="http://schemas.microsoft.com/office/drawing/2014/main" id="{CA079DD4-6229-89D5-7A3E-7392A1CA604C}"/>
            </a:ext>
          </a:extLst>
        </cdr:cNvPr>
        <cdr:cNvSpPr/>
      </cdr:nvSpPr>
      <cdr:spPr>
        <a:xfrm xmlns:a="http://schemas.openxmlformats.org/drawingml/2006/main">
          <a:off x="2818805" y="6800941"/>
          <a:ext cx="70493" cy="110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493" h="110419">
              <a:moveTo>
                <a:pt x="55651" y="57563"/>
              </a:moveTo>
              <a:lnTo>
                <a:pt x="0" y="0"/>
              </a:lnTo>
              <a:lnTo>
                <a:pt x="0" y="37504"/>
              </a:lnTo>
              <a:lnTo>
                <a:pt x="55651" y="95067"/>
              </a:lnTo>
              <a:lnTo>
                <a:pt x="70492" y="110418"/>
              </a:lnTo>
              <a:lnTo>
                <a:pt x="70492" y="729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0.87665</cdr:x>
      <cdr:y>0.71394</cdr:y>
    </cdr:from>
    <cdr:to>
      <cdr:x>0.88615</cdr:x>
      <cdr:y>0.7283</cdr:y>
    </cdr:to>
    <cdr:sp macro="" textlink="">
      <cdr:nvSpPr>
        <cdr:cNvPr id="389" name="FracNo 541 StartRow 4119">
          <a:extLst xmlns:a="http://schemas.openxmlformats.org/drawingml/2006/main">
            <a:ext uri="{FF2B5EF4-FFF2-40B4-BE49-F238E27FC236}">
              <a16:creationId xmlns:a16="http://schemas.microsoft.com/office/drawing/2014/main" id="{1E88FCAE-9EA0-3299-FC6D-735D08081526}"/>
            </a:ext>
          </a:extLst>
        </cdr:cNvPr>
        <cdr:cNvSpPr/>
      </cdr:nvSpPr>
      <cdr:spPr>
        <a:xfrm xmlns:a="http://schemas.openxmlformats.org/drawingml/2006/main">
          <a:off x="6412842" y="5440211"/>
          <a:ext cx="69508" cy="1094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508" h="109400">
              <a:moveTo>
                <a:pt x="3854" y="41492"/>
              </a:moveTo>
              <a:lnTo>
                <a:pt x="0" y="37504"/>
              </a:lnTo>
              <a:lnTo>
                <a:pt x="0" y="0"/>
              </a:lnTo>
              <a:lnTo>
                <a:pt x="3854" y="3988"/>
              </a:lnTo>
              <a:lnTo>
                <a:pt x="69507" y="71895"/>
              </a:lnTo>
              <a:lnTo>
                <a:pt x="69507" y="1093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0.74722</cdr:x>
      <cdr:y>0.84245</cdr:y>
    </cdr:from>
    <cdr:to>
      <cdr:x>0.76168</cdr:x>
      <cdr:y>0.85189</cdr:y>
    </cdr:to>
    <cdr:sp macro="" textlink="">
      <cdr:nvSpPr>
        <cdr:cNvPr id="390" name="FracNo 559 StartRow 4128">
          <a:extLst xmlns:a="http://schemas.openxmlformats.org/drawingml/2006/main">
            <a:ext uri="{FF2B5EF4-FFF2-40B4-BE49-F238E27FC236}">
              <a16:creationId xmlns:a16="http://schemas.microsoft.com/office/drawing/2014/main" id="{2704E806-DBEB-4717-FF39-B7991AE46DBC}"/>
            </a:ext>
          </a:extLst>
        </cdr:cNvPr>
        <cdr:cNvSpPr/>
      </cdr:nvSpPr>
      <cdr:spPr>
        <a:xfrm xmlns:a="http://schemas.openxmlformats.org/drawingml/2006/main">
          <a:off x="5466071" y="6419496"/>
          <a:ext cx="105767" cy="71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767" h="71896">
              <a:moveTo>
                <a:pt x="93392" y="59096"/>
              </a:moveTo>
              <a:lnTo>
                <a:pt x="36258" y="0"/>
              </a:lnTo>
              <a:lnTo>
                <a:pt x="0" y="0"/>
              </a:lnTo>
              <a:lnTo>
                <a:pt x="57134" y="59096"/>
              </a:lnTo>
              <a:lnTo>
                <a:pt x="69507" y="71895"/>
              </a:lnTo>
              <a:lnTo>
                <a:pt x="105766" y="718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0.8281</cdr:x>
      <cdr:y>0.76215</cdr:y>
    </cdr:from>
    <cdr:to>
      <cdr:x>0.84256</cdr:x>
      <cdr:y>0.77158</cdr:y>
    </cdr:to>
    <cdr:sp macro="" textlink="">
      <cdr:nvSpPr>
        <cdr:cNvPr id="391" name="FracNo 1031 StartRow 4137">
          <a:extLst xmlns:a="http://schemas.openxmlformats.org/drawingml/2006/main">
            <a:ext uri="{FF2B5EF4-FFF2-40B4-BE49-F238E27FC236}">
              <a16:creationId xmlns:a16="http://schemas.microsoft.com/office/drawing/2014/main" id="{CBDF918F-1A9D-E0F1-561C-D7E05296ED6F}"/>
            </a:ext>
          </a:extLst>
        </cdr:cNvPr>
        <cdr:cNvSpPr/>
      </cdr:nvSpPr>
      <cdr:spPr>
        <a:xfrm xmlns:a="http://schemas.openxmlformats.org/drawingml/2006/main">
          <a:off x="6057691" y="5807558"/>
          <a:ext cx="105768" cy="71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768" h="71896">
              <a:moveTo>
                <a:pt x="75539" y="40628"/>
              </a:moveTo>
              <a:lnTo>
                <a:pt x="36259" y="0"/>
              </a:lnTo>
              <a:lnTo>
                <a:pt x="0" y="0"/>
              </a:lnTo>
              <a:lnTo>
                <a:pt x="39280" y="40628"/>
              </a:lnTo>
              <a:lnTo>
                <a:pt x="69508" y="71895"/>
              </a:lnTo>
              <a:lnTo>
                <a:pt x="105767" y="718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0.84533</cdr:x>
      <cdr:y>0.74503</cdr:y>
    </cdr:from>
    <cdr:to>
      <cdr:x>0.85979</cdr:x>
      <cdr:y>0.75447</cdr:y>
    </cdr:to>
    <cdr:sp macro="" textlink="">
      <cdr:nvSpPr>
        <cdr:cNvPr id="392" name="FracNo 1049 StartRow 4146">
          <a:extLst xmlns:a="http://schemas.openxmlformats.org/drawingml/2006/main">
            <a:ext uri="{FF2B5EF4-FFF2-40B4-BE49-F238E27FC236}">
              <a16:creationId xmlns:a16="http://schemas.microsoft.com/office/drawing/2014/main" id="{BBD2823A-3237-3F82-9F81-A55BA52F02B6}"/>
            </a:ext>
          </a:extLst>
        </cdr:cNvPr>
        <cdr:cNvSpPr/>
      </cdr:nvSpPr>
      <cdr:spPr>
        <a:xfrm xmlns:a="http://schemas.openxmlformats.org/drawingml/2006/main">
          <a:off x="6183768" y="5677152"/>
          <a:ext cx="105767" cy="71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767" h="71895">
              <a:moveTo>
                <a:pt x="51347" y="15606"/>
              </a:moveTo>
              <a:lnTo>
                <a:pt x="36259" y="0"/>
              </a:lnTo>
              <a:lnTo>
                <a:pt x="0" y="0"/>
              </a:lnTo>
              <a:lnTo>
                <a:pt x="15088" y="15606"/>
              </a:lnTo>
              <a:lnTo>
                <a:pt x="69508" y="71894"/>
              </a:lnTo>
              <a:lnTo>
                <a:pt x="105766" y="718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0.83169</cdr:x>
      <cdr:y>0.85064</cdr:y>
    </cdr:from>
    <cdr:to>
      <cdr:x>0.84361</cdr:x>
      <cdr:y>0.86248</cdr:y>
    </cdr:to>
    <cdr:sp macro="" textlink="">
      <cdr:nvSpPr>
        <cdr:cNvPr id="393" name="FracNo 882 StartRow 4155">
          <a:extLst xmlns:a="http://schemas.openxmlformats.org/drawingml/2006/main">
            <a:ext uri="{FF2B5EF4-FFF2-40B4-BE49-F238E27FC236}">
              <a16:creationId xmlns:a16="http://schemas.microsoft.com/office/drawing/2014/main" id="{CF90E7D6-01A5-0E07-E76C-D47A09C614AE}"/>
            </a:ext>
          </a:extLst>
        </cdr:cNvPr>
        <cdr:cNvSpPr/>
      </cdr:nvSpPr>
      <cdr:spPr>
        <a:xfrm xmlns:a="http://schemas.openxmlformats.org/drawingml/2006/main">
          <a:off x="6083983" y="6481888"/>
          <a:ext cx="87193" cy="90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193" h="90188">
              <a:moveTo>
                <a:pt x="47525" y="11654"/>
              </a:moveTo>
              <a:lnTo>
                <a:pt x="36259" y="0"/>
              </a:lnTo>
              <a:lnTo>
                <a:pt x="0" y="0"/>
              </a:lnTo>
              <a:lnTo>
                <a:pt x="19287" y="19950"/>
              </a:lnTo>
              <a:lnTo>
                <a:pt x="87192" y="90187"/>
              </a:lnTo>
              <a:lnTo>
                <a:pt x="87192" y="526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0.8032</cdr:x>
      <cdr:y>0.91394</cdr:y>
    </cdr:from>
    <cdr:to>
      <cdr:x>0.81512</cdr:x>
      <cdr:y>0.92578</cdr:y>
    </cdr:to>
    <cdr:sp macro="" textlink="">
      <cdr:nvSpPr>
        <cdr:cNvPr id="394" name="FracNo 1122 StartRow 4164">
          <a:extLst xmlns:a="http://schemas.openxmlformats.org/drawingml/2006/main">
            <a:ext uri="{FF2B5EF4-FFF2-40B4-BE49-F238E27FC236}">
              <a16:creationId xmlns:a16="http://schemas.microsoft.com/office/drawing/2014/main" id="{4EF23601-C618-DC4B-F97E-BD9FC65A9525}"/>
            </a:ext>
          </a:extLst>
        </cdr:cNvPr>
        <cdr:cNvSpPr/>
      </cdr:nvSpPr>
      <cdr:spPr>
        <a:xfrm xmlns:a="http://schemas.openxmlformats.org/drawingml/2006/main">
          <a:off x="5875589" y="6964254"/>
          <a:ext cx="87190" cy="90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190" h="90184">
              <a:moveTo>
                <a:pt x="44159" y="45675"/>
              </a:moveTo>
              <a:lnTo>
                <a:pt x="0" y="0"/>
              </a:lnTo>
              <a:lnTo>
                <a:pt x="36259" y="0"/>
              </a:lnTo>
              <a:lnTo>
                <a:pt x="62054" y="26681"/>
              </a:lnTo>
              <a:lnTo>
                <a:pt x="87189" y="52680"/>
              </a:lnTo>
              <a:lnTo>
                <a:pt x="87189" y="901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0.79641</cdr:x>
      <cdr:y>0.92068</cdr:y>
    </cdr:from>
    <cdr:to>
      <cdr:x>0.80833</cdr:x>
      <cdr:y>0.93252</cdr:y>
    </cdr:to>
    <cdr:sp macro="" textlink="">
      <cdr:nvSpPr>
        <cdr:cNvPr id="395" name="FracNo 549 StartRow 4173">
          <a:extLst xmlns:a="http://schemas.openxmlformats.org/drawingml/2006/main">
            <a:ext uri="{FF2B5EF4-FFF2-40B4-BE49-F238E27FC236}">
              <a16:creationId xmlns:a16="http://schemas.microsoft.com/office/drawing/2014/main" id="{E1C384A0-89AA-8330-8E1F-8B114EA46CFE}"/>
            </a:ext>
          </a:extLst>
        </cdr:cNvPr>
        <cdr:cNvSpPr/>
      </cdr:nvSpPr>
      <cdr:spPr>
        <a:xfrm xmlns:a="http://schemas.openxmlformats.org/drawingml/2006/main">
          <a:off x="5825931" y="7015618"/>
          <a:ext cx="87190" cy="90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190" h="90184">
              <a:moveTo>
                <a:pt x="51236" y="52996"/>
              </a:moveTo>
              <a:lnTo>
                <a:pt x="0" y="0"/>
              </a:lnTo>
              <a:lnTo>
                <a:pt x="36258" y="0"/>
              </a:lnTo>
              <a:lnTo>
                <a:pt x="66188" y="30957"/>
              </a:lnTo>
              <a:lnTo>
                <a:pt x="87189" y="52679"/>
              </a:lnTo>
              <a:lnTo>
                <a:pt x="87189" y="901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0.64153</cdr:x>
      <cdr:y>0.50467</cdr:y>
    </cdr:from>
    <cdr:to>
      <cdr:x>0.65339</cdr:x>
      <cdr:y>0.51645</cdr:y>
    </cdr:to>
    <cdr:sp macro="" textlink="">
      <cdr:nvSpPr>
        <cdr:cNvPr id="396" name="FracNo 872 StartRow 4182">
          <a:extLst xmlns:a="http://schemas.openxmlformats.org/drawingml/2006/main">
            <a:ext uri="{FF2B5EF4-FFF2-40B4-BE49-F238E27FC236}">
              <a16:creationId xmlns:a16="http://schemas.microsoft.com/office/drawing/2014/main" id="{DC42264B-FC03-182F-ABE5-0B6B2956FE0F}"/>
            </a:ext>
          </a:extLst>
        </cdr:cNvPr>
        <cdr:cNvSpPr/>
      </cdr:nvSpPr>
      <cdr:spPr>
        <a:xfrm xmlns:a="http://schemas.openxmlformats.org/drawingml/2006/main">
          <a:off x="4692923" y="3845581"/>
          <a:ext cx="86792" cy="897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792" h="89773">
              <a:moveTo>
                <a:pt x="21351" y="59588"/>
              </a:moveTo>
              <a:lnTo>
                <a:pt x="0" y="37504"/>
              </a:lnTo>
              <a:lnTo>
                <a:pt x="0" y="0"/>
              </a:lnTo>
              <a:lnTo>
                <a:pt x="36671" y="37931"/>
              </a:lnTo>
              <a:lnTo>
                <a:pt x="86791" y="89772"/>
              </a:lnTo>
              <a:lnTo>
                <a:pt x="50533" y="897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0.23753</cdr:x>
      <cdr:y>0.30572</cdr:y>
    </cdr:from>
    <cdr:to>
      <cdr:x>0.24936</cdr:x>
      <cdr:y>0.31747</cdr:y>
    </cdr:to>
    <cdr:sp macro="" textlink="">
      <cdr:nvSpPr>
        <cdr:cNvPr id="397" name="FracNo 1130 StartRow 4191">
          <a:extLst xmlns:a="http://schemas.openxmlformats.org/drawingml/2006/main">
            <a:ext uri="{FF2B5EF4-FFF2-40B4-BE49-F238E27FC236}">
              <a16:creationId xmlns:a16="http://schemas.microsoft.com/office/drawing/2014/main" id="{6D7D8BB1-EBB7-D2C5-670A-DF86410537A0}"/>
            </a:ext>
          </a:extLst>
        </cdr:cNvPr>
        <cdr:cNvSpPr/>
      </cdr:nvSpPr>
      <cdr:spPr>
        <a:xfrm xmlns:a="http://schemas.openxmlformats.org/drawingml/2006/main">
          <a:off x="1737588" y="2329622"/>
          <a:ext cx="86519" cy="894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519" h="89490">
              <a:moveTo>
                <a:pt x="114" y="37622"/>
              </a:moveTo>
              <a:lnTo>
                <a:pt x="0" y="37503"/>
              </a:lnTo>
              <a:lnTo>
                <a:pt x="0" y="0"/>
              </a:lnTo>
              <a:lnTo>
                <a:pt x="197" y="203"/>
              </a:lnTo>
              <a:lnTo>
                <a:pt x="86518" y="89489"/>
              </a:lnTo>
              <a:lnTo>
                <a:pt x="50259" y="894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0.22855</cdr:x>
      <cdr:y>0.31464</cdr:y>
    </cdr:from>
    <cdr:to>
      <cdr:x>0.24038</cdr:x>
      <cdr:y>0.32638</cdr:y>
    </cdr:to>
    <cdr:sp macro="" textlink="">
      <cdr:nvSpPr>
        <cdr:cNvPr id="398" name="FracNo 235 StartRow 4200">
          <a:extLst xmlns:a="http://schemas.openxmlformats.org/drawingml/2006/main">
            <a:ext uri="{FF2B5EF4-FFF2-40B4-BE49-F238E27FC236}">
              <a16:creationId xmlns:a16="http://schemas.microsoft.com/office/drawing/2014/main" id="{60CF0EAF-4E9C-E588-1734-01FF9D1B51C4}"/>
            </a:ext>
          </a:extLst>
        </cdr:cNvPr>
        <cdr:cNvSpPr/>
      </cdr:nvSpPr>
      <cdr:spPr>
        <a:xfrm xmlns:a="http://schemas.openxmlformats.org/drawingml/2006/main">
          <a:off x="1671924" y="2397541"/>
          <a:ext cx="86519" cy="894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519" h="89490">
              <a:moveTo>
                <a:pt x="1534" y="39090"/>
              </a:moveTo>
              <a:lnTo>
                <a:pt x="0" y="37503"/>
              </a:lnTo>
              <a:lnTo>
                <a:pt x="0" y="0"/>
              </a:lnTo>
              <a:lnTo>
                <a:pt x="2640" y="2730"/>
              </a:lnTo>
              <a:lnTo>
                <a:pt x="86518" y="89489"/>
              </a:lnTo>
              <a:lnTo>
                <a:pt x="50259" y="894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0.12935</cdr:x>
      <cdr:y>0.41315</cdr:y>
    </cdr:from>
    <cdr:to>
      <cdr:x>0.14117</cdr:x>
      <cdr:y>0.42489</cdr:y>
    </cdr:to>
    <cdr:sp macro="" textlink="">
      <cdr:nvSpPr>
        <cdr:cNvPr id="399" name="FracNo 146 StartRow 4209">
          <a:extLst xmlns:a="http://schemas.openxmlformats.org/drawingml/2006/main">
            <a:ext uri="{FF2B5EF4-FFF2-40B4-BE49-F238E27FC236}">
              <a16:creationId xmlns:a16="http://schemas.microsoft.com/office/drawing/2014/main" id="{AED8DF0E-35E1-05ED-EC4A-F29BEEB5F648}"/>
            </a:ext>
          </a:extLst>
        </cdr:cNvPr>
        <cdr:cNvSpPr/>
      </cdr:nvSpPr>
      <cdr:spPr>
        <a:xfrm xmlns:a="http://schemas.openxmlformats.org/drawingml/2006/main">
          <a:off x="946193" y="3148194"/>
          <a:ext cx="86519" cy="89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519" h="89491">
              <a:moveTo>
                <a:pt x="68354" y="33198"/>
              </a:moveTo>
              <a:lnTo>
                <a:pt x="36259" y="0"/>
              </a:lnTo>
              <a:lnTo>
                <a:pt x="0" y="0"/>
              </a:lnTo>
              <a:lnTo>
                <a:pt x="55251" y="57148"/>
              </a:lnTo>
              <a:lnTo>
                <a:pt x="86518" y="89490"/>
              </a:lnTo>
              <a:lnTo>
                <a:pt x="86518" y="519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0.50094</cdr:x>
      <cdr:y>0.4966</cdr:y>
    </cdr:from>
    <cdr:to>
      <cdr:x>0.51274</cdr:x>
      <cdr:y>0.50832</cdr:y>
    </cdr:to>
    <cdr:sp macro="" textlink="">
      <cdr:nvSpPr>
        <cdr:cNvPr id="400" name="FracNo 1082 StartRow 4218">
          <a:extLst xmlns:a="http://schemas.openxmlformats.org/drawingml/2006/main">
            <a:ext uri="{FF2B5EF4-FFF2-40B4-BE49-F238E27FC236}">
              <a16:creationId xmlns:a16="http://schemas.microsoft.com/office/drawing/2014/main" id="{DC96CD30-A401-4EF4-2527-2213C9BBE289}"/>
            </a:ext>
          </a:extLst>
        </cdr:cNvPr>
        <cdr:cNvSpPr/>
      </cdr:nvSpPr>
      <cdr:spPr>
        <a:xfrm xmlns:a="http://schemas.openxmlformats.org/drawingml/2006/main">
          <a:off x="3664481" y="3784130"/>
          <a:ext cx="86336" cy="89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336" h="89302">
              <a:moveTo>
                <a:pt x="1953" y="2020"/>
              </a:moveTo>
              <a:lnTo>
                <a:pt x="0" y="0"/>
              </a:lnTo>
              <a:lnTo>
                <a:pt x="0" y="37503"/>
              </a:lnTo>
              <a:lnTo>
                <a:pt x="1132" y="38675"/>
              </a:lnTo>
              <a:lnTo>
                <a:pt x="50077" y="89301"/>
              </a:lnTo>
              <a:lnTo>
                <a:pt x="86335" y="893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0.63772</cdr:x>
      <cdr:y>0.35698</cdr:y>
    </cdr:from>
    <cdr:to>
      <cdr:x>0.652</cdr:x>
      <cdr:y>0.36624</cdr:y>
    </cdr:to>
    <cdr:sp macro="" textlink="">
      <cdr:nvSpPr>
        <cdr:cNvPr id="401" name="FracNo 476 StartRow 4227">
          <a:extLst xmlns:a="http://schemas.openxmlformats.org/drawingml/2006/main">
            <a:ext uri="{FF2B5EF4-FFF2-40B4-BE49-F238E27FC236}">
              <a16:creationId xmlns:a16="http://schemas.microsoft.com/office/drawing/2014/main" id="{8D19ACF2-2737-3541-5C3E-B747AF6C8A2C}"/>
            </a:ext>
          </a:extLst>
        </cdr:cNvPr>
        <cdr:cNvSpPr/>
      </cdr:nvSpPr>
      <cdr:spPr>
        <a:xfrm xmlns:a="http://schemas.openxmlformats.org/drawingml/2006/main">
          <a:off x="4665022" y="2720202"/>
          <a:ext cx="104462" cy="705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462" h="70546">
              <a:moveTo>
                <a:pt x="3836" y="3969"/>
              </a:moveTo>
              <a:lnTo>
                <a:pt x="0" y="0"/>
              </a:lnTo>
              <a:lnTo>
                <a:pt x="36258" y="0"/>
              </a:lnTo>
              <a:lnTo>
                <a:pt x="40095" y="3969"/>
              </a:lnTo>
              <a:lnTo>
                <a:pt x="104461" y="70545"/>
              </a:lnTo>
              <a:lnTo>
                <a:pt x="68203" y="705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0.54572</cdr:x>
      <cdr:y>0.44833</cdr:y>
    </cdr:from>
    <cdr:to>
      <cdr:x>0.56</cdr:x>
      <cdr:y>0.45759</cdr:y>
    </cdr:to>
    <cdr:sp macro="" textlink="">
      <cdr:nvSpPr>
        <cdr:cNvPr id="402" name="FracNo 982 StartRow 4236">
          <a:extLst xmlns:a="http://schemas.openxmlformats.org/drawingml/2006/main">
            <a:ext uri="{FF2B5EF4-FFF2-40B4-BE49-F238E27FC236}">
              <a16:creationId xmlns:a16="http://schemas.microsoft.com/office/drawing/2014/main" id="{6AB12007-4D05-2606-D409-BFD5CFC0E52F}"/>
            </a:ext>
          </a:extLst>
        </cdr:cNvPr>
        <cdr:cNvSpPr/>
      </cdr:nvSpPr>
      <cdr:spPr>
        <a:xfrm xmlns:a="http://schemas.openxmlformats.org/drawingml/2006/main">
          <a:off x="3992060" y="3416275"/>
          <a:ext cx="104462" cy="705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462" h="70546">
              <a:moveTo>
                <a:pt x="11977" y="12388"/>
              </a:moveTo>
              <a:lnTo>
                <a:pt x="0" y="0"/>
              </a:lnTo>
              <a:lnTo>
                <a:pt x="36258" y="0"/>
              </a:lnTo>
              <a:lnTo>
                <a:pt x="48235" y="12388"/>
              </a:lnTo>
              <a:lnTo>
                <a:pt x="104461" y="70545"/>
              </a:lnTo>
              <a:lnTo>
                <a:pt x="68203" y="705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0.68281</cdr:x>
      <cdr:y>0.51594</cdr:y>
    </cdr:from>
    <cdr:to>
      <cdr:x>0.69213</cdr:x>
      <cdr:y>0.53011</cdr:y>
    </cdr:to>
    <cdr:sp macro="" textlink="">
      <cdr:nvSpPr>
        <cdr:cNvPr id="403" name="FracNo 979 StartRow 4245">
          <a:extLst xmlns:a="http://schemas.openxmlformats.org/drawingml/2006/main">
            <a:ext uri="{FF2B5EF4-FFF2-40B4-BE49-F238E27FC236}">
              <a16:creationId xmlns:a16="http://schemas.microsoft.com/office/drawing/2014/main" id="{FED98C54-828B-62DB-8B57-58A332832ED8}"/>
            </a:ext>
          </a:extLst>
        </cdr:cNvPr>
        <cdr:cNvSpPr/>
      </cdr:nvSpPr>
      <cdr:spPr>
        <a:xfrm xmlns:a="http://schemas.openxmlformats.org/drawingml/2006/main">
          <a:off x="4994923" y="3931460"/>
          <a:ext cx="68118" cy="1079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118" h="107961">
              <a:moveTo>
                <a:pt x="6003" y="43713"/>
              </a:moveTo>
              <a:lnTo>
                <a:pt x="0" y="37504"/>
              </a:lnTo>
              <a:lnTo>
                <a:pt x="0" y="0"/>
              </a:lnTo>
              <a:lnTo>
                <a:pt x="6003" y="6210"/>
              </a:lnTo>
              <a:lnTo>
                <a:pt x="68117" y="70457"/>
              </a:lnTo>
              <a:lnTo>
                <a:pt x="68117" y="1079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0.87386</cdr:x>
      <cdr:y>0.32624</cdr:y>
    </cdr:from>
    <cdr:to>
      <cdr:x>0.88812</cdr:x>
      <cdr:y>0.33549</cdr:y>
    </cdr:to>
    <cdr:sp macro="" textlink="">
      <cdr:nvSpPr>
        <cdr:cNvPr id="404" name="FracNo 960 StartRow 4254">
          <a:extLst xmlns:a="http://schemas.openxmlformats.org/drawingml/2006/main">
            <a:ext uri="{FF2B5EF4-FFF2-40B4-BE49-F238E27FC236}">
              <a16:creationId xmlns:a16="http://schemas.microsoft.com/office/drawing/2014/main" id="{082777B9-7FD9-28BC-CC6A-9DC265067AEB}"/>
            </a:ext>
          </a:extLst>
        </cdr:cNvPr>
        <cdr:cNvSpPr/>
      </cdr:nvSpPr>
      <cdr:spPr>
        <a:xfrm xmlns:a="http://schemas.openxmlformats.org/drawingml/2006/main">
          <a:off x="6392430" y="2485960"/>
          <a:ext cx="104376" cy="70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376" h="70457">
              <a:moveTo>
                <a:pt x="39238" y="3082"/>
              </a:moveTo>
              <a:lnTo>
                <a:pt x="36259" y="0"/>
              </a:lnTo>
              <a:lnTo>
                <a:pt x="0" y="0"/>
              </a:lnTo>
              <a:lnTo>
                <a:pt x="2980" y="3082"/>
              </a:lnTo>
              <a:lnTo>
                <a:pt x="68117" y="70456"/>
              </a:lnTo>
              <a:lnTo>
                <a:pt x="104375" y="704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0.7185</cdr:x>
      <cdr:y>0.48051</cdr:y>
    </cdr:from>
    <cdr:to>
      <cdr:x>0.72781</cdr:x>
      <cdr:y>0.49467</cdr:y>
    </cdr:to>
    <cdr:sp macro="" textlink="">
      <cdr:nvSpPr>
        <cdr:cNvPr id="405" name="FracNo 949 StartRow 4263">
          <a:extLst xmlns:a="http://schemas.openxmlformats.org/drawingml/2006/main">
            <a:ext uri="{FF2B5EF4-FFF2-40B4-BE49-F238E27FC236}">
              <a16:creationId xmlns:a16="http://schemas.microsoft.com/office/drawing/2014/main" id="{630C5BA1-D18B-0B7F-949F-B4CCB7C7273D}"/>
            </a:ext>
          </a:extLst>
        </cdr:cNvPr>
        <cdr:cNvSpPr/>
      </cdr:nvSpPr>
      <cdr:spPr>
        <a:xfrm xmlns:a="http://schemas.openxmlformats.org/drawingml/2006/main">
          <a:off x="5255959" y="3661460"/>
          <a:ext cx="68118" cy="1079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118" h="107961">
              <a:moveTo>
                <a:pt x="25929" y="64323"/>
              </a:moveTo>
              <a:lnTo>
                <a:pt x="0" y="37504"/>
              </a:lnTo>
              <a:lnTo>
                <a:pt x="0" y="0"/>
              </a:lnTo>
              <a:lnTo>
                <a:pt x="25929" y="26819"/>
              </a:lnTo>
              <a:lnTo>
                <a:pt x="68117" y="70456"/>
              </a:lnTo>
              <a:lnTo>
                <a:pt x="68117" y="1079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0.75442</cdr:x>
      <cdr:y>0.44484</cdr:y>
    </cdr:from>
    <cdr:to>
      <cdr:x>0.76869</cdr:x>
      <cdr:y>0.45408</cdr:y>
    </cdr:to>
    <cdr:sp macro="" textlink="">
      <cdr:nvSpPr>
        <cdr:cNvPr id="406" name="FracNo 866 StartRow 4272">
          <a:extLst xmlns:a="http://schemas.openxmlformats.org/drawingml/2006/main">
            <a:ext uri="{FF2B5EF4-FFF2-40B4-BE49-F238E27FC236}">
              <a16:creationId xmlns:a16="http://schemas.microsoft.com/office/drawing/2014/main" id="{5C4E08AB-579F-9176-5D4E-59BEE659FEF3}"/>
            </a:ext>
          </a:extLst>
        </cdr:cNvPr>
        <cdr:cNvSpPr/>
      </cdr:nvSpPr>
      <cdr:spPr>
        <a:xfrm xmlns:a="http://schemas.openxmlformats.org/drawingml/2006/main">
          <a:off x="5518738" y="3389656"/>
          <a:ext cx="104377" cy="70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377" h="70457">
              <a:moveTo>
                <a:pt x="102856" y="68884"/>
              </a:moveTo>
              <a:lnTo>
                <a:pt x="36259" y="0"/>
              </a:lnTo>
              <a:lnTo>
                <a:pt x="0" y="0"/>
              </a:lnTo>
              <a:lnTo>
                <a:pt x="66597" y="68884"/>
              </a:lnTo>
              <a:lnTo>
                <a:pt x="68117" y="70456"/>
              </a:lnTo>
              <a:lnTo>
                <a:pt x="104376" y="704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0.80192</cdr:x>
      <cdr:y>0.63952</cdr:y>
    </cdr:from>
    <cdr:to>
      <cdr:x>0.81368</cdr:x>
      <cdr:y>0.6512</cdr:y>
    </cdr:to>
    <cdr:sp macro="" textlink="">
      <cdr:nvSpPr>
        <cdr:cNvPr id="407" name="FracNo 638 StartRow 4281">
          <a:extLst xmlns:a="http://schemas.openxmlformats.org/drawingml/2006/main">
            <a:ext uri="{FF2B5EF4-FFF2-40B4-BE49-F238E27FC236}">
              <a16:creationId xmlns:a16="http://schemas.microsoft.com/office/drawing/2014/main" id="{2D595EB4-2EA4-9A23-D8D3-F8F3AAA577E3}"/>
            </a:ext>
          </a:extLst>
        </cdr:cNvPr>
        <cdr:cNvSpPr/>
      </cdr:nvSpPr>
      <cdr:spPr>
        <a:xfrm xmlns:a="http://schemas.openxmlformats.org/drawingml/2006/main">
          <a:off x="5866201" y="4873120"/>
          <a:ext cx="86036" cy="88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036" h="88990">
              <a:moveTo>
                <a:pt x="29999" y="31028"/>
              </a:moveTo>
              <a:lnTo>
                <a:pt x="0" y="0"/>
              </a:lnTo>
              <a:lnTo>
                <a:pt x="0" y="37503"/>
              </a:lnTo>
              <a:lnTo>
                <a:pt x="16408" y="54474"/>
              </a:lnTo>
              <a:lnTo>
                <a:pt x="34218" y="72896"/>
              </a:lnTo>
              <a:lnTo>
                <a:pt x="49777" y="88989"/>
              </a:lnTo>
              <a:lnTo>
                <a:pt x="86035" y="88989"/>
              </a:lnTo>
              <a:lnTo>
                <a:pt x="62561" y="647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0.90487</cdr:x>
      <cdr:y>0.53729</cdr:y>
    </cdr:from>
    <cdr:to>
      <cdr:x>0.91663</cdr:x>
      <cdr:y>0.54897</cdr:y>
    </cdr:to>
    <cdr:sp macro="" textlink="">
      <cdr:nvSpPr>
        <cdr:cNvPr id="408" name="FracNo 634 StartRow 4292">
          <a:extLst xmlns:a="http://schemas.openxmlformats.org/drawingml/2006/main">
            <a:ext uri="{FF2B5EF4-FFF2-40B4-BE49-F238E27FC236}">
              <a16:creationId xmlns:a16="http://schemas.microsoft.com/office/drawing/2014/main" id="{C0E43A7A-25F5-C598-CC7A-1613ACC9FAE9}"/>
            </a:ext>
          </a:extLst>
        </cdr:cNvPr>
        <cdr:cNvSpPr/>
      </cdr:nvSpPr>
      <cdr:spPr>
        <a:xfrm xmlns:a="http://schemas.openxmlformats.org/drawingml/2006/main">
          <a:off x="6619325" y="4094131"/>
          <a:ext cx="86036" cy="889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036" h="88991">
              <a:moveTo>
                <a:pt x="61542" y="63654"/>
              </a:moveTo>
              <a:lnTo>
                <a:pt x="0" y="0"/>
              </a:lnTo>
              <a:lnTo>
                <a:pt x="36259" y="0"/>
              </a:lnTo>
              <a:lnTo>
                <a:pt x="71864" y="36828"/>
              </a:lnTo>
              <a:lnTo>
                <a:pt x="86035" y="51486"/>
              </a:lnTo>
              <a:lnTo>
                <a:pt x="86035" y="889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0.86163</cdr:x>
      <cdr:y>0.58023</cdr:y>
    </cdr:from>
    <cdr:to>
      <cdr:x>0.87339</cdr:x>
      <cdr:y>0.5919</cdr:y>
    </cdr:to>
    <cdr:sp macro="" textlink="">
      <cdr:nvSpPr>
        <cdr:cNvPr id="409" name="FracNo 636 StartRow 4301">
          <a:extLst xmlns:a="http://schemas.openxmlformats.org/drawingml/2006/main">
            <a:ext uri="{FF2B5EF4-FFF2-40B4-BE49-F238E27FC236}">
              <a16:creationId xmlns:a16="http://schemas.microsoft.com/office/drawing/2014/main" id="{2726294D-9D51-4291-8871-E45C82A736A4}"/>
            </a:ext>
          </a:extLst>
        </cdr:cNvPr>
        <cdr:cNvSpPr/>
      </cdr:nvSpPr>
      <cdr:spPr>
        <a:xfrm xmlns:a="http://schemas.openxmlformats.org/drawingml/2006/main">
          <a:off x="6302998" y="4421323"/>
          <a:ext cx="86036" cy="88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036" h="88990">
              <a:moveTo>
                <a:pt x="38899" y="40235"/>
              </a:moveTo>
              <a:lnTo>
                <a:pt x="0" y="0"/>
              </a:lnTo>
              <a:lnTo>
                <a:pt x="36258" y="0"/>
              </a:lnTo>
              <a:lnTo>
                <a:pt x="58764" y="23278"/>
              </a:lnTo>
              <a:lnTo>
                <a:pt x="86035" y="51485"/>
              </a:lnTo>
              <a:lnTo>
                <a:pt x="86035" y="889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0.85191</cdr:x>
      <cdr:y>0.58987</cdr:y>
    </cdr:from>
    <cdr:to>
      <cdr:x>0.86368</cdr:x>
      <cdr:y>0.60155</cdr:y>
    </cdr:to>
    <cdr:sp macro="" textlink="">
      <cdr:nvSpPr>
        <cdr:cNvPr id="410" name="FracNo 1099 StartRow 4310">
          <a:extLst xmlns:a="http://schemas.openxmlformats.org/drawingml/2006/main">
            <a:ext uri="{FF2B5EF4-FFF2-40B4-BE49-F238E27FC236}">
              <a16:creationId xmlns:a16="http://schemas.microsoft.com/office/drawing/2014/main" id="{2B75CFED-D277-1DAB-140D-FFFBB7F193DD}"/>
            </a:ext>
          </a:extLst>
        </cdr:cNvPr>
        <cdr:cNvSpPr/>
      </cdr:nvSpPr>
      <cdr:spPr>
        <a:xfrm xmlns:a="http://schemas.openxmlformats.org/drawingml/2006/main">
          <a:off x="6231927" y="4494835"/>
          <a:ext cx="86036" cy="88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036" h="88990">
              <a:moveTo>
                <a:pt x="13998" y="14479"/>
              </a:moveTo>
              <a:lnTo>
                <a:pt x="0" y="0"/>
              </a:lnTo>
              <a:lnTo>
                <a:pt x="0" y="37503"/>
              </a:lnTo>
              <a:lnTo>
                <a:pt x="8099" y="45880"/>
              </a:lnTo>
              <a:lnTo>
                <a:pt x="49776" y="88989"/>
              </a:lnTo>
              <a:lnTo>
                <a:pt x="86035" y="889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0.62234</cdr:x>
      <cdr:y>0.24929</cdr:y>
    </cdr:from>
    <cdr:to>
      <cdr:x>0.63387</cdr:x>
      <cdr:y>0.26074</cdr:y>
    </cdr:to>
    <cdr:sp macro="" textlink="">
      <cdr:nvSpPr>
        <cdr:cNvPr id="411" name="FracNo 1096 StartRow 4319">
          <a:extLst xmlns:a="http://schemas.openxmlformats.org/drawingml/2006/main">
            <a:ext uri="{FF2B5EF4-FFF2-40B4-BE49-F238E27FC236}">
              <a16:creationId xmlns:a16="http://schemas.microsoft.com/office/drawing/2014/main" id="{CCAF570E-FF8B-364C-CF05-03908F710439}"/>
            </a:ext>
          </a:extLst>
        </cdr:cNvPr>
        <cdr:cNvSpPr/>
      </cdr:nvSpPr>
      <cdr:spPr>
        <a:xfrm xmlns:a="http://schemas.openxmlformats.org/drawingml/2006/main">
          <a:off x="4552564" y="1899615"/>
          <a:ext cx="84298" cy="87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298" h="87192">
              <a:moveTo>
                <a:pt x="34752" y="73448"/>
              </a:moveTo>
              <a:lnTo>
                <a:pt x="0" y="37503"/>
              </a:lnTo>
              <a:lnTo>
                <a:pt x="0" y="0"/>
              </a:lnTo>
              <a:lnTo>
                <a:pt x="60982" y="63075"/>
              </a:lnTo>
              <a:lnTo>
                <a:pt x="84297" y="87191"/>
              </a:lnTo>
              <a:lnTo>
                <a:pt x="48039" y="871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0.77913</cdr:x>
      <cdr:y>0.09361</cdr:y>
    </cdr:from>
    <cdr:to>
      <cdr:x>0.79066</cdr:x>
      <cdr:y>0.10505</cdr:y>
    </cdr:to>
    <cdr:sp macro="" textlink="">
      <cdr:nvSpPr>
        <cdr:cNvPr id="412" name="FracNo 308 StartRow 4328">
          <a:extLst xmlns:a="http://schemas.openxmlformats.org/drawingml/2006/main">
            <a:ext uri="{FF2B5EF4-FFF2-40B4-BE49-F238E27FC236}">
              <a16:creationId xmlns:a16="http://schemas.microsoft.com/office/drawing/2014/main" id="{45BB0A50-D2BC-F876-C5D1-5EBA1E2DEDD0}"/>
            </a:ext>
          </a:extLst>
        </cdr:cNvPr>
        <cdr:cNvSpPr/>
      </cdr:nvSpPr>
      <cdr:spPr>
        <a:xfrm xmlns:a="http://schemas.openxmlformats.org/drawingml/2006/main">
          <a:off x="5699513" y="713277"/>
          <a:ext cx="84298" cy="871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298" h="87193">
              <a:moveTo>
                <a:pt x="46036" y="10113"/>
              </a:moveTo>
              <a:lnTo>
                <a:pt x="36259" y="0"/>
              </a:lnTo>
              <a:lnTo>
                <a:pt x="0" y="0"/>
              </a:lnTo>
              <a:lnTo>
                <a:pt x="17158" y="17747"/>
              </a:lnTo>
              <a:lnTo>
                <a:pt x="84297" y="87192"/>
              </a:lnTo>
              <a:lnTo>
                <a:pt x="84297" y="496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0.23404</cdr:x>
      <cdr:y>0.77612</cdr:y>
    </cdr:from>
    <cdr:to>
      <cdr:x>0.24292</cdr:x>
      <cdr:y>0.78986</cdr:y>
    </cdr:to>
    <cdr:sp macro="" textlink="">
      <cdr:nvSpPr>
        <cdr:cNvPr id="413" name="FracNo 879 StartRow 4337">
          <a:extLst xmlns:a="http://schemas.openxmlformats.org/drawingml/2006/main">
            <a:ext uri="{FF2B5EF4-FFF2-40B4-BE49-F238E27FC236}">
              <a16:creationId xmlns:a16="http://schemas.microsoft.com/office/drawing/2014/main" id="{DC7E4FF7-309C-6C45-FBCE-746A815F8893}"/>
            </a:ext>
          </a:extLst>
        </cdr:cNvPr>
        <cdr:cNvSpPr/>
      </cdr:nvSpPr>
      <cdr:spPr>
        <a:xfrm xmlns:a="http://schemas.openxmlformats.org/drawingml/2006/main">
          <a:off x="1712064" y="5914041"/>
          <a:ext cx="64955" cy="1046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955" h="104690">
              <a:moveTo>
                <a:pt x="21281" y="22012"/>
              </a:moveTo>
              <a:lnTo>
                <a:pt x="0" y="0"/>
              </a:lnTo>
              <a:lnTo>
                <a:pt x="0" y="37504"/>
              </a:lnTo>
              <a:lnTo>
                <a:pt x="21281" y="59516"/>
              </a:lnTo>
              <a:lnTo>
                <a:pt x="64954" y="104689"/>
              </a:lnTo>
              <a:lnTo>
                <a:pt x="64954" y="671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0.45942</cdr:x>
      <cdr:y>0.17805</cdr:y>
    </cdr:from>
    <cdr:to>
      <cdr:x>0.47069</cdr:x>
      <cdr:y>0.18925</cdr:y>
    </cdr:to>
    <cdr:sp macro="" textlink="">
      <cdr:nvSpPr>
        <cdr:cNvPr id="414" name="FracNo 472 StartRow 4346">
          <a:extLst xmlns:a="http://schemas.openxmlformats.org/drawingml/2006/main">
            <a:ext uri="{FF2B5EF4-FFF2-40B4-BE49-F238E27FC236}">
              <a16:creationId xmlns:a16="http://schemas.microsoft.com/office/drawing/2014/main" id="{7A635B57-B893-9B9C-4761-DA0151643A80}"/>
            </a:ext>
          </a:extLst>
        </cdr:cNvPr>
        <cdr:cNvSpPr/>
      </cdr:nvSpPr>
      <cdr:spPr>
        <a:xfrm xmlns:a="http://schemas.openxmlformats.org/drawingml/2006/main">
          <a:off x="3360719" y="1356750"/>
          <a:ext cx="82487" cy="853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487" h="85322">
              <a:moveTo>
                <a:pt x="53881" y="55732"/>
              </a:moveTo>
              <a:lnTo>
                <a:pt x="0" y="0"/>
              </a:lnTo>
              <a:lnTo>
                <a:pt x="36258" y="0"/>
              </a:lnTo>
              <a:lnTo>
                <a:pt x="66455" y="31235"/>
              </a:lnTo>
              <a:lnTo>
                <a:pt x="82486" y="47816"/>
              </a:lnTo>
              <a:lnTo>
                <a:pt x="82486" y="853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0.61701</cdr:x>
      <cdr:y>0.27256</cdr:y>
    </cdr:from>
    <cdr:to>
      <cdr:x>0.62563</cdr:x>
      <cdr:y>0.28604</cdr:y>
    </cdr:to>
    <cdr:sp macro="" textlink="">
      <cdr:nvSpPr>
        <cdr:cNvPr id="415" name="FracNo 1028 StartRow 4355">
          <a:extLst xmlns:a="http://schemas.openxmlformats.org/drawingml/2006/main">
            <a:ext uri="{FF2B5EF4-FFF2-40B4-BE49-F238E27FC236}">
              <a16:creationId xmlns:a16="http://schemas.microsoft.com/office/drawing/2014/main" id="{C02CDE2D-30BD-CFD8-0813-0392596E15CA}"/>
            </a:ext>
          </a:extLst>
        </cdr:cNvPr>
        <cdr:cNvSpPr/>
      </cdr:nvSpPr>
      <cdr:spPr>
        <a:xfrm xmlns:a="http://schemas.openxmlformats.org/drawingml/2006/main">
          <a:off x="4513527" y="2076872"/>
          <a:ext cx="63047" cy="1027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047" h="102716">
              <a:moveTo>
                <a:pt x="17094" y="17681"/>
              </a:moveTo>
              <a:lnTo>
                <a:pt x="0" y="0"/>
              </a:lnTo>
              <a:lnTo>
                <a:pt x="0" y="37504"/>
              </a:lnTo>
              <a:lnTo>
                <a:pt x="17094" y="55184"/>
              </a:lnTo>
              <a:lnTo>
                <a:pt x="63046" y="102715"/>
              </a:lnTo>
              <a:lnTo>
                <a:pt x="63046" y="652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0.1504</cdr:x>
      <cdr:y>0.1546</cdr:y>
    </cdr:from>
    <cdr:to>
      <cdr:x>0.16388</cdr:x>
      <cdr:y>0.16305</cdr:y>
    </cdr:to>
    <cdr:sp macro="" textlink="">
      <cdr:nvSpPr>
        <cdr:cNvPr id="416" name="FracNo 1036 StartRow 4364">
          <a:extLst xmlns:a="http://schemas.openxmlformats.org/drawingml/2006/main">
            <a:ext uri="{FF2B5EF4-FFF2-40B4-BE49-F238E27FC236}">
              <a16:creationId xmlns:a16="http://schemas.microsoft.com/office/drawing/2014/main" id="{EE3F00C8-4700-885F-B3C3-0D66CC893F49}"/>
            </a:ext>
          </a:extLst>
        </cdr:cNvPr>
        <cdr:cNvSpPr/>
      </cdr:nvSpPr>
      <cdr:spPr>
        <a:xfrm xmlns:a="http://schemas.openxmlformats.org/drawingml/2006/main">
          <a:off x="1100235" y="1178029"/>
          <a:ext cx="98567" cy="644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567" h="64448">
              <a:moveTo>
                <a:pt x="59442" y="61484"/>
              </a:moveTo>
              <a:lnTo>
                <a:pt x="0" y="0"/>
              </a:lnTo>
              <a:lnTo>
                <a:pt x="36258" y="0"/>
              </a:lnTo>
              <a:lnTo>
                <a:pt x="95700" y="61484"/>
              </a:lnTo>
              <a:lnTo>
                <a:pt x="98566" y="64447"/>
              </a:lnTo>
              <a:lnTo>
                <a:pt x="62307" y="644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0.64736</cdr:x>
      <cdr:y>0.89703</cdr:y>
    </cdr:from>
    <cdr:to>
      <cdr:x>0.65835</cdr:x>
      <cdr:y>0.90793</cdr:y>
    </cdr:to>
    <cdr:sp macro="" textlink="">
      <cdr:nvSpPr>
        <cdr:cNvPr id="417" name="FracNo 1111 StartRow 4373">
          <a:extLst xmlns:a="http://schemas.openxmlformats.org/drawingml/2006/main">
            <a:ext uri="{FF2B5EF4-FFF2-40B4-BE49-F238E27FC236}">
              <a16:creationId xmlns:a16="http://schemas.microsoft.com/office/drawing/2014/main" id="{A7CC906E-A6C0-0C64-623D-29EBD4564379}"/>
            </a:ext>
          </a:extLst>
        </cdr:cNvPr>
        <cdr:cNvSpPr/>
      </cdr:nvSpPr>
      <cdr:spPr>
        <a:xfrm xmlns:a="http://schemas.openxmlformats.org/drawingml/2006/main">
          <a:off x="4735580" y="6835346"/>
          <a:ext cx="80349" cy="831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349" h="83109">
              <a:moveTo>
                <a:pt x="41819" y="43255"/>
              </a:moveTo>
              <a:lnTo>
                <a:pt x="0" y="0"/>
              </a:lnTo>
              <a:lnTo>
                <a:pt x="0" y="37503"/>
              </a:lnTo>
              <a:lnTo>
                <a:pt x="22947" y="61239"/>
              </a:lnTo>
              <a:lnTo>
                <a:pt x="44089" y="83108"/>
              </a:lnTo>
              <a:lnTo>
                <a:pt x="80348" y="831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0.66494</cdr:x>
      <cdr:y>0.87957</cdr:y>
    </cdr:from>
    <cdr:to>
      <cdr:x>0.67592</cdr:x>
      <cdr:y>0.89048</cdr:y>
    </cdr:to>
    <cdr:sp macro="" textlink="">
      <cdr:nvSpPr>
        <cdr:cNvPr id="418" name="FracNo 544 StartRow 4382">
          <a:extLst xmlns:a="http://schemas.openxmlformats.org/drawingml/2006/main">
            <a:ext uri="{FF2B5EF4-FFF2-40B4-BE49-F238E27FC236}">
              <a16:creationId xmlns:a16="http://schemas.microsoft.com/office/drawing/2014/main" id="{606FD002-BA3E-55CE-AD83-7043F21819FE}"/>
            </a:ext>
          </a:extLst>
        </cdr:cNvPr>
        <cdr:cNvSpPr/>
      </cdr:nvSpPr>
      <cdr:spPr>
        <a:xfrm xmlns:a="http://schemas.openxmlformats.org/drawingml/2006/main">
          <a:off x="4864162" y="6702347"/>
          <a:ext cx="80350" cy="831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350" h="83109">
              <a:moveTo>
                <a:pt x="55028" y="56918"/>
              </a:moveTo>
              <a:lnTo>
                <a:pt x="0" y="0"/>
              </a:lnTo>
              <a:lnTo>
                <a:pt x="36259" y="0"/>
              </a:lnTo>
              <a:lnTo>
                <a:pt x="66455" y="31233"/>
              </a:lnTo>
              <a:lnTo>
                <a:pt x="80349" y="45604"/>
              </a:lnTo>
              <a:lnTo>
                <a:pt x="80349" y="831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0.68443</cdr:x>
      <cdr:y>0.86022</cdr:y>
    </cdr:from>
    <cdr:to>
      <cdr:x>0.69541</cdr:x>
      <cdr:y>0.87113</cdr:y>
    </cdr:to>
    <cdr:sp macro="" textlink="">
      <cdr:nvSpPr>
        <cdr:cNvPr id="419" name="FracNo 1104 StartRow 4391">
          <a:extLst xmlns:a="http://schemas.openxmlformats.org/drawingml/2006/main">
            <a:ext uri="{FF2B5EF4-FFF2-40B4-BE49-F238E27FC236}">
              <a16:creationId xmlns:a16="http://schemas.microsoft.com/office/drawing/2014/main" id="{5E510F94-41B5-6A7A-3E90-D90A7DA2414B}"/>
            </a:ext>
          </a:extLst>
        </cdr:cNvPr>
        <cdr:cNvSpPr/>
      </cdr:nvSpPr>
      <cdr:spPr>
        <a:xfrm xmlns:a="http://schemas.openxmlformats.org/drawingml/2006/main">
          <a:off x="5006717" y="6554897"/>
          <a:ext cx="80349" cy="831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349" h="83108">
              <a:moveTo>
                <a:pt x="16183" y="16738"/>
              </a:moveTo>
              <a:lnTo>
                <a:pt x="0" y="0"/>
              </a:lnTo>
              <a:lnTo>
                <a:pt x="36259" y="0"/>
              </a:lnTo>
              <a:lnTo>
                <a:pt x="45139" y="9185"/>
              </a:lnTo>
              <a:lnTo>
                <a:pt x="80348" y="45604"/>
              </a:lnTo>
              <a:lnTo>
                <a:pt x="80348" y="831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0.16997</cdr:x>
      <cdr:y>0.42312</cdr:y>
    </cdr:from>
    <cdr:to>
      <cdr:x>0.1809</cdr:x>
      <cdr:y>0.43397</cdr:y>
    </cdr:to>
    <cdr:sp macro="" textlink="">
      <cdr:nvSpPr>
        <cdr:cNvPr id="420" name="FracNo 145 StartRow 4400">
          <a:extLst xmlns:a="http://schemas.openxmlformats.org/drawingml/2006/main">
            <a:ext uri="{FF2B5EF4-FFF2-40B4-BE49-F238E27FC236}">
              <a16:creationId xmlns:a16="http://schemas.microsoft.com/office/drawing/2014/main" id="{DED29D4C-3700-8F1A-4970-27F5E94043A1}"/>
            </a:ext>
          </a:extLst>
        </cdr:cNvPr>
        <cdr:cNvSpPr/>
      </cdr:nvSpPr>
      <cdr:spPr>
        <a:xfrm xmlns:a="http://schemas.openxmlformats.org/drawingml/2006/main">
          <a:off x="1243386" y="3224181"/>
          <a:ext cx="79903" cy="82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903" h="82646">
              <a:moveTo>
                <a:pt x="47897" y="49541"/>
              </a:moveTo>
              <a:lnTo>
                <a:pt x="0" y="0"/>
              </a:lnTo>
              <a:lnTo>
                <a:pt x="36259" y="0"/>
              </a:lnTo>
              <a:lnTo>
                <a:pt x="62421" y="27060"/>
              </a:lnTo>
              <a:lnTo>
                <a:pt x="79902" y="45141"/>
              </a:lnTo>
              <a:lnTo>
                <a:pt x="79902" y="826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0.10925</cdr:x>
      <cdr:y>0.24491</cdr:y>
    </cdr:from>
    <cdr:to>
      <cdr:x>0.1201</cdr:x>
      <cdr:y>0.25568</cdr:y>
    </cdr:to>
    <cdr:sp macro="" textlink="">
      <cdr:nvSpPr>
        <cdr:cNvPr id="421" name="FracNo 1010 StartRow 4409">
          <a:extLst xmlns:a="http://schemas.openxmlformats.org/drawingml/2006/main">
            <a:ext uri="{FF2B5EF4-FFF2-40B4-BE49-F238E27FC236}">
              <a16:creationId xmlns:a16="http://schemas.microsoft.com/office/drawing/2014/main" id="{1406A0EB-AE4A-D225-A670-587CE69838BC}"/>
            </a:ext>
          </a:extLst>
        </cdr:cNvPr>
        <cdr:cNvSpPr/>
      </cdr:nvSpPr>
      <cdr:spPr>
        <a:xfrm xmlns:a="http://schemas.openxmlformats.org/drawingml/2006/main">
          <a:off x="799198" y="1866215"/>
          <a:ext cx="79344" cy="820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344" h="82068">
              <a:moveTo>
                <a:pt x="18020" y="18638"/>
              </a:moveTo>
              <a:lnTo>
                <a:pt x="0" y="0"/>
              </a:lnTo>
              <a:lnTo>
                <a:pt x="36259" y="0"/>
              </a:lnTo>
              <a:lnTo>
                <a:pt x="46044" y="10120"/>
              </a:lnTo>
              <a:lnTo>
                <a:pt x="79343" y="44563"/>
              </a:lnTo>
              <a:lnTo>
                <a:pt x="79343" y="82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0.19436</cdr:x>
      <cdr:y>0.1604</cdr:y>
    </cdr:from>
    <cdr:to>
      <cdr:x>0.20521</cdr:x>
      <cdr:y>0.17117</cdr:y>
    </cdr:to>
    <cdr:sp macro="" textlink="">
      <cdr:nvSpPr>
        <cdr:cNvPr id="422" name="FracNo 229 StartRow 4418">
          <a:extLst xmlns:a="http://schemas.openxmlformats.org/drawingml/2006/main">
            <a:ext uri="{FF2B5EF4-FFF2-40B4-BE49-F238E27FC236}">
              <a16:creationId xmlns:a16="http://schemas.microsoft.com/office/drawing/2014/main" id="{CDB7AC82-ED24-AB52-E9CA-B39C9EAA6A48}"/>
            </a:ext>
          </a:extLst>
        </cdr:cNvPr>
        <cdr:cNvSpPr/>
      </cdr:nvSpPr>
      <cdr:spPr>
        <a:xfrm xmlns:a="http://schemas.openxmlformats.org/drawingml/2006/main">
          <a:off x="1421773" y="1222260"/>
          <a:ext cx="79344" cy="820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344" h="82068">
              <a:moveTo>
                <a:pt x="23473" y="24279"/>
              </a:moveTo>
              <a:lnTo>
                <a:pt x="0" y="0"/>
              </a:lnTo>
              <a:lnTo>
                <a:pt x="36259" y="0"/>
              </a:lnTo>
              <a:lnTo>
                <a:pt x="49005" y="13183"/>
              </a:lnTo>
              <a:lnTo>
                <a:pt x="79343" y="44564"/>
              </a:lnTo>
              <a:lnTo>
                <a:pt x="79343" y="82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0.21066</cdr:x>
      <cdr:y>0.14421</cdr:y>
    </cdr:from>
    <cdr:to>
      <cdr:x>0.22151</cdr:x>
      <cdr:y>0.15498</cdr:y>
    </cdr:to>
    <cdr:sp macro="" textlink="">
      <cdr:nvSpPr>
        <cdr:cNvPr id="423" name="FracNo 233 StartRow 4427">
          <a:extLst xmlns:a="http://schemas.openxmlformats.org/drawingml/2006/main">
            <a:ext uri="{FF2B5EF4-FFF2-40B4-BE49-F238E27FC236}">
              <a16:creationId xmlns:a16="http://schemas.microsoft.com/office/drawing/2014/main" id="{DB32481A-1DC6-2B62-C245-22B65988093E}"/>
            </a:ext>
          </a:extLst>
        </cdr:cNvPr>
        <cdr:cNvSpPr/>
      </cdr:nvSpPr>
      <cdr:spPr>
        <a:xfrm xmlns:a="http://schemas.openxmlformats.org/drawingml/2006/main">
          <a:off x="1541027" y="1098910"/>
          <a:ext cx="79344" cy="82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344" h="82069">
              <a:moveTo>
                <a:pt x="73010" y="75518"/>
              </a:moveTo>
              <a:lnTo>
                <a:pt x="0" y="0"/>
              </a:lnTo>
              <a:lnTo>
                <a:pt x="36258" y="0"/>
              </a:lnTo>
              <a:lnTo>
                <a:pt x="75904" y="41008"/>
              </a:lnTo>
              <a:lnTo>
                <a:pt x="79343" y="44564"/>
              </a:lnTo>
              <a:lnTo>
                <a:pt x="79343" y="820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0.18134</cdr:x>
      <cdr:y>0.17333</cdr:y>
    </cdr:from>
    <cdr:to>
      <cdr:x>0.19218</cdr:x>
      <cdr:y>0.1841</cdr:y>
    </cdr:to>
    <cdr:sp macro="" textlink="">
      <cdr:nvSpPr>
        <cdr:cNvPr id="424" name="FracNo 970 StartRow 4436">
          <a:extLst xmlns:a="http://schemas.openxmlformats.org/drawingml/2006/main">
            <a:ext uri="{FF2B5EF4-FFF2-40B4-BE49-F238E27FC236}">
              <a16:creationId xmlns:a16="http://schemas.microsoft.com/office/drawing/2014/main" id="{B502EF0B-8EE7-518C-0B71-D3F06170F0B5}"/>
            </a:ext>
          </a:extLst>
        </cdr:cNvPr>
        <cdr:cNvSpPr/>
      </cdr:nvSpPr>
      <cdr:spPr>
        <a:xfrm xmlns:a="http://schemas.openxmlformats.org/drawingml/2006/main">
          <a:off x="1326519" y="1320785"/>
          <a:ext cx="79344" cy="820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344" h="82068">
              <a:moveTo>
                <a:pt x="57723" y="59706"/>
              </a:moveTo>
              <a:lnTo>
                <a:pt x="0" y="0"/>
              </a:lnTo>
              <a:lnTo>
                <a:pt x="36258" y="0"/>
              </a:lnTo>
              <a:lnTo>
                <a:pt x="67603" y="32421"/>
              </a:lnTo>
              <a:lnTo>
                <a:pt x="79343" y="44563"/>
              </a:lnTo>
              <a:lnTo>
                <a:pt x="79343" y="82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0.78682</cdr:x>
      <cdr:y>0.36204</cdr:y>
    </cdr:from>
    <cdr:to>
      <cdr:x>0.79517</cdr:x>
      <cdr:y>0.37525</cdr:y>
    </cdr:to>
    <cdr:sp macro="" textlink="">
      <cdr:nvSpPr>
        <cdr:cNvPr id="425" name="FracNo 629 StartRow 4445">
          <a:extLst xmlns:a="http://schemas.openxmlformats.org/drawingml/2006/main">
            <a:ext uri="{FF2B5EF4-FFF2-40B4-BE49-F238E27FC236}">
              <a16:creationId xmlns:a16="http://schemas.microsoft.com/office/drawing/2014/main" id="{B6DACE96-6DE0-5953-C0D7-22C94952E2CF}"/>
            </a:ext>
          </a:extLst>
        </cdr:cNvPr>
        <cdr:cNvSpPr/>
      </cdr:nvSpPr>
      <cdr:spPr>
        <a:xfrm xmlns:a="http://schemas.openxmlformats.org/drawingml/2006/main">
          <a:off x="5755744" y="2758754"/>
          <a:ext cx="61062" cy="100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062" h="100663">
              <a:moveTo>
                <a:pt x="50947" y="52696"/>
              </a:moveTo>
              <a:lnTo>
                <a:pt x="21662" y="22406"/>
              </a:lnTo>
              <a:lnTo>
                <a:pt x="0" y="0"/>
              </a:lnTo>
              <a:lnTo>
                <a:pt x="0" y="37504"/>
              </a:lnTo>
              <a:lnTo>
                <a:pt x="15024" y="53044"/>
              </a:lnTo>
              <a:lnTo>
                <a:pt x="49242" y="88438"/>
              </a:lnTo>
              <a:lnTo>
                <a:pt x="61061" y="100662"/>
              </a:lnTo>
              <a:lnTo>
                <a:pt x="61061" y="631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0.75868</cdr:x>
      <cdr:y>0.35969</cdr:y>
    </cdr:from>
    <cdr:to>
      <cdr:x>0.7695</cdr:x>
      <cdr:y>0.37044</cdr:y>
    </cdr:to>
    <cdr:sp macro="" textlink="">
      <cdr:nvSpPr>
        <cdr:cNvPr id="426" name="FracNo 1123 StartRow 4456">
          <a:extLst xmlns:a="http://schemas.openxmlformats.org/drawingml/2006/main">
            <a:ext uri="{FF2B5EF4-FFF2-40B4-BE49-F238E27FC236}">
              <a16:creationId xmlns:a16="http://schemas.microsoft.com/office/drawing/2014/main" id="{F59CF520-9E75-4146-24DC-01ED17B48C65}"/>
            </a:ext>
          </a:extLst>
        </cdr:cNvPr>
        <cdr:cNvSpPr/>
      </cdr:nvSpPr>
      <cdr:spPr>
        <a:xfrm xmlns:a="http://schemas.openxmlformats.org/drawingml/2006/main">
          <a:off x="5549897" y="2740852"/>
          <a:ext cx="79149" cy="818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149" h="81867">
              <a:moveTo>
                <a:pt x="7016" y="44760"/>
              </a:moveTo>
              <a:lnTo>
                <a:pt x="0" y="37504"/>
              </a:lnTo>
              <a:lnTo>
                <a:pt x="0" y="0"/>
              </a:lnTo>
              <a:lnTo>
                <a:pt x="15572" y="16107"/>
              </a:lnTo>
              <a:lnTo>
                <a:pt x="49156" y="50844"/>
              </a:lnTo>
              <a:lnTo>
                <a:pt x="79148" y="81866"/>
              </a:lnTo>
              <a:lnTo>
                <a:pt x="42890" y="81866"/>
              </a:lnTo>
              <a:lnTo>
                <a:pt x="22146" y="604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0.707</cdr:x>
      <cdr:y>0.41101</cdr:y>
    </cdr:from>
    <cdr:to>
      <cdr:x>0.71782</cdr:x>
      <cdr:y>0.42175</cdr:y>
    </cdr:to>
    <cdr:sp macro="" textlink="">
      <cdr:nvSpPr>
        <cdr:cNvPr id="427" name="FracNo 1061 StartRow 4467">
          <a:extLst xmlns:a="http://schemas.openxmlformats.org/drawingml/2006/main">
            <a:ext uri="{FF2B5EF4-FFF2-40B4-BE49-F238E27FC236}">
              <a16:creationId xmlns:a16="http://schemas.microsoft.com/office/drawing/2014/main" id="{CEB81C96-11F0-88BD-C732-FCE5BF3D2E55}"/>
            </a:ext>
          </a:extLst>
        </cdr:cNvPr>
        <cdr:cNvSpPr/>
      </cdr:nvSpPr>
      <cdr:spPr>
        <a:xfrm xmlns:a="http://schemas.openxmlformats.org/drawingml/2006/main">
          <a:off x="5171858" y="3131873"/>
          <a:ext cx="79148" cy="818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148" h="81867">
              <a:moveTo>
                <a:pt x="22438" y="60713"/>
              </a:moveTo>
              <a:lnTo>
                <a:pt x="0" y="37504"/>
              </a:lnTo>
              <a:lnTo>
                <a:pt x="0" y="0"/>
              </a:lnTo>
              <a:lnTo>
                <a:pt x="41406" y="42829"/>
              </a:lnTo>
              <a:lnTo>
                <a:pt x="79147" y="81866"/>
              </a:lnTo>
              <a:lnTo>
                <a:pt x="42889" y="818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0.69326</cdr:x>
      <cdr:y>0.70158</cdr:y>
    </cdr:from>
    <cdr:to>
      <cdr:x>0.7065</cdr:x>
      <cdr:y>0.70981</cdr:y>
    </cdr:to>
    <cdr:sp macro="" textlink="">
      <cdr:nvSpPr>
        <cdr:cNvPr id="428" name="FracNo 920 StartRow 4476">
          <a:extLst xmlns:a="http://schemas.openxmlformats.org/drawingml/2006/main">
            <a:ext uri="{FF2B5EF4-FFF2-40B4-BE49-F238E27FC236}">
              <a16:creationId xmlns:a16="http://schemas.microsoft.com/office/drawing/2014/main" id="{7D3CC5BE-EC5D-9CA9-700E-9222EC04BEDB}"/>
            </a:ext>
          </a:extLst>
        </cdr:cNvPr>
        <cdr:cNvSpPr/>
      </cdr:nvSpPr>
      <cdr:spPr>
        <a:xfrm xmlns:a="http://schemas.openxmlformats.org/drawingml/2006/main">
          <a:off x="5071334" y="5346060"/>
          <a:ext cx="96848" cy="626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848" h="62670">
              <a:moveTo>
                <a:pt x="61009" y="25600"/>
              </a:moveTo>
              <a:lnTo>
                <a:pt x="36258" y="0"/>
              </a:lnTo>
              <a:lnTo>
                <a:pt x="0" y="0"/>
              </a:lnTo>
              <a:lnTo>
                <a:pt x="24750" y="25600"/>
              </a:lnTo>
              <a:lnTo>
                <a:pt x="60588" y="62669"/>
              </a:lnTo>
              <a:lnTo>
                <a:pt x="96847" y="626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0.54551</cdr:x>
      <cdr:y>0.57137</cdr:y>
    </cdr:from>
    <cdr:to>
      <cdr:x>0.55379</cdr:x>
      <cdr:y>0.58451</cdr:y>
    </cdr:to>
    <cdr:sp macro="" textlink="">
      <cdr:nvSpPr>
        <cdr:cNvPr id="429" name="FracNo 1132 StartRow 4485">
          <a:extLst xmlns:a="http://schemas.openxmlformats.org/drawingml/2006/main">
            <a:ext uri="{FF2B5EF4-FFF2-40B4-BE49-F238E27FC236}">
              <a16:creationId xmlns:a16="http://schemas.microsoft.com/office/drawing/2014/main" id="{50444F67-4CEA-9ED7-90CD-8CF3AC2CD72A}"/>
            </a:ext>
          </a:extLst>
        </cdr:cNvPr>
        <cdr:cNvSpPr/>
      </cdr:nvSpPr>
      <cdr:spPr>
        <a:xfrm xmlns:a="http://schemas.openxmlformats.org/drawingml/2006/main">
          <a:off x="3990481" y="4353821"/>
          <a:ext cx="60569" cy="1001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9" h="100153">
              <a:moveTo>
                <a:pt x="32043" y="70648"/>
              </a:moveTo>
              <a:lnTo>
                <a:pt x="0" y="37504"/>
              </a:lnTo>
              <a:lnTo>
                <a:pt x="0" y="0"/>
              </a:lnTo>
              <a:lnTo>
                <a:pt x="32043" y="33144"/>
              </a:lnTo>
              <a:lnTo>
                <a:pt x="60568" y="62648"/>
              </a:lnTo>
              <a:lnTo>
                <a:pt x="60568" y="1001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0.35966</cdr:x>
      <cdr:y>0.22448</cdr:y>
    </cdr:from>
    <cdr:to>
      <cdr:x>0.37034</cdr:x>
      <cdr:y>0.23508</cdr:y>
    </cdr:to>
    <cdr:sp macro="" textlink="">
      <cdr:nvSpPr>
        <cdr:cNvPr id="430" name="FracNo 197 StartRow 4494">
          <a:extLst xmlns:a="http://schemas.openxmlformats.org/drawingml/2006/main">
            <a:ext uri="{FF2B5EF4-FFF2-40B4-BE49-F238E27FC236}">
              <a16:creationId xmlns:a16="http://schemas.microsoft.com/office/drawing/2014/main" id="{15767250-4CB9-7A9B-ACE0-FFE9C3867693}"/>
            </a:ext>
          </a:extLst>
        </cdr:cNvPr>
        <cdr:cNvSpPr/>
      </cdr:nvSpPr>
      <cdr:spPr>
        <a:xfrm xmlns:a="http://schemas.openxmlformats.org/drawingml/2006/main">
          <a:off x="2630961" y="1710516"/>
          <a:ext cx="78114" cy="807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114" h="80797">
              <a:moveTo>
                <a:pt x="31686" y="29271"/>
              </a:moveTo>
              <a:lnTo>
                <a:pt x="0" y="62044"/>
              </a:lnTo>
              <a:lnTo>
                <a:pt x="18129" y="80796"/>
              </a:lnTo>
              <a:lnTo>
                <a:pt x="49815" y="48022"/>
              </a:lnTo>
              <a:lnTo>
                <a:pt x="78113" y="18752"/>
              </a:lnTo>
              <a:lnTo>
                <a:pt x="599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0.87439</cdr:x>
      <cdr:y>0.67159</cdr:y>
    </cdr:from>
    <cdr:to>
      <cdr:x>0.88258</cdr:x>
      <cdr:y>0.68464</cdr:y>
    </cdr:to>
    <cdr:sp macro="" textlink="">
      <cdr:nvSpPr>
        <cdr:cNvPr id="431" name="FracNo 911 StartRow 4503">
          <a:extLst xmlns:a="http://schemas.openxmlformats.org/drawingml/2006/main">
            <a:ext uri="{FF2B5EF4-FFF2-40B4-BE49-F238E27FC236}">
              <a16:creationId xmlns:a16="http://schemas.microsoft.com/office/drawing/2014/main" id="{151F364F-C560-BBF3-824B-6BCED6287603}"/>
            </a:ext>
          </a:extLst>
        </cdr:cNvPr>
        <cdr:cNvSpPr/>
      </cdr:nvSpPr>
      <cdr:spPr>
        <a:xfrm xmlns:a="http://schemas.openxmlformats.org/drawingml/2006/main">
          <a:off x="6396362" y="5117529"/>
          <a:ext cx="59860" cy="99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860" h="99419">
              <a:moveTo>
                <a:pt x="45675" y="47244"/>
              </a:moveTo>
              <a:lnTo>
                <a:pt x="0" y="0"/>
              </a:lnTo>
              <a:lnTo>
                <a:pt x="0" y="37504"/>
              </a:lnTo>
              <a:lnTo>
                <a:pt x="45675" y="84748"/>
              </a:lnTo>
              <a:lnTo>
                <a:pt x="59859" y="99418"/>
              </a:lnTo>
              <a:lnTo>
                <a:pt x="59859" y="619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0.55845</cdr:x>
      <cdr:y>0.57496</cdr:y>
    </cdr:from>
    <cdr:to>
      <cdr:x>0.57153</cdr:x>
      <cdr:y>0.58302</cdr:y>
    </cdr:to>
    <cdr:sp macro="" textlink="">
      <cdr:nvSpPr>
        <cdr:cNvPr id="432" name="FracNo 870 StartRow 4512">
          <a:extLst xmlns:a="http://schemas.openxmlformats.org/drawingml/2006/main">
            <a:ext uri="{FF2B5EF4-FFF2-40B4-BE49-F238E27FC236}">
              <a16:creationId xmlns:a16="http://schemas.microsoft.com/office/drawing/2014/main" id="{B31A29A2-DF42-48F3-5184-E9457BD7E337}"/>
            </a:ext>
          </a:extLst>
        </cdr:cNvPr>
        <cdr:cNvSpPr/>
      </cdr:nvSpPr>
      <cdr:spPr>
        <a:xfrm xmlns:a="http://schemas.openxmlformats.org/drawingml/2006/main">
          <a:off x="4085165" y="4381181"/>
          <a:ext cx="95660" cy="61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660" h="61441">
              <a:moveTo>
                <a:pt x="95576" y="61354"/>
              </a:moveTo>
              <a:lnTo>
                <a:pt x="36259" y="0"/>
              </a:lnTo>
              <a:lnTo>
                <a:pt x="0" y="0"/>
              </a:lnTo>
              <a:lnTo>
                <a:pt x="59318" y="61354"/>
              </a:lnTo>
              <a:lnTo>
                <a:pt x="59401" y="61440"/>
              </a:lnTo>
              <a:lnTo>
                <a:pt x="95659" y="614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0.59113</cdr:x>
      <cdr:y>0.54263</cdr:y>
    </cdr:from>
    <cdr:to>
      <cdr:x>0.60167</cdr:x>
      <cdr:y>0.55309</cdr:y>
    </cdr:to>
    <cdr:sp macro="" textlink="">
      <cdr:nvSpPr>
        <cdr:cNvPr id="433" name="FracNo 1105 StartRow 4521">
          <a:extLst xmlns:a="http://schemas.openxmlformats.org/drawingml/2006/main">
            <a:ext uri="{FF2B5EF4-FFF2-40B4-BE49-F238E27FC236}">
              <a16:creationId xmlns:a16="http://schemas.microsoft.com/office/drawing/2014/main" id="{BD99E379-0FB3-959A-34A9-819C567DB4A9}"/>
            </a:ext>
          </a:extLst>
        </cdr:cNvPr>
        <cdr:cNvSpPr/>
      </cdr:nvSpPr>
      <cdr:spPr>
        <a:xfrm xmlns:a="http://schemas.openxmlformats.org/drawingml/2006/main">
          <a:off x="4324225" y="4134844"/>
          <a:ext cx="77080" cy="797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080" h="79727">
              <a:moveTo>
                <a:pt x="33962" y="35128"/>
              </a:moveTo>
              <a:lnTo>
                <a:pt x="0" y="0"/>
              </a:lnTo>
              <a:lnTo>
                <a:pt x="0" y="37504"/>
              </a:lnTo>
              <a:lnTo>
                <a:pt x="17986" y="56107"/>
              </a:lnTo>
              <a:lnTo>
                <a:pt x="40821" y="79726"/>
              </a:lnTo>
              <a:lnTo>
                <a:pt x="77079" y="797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0.72815</cdr:x>
      <cdr:y>0.58599</cdr:y>
    </cdr:from>
    <cdr:to>
      <cdr:x>0.73867</cdr:x>
      <cdr:y>0.59644</cdr:y>
    </cdr:to>
    <cdr:sp macro="" textlink="">
      <cdr:nvSpPr>
        <cdr:cNvPr id="434" name="FracNo 625 StartRow 4530">
          <a:extLst xmlns:a="http://schemas.openxmlformats.org/drawingml/2006/main">
            <a:ext uri="{FF2B5EF4-FFF2-40B4-BE49-F238E27FC236}">
              <a16:creationId xmlns:a16="http://schemas.microsoft.com/office/drawing/2014/main" id="{6057FCA0-A692-DD9F-FF31-3430AD4FCC18}"/>
            </a:ext>
          </a:extLst>
        </cdr:cNvPr>
        <cdr:cNvSpPr/>
      </cdr:nvSpPr>
      <cdr:spPr>
        <a:xfrm xmlns:a="http://schemas.openxmlformats.org/drawingml/2006/main">
          <a:off x="5326557" y="4465270"/>
          <a:ext cx="76963" cy="79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963" h="79605">
              <a:moveTo>
                <a:pt x="65400" y="30142"/>
              </a:moveTo>
              <a:lnTo>
                <a:pt x="36259" y="0"/>
              </a:lnTo>
              <a:lnTo>
                <a:pt x="0" y="0"/>
              </a:lnTo>
              <a:lnTo>
                <a:pt x="55100" y="56992"/>
              </a:lnTo>
              <a:lnTo>
                <a:pt x="76962" y="79604"/>
              </a:lnTo>
              <a:lnTo>
                <a:pt x="76962" y="421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0.74057</cdr:x>
      <cdr:y>0.92213</cdr:y>
    </cdr:from>
    <cdr:to>
      <cdr:x>0.75355</cdr:x>
      <cdr:y>0.9301</cdr:y>
    </cdr:to>
    <cdr:sp macro="" textlink="">
      <cdr:nvSpPr>
        <cdr:cNvPr id="435" name="FracNo 1102 StartRow 4539">
          <a:extLst xmlns:a="http://schemas.openxmlformats.org/drawingml/2006/main">
            <a:ext uri="{FF2B5EF4-FFF2-40B4-BE49-F238E27FC236}">
              <a16:creationId xmlns:a16="http://schemas.microsoft.com/office/drawing/2014/main" id="{101C6704-9BC8-713C-D49A-CC40AF2EE1D1}"/>
            </a:ext>
          </a:extLst>
        </cdr:cNvPr>
        <cdr:cNvSpPr/>
      </cdr:nvSpPr>
      <cdr:spPr>
        <a:xfrm xmlns:a="http://schemas.openxmlformats.org/drawingml/2006/main">
          <a:off x="5417400" y="7026666"/>
          <a:ext cx="94944" cy="607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944" h="60700">
              <a:moveTo>
                <a:pt x="9609" y="9939"/>
              </a:moveTo>
              <a:lnTo>
                <a:pt x="0" y="0"/>
              </a:lnTo>
              <a:lnTo>
                <a:pt x="36259" y="0"/>
              </a:lnTo>
              <a:lnTo>
                <a:pt x="45868" y="9939"/>
              </a:lnTo>
              <a:lnTo>
                <a:pt x="94943" y="60699"/>
              </a:lnTo>
              <a:lnTo>
                <a:pt x="58684" y="606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0.39451</cdr:x>
      <cdr:y>0.5347</cdr:y>
    </cdr:from>
    <cdr:to>
      <cdr:x>0.40749</cdr:x>
      <cdr:y>0.54266</cdr:y>
    </cdr:to>
    <cdr:sp macro="" textlink="">
      <cdr:nvSpPr>
        <cdr:cNvPr id="436" name="FracNo 391 StartRow 4548">
          <a:extLst xmlns:a="http://schemas.openxmlformats.org/drawingml/2006/main">
            <a:ext uri="{FF2B5EF4-FFF2-40B4-BE49-F238E27FC236}">
              <a16:creationId xmlns:a16="http://schemas.microsoft.com/office/drawing/2014/main" id="{F64B684D-A46D-E661-137D-721A9EBEC71D}"/>
            </a:ext>
          </a:extLst>
        </cdr:cNvPr>
        <cdr:cNvSpPr/>
      </cdr:nvSpPr>
      <cdr:spPr>
        <a:xfrm xmlns:a="http://schemas.openxmlformats.org/drawingml/2006/main">
          <a:off x="2885927" y="4074390"/>
          <a:ext cx="94934" cy="606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934" h="60691">
              <a:moveTo>
                <a:pt x="22273" y="23039"/>
              </a:moveTo>
              <a:lnTo>
                <a:pt x="0" y="0"/>
              </a:lnTo>
              <a:lnTo>
                <a:pt x="36259" y="0"/>
              </a:lnTo>
              <a:lnTo>
                <a:pt x="58532" y="23039"/>
              </a:lnTo>
              <a:lnTo>
                <a:pt x="94933" y="60690"/>
              </a:lnTo>
              <a:lnTo>
                <a:pt x="58675" y="606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0.77617</cdr:x>
      <cdr:y>0.11451</cdr:y>
    </cdr:from>
    <cdr:to>
      <cdr:x>0.78542</cdr:x>
      <cdr:y>0.12616</cdr:y>
    </cdr:to>
    <cdr:sp macro="" textlink="">
      <cdr:nvSpPr>
        <cdr:cNvPr id="437" name="FracNo 317 StartRow 4557">
          <a:extLst xmlns:a="http://schemas.openxmlformats.org/drawingml/2006/main">
            <a:ext uri="{FF2B5EF4-FFF2-40B4-BE49-F238E27FC236}">
              <a16:creationId xmlns:a16="http://schemas.microsoft.com/office/drawing/2014/main" id="{0C97C88E-8248-B1D5-3822-29CB87873C2C}"/>
            </a:ext>
          </a:extLst>
        </cdr:cNvPr>
        <cdr:cNvSpPr/>
      </cdr:nvSpPr>
      <cdr:spPr>
        <a:xfrm xmlns:a="http://schemas.openxmlformats.org/drawingml/2006/main">
          <a:off x="5677822" y="872593"/>
          <a:ext cx="67709" cy="88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709" h="88784">
              <a:moveTo>
                <a:pt x="42034" y="43476"/>
              </a:moveTo>
              <a:lnTo>
                <a:pt x="0" y="0"/>
              </a:lnTo>
              <a:lnTo>
                <a:pt x="0" y="37503"/>
              </a:lnTo>
              <a:lnTo>
                <a:pt x="30779" y="69339"/>
              </a:lnTo>
              <a:lnTo>
                <a:pt x="49578" y="88783"/>
              </a:lnTo>
              <a:lnTo>
                <a:pt x="67708" y="700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0.72631</cdr:x>
      <cdr:y>0.78651</cdr:y>
    </cdr:from>
    <cdr:to>
      <cdr:x>0.73679</cdr:x>
      <cdr:y>0.79691</cdr:y>
    </cdr:to>
    <cdr:sp macro="" textlink="">
      <cdr:nvSpPr>
        <cdr:cNvPr id="438" name="FracNo 552 StartRow 4566">
          <a:extLst xmlns:a="http://schemas.openxmlformats.org/drawingml/2006/main">
            <a:ext uri="{FF2B5EF4-FFF2-40B4-BE49-F238E27FC236}">
              <a16:creationId xmlns:a16="http://schemas.microsoft.com/office/drawing/2014/main" id="{E1B232F9-59DF-AFDD-5118-4B4D709D0AFC}"/>
            </a:ext>
          </a:extLst>
        </cdr:cNvPr>
        <cdr:cNvSpPr/>
      </cdr:nvSpPr>
      <cdr:spPr>
        <a:xfrm xmlns:a="http://schemas.openxmlformats.org/drawingml/2006/main">
          <a:off x="5313130" y="5993195"/>
          <a:ext cx="76616" cy="792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616" h="79247">
              <a:moveTo>
                <a:pt x="76066" y="41175"/>
              </a:moveTo>
              <a:lnTo>
                <a:pt x="36259" y="0"/>
              </a:lnTo>
              <a:lnTo>
                <a:pt x="0" y="0"/>
              </a:lnTo>
              <a:lnTo>
                <a:pt x="75572" y="78168"/>
              </a:lnTo>
              <a:lnTo>
                <a:pt x="76615" y="79246"/>
              </a:lnTo>
              <a:lnTo>
                <a:pt x="76615" y="417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0.86615</cdr:x>
      <cdr:y>0.17466</cdr:y>
    </cdr:from>
    <cdr:to>
      <cdr:x>0.87411</cdr:x>
      <cdr:y>0.18748</cdr:y>
    </cdr:to>
    <cdr:sp macro="" textlink="">
      <cdr:nvSpPr>
        <cdr:cNvPr id="439" name="FracNo 316 StartRow 4575">
          <a:extLst xmlns:a="http://schemas.openxmlformats.org/drawingml/2006/main">
            <a:ext uri="{FF2B5EF4-FFF2-40B4-BE49-F238E27FC236}">
              <a16:creationId xmlns:a16="http://schemas.microsoft.com/office/drawing/2014/main" id="{83F0EEA1-CCD8-5806-FEAE-950E3F1869DC}"/>
            </a:ext>
          </a:extLst>
        </cdr:cNvPr>
        <cdr:cNvSpPr/>
      </cdr:nvSpPr>
      <cdr:spPr>
        <a:xfrm xmlns:a="http://schemas.openxmlformats.org/drawingml/2006/main">
          <a:off x="6336097" y="1330947"/>
          <a:ext cx="58172" cy="976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172" h="97674">
              <a:moveTo>
                <a:pt x="2317" y="39901"/>
              </a:moveTo>
              <a:lnTo>
                <a:pt x="0" y="37504"/>
              </a:lnTo>
              <a:lnTo>
                <a:pt x="0" y="0"/>
              </a:lnTo>
              <a:lnTo>
                <a:pt x="2317" y="2397"/>
              </a:lnTo>
              <a:lnTo>
                <a:pt x="58171" y="60169"/>
              </a:lnTo>
              <a:lnTo>
                <a:pt x="58171" y="976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0.91949</cdr:x>
      <cdr:y>0.62682</cdr:y>
    </cdr:from>
    <cdr:to>
      <cdr:x>0.93237</cdr:x>
      <cdr:y>0.63469</cdr:y>
    </cdr:to>
    <cdr:sp macro="" textlink="">
      <cdr:nvSpPr>
        <cdr:cNvPr id="440" name="FracNo 1021 StartRow 4584">
          <a:extLst xmlns:a="http://schemas.openxmlformats.org/drawingml/2006/main">
            <a:ext uri="{FF2B5EF4-FFF2-40B4-BE49-F238E27FC236}">
              <a16:creationId xmlns:a16="http://schemas.microsoft.com/office/drawing/2014/main" id="{076542C9-467B-4D60-FD3C-FF92F845DA5E}"/>
            </a:ext>
          </a:extLst>
        </cdr:cNvPr>
        <cdr:cNvSpPr/>
      </cdr:nvSpPr>
      <cdr:spPr>
        <a:xfrm xmlns:a="http://schemas.openxmlformats.org/drawingml/2006/main">
          <a:off x="6726227" y="4776335"/>
          <a:ext cx="94282" cy="600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282" h="60015">
              <a:moveTo>
                <a:pt x="28967" y="29961"/>
              </a:moveTo>
              <a:lnTo>
                <a:pt x="0" y="0"/>
              </a:lnTo>
              <a:lnTo>
                <a:pt x="36259" y="0"/>
              </a:lnTo>
              <a:lnTo>
                <a:pt x="65225" y="29961"/>
              </a:lnTo>
              <a:lnTo>
                <a:pt x="94281" y="60014"/>
              </a:lnTo>
              <a:lnTo>
                <a:pt x="58022" y="600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0.93332</cdr:x>
      <cdr:y>0.53391</cdr:y>
    </cdr:from>
    <cdr:to>
      <cdr:x>0.94246</cdr:x>
      <cdr:y>0.54545</cdr:y>
    </cdr:to>
    <cdr:sp macro="" textlink="">
      <cdr:nvSpPr>
        <cdr:cNvPr id="441" name="FracNo 597 StartRow 4593">
          <a:extLst xmlns:a="http://schemas.openxmlformats.org/drawingml/2006/main">
            <a:ext uri="{FF2B5EF4-FFF2-40B4-BE49-F238E27FC236}">
              <a16:creationId xmlns:a16="http://schemas.microsoft.com/office/drawing/2014/main" id="{AA169EFE-39AE-C5C7-44D0-78BD231EEF07}"/>
            </a:ext>
          </a:extLst>
        </cdr:cNvPr>
        <cdr:cNvSpPr/>
      </cdr:nvSpPr>
      <cdr:spPr>
        <a:xfrm xmlns:a="http://schemas.openxmlformats.org/drawingml/2006/main">
          <a:off x="6827413" y="4068373"/>
          <a:ext cx="66895" cy="87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895" h="87944">
              <a:moveTo>
                <a:pt x="41992" y="63260"/>
              </a:moveTo>
              <a:lnTo>
                <a:pt x="18129" y="87943"/>
              </a:lnTo>
              <a:lnTo>
                <a:pt x="0" y="69191"/>
              </a:lnTo>
              <a:lnTo>
                <a:pt x="32733" y="35333"/>
              </a:lnTo>
              <a:lnTo>
                <a:pt x="66894" y="0"/>
              </a:lnTo>
              <a:lnTo>
                <a:pt x="66894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0.87407</cdr:x>
      <cdr:y>0.85843</cdr:y>
    </cdr:from>
    <cdr:to>
      <cdr:x>0.88442</cdr:x>
      <cdr:y>0.86871</cdr:y>
    </cdr:to>
    <cdr:sp macro="" textlink="">
      <cdr:nvSpPr>
        <cdr:cNvPr id="442" name="FracNo 551 StartRow 4602">
          <a:extLst xmlns:a="http://schemas.openxmlformats.org/drawingml/2006/main">
            <a:ext uri="{FF2B5EF4-FFF2-40B4-BE49-F238E27FC236}">
              <a16:creationId xmlns:a16="http://schemas.microsoft.com/office/drawing/2014/main" id="{E4D3DBA3-E360-3237-8304-7D91D8F5C968}"/>
            </a:ext>
          </a:extLst>
        </cdr:cNvPr>
        <cdr:cNvSpPr/>
      </cdr:nvSpPr>
      <cdr:spPr>
        <a:xfrm xmlns:a="http://schemas.openxmlformats.org/drawingml/2006/main">
          <a:off x="6393977" y="6541226"/>
          <a:ext cx="75718" cy="783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718" h="78317">
              <a:moveTo>
                <a:pt x="61339" y="25941"/>
              </a:moveTo>
              <a:lnTo>
                <a:pt x="36258" y="0"/>
              </a:lnTo>
              <a:lnTo>
                <a:pt x="0" y="0"/>
              </a:lnTo>
              <a:lnTo>
                <a:pt x="48127" y="49779"/>
              </a:lnTo>
              <a:lnTo>
                <a:pt x="75717" y="78316"/>
              </a:lnTo>
              <a:lnTo>
                <a:pt x="75717" y="408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0.15496</cdr:x>
      <cdr:y>0.53104</cdr:y>
    </cdr:from>
    <cdr:to>
      <cdr:x>0.16276</cdr:x>
      <cdr:y>0.54371</cdr:y>
    </cdr:to>
    <cdr:sp macro="" textlink="">
      <cdr:nvSpPr>
        <cdr:cNvPr id="443" name="FracNo 144 StartRow 4611">
          <a:extLst xmlns:a="http://schemas.openxmlformats.org/drawingml/2006/main">
            <a:ext uri="{FF2B5EF4-FFF2-40B4-BE49-F238E27FC236}">
              <a16:creationId xmlns:a16="http://schemas.microsoft.com/office/drawing/2014/main" id="{5EDBCD39-95AD-E038-44E8-0B9CA8129DB9}"/>
            </a:ext>
          </a:extLst>
        </cdr:cNvPr>
        <cdr:cNvSpPr/>
      </cdr:nvSpPr>
      <cdr:spPr>
        <a:xfrm xmlns:a="http://schemas.openxmlformats.org/drawingml/2006/main">
          <a:off x="1133529" y="4046527"/>
          <a:ext cx="57075" cy="96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075" h="96539">
              <a:moveTo>
                <a:pt x="21943" y="22697"/>
              </a:moveTo>
              <a:lnTo>
                <a:pt x="0" y="0"/>
              </a:lnTo>
              <a:lnTo>
                <a:pt x="0" y="37504"/>
              </a:lnTo>
              <a:lnTo>
                <a:pt x="21943" y="60201"/>
              </a:lnTo>
              <a:lnTo>
                <a:pt x="57074" y="96538"/>
              </a:lnTo>
              <a:lnTo>
                <a:pt x="57074" y="590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0.53581</cdr:x>
      <cdr:y>0.12627</cdr:y>
    </cdr:from>
    <cdr:to>
      <cdr:x>0.54607</cdr:x>
      <cdr:y>0.13646</cdr:y>
    </cdr:to>
    <cdr:sp macro="" textlink="">
      <cdr:nvSpPr>
        <cdr:cNvPr id="444" name="FracNo 471 StartRow 4620">
          <a:extLst xmlns:a="http://schemas.openxmlformats.org/drawingml/2006/main">
            <a:ext uri="{FF2B5EF4-FFF2-40B4-BE49-F238E27FC236}">
              <a16:creationId xmlns:a16="http://schemas.microsoft.com/office/drawing/2014/main" id="{BF61EE46-9980-EFEA-9848-4CB586554EFE}"/>
            </a:ext>
          </a:extLst>
        </cdr:cNvPr>
        <cdr:cNvSpPr/>
      </cdr:nvSpPr>
      <cdr:spPr>
        <a:xfrm xmlns:a="http://schemas.openxmlformats.org/drawingml/2006/main">
          <a:off x="3919548" y="962155"/>
          <a:ext cx="75072" cy="776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072" h="77651">
              <a:moveTo>
                <a:pt x="4195" y="41844"/>
              </a:moveTo>
              <a:lnTo>
                <a:pt x="0" y="37504"/>
              </a:lnTo>
              <a:lnTo>
                <a:pt x="0" y="0"/>
              </a:lnTo>
              <a:lnTo>
                <a:pt x="8116" y="8395"/>
              </a:lnTo>
              <a:lnTo>
                <a:pt x="75071" y="77650"/>
              </a:lnTo>
              <a:lnTo>
                <a:pt x="38812" y="776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0.20797</cdr:x>
      <cdr:y>0.31967</cdr:y>
    </cdr:from>
    <cdr:to>
      <cdr:x>0.21573</cdr:x>
      <cdr:y>0.3323</cdr:y>
    </cdr:to>
    <cdr:sp macro="" textlink="">
      <cdr:nvSpPr>
        <cdr:cNvPr id="445" name="FracNo 1011 StartRow 4629">
          <a:extLst xmlns:a="http://schemas.openxmlformats.org/drawingml/2006/main">
            <a:ext uri="{FF2B5EF4-FFF2-40B4-BE49-F238E27FC236}">
              <a16:creationId xmlns:a16="http://schemas.microsoft.com/office/drawing/2014/main" id="{89E55F5F-2DDD-3B00-AAD7-0A7A047BBD09}"/>
            </a:ext>
          </a:extLst>
        </cdr:cNvPr>
        <cdr:cNvSpPr/>
      </cdr:nvSpPr>
      <cdr:spPr>
        <a:xfrm xmlns:a="http://schemas.openxmlformats.org/drawingml/2006/main">
          <a:off x="1521350" y="2435913"/>
          <a:ext cx="56739" cy="961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739" h="96191">
              <a:moveTo>
                <a:pt x="37975" y="76782"/>
              </a:moveTo>
              <a:lnTo>
                <a:pt x="0" y="37503"/>
              </a:lnTo>
              <a:lnTo>
                <a:pt x="0" y="0"/>
              </a:lnTo>
              <a:lnTo>
                <a:pt x="37975" y="39278"/>
              </a:lnTo>
              <a:lnTo>
                <a:pt x="56738" y="58686"/>
              </a:lnTo>
              <a:lnTo>
                <a:pt x="56738" y="961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0.16245</cdr:x>
      <cdr:y>0.36488</cdr:y>
    </cdr:from>
    <cdr:to>
      <cdr:x>0.17516</cdr:x>
      <cdr:y>0.37258</cdr:y>
    </cdr:to>
    <cdr:sp macro="" textlink="">
      <cdr:nvSpPr>
        <cdr:cNvPr id="446" name="FracNo 159 StartRow 4638">
          <a:extLst xmlns:a="http://schemas.openxmlformats.org/drawingml/2006/main">
            <a:ext uri="{FF2B5EF4-FFF2-40B4-BE49-F238E27FC236}">
              <a16:creationId xmlns:a16="http://schemas.microsoft.com/office/drawing/2014/main" id="{092C58BF-A2C7-9E80-4A6B-61437650B5B3}"/>
            </a:ext>
          </a:extLst>
        </cdr:cNvPr>
        <cdr:cNvSpPr/>
      </cdr:nvSpPr>
      <cdr:spPr>
        <a:xfrm xmlns:a="http://schemas.openxmlformats.org/drawingml/2006/main">
          <a:off x="1188328" y="2780372"/>
          <a:ext cx="92997" cy="586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997" h="58687">
              <a:moveTo>
                <a:pt x="84228" y="49617"/>
              </a:moveTo>
              <a:lnTo>
                <a:pt x="48923" y="13100"/>
              </a:lnTo>
              <a:lnTo>
                <a:pt x="36258" y="0"/>
              </a:lnTo>
              <a:lnTo>
                <a:pt x="0" y="0"/>
              </a:lnTo>
              <a:lnTo>
                <a:pt x="18479" y="19114"/>
              </a:lnTo>
              <a:lnTo>
                <a:pt x="49126" y="50814"/>
              </a:lnTo>
              <a:lnTo>
                <a:pt x="56737" y="58686"/>
              </a:lnTo>
              <a:lnTo>
                <a:pt x="92996" y="586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0.39824</cdr:x>
      <cdr:y>0.13074</cdr:y>
    </cdr:from>
    <cdr:to>
      <cdr:x>0.41095</cdr:x>
      <cdr:y>0.13844</cdr:y>
    </cdr:to>
    <cdr:sp macro="" textlink="">
      <cdr:nvSpPr>
        <cdr:cNvPr id="447" name="FracNo 461 StartRow 4649">
          <a:extLst xmlns:a="http://schemas.openxmlformats.org/drawingml/2006/main">
            <a:ext uri="{FF2B5EF4-FFF2-40B4-BE49-F238E27FC236}">
              <a16:creationId xmlns:a16="http://schemas.microsoft.com/office/drawing/2014/main" id="{459CCD94-EABC-B8FB-4EA8-F5D76C9AF4B9}"/>
            </a:ext>
          </a:extLst>
        </cdr:cNvPr>
        <cdr:cNvSpPr/>
      </cdr:nvSpPr>
      <cdr:spPr>
        <a:xfrm xmlns:a="http://schemas.openxmlformats.org/drawingml/2006/main">
          <a:off x="2913216" y="996248"/>
          <a:ext cx="92997" cy="586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997" h="58687">
              <a:moveTo>
                <a:pt x="41456" y="5375"/>
              </a:moveTo>
              <a:lnTo>
                <a:pt x="36259" y="0"/>
              </a:lnTo>
              <a:lnTo>
                <a:pt x="0" y="0"/>
              </a:lnTo>
              <a:lnTo>
                <a:pt x="5197" y="5375"/>
              </a:lnTo>
              <a:lnTo>
                <a:pt x="56738" y="58686"/>
              </a:lnTo>
              <a:lnTo>
                <a:pt x="92996" y="586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0.83267</cdr:x>
      <cdr:y>0.34215</cdr:y>
    </cdr:from>
    <cdr:to>
      <cdr:x>0.84286</cdr:x>
      <cdr:y>0.35227</cdr:y>
    </cdr:to>
    <cdr:sp macro="" textlink="">
      <cdr:nvSpPr>
        <cdr:cNvPr id="448" name="FracNo 865 StartRow 4658">
          <a:extLst xmlns:a="http://schemas.openxmlformats.org/drawingml/2006/main">
            <a:ext uri="{FF2B5EF4-FFF2-40B4-BE49-F238E27FC236}">
              <a16:creationId xmlns:a16="http://schemas.microsoft.com/office/drawing/2014/main" id="{36204E15-3E5C-C549-C08C-CDACB5B87FB2}"/>
            </a:ext>
          </a:extLst>
        </cdr:cNvPr>
        <cdr:cNvSpPr/>
      </cdr:nvSpPr>
      <cdr:spPr>
        <a:xfrm xmlns:a="http://schemas.openxmlformats.org/drawingml/2006/main">
          <a:off x="6091134" y="2607196"/>
          <a:ext cx="74558" cy="771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558" h="77118">
              <a:moveTo>
                <a:pt x="4800" y="42469"/>
              </a:moveTo>
              <a:lnTo>
                <a:pt x="0" y="37503"/>
              </a:lnTo>
              <a:lnTo>
                <a:pt x="0" y="0"/>
              </a:lnTo>
              <a:lnTo>
                <a:pt x="9345" y="9666"/>
              </a:lnTo>
              <a:lnTo>
                <a:pt x="74557" y="77117"/>
              </a:lnTo>
              <a:lnTo>
                <a:pt x="38298" y="771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0.71096</cdr:x>
      <cdr:y>0.46301</cdr:y>
    </cdr:from>
    <cdr:to>
      <cdr:x>0.72115</cdr:x>
      <cdr:y>0.47313</cdr:y>
    </cdr:to>
    <cdr:sp macro="" textlink="">
      <cdr:nvSpPr>
        <cdr:cNvPr id="449" name="FracNo 1101 StartRow 4667">
          <a:extLst xmlns:a="http://schemas.openxmlformats.org/drawingml/2006/main">
            <a:ext uri="{FF2B5EF4-FFF2-40B4-BE49-F238E27FC236}">
              <a16:creationId xmlns:a16="http://schemas.microsoft.com/office/drawing/2014/main" id="{0D7DDB02-2D78-85A5-CB73-C2C5D6D53CF7}"/>
            </a:ext>
          </a:extLst>
        </cdr:cNvPr>
        <cdr:cNvSpPr/>
      </cdr:nvSpPr>
      <cdr:spPr>
        <a:xfrm xmlns:a="http://schemas.openxmlformats.org/drawingml/2006/main">
          <a:off x="5200784" y="3528121"/>
          <a:ext cx="74558" cy="771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558" h="77119">
              <a:moveTo>
                <a:pt x="26775" y="65199"/>
              </a:moveTo>
              <a:lnTo>
                <a:pt x="0" y="37504"/>
              </a:lnTo>
              <a:lnTo>
                <a:pt x="0" y="0"/>
              </a:lnTo>
              <a:lnTo>
                <a:pt x="52124" y="53915"/>
              </a:lnTo>
              <a:lnTo>
                <a:pt x="74557" y="77118"/>
              </a:lnTo>
              <a:lnTo>
                <a:pt x="38299" y="771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0.7387</cdr:x>
      <cdr:y>0.43546</cdr:y>
    </cdr:from>
    <cdr:to>
      <cdr:x>0.74889</cdr:x>
      <cdr:y>0.44558</cdr:y>
    </cdr:to>
    <cdr:sp macro="" textlink="">
      <cdr:nvSpPr>
        <cdr:cNvPr id="450" name="FracNo 623 StartRow 4676">
          <a:extLst xmlns:a="http://schemas.openxmlformats.org/drawingml/2006/main">
            <a:ext uri="{FF2B5EF4-FFF2-40B4-BE49-F238E27FC236}">
              <a16:creationId xmlns:a16="http://schemas.microsoft.com/office/drawing/2014/main" id="{6C483D00-C927-5DBD-7A33-FAFC6537AADC}"/>
            </a:ext>
          </a:extLst>
        </cdr:cNvPr>
        <cdr:cNvSpPr/>
      </cdr:nvSpPr>
      <cdr:spPr>
        <a:xfrm xmlns:a="http://schemas.openxmlformats.org/drawingml/2006/main">
          <a:off x="5403745" y="3318190"/>
          <a:ext cx="74558" cy="771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558" h="77119">
              <a:moveTo>
                <a:pt x="22472" y="60748"/>
              </a:moveTo>
              <a:lnTo>
                <a:pt x="0" y="37504"/>
              </a:lnTo>
              <a:lnTo>
                <a:pt x="0" y="0"/>
              </a:lnTo>
              <a:lnTo>
                <a:pt x="43748" y="45250"/>
              </a:lnTo>
              <a:lnTo>
                <a:pt x="74557" y="77118"/>
              </a:lnTo>
              <a:lnTo>
                <a:pt x="38299" y="771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0.36121</cdr:x>
      <cdr:y>0.455</cdr:y>
    </cdr:from>
    <cdr:to>
      <cdr:x>0.37385</cdr:x>
      <cdr:y>0.46262</cdr:y>
    </cdr:to>
    <cdr:sp macro="" textlink="">
      <cdr:nvSpPr>
        <cdr:cNvPr id="451" name="FracNo 154 StartRow 4685">
          <a:extLst xmlns:a="http://schemas.openxmlformats.org/drawingml/2006/main">
            <a:ext uri="{FF2B5EF4-FFF2-40B4-BE49-F238E27FC236}">
              <a16:creationId xmlns:a16="http://schemas.microsoft.com/office/drawing/2014/main" id="{97A71B2E-2F40-65E3-5287-7C5B19F024A6}"/>
            </a:ext>
          </a:extLst>
        </cdr:cNvPr>
        <cdr:cNvSpPr/>
      </cdr:nvSpPr>
      <cdr:spPr>
        <a:xfrm xmlns:a="http://schemas.openxmlformats.org/drawingml/2006/main">
          <a:off x="2642338" y="3467075"/>
          <a:ext cx="92425" cy="580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425" h="58096">
              <a:moveTo>
                <a:pt x="76205" y="41319"/>
              </a:moveTo>
              <a:lnTo>
                <a:pt x="36258" y="0"/>
              </a:lnTo>
              <a:lnTo>
                <a:pt x="0" y="0"/>
              </a:lnTo>
              <a:lnTo>
                <a:pt x="39946" y="41319"/>
              </a:lnTo>
              <a:lnTo>
                <a:pt x="56166" y="58095"/>
              </a:lnTo>
              <a:lnTo>
                <a:pt x="92424" y="580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0.91085</cdr:x>
      <cdr:y>0.77204</cdr:y>
    </cdr:from>
    <cdr:to>
      <cdr:x>0.92092</cdr:x>
      <cdr:y>0.78203</cdr:y>
    </cdr:to>
    <cdr:sp macro="" textlink="">
      <cdr:nvSpPr>
        <cdr:cNvPr id="452" name="FracNo 921 StartRow 4694">
          <a:extLst xmlns:a="http://schemas.openxmlformats.org/drawingml/2006/main">
            <a:ext uri="{FF2B5EF4-FFF2-40B4-BE49-F238E27FC236}">
              <a16:creationId xmlns:a16="http://schemas.microsoft.com/office/drawing/2014/main" id="{70F8F815-5C3D-4843-7C9A-6C85EE5E8F5B}"/>
            </a:ext>
          </a:extLst>
        </cdr:cNvPr>
        <cdr:cNvSpPr/>
      </cdr:nvSpPr>
      <cdr:spPr>
        <a:xfrm xmlns:a="http://schemas.openxmlformats.org/drawingml/2006/main">
          <a:off x="6663071" y="5882914"/>
          <a:ext cx="73634" cy="761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634" h="76162">
              <a:moveTo>
                <a:pt x="32092" y="70698"/>
              </a:moveTo>
              <a:lnTo>
                <a:pt x="0" y="37504"/>
              </a:lnTo>
              <a:lnTo>
                <a:pt x="0" y="0"/>
              </a:lnTo>
              <a:lnTo>
                <a:pt x="63227" y="65398"/>
              </a:lnTo>
              <a:lnTo>
                <a:pt x="73633" y="76161"/>
              </a:lnTo>
              <a:lnTo>
                <a:pt x="37374" y="761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0.13964</cdr:x>
      <cdr:y>0.13881</cdr:y>
    </cdr:from>
    <cdr:to>
      <cdr:x>0.15213</cdr:x>
      <cdr:y>0.14629</cdr:y>
    </cdr:to>
    <cdr:sp macro="" textlink="">
      <cdr:nvSpPr>
        <cdr:cNvPr id="453" name="FracNo 227 StartRow 4703">
          <a:extLst xmlns:a="http://schemas.openxmlformats.org/drawingml/2006/main">
            <a:ext uri="{FF2B5EF4-FFF2-40B4-BE49-F238E27FC236}">
              <a16:creationId xmlns:a16="http://schemas.microsoft.com/office/drawing/2014/main" id="{49070167-BB57-08E8-761F-E0FA5961E419}"/>
            </a:ext>
          </a:extLst>
        </cdr:cNvPr>
        <cdr:cNvSpPr/>
      </cdr:nvSpPr>
      <cdr:spPr>
        <a:xfrm xmlns:a="http://schemas.openxmlformats.org/drawingml/2006/main">
          <a:off x="1021463" y="1057746"/>
          <a:ext cx="91367" cy="570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367" h="57002">
              <a:moveTo>
                <a:pt x="26528" y="27440"/>
              </a:moveTo>
              <a:lnTo>
                <a:pt x="0" y="0"/>
              </a:lnTo>
              <a:lnTo>
                <a:pt x="36258" y="0"/>
              </a:lnTo>
              <a:lnTo>
                <a:pt x="62787" y="27440"/>
              </a:lnTo>
              <a:lnTo>
                <a:pt x="91366" y="57001"/>
              </a:lnTo>
              <a:lnTo>
                <a:pt x="55108" y="570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0.52329</cdr:x>
      <cdr:y>0.91536</cdr:y>
    </cdr:from>
    <cdr:to>
      <cdr:x>0.53328</cdr:x>
      <cdr:y>0.92528</cdr:y>
    </cdr:to>
    <cdr:sp macro="" textlink="">
      <cdr:nvSpPr>
        <cdr:cNvPr id="454" name="FracNo 669 StartRow 4712">
          <a:extLst xmlns:a="http://schemas.openxmlformats.org/drawingml/2006/main">
            <a:ext uri="{FF2B5EF4-FFF2-40B4-BE49-F238E27FC236}">
              <a16:creationId xmlns:a16="http://schemas.microsoft.com/office/drawing/2014/main" id="{CD2A7001-AD45-B19A-D66F-41B1109817F1}"/>
            </a:ext>
          </a:extLst>
        </cdr:cNvPr>
        <cdr:cNvSpPr/>
      </cdr:nvSpPr>
      <cdr:spPr>
        <a:xfrm xmlns:a="http://schemas.openxmlformats.org/drawingml/2006/main">
          <a:off x="3828006" y="6975078"/>
          <a:ext cx="73077" cy="75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077" h="75587">
              <a:moveTo>
                <a:pt x="23679" y="69846"/>
              </a:moveTo>
              <a:lnTo>
                <a:pt x="18129" y="75586"/>
              </a:lnTo>
              <a:lnTo>
                <a:pt x="0" y="56834"/>
              </a:lnTo>
              <a:lnTo>
                <a:pt x="5549" y="51094"/>
              </a:lnTo>
              <a:lnTo>
                <a:pt x="54947" y="0"/>
              </a:lnTo>
              <a:lnTo>
                <a:pt x="730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0.37061</cdr:x>
      <cdr:y>0.50238</cdr:y>
    </cdr:from>
    <cdr:to>
      <cdr:x>0.37808</cdr:x>
      <cdr:y>0.51472</cdr:y>
    </cdr:to>
    <cdr:sp macro="" textlink="">
      <cdr:nvSpPr>
        <cdr:cNvPr id="455" name="FracNo 1113 StartRow 4721">
          <a:extLst xmlns:a="http://schemas.openxmlformats.org/drawingml/2006/main">
            <a:ext uri="{FF2B5EF4-FFF2-40B4-BE49-F238E27FC236}">
              <a16:creationId xmlns:a16="http://schemas.microsoft.com/office/drawing/2014/main" id="{FFC7EFB0-9B55-08F0-2503-7683C96B7A94}"/>
            </a:ext>
          </a:extLst>
        </cdr:cNvPr>
        <cdr:cNvSpPr/>
      </cdr:nvSpPr>
      <cdr:spPr>
        <a:xfrm xmlns:a="http://schemas.openxmlformats.org/drawingml/2006/main">
          <a:off x="2711081" y="3828107"/>
          <a:ext cx="54679" cy="94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679" h="94060">
              <a:moveTo>
                <a:pt x="3188" y="3298"/>
              </a:moveTo>
              <a:lnTo>
                <a:pt x="0" y="0"/>
              </a:lnTo>
              <a:lnTo>
                <a:pt x="0" y="37504"/>
              </a:lnTo>
              <a:lnTo>
                <a:pt x="2609" y="40202"/>
              </a:lnTo>
              <a:lnTo>
                <a:pt x="31327" y="69907"/>
              </a:lnTo>
              <a:lnTo>
                <a:pt x="54678" y="94059"/>
              </a:lnTo>
              <a:lnTo>
                <a:pt x="54678" y="56556"/>
              </a:lnTo>
              <a:lnTo>
                <a:pt x="38284" y="396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0.10979</cdr:x>
      <cdr:y>0.76136</cdr:y>
    </cdr:from>
    <cdr:to>
      <cdr:x>0.12222</cdr:x>
      <cdr:y>0.76878</cdr:y>
    </cdr:to>
    <cdr:sp macro="" textlink="">
      <cdr:nvSpPr>
        <cdr:cNvPr id="456" name="FracNo 986 StartRow 4732">
          <a:extLst xmlns:a="http://schemas.openxmlformats.org/drawingml/2006/main">
            <a:ext uri="{FF2B5EF4-FFF2-40B4-BE49-F238E27FC236}">
              <a16:creationId xmlns:a16="http://schemas.microsoft.com/office/drawing/2014/main" id="{14476C2F-C63F-69D7-4DA3-3E6CF51BCBDB}"/>
            </a:ext>
          </a:extLst>
        </cdr:cNvPr>
        <cdr:cNvSpPr/>
      </cdr:nvSpPr>
      <cdr:spPr>
        <a:xfrm xmlns:a="http://schemas.openxmlformats.org/drawingml/2006/main">
          <a:off x="803132" y="5801580"/>
          <a:ext cx="90937" cy="565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937" h="56556">
              <a:moveTo>
                <a:pt x="53908" y="55759"/>
              </a:moveTo>
              <a:lnTo>
                <a:pt x="0" y="0"/>
              </a:lnTo>
              <a:lnTo>
                <a:pt x="36258" y="0"/>
              </a:lnTo>
              <a:lnTo>
                <a:pt x="90167" y="55759"/>
              </a:lnTo>
              <a:lnTo>
                <a:pt x="90936" y="56555"/>
              </a:lnTo>
              <a:lnTo>
                <a:pt x="54677" y="565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0.23592</cdr:x>
      <cdr:y>0.63612</cdr:y>
    </cdr:from>
    <cdr:to>
      <cdr:x>0.2434</cdr:x>
      <cdr:y>0.64846</cdr:y>
    </cdr:to>
    <cdr:sp macro="" textlink="">
      <cdr:nvSpPr>
        <cdr:cNvPr id="457" name="FracNo 147 StartRow 4741">
          <a:extLst xmlns:a="http://schemas.openxmlformats.org/drawingml/2006/main">
            <a:ext uri="{FF2B5EF4-FFF2-40B4-BE49-F238E27FC236}">
              <a16:creationId xmlns:a16="http://schemas.microsoft.com/office/drawing/2014/main" id="{2FDCB3E1-D231-E875-DB6A-5C68C9D83E82}"/>
            </a:ext>
          </a:extLst>
        </cdr:cNvPr>
        <cdr:cNvSpPr/>
      </cdr:nvSpPr>
      <cdr:spPr>
        <a:xfrm xmlns:a="http://schemas.openxmlformats.org/drawingml/2006/main">
          <a:off x="1725807" y="4847218"/>
          <a:ext cx="54679" cy="94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679" h="94060">
              <a:moveTo>
                <a:pt x="47293" y="48917"/>
              </a:moveTo>
              <a:lnTo>
                <a:pt x="0" y="0"/>
              </a:lnTo>
              <a:lnTo>
                <a:pt x="0" y="37504"/>
              </a:lnTo>
              <a:lnTo>
                <a:pt x="47293" y="86421"/>
              </a:lnTo>
              <a:lnTo>
                <a:pt x="54678" y="94059"/>
              </a:lnTo>
              <a:lnTo>
                <a:pt x="54678" y="565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0.36761</cdr:x>
      <cdr:y>0.50536</cdr:y>
    </cdr:from>
    <cdr:to>
      <cdr:x>0.37508</cdr:x>
      <cdr:y>0.5177</cdr:y>
    </cdr:to>
    <cdr:sp macro="" textlink="">
      <cdr:nvSpPr>
        <cdr:cNvPr id="458" name="FracNo 150 StartRow 4750">
          <a:extLst xmlns:a="http://schemas.openxmlformats.org/drawingml/2006/main">
            <a:ext uri="{FF2B5EF4-FFF2-40B4-BE49-F238E27FC236}">
              <a16:creationId xmlns:a16="http://schemas.microsoft.com/office/drawing/2014/main" id="{8BFB4FF6-4BF0-00AB-6754-D597846A6CB0}"/>
            </a:ext>
          </a:extLst>
        </cdr:cNvPr>
        <cdr:cNvSpPr/>
      </cdr:nvSpPr>
      <cdr:spPr>
        <a:xfrm xmlns:a="http://schemas.openxmlformats.org/drawingml/2006/main">
          <a:off x="2689121" y="3850822"/>
          <a:ext cx="54678" cy="94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678" h="94060">
              <a:moveTo>
                <a:pt x="14335" y="14828"/>
              </a:moveTo>
              <a:lnTo>
                <a:pt x="0" y="0"/>
              </a:lnTo>
              <a:lnTo>
                <a:pt x="0" y="37504"/>
              </a:lnTo>
              <a:lnTo>
                <a:pt x="14335" y="52331"/>
              </a:lnTo>
              <a:lnTo>
                <a:pt x="54677" y="94059"/>
              </a:lnTo>
              <a:lnTo>
                <a:pt x="54677" y="565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0.71264</cdr:x>
      <cdr:y>0.55657</cdr:y>
    </cdr:from>
    <cdr:to>
      <cdr:x>0.72005</cdr:x>
      <cdr:y>0.56886</cdr:y>
    </cdr:to>
    <cdr:sp macro="" textlink="">
      <cdr:nvSpPr>
        <cdr:cNvPr id="459" name="FracNo 639 StartRow 4759">
          <a:extLst xmlns:a="http://schemas.openxmlformats.org/drawingml/2006/main">
            <a:ext uri="{FF2B5EF4-FFF2-40B4-BE49-F238E27FC236}">
              <a16:creationId xmlns:a16="http://schemas.microsoft.com/office/drawing/2014/main" id="{5D3FF112-798F-4B4E-87FF-A8E664D45906}"/>
            </a:ext>
          </a:extLst>
        </cdr:cNvPr>
        <cdr:cNvSpPr/>
      </cdr:nvSpPr>
      <cdr:spPr>
        <a:xfrm xmlns:a="http://schemas.openxmlformats.org/drawingml/2006/main">
          <a:off x="5213070" y="4241071"/>
          <a:ext cx="54246" cy="936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246" h="93612">
              <a:moveTo>
                <a:pt x="44906" y="46448"/>
              </a:moveTo>
              <a:lnTo>
                <a:pt x="0" y="0"/>
              </a:lnTo>
              <a:lnTo>
                <a:pt x="0" y="37503"/>
              </a:lnTo>
              <a:lnTo>
                <a:pt x="44906" y="83951"/>
              </a:lnTo>
              <a:lnTo>
                <a:pt x="54245" y="93611"/>
              </a:lnTo>
              <a:lnTo>
                <a:pt x="54245" y="561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0.77552</cdr:x>
      <cdr:y>0.49413</cdr:y>
    </cdr:from>
    <cdr:to>
      <cdr:x>0.78293</cdr:x>
      <cdr:y>0.50642</cdr:y>
    </cdr:to>
    <cdr:sp macro="" textlink="">
      <cdr:nvSpPr>
        <cdr:cNvPr id="460" name="FracNo 925 StartRow 4768">
          <a:extLst xmlns:a="http://schemas.openxmlformats.org/drawingml/2006/main">
            <a:ext uri="{FF2B5EF4-FFF2-40B4-BE49-F238E27FC236}">
              <a16:creationId xmlns:a16="http://schemas.microsoft.com/office/drawing/2014/main" id="{0877E276-340F-8D60-C8CD-856E9EAD63F9}"/>
            </a:ext>
          </a:extLst>
        </cdr:cNvPr>
        <cdr:cNvSpPr/>
      </cdr:nvSpPr>
      <cdr:spPr>
        <a:xfrm xmlns:a="http://schemas.openxmlformats.org/drawingml/2006/main">
          <a:off x="5673070" y="3765272"/>
          <a:ext cx="54247" cy="936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247" h="93613">
              <a:moveTo>
                <a:pt x="13844" y="14319"/>
              </a:moveTo>
              <a:lnTo>
                <a:pt x="0" y="0"/>
              </a:lnTo>
              <a:lnTo>
                <a:pt x="0" y="37504"/>
              </a:lnTo>
              <a:lnTo>
                <a:pt x="13844" y="51823"/>
              </a:lnTo>
              <a:lnTo>
                <a:pt x="54246" y="93612"/>
              </a:lnTo>
              <a:lnTo>
                <a:pt x="54246" y="561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0.57055</cdr:x>
      <cdr:y>0.57907</cdr:y>
    </cdr:from>
    <cdr:to>
      <cdr:x>0.58044</cdr:x>
      <cdr:y>0.58889</cdr:y>
    </cdr:to>
    <cdr:sp macro="" textlink="">
      <cdr:nvSpPr>
        <cdr:cNvPr id="461" name="FracNo 385 StartRow 4777">
          <a:extLst xmlns:a="http://schemas.openxmlformats.org/drawingml/2006/main">
            <a:ext uri="{FF2B5EF4-FFF2-40B4-BE49-F238E27FC236}">
              <a16:creationId xmlns:a16="http://schemas.microsoft.com/office/drawing/2014/main" id="{43B7DAA6-239F-E848-E5E9-F59AA07BFE1C}"/>
            </a:ext>
          </a:extLst>
        </cdr:cNvPr>
        <cdr:cNvSpPr/>
      </cdr:nvSpPr>
      <cdr:spPr>
        <a:xfrm xmlns:a="http://schemas.openxmlformats.org/drawingml/2006/main">
          <a:off x="4173704" y="4412483"/>
          <a:ext cx="72362" cy="74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62" h="74847">
              <a:moveTo>
                <a:pt x="65301" y="30039"/>
              </a:moveTo>
              <a:lnTo>
                <a:pt x="36258" y="0"/>
              </a:lnTo>
              <a:lnTo>
                <a:pt x="0" y="0"/>
              </a:lnTo>
              <a:lnTo>
                <a:pt x="58210" y="60209"/>
              </a:lnTo>
              <a:lnTo>
                <a:pt x="72361" y="74846"/>
              </a:lnTo>
              <a:lnTo>
                <a:pt x="72361" y="373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0.56101</cdr:x>
      <cdr:y>0.58854</cdr:y>
    </cdr:from>
    <cdr:to>
      <cdr:x>0.5709</cdr:x>
      <cdr:y>0.59836</cdr:y>
    </cdr:to>
    <cdr:sp macro="" textlink="">
      <cdr:nvSpPr>
        <cdr:cNvPr id="462" name="FracNo 381 StartRow 4786">
          <a:extLst xmlns:a="http://schemas.openxmlformats.org/drawingml/2006/main">
            <a:ext uri="{FF2B5EF4-FFF2-40B4-BE49-F238E27FC236}">
              <a16:creationId xmlns:a16="http://schemas.microsoft.com/office/drawing/2014/main" id="{1AF75B4A-5CF9-92A9-6832-051B20736C48}"/>
            </a:ext>
          </a:extLst>
        </cdr:cNvPr>
        <cdr:cNvSpPr/>
      </cdr:nvSpPr>
      <cdr:spPr>
        <a:xfrm xmlns:a="http://schemas.openxmlformats.org/drawingml/2006/main">
          <a:off x="4103891" y="4484693"/>
          <a:ext cx="72362" cy="74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62" h="74847">
              <a:moveTo>
                <a:pt x="33151" y="71792"/>
              </a:moveTo>
              <a:lnTo>
                <a:pt x="0" y="37503"/>
              </a:lnTo>
              <a:lnTo>
                <a:pt x="0" y="0"/>
              </a:lnTo>
              <a:lnTo>
                <a:pt x="66444" y="68725"/>
              </a:lnTo>
              <a:lnTo>
                <a:pt x="72361" y="74846"/>
              </a:lnTo>
              <a:lnTo>
                <a:pt x="36103" y="748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0.18241</cdr:x>
      <cdr:y>0.57815</cdr:y>
    </cdr:from>
    <cdr:to>
      <cdr:x>0.19471</cdr:x>
      <cdr:y>0.58544</cdr:y>
    </cdr:to>
    <cdr:sp macro="" textlink="">
      <cdr:nvSpPr>
        <cdr:cNvPr id="463" name="FracNo 926 StartRow 4795">
          <a:extLst xmlns:a="http://schemas.openxmlformats.org/drawingml/2006/main">
            <a:ext uri="{FF2B5EF4-FFF2-40B4-BE49-F238E27FC236}">
              <a16:creationId xmlns:a16="http://schemas.microsoft.com/office/drawing/2014/main" id="{5BD2AAE4-5C70-DCF2-F062-BF41F01F515D}"/>
            </a:ext>
          </a:extLst>
        </cdr:cNvPr>
        <cdr:cNvSpPr/>
      </cdr:nvSpPr>
      <cdr:spPr>
        <a:xfrm xmlns:a="http://schemas.openxmlformats.org/drawingml/2006/main">
          <a:off x="1334384" y="4405471"/>
          <a:ext cx="89970" cy="555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970" h="55556">
              <a:moveTo>
                <a:pt x="24189" y="25019"/>
              </a:moveTo>
              <a:lnTo>
                <a:pt x="0" y="0"/>
              </a:lnTo>
              <a:lnTo>
                <a:pt x="36259" y="0"/>
              </a:lnTo>
              <a:lnTo>
                <a:pt x="60447" y="25019"/>
              </a:lnTo>
              <a:lnTo>
                <a:pt x="89969" y="55555"/>
              </a:lnTo>
              <a:lnTo>
                <a:pt x="53710" y="555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0.92739</cdr:x>
      <cdr:y>0.3435</cdr:y>
    </cdr:from>
    <cdr:to>
      <cdr:x>0.9372</cdr:x>
      <cdr:y>0.35323</cdr:y>
    </cdr:to>
    <cdr:sp macro="" textlink="">
      <cdr:nvSpPr>
        <cdr:cNvPr id="464" name="FracNo 863 StartRow 4804">
          <a:extLst xmlns:a="http://schemas.openxmlformats.org/drawingml/2006/main">
            <a:ext uri="{FF2B5EF4-FFF2-40B4-BE49-F238E27FC236}">
              <a16:creationId xmlns:a16="http://schemas.microsoft.com/office/drawing/2014/main" id="{676F3E86-9B17-C792-9483-E31CA2DE08D6}"/>
            </a:ext>
          </a:extLst>
        </cdr:cNvPr>
        <cdr:cNvSpPr/>
      </cdr:nvSpPr>
      <cdr:spPr>
        <a:xfrm xmlns:a="http://schemas.openxmlformats.org/drawingml/2006/main">
          <a:off x="6784062" y="2617442"/>
          <a:ext cx="71740" cy="74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740" h="74204">
              <a:moveTo>
                <a:pt x="18260" y="56391"/>
              </a:moveTo>
              <a:lnTo>
                <a:pt x="0" y="37504"/>
              </a:lnTo>
              <a:lnTo>
                <a:pt x="0" y="0"/>
              </a:lnTo>
              <a:lnTo>
                <a:pt x="36921" y="38189"/>
              </a:lnTo>
              <a:lnTo>
                <a:pt x="71739" y="74203"/>
              </a:lnTo>
              <a:lnTo>
                <a:pt x="35480" y="742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0.84683</cdr:x>
      <cdr:y>0.71521</cdr:y>
    </cdr:from>
    <cdr:to>
      <cdr:x>0.85414</cdr:x>
      <cdr:y>0.7274</cdr:y>
    </cdr:to>
    <cdr:sp macro="" textlink="">
      <cdr:nvSpPr>
        <cdr:cNvPr id="465" name="FracNo 560 StartRow 4813">
          <a:extLst xmlns:a="http://schemas.openxmlformats.org/drawingml/2006/main">
            <a:ext uri="{FF2B5EF4-FFF2-40B4-BE49-F238E27FC236}">
              <a16:creationId xmlns:a16="http://schemas.microsoft.com/office/drawing/2014/main" id="{D3948DB4-124C-99B2-F18E-3AC96E9A1BEC}"/>
            </a:ext>
          </a:extLst>
        </cdr:cNvPr>
        <cdr:cNvSpPr/>
      </cdr:nvSpPr>
      <cdr:spPr>
        <a:xfrm xmlns:a="http://schemas.openxmlformats.org/drawingml/2006/main">
          <a:off x="6194733" y="5449912"/>
          <a:ext cx="53505" cy="92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505" h="92846">
              <a:moveTo>
                <a:pt x="38908" y="40244"/>
              </a:moveTo>
              <a:lnTo>
                <a:pt x="0" y="0"/>
              </a:lnTo>
              <a:lnTo>
                <a:pt x="0" y="37503"/>
              </a:lnTo>
              <a:lnTo>
                <a:pt x="38908" y="77747"/>
              </a:lnTo>
              <a:lnTo>
                <a:pt x="53504" y="92845"/>
              </a:lnTo>
              <a:lnTo>
                <a:pt x="53504" y="553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0.27626</cdr:x>
      <cdr:y>0.7197</cdr:y>
    </cdr:from>
    <cdr:to>
      <cdr:x>0.28356</cdr:x>
      <cdr:y>0.73187</cdr:y>
    </cdr:to>
    <cdr:sp macro="" textlink="">
      <cdr:nvSpPr>
        <cdr:cNvPr id="466" name="FracNo 79 StartRow 4822">
          <a:extLst xmlns:a="http://schemas.openxmlformats.org/drawingml/2006/main">
            <a:ext uri="{FF2B5EF4-FFF2-40B4-BE49-F238E27FC236}">
              <a16:creationId xmlns:a16="http://schemas.microsoft.com/office/drawing/2014/main" id="{7D7EDA69-8C28-9573-8E4D-1C8FD121E3E2}"/>
            </a:ext>
          </a:extLst>
        </cdr:cNvPr>
        <cdr:cNvSpPr/>
      </cdr:nvSpPr>
      <cdr:spPr>
        <a:xfrm xmlns:a="http://schemas.openxmlformats.org/drawingml/2006/main">
          <a:off x="2020928" y="5484125"/>
          <a:ext cx="53390" cy="927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390" h="92727">
              <a:moveTo>
                <a:pt x="40112" y="41489"/>
              </a:moveTo>
              <a:lnTo>
                <a:pt x="0" y="0"/>
              </a:lnTo>
              <a:lnTo>
                <a:pt x="0" y="37504"/>
              </a:lnTo>
              <a:lnTo>
                <a:pt x="40112" y="78993"/>
              </a:lnTo>
              <a:lnTo>
                <a:pt x="53389" y="92726"/>
              </a:lnTo>
              <a:lnTo>
                <a:pt x="53389" y="552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0.22624</cdr:x>
      <cdr:y>0.3423</cdr:y>
    </cdr:from>
    <cdr:to>
      <cdr:x>0.23354</cdr:x>
      <cdr:y>0.35447</cdr:y>
    </cdr:to>
    <cdr:sp macro="" textlink="">
      <cdr:nvSpPr>
        <cdr:cNvPr id="467" name="FracNo 891 StartRow 4831">
          <a:extLst xmlns:a="http://schemas.openxmlformats.org/drawingml/2006/main">
            <a:ext uri="{FF2B5EF4-FFF2-40B4-BE49-F238E27FC236}">
              <a16:creationId xmlns:a16="http://schemas.microsoft.com/office/drawing/2014/main" id="{89238668-80CE-F287-D05C-A72E57FDFAFF}"/>
            </a:ext>
          </a:extLst>
        </cdr:cNvPr>
        <cdr:cNvSpPr/>
      </cdr:nvSpPr>
      <cdr:spPr>
        <a:xfrm xmlns:a="http://schemas.openxmlformats.org/drawingml/2006/main">
          <a:off x="1655008" y="2608312"/>
          <a:ext cx="53380" cy="927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380" h="92717">
              <a:moveTo>
                <a:pt x="18777" y="56925"/>
              </a:moveTo>
              <a:lnTo>
                <a:pt x="0" y="37503"/>
              </a:lnTo>
              <a:lnTo>
                <a:pt x="0" y="0"/>
              </a:lnTo>
              <a:lnTo>
                <a:pt x="18777" y="19422"/>
              </a:lnTo>
              <a:lnTo>
                <a:pt x="53379" y="55212"/>
              </a:lnTo>
              <a:lnTo>
                <a:pt x="53379" y="927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0.83007</cdr:x>
      <cdr:y>0.8379</cdr:y>
    </cdr:from>
    <cdr:to>
      <cdr:x>0.84225</cdr:x>
      <cdr:y>0.84508</cdr:y>
    </cdr:to>
    <cdr:sp macro="" textlink="">
      <cdr:nvSpPr>
        <cdr:cNvPr id="468" name="FracNo 1050 StartRow 4840">
          <a:extLst xmlns:a="http://schemas.openxmlformats.org/drawingml/2006/main">
            <a:ext uri="{FF2B5EF4-FFF2-40B4-BE49-F238E27FC236}">
              <a16:creationId xmlns:a16="http://schemas.microsoft.com/office/drawing/2014/main" id="{24086BC6-FBEB-FEDF-BBA1-6CEE4268C3AF}"/>
            </a:ext>
          </a:extLst>
        </cdr:cNvPr>
        <cdr:cNvSpPr/>
      </cdr:nvSpPr>
      <cdr:spPr>
        <a:xfrm xmlns:a="http://schemas.openxmlformats.org/drawingml/2006/main">
          <a:off x="6072095" y="6384765"/>
          <a:ext cx="89153" cy="547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153" h="54711">
              <a:moveTo>
                <a:pt x="80502" y="45763"/>
              </a:moveTo>
              <a:lnTo>
                <a:pt x="36259" y="0"/>
              </a:lnTo>
              <a:lnTo>
                <a:pt x="0" y="0"/>
              </a:lnTo>
              <a:lnTo>
                <a:pt x="44243" y="45763"/>
              </a:lnTo>
              <a:lnTo>
                <a:pt x="52893" y="54710"/>
              </a:lnTo>
              <a:lnTo>
                <a:pt x="89152" y="547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0.51206</cdr:x>
      <cdr:y>0.57054</cdr:y>
    </cdr:from>
    <cdr:to>
      <cdr:x>0.52176</cdr:x>
      <cdr:y>0.58017</cdr:y>
    </cdr:to>
    <cdr:sp macro="" textlink="">
      <cdr:nvSpPr>
        <cdr:cNvPr id="469" name="FracNo 395 StartRow 4849">
          <a:extLst xmlns:a="http://schemas.openxmlformats.org/drawingml/2006/main">
            <a:ext uri="{FF2B5EF4-FFF2-40B4-BE49-F238E27FC236}">
              <a16:creationId xmlns:a16="http://schemas.microsoft.com/office/drawing/2014/main" id="{EA9D8303-CBBC-37DB-0092-90EA0508D46A}"/>
            </a:ext>
          </a:extLst>
        </cdr:cNvPr>
        <cdr:cNvSpPr/>
      </cdr:nvSpPr>
      <cdr:spPr>
        <a:xfrm xmlns:a="http://schemas.openxmlformats.org/drawingml/2006/main">
          <a:off x="3745826" y="4347491"/>
          <a:ext cx="70956" cy="733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956" h="73392">
              <a:moveTo>
                <a:pt x="40039" y="3910"/>
              </a:moveTo>
              <a:lnTo>
                <a:pt x="36259" y="0"/>
              </a:lnTo>
              <a:lnTo>
                <a:pt x="0" y="0"/>
              </a:lnTo>
              <a:lnTo>
                <a:pt x="7731" y="7996"/>
              </a:lnTo>
              <a:lnTo>
                <a:pt x="70955" y="73391"/>
              </a:lnTo>
              <a:lnTo>
                <a:pt x="70955" y="358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0.67906</cdr:x>
      <cdr:y>0.23485</cdr:y>
    </cdr:from>
    <cdr:to>
      <cdr:x>0.69123</cdr:x>
      <cdr:y>0.242</cdr:y>
    </cdr:to>
    <cdr:sp macro="" textlink="">
      <cdr:nvSpPr>
        <cdr:cNvPr id="470" name="FracNo 1056 StartRow 4858">
          <a:extLst xmlns:a="http://schemas.openxmlformats.org/drawingml/2006/main">
            <a:ext uri="{FF2B5EF4-FFF2-40B4-BE49-F238E27FC236}">
              <a16:creationId xmlns:a16="http://schemas.microsoft.com/office/drawing/2014/main" id="{A309EEC7-3C3F-E87E-A346-B5558B264CF1}"/>
            </a:ext>
          </a:extLst>
        </cdr:cNvPr>
        <cdr:cNvSpPr/>
      </cdr:nvSpPr>
      <cdr:spPr>
        <a:xfrm xmlns:a="http://schemas.openxmlformats.org/drawingml/2006/main">
          <a:off x="4967496" y="1789548"/>
          <a:ext cx="88974" cy="545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974" h="54525">
              <a:moveTo>
                <a:pt x="4355" y="4503"/>
              </a:moveTo>
              <a:lnTo>
                <a:pt x="0" y="0"/>
              </a:lnTo>
              <a:lnTo>
                <a:pt x="36259" y="0"/>
              </a:lnTo>
              <a:lnTo>
                <a:pt x="40613" y="4503"/>
              </a:lnTo>
              <a:lnTo>
                <a:pt x="88973" y="54524"/>
              </a:lnTo>
              <a:lnTo>
                <a:pt x="52715" y="545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0.55547</cdr:x>
      <cdr:y>0.82681</cdr:y>
    </cdr:from>
    <cdr:to>
      <cdr:x>0.56514</cdr:x>
      <cdr:y>0.83641</cdr:y>
    </cdr:to>
    <cdr:sp macro="" textlink="">
      <cdr:nvSpPr>
        <cdr:cNvPr id="471" name="FracNo 905 StartRow 4867">
          <a:extLst xmlns:a="http://schemas.openxmlformats.org/drawingml/2006/main">
            <a:ext uri="{FF2B5EF4-FFF2-40B4-BE49-F238E27FC236}">
              <a16:creationId xmlns:a16="http://schemas.microsoft.com/office/drawing/2014/main" id="{A10EC764-ACBF-B4C4-A728-12EC7C808EB3}"/>
            </a:ext>
          </a:extLst>
        </cdr:cNvPr>
        <cdr:cNvSpPr/>
      </cdr:nvSpPr>
      <cdr:spPr>
        <a:xfrm xmlns:a="http://schemas.openxmlformats.org/drawingml/2006/main">
          <a:off x="4063386" y="6300290"/>
          <a:ext cx="70706" cy="73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706" h="73134">
              <a:moveTo>
                <a:pt x="14987" y="15501"/>
              </a:moveTo>
              <a:lnTo>
                <a:pt x="0" y="0"/>
              </a:lnTo>
              <a:lnTo>
                <a:pt x="36259" y="0"/>
              </a:lnTo>
              <a:lnTo>
                <a:pt x="43560" y="7552"/>
              </a:lnTo>
              <a:lnTo>
                <a:pt x="70705" y="35629"/>
              </a:lnTo>
              <a:lnTo>
                <a:pt x="70705" y="731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0.54474</cdr:x>
      <cdr:y>0.35752</cdr:y>
    </cdr:from>
    <cdr:to>
      <cdr:x>0.55198</cdr:x>
      <cdr:y>0.36956</cdr:y>
    </cdr:to>
    <cdr:sp macro="" textlink="">
      <cdr:nvSpPr>
        <cdr:cNvPr id="472" name="FracNo 473 StartRow 4876">
          <a:extLst xmlns:a="http://schemas.openxmlformats.org/drawingml/2006/main">
            <a:ext uri="{FF2B5EF4-FFF2-40B4-BE49-F238E27FC236}">
              <a16:creationId xmlns:a16="http://schemas.microsoft.com/office/drawing/2014/main" id="{241CF871-5A4E-483D-500F-68F34C857FD2}"/>
            </a:ext>
          </a:extLst>
        </cdr:cNvPr>
        <cdr:cNvSpPr/>
      </cdr:nvSpPr>
      <cdr:spPr>
        <a:xfrm xmlns:a="http://schemas.openxmlformats.org/drawingml/2006/main">
          <a:off x="3984883" y="2724278"/>
          <a:ext cx="52984" cy="91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984" h="91767">
              <a:moveTo>
                <a:pt x="45824" y="84902"/>
              </a:moveTo>
              <a:lnTo>
                <a:pt x="0" y="37504"/>
              </a:lnTo>
              <a:lnTo>
                <a:pt x="0" y="0"/>
              </a:lnTo>
              <a:lnTo>
                <a:pt x="48205" y="49861"/>
              </a:lnTo>
              <a:lnTo>
                <a:pt x="52983" y="54803"/>
              </a:lnTo>
              <a:lnTo>
                <a:pt x="52460" y="54262"/>
              </a:lnTo>
              <a:lnTo>
                <a:pt x="52460" y="91766"/>
              </a:lnTo>
              <a:lnTo>
                <a:pt x="50366" y="895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0.70639</cdr:x>
      <cdr:y>0.51102</cdr:y>
    </cdr:from>
    <cdr:to>
      <cdr:x>0.71604</cdr:x>
      <cdr:y>0.52059</cdr:y>
    </cdr:to>
    <cdr:sp macro="" textlink="">
      <cdr:nvSpPr>
        <cdr:cNvPr id="473" name="FracNo 631 StartRow 4887">
          <a:extLst xmlns:a="http://schemas.openxmlformats.org/drawingml/2006/main">
            <a:ext uri="{FF2B5EF4-FFF2-40B4-BE49-F238E27FC236}">
              <a16:creationId xmlns:a16="http://schemas.microsoft.com/office/drawing/2014/main" id="{C78DC0F6-BA7C-7FA7-4763-6FF47B90B157}"/>
            </a:ext>
          </a:extLst>
        </cdr:cNvPr>
        <cdr:cNvSpPr/>
      </cdr:nvSpPr>
      <cdr:spPr>
        <a:xfrm xmlns:a="http://schemas.openxmlformats.org/drawingml/2006/main">
          <a:off x="5167407" y="3893965"/>
          <a:ext cx="70540" cy="729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540" h="72962">
              <a:moveTo>
                <a:pt x="66405" y="31181"/>
              </a:moveTo>
              <a:lnTo>
                <a:pt x="36259" y="0"/>
              </a:lnTo>
              <a:lnTo>
                <a:pt x="0" y="0"/>
              </a:lnTo>
              <a:lnTo>
                <a:pt x="62032" y="64162"/>
              </a:lnTo>
              <a:lnTo>
                <a:pt x="70539" y="72961"/>
              </a:lnTo>
              <a:lnTo>
                <a:pt x="70539" y="354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0.63709</cdr:x>
      <cdr:y>0.29084</cdr:y>
    </cdr:from>
    <cdr:to>
      <cdr:x>0.6491</cdr:x>
      <cdr:y>0.29783</cdr:y>
    </cdr:to>
    <cdr:sp macro="" textlink="">
      <cdr:nvSpPr>
        <cdr:cNvPr id="474" name="FracNo 898 StartRow 4896">
          <a:extLst xmlns:a="http://schemas.openxmlformats.org/drawingml/2006/main">
            <a:ext uri="{FF2B5EF4-FFF2-40B4-BE49-F238E27FC236}">
              <a16:creationId xmlns:a16="http://schemas.microsoft.com/office/drawing/2014/main" id="{BD27086A-65A6-3C66-102B-2BB9F55F3FC3}"/>
            </a:ext>
          </a:extLst>
        </cdr:cNvPr>
        <cdr:cNvSpPr/>
      </cdr:nvSpPr>
      <cdr:spPr>
        <a:xfrm xmlns:a="http://schemas.openxmlformats.org/drawingml/2006/main">
          <a:off x="4660472" y="2216165"/>
          <a:ext cx="87789" cy="532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789" h="53299">
              <a:moveTo>
                <a:pt x="18351" y="18981"/>
              </a:moveTo>
              <a:lnTo>
                <a:pt x="0" y="0"/>
              </a:lnTo>
              <a:lnTo>
                <a:pt x="36259" y="0"/>
              </a:lnTo>
              <a:lnTo>
                <a:pt x="54610" y="18981"/>
              </a:lnTo>
              <a:lnTo>
                <a:pt x="87788" y="53298"/>
              </a:lnTo>
              <a:lnTo>
                <a:pt x="51529" y="532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0.44206</cdr:x>
      <cdr:y>0.69275</cdr:y>
    </cdr:from>
    <cdr:to>
      <cdr:x>0.45402</cdr:x>
      <cdr:y>0.6997</cdr:y>
    </cdr:to>
    <cdr:sp macro="" textlink="">
      <cdr:nvSpPr>
        <cdr:cNvPr id="475" name="FracNo 707 StartRow 4905">
          <a:extLst xmlns:a="http://schemas.openxmlformats.org/drawingml/2006/main">
            <a:ext uri="{FF2B5EF4-FFF2-40B4-BE49-F238E27FC236}">
              <a16:creationId xmlns:a16="http://schemas.microsoft.com/office/drawing/2014/main" id="{318194BD-E56B-34D7-5FE4-E30FD21F002B}"/>
            </a:ext>
          </a:extLst>
        </cdr:cNvPr>
        <cdr:cNvSpPr/>
      </cdr:nvSpPr>
      <cdr:spPr>
        <a:xfrm xmlns:a="http://schemas.openxmlformats.org/drawingml/2006/main">
          <a:off x="3233782" y="5278732"/>
          <a:ext cx="87476" cy="52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476" h="52977">
              <a:moveTo>
                <a:pt x="56915" y="21365"/>
              </a:moveTo>
              <a:lnTo>
                <a:pt x="36258" y="0"/>
              </a:lnTo>
              <a:lnTo>
                <a:pt x="0" y="0"/>
              </a:lnTo>
              <a:lnTo>
                <a:pt x="20656" y="21365"/>
              </a:lnTo>
              <a:lnTo>
                <a:pt x="51217" y="52976"/>
              </a:lnTo>
              <a:lnTo>
                <a:pt x="87475" y="529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0.43677</cdr:x>
      <cdr:y>0.69801</cdr:y>
    </cdr:from>
    <cdr:to>
      <cdr:x>0.44872</cdr:x>
      <cdr:y>0.70496</cdr:y>
    </cdr:to>
    <cdr:sp macro="" textlink="">
      <cdr:nvSpPr>
        <cdr:cNvPr id="476" name="FracNo 1009 StartRow 4914">
          <a:extLst xmlns:a="http://schemas.openxmlformats.org/drawingml/2006/main">
            <a:ext uri="{FF2B5EF4-FFF2-40B4-BE49-F238E27FC236}">
              <a16:creationId xmlns:a16="http://schemas.microsoft.com/office/drawing/2014/main" id="{F50007D7-DAA2-3A01-6DE7-FE1A25B52E6D}"/>
            </a:ext>
          </a:extLst>
        </cdr:cNvPr>
        <cdr:cNvSpPr/>
      </cdr:nvSpPr>
      <cdr:spPr>
        <a:xfrm xmlns:a="http://schemas.openxmlformats.org/drawingml/2006/main">
          <a:off x="3195025" y="5318820"/>
          <a:ext cx="87476" cy="52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476" h="52977">
              <a:moveTo>
                <a:pt x="39482" y="3334"/>
              </a:moveTo>
              <a:lnTo>
                <a:pt x="36258" y="0"/>
              </a:lnTo>
              <a:lnTo>
                <a:pt x="0" y="0"/>
              </a:lnTo>
              <a:lnTo>
                <a:pt x="3224" y="3334"/>
              </a:lnTo>
              <a:lnTo>
                <a:pt x="51217" y="52976"/>
              </a:lnTo>
              <a:lnTo>
                <a:pt x="87475" y="529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0.71012</cdr:x>
      <cdr:y>0.68484</cdr:y>
    </cdr:from>
    <cdr:to>
      <cdr:x>0.71709</cdr:x>
      <cdr:y>0.69667</cdr:y>
    </cdr:to>
    <cdr:sp macro="" textlink="">
      <cdr:nvSpPr>
        <cdr:cNvPr id="477" name="FracNo 556 StartRow 4923">
          <a:extLst xmlns:a="http://schemas.openxmlformats.org/drawingml/2006/main">
            <a:ext uri="{FF2B5EF4-FFF2-40B4-BE49-F238E27FC236}">
              <a16:creationId xmlns:a16="http://schemas.microsoft.com/office/drawing/2014/main" id="{B6CA5E6C-47BE-320E-265B-BB8FA61DB23F}"/>
            </a:ext>
          </a:extLst>
        </cdr:cNvPr>
        <cdr:cNvSpPr/>
      </cdr:nvSpPr>
      <cdr:spPr>
        <a:xfrm xmlns:a="http://schemas.openxmlformats.org/drawingml/2006/main">
          <a:off x="5194696" y="5218460"/>
          <a:ext cx="50927" cy="901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927" h="90179">
              <a:moveTo>
                <a:pt x="47086" y="86206"/>
              </a:moveTo>
              <a:lnTo>
                <a:pt x="0" y="37504"/>
              </a:lnTo>
              <a:lnTo>
                <a:pt x="0" y="0"/>
              </a:lnTo>
              <a:lnTo>
                <a:pt x="47086" y="48702"/>
              </a:lnTo>
              <a:lnTo>
                <a:pt x="50926" y="52674"/>
              </a:lnTo>
              <a:lnTo>
                <a:pt x="50926" y="901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0.60704</cdr:x>
      <cdr:y>0.19074</cdr:y>
    </cdr:from>
    <cdr:to>
      <cdr:x>0.61645</cdr:x>
      <cdr:y>0.20008</cdr:y>
    </cdr:to>
    <cdr:sp macro="" textlink="">
      <cdr:nvSpPr>
        <cdr:cNvPr id="478" name="FracNo 475 StartRow 4932">
          <a:extLst xmlns:a="http://schemas.openxmlformats.org/drawingml/2006/main">
            <a:ext uri="{FF2B5EF4-FFF2-40B4-BE49-F238E27FC236}">
              <a16:creationId xmlns:a16="http://schemas.microsoft.com/office/drawing/2014/main" id="{9BF87956-808C-C103-ECB8-60BAAB9121B2}"/>
            </a:ext>
          </a:extLst>
        </cdr:cNvPr>
        <cdr:cNvSpPr/>
      </cdr:nvSpPr>
      <cdr:spPr>
        <a:xfrm xmlns:a="http://schemas.openxmlformats.org/drawingml/2006/main">
          <a:off x="4440621" y="1453443"/>
          <a:ext cx="68807" cy="711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807" h="71171">
              <a:moveTo>
                <a:pt x="16701" y="54779"/>
              </a:moveTo>
              <a:lnTo>
                <a:pt x="0" y="37504"/>
              </a:lnTo>
              <a:lnTo>
                <a:pt x="0" y="0"/>
              </a:lnTo>
              <a:lnTo>
                <a:pt x="35306" y="36519"/>
              </a:lnTo>
              <a:lnTo>
                <a:pt x="68806" y="71170"/>
              </a:lnTo>
              <a:lnTo>
                <a:pt x="32548" y="711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0.35707</cdr:x>
      <cdr:y>0.43895</cdr:y>
    </cdr:from>
    <cdr:to>
      <cdr:x>0.36648</cdr:x>
      <cdr:y>0.44829</cdr:y>
    </cdr:to>
    <cdr:sp macro="" textlink="">
      <cdr:nvSpPr>
        <cdr:cNvPr id="479" name="FracNo 861 StartRow 4941">
          <a:extLst xmlns:a="http://schemas.openxmlformats.org/drawingml/2006/main">
            <a:ext uri="{FF2B5EF4-FFF2-40B4-BE49-F238E27FC236}">
              <a16:creationId xmlns:a16="http://schemas.microsoft.com/office/drawing/2014/main" id="{D0CBCE01-5D54-E3B3-79C4-BB0CEE6B2707}"/>
            </a:ext>
          </a:extLst>
        </cdr:cNvPr>
        <cdr:cNvSpPr/>
      </cdr:nvSpPr>
      <cdr:spPr>
        <a:xfrm xmlns:a="http://schemas.openxmlformats.org/drawingml/2006/main">
          <a:off x="2612059" y="3344801"/>
          <a:ext cx="68808" cy="711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808" h="71171">
              <a:moveTo>
                <a:pt x="16138" y="54195"/>
              </a:moveTo>
              <a:lnTo>
                <a:pt x="0" y="37503"/>
              </a:lnTo>
              <a:lnTo>
                <a:pt x="0" y="0"/>
              </a:lnTo>
              <a:lnTo>
                <a:pt x="34114" y="35286"/>
              </a:lnTo>
              <a:lnTo>
                <a:pt x="68807" y="71170"/>
              </a:lnTo>
              <a:lnTo>
                <a:pt x="32549" y="711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0.75246</cdr:x>
      <cdr:y>0.38243</cdr:y>
    </cdr:from>
    <cdr:to>
      <cdr:x>0.75937</cdr:x>
      <cdr:y>0.39422</cdr:y>
    </cdr:to>
    <cdr:sp macro="" textlink="">
      <cdr:nvSpPr>
        <cdr:cNvPr id="480" name="FracNo 1070 StartRow 4950">
          <a:extLst xmlns:a="http://schemas.openxmlformats.org/drawingml/2006/main">
            <a:ext uri="{FF2B5EF4-FFF2-40B4-BE49-F238E27FC236}">
              <a16:creationId xmlns:a16="http://schemas.microsoft.com/office/drawing/2014/main" id="{AB9CD627-4863-F668-FD2C-BDB2BE2A7DA0}"/>
            </a:ext>
          </a:extLst>
        </cdr:cNvPr>
        <cdr:cNvSpPr/>
      </cdr:nvSpPr>
      <cdr:spPr>
        <a:xfrm xmlns:a="http://schemas.openxmlformats.org/drawingml/2006/main">
          <a:off x="5504398" y="2914142"/>
          <a:ext cx="50559" cy="89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559" h="89800">
              <a:moveTo>
                <a:pt x="196" y="203"/>
              </a:moveTo>
              <a:lnTo>
                <a:pt x="0" y="0"/>
              </a:lnTo>
              <a:lnTo>
                <a:pt x="0" y="37504"/>
              </a:lnTo>
              <a:lnTo>
                <a:pt x="196" y="37707"/>
              </a:lnTo>
              <a:lnTo>
                <a:pt x="50558" y="89799"/>
              </a:lnTo>
              <a:lnTo>
                <a:pt x="50558" y="522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0.75751</cdr:x>
      <cdr:y>0.37742</cdr:y>
    </cdr:from>
    <cdr:to>
      <cdr:x>0.76442</cdr:x>
      <cdr:y>0.3892</cdr:y>
    </cdr:to>
    <cdr:sp macro="" textlink="">
      <cdr:nvSpPr>
        <cdr:cNvPr id="481" name="FracNo 903 StartRow 4959">
          <a:extLst xmlns:a="http://schemas.openxmlformats.org/drawingml/2006/main">
            <a:ext uri="{FF2B5EF4-FFF2-40B4-BE49-F238E27FC236}">
              <a16:creationId xmlns:a16="http://schemas.microsoft.com/office/drawing/2014/main" id="{37E49E07-CF5C-FF66-6825-B9F0A876293C}"/>
            </a:ext>
          </a:extLst>
        </cdr:cNvPr>
        <cdr:cNvSpPr/>
      </cdr:nvSpPr>
      <cdr:spPr>
        <a:xfrm xmlns:a="http://schemas.openxmlformats.org/drawingml/2006/main">
          <a:off x="5541356" y="2875914"/>
          <a:ext cx="50560" cy="89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560" h="89800">
              <a:moveTo>
                <a:pt x="2613" y="2703"/>
              </a:moveTo>
              <a:lnTo>
                <a:pt x="0" y="0"/>
              </a:lnTo>
              <a:lnTo>
                <a:pt x="0" y="37504"/>
              </a:lnTo>
              <a:lnTo>
                <a:pt x="2613" y="40206"/>
              </a:lnTo>
              <a:lnTo>
                <a:pt x="50559" y="89799"/>
              </a:lnTo>
              <a:lnTo>
                <a:pt x="50559" y="522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0.68566</cdr:x>
      <cdr:y>0.13204</cdr:y>
    </cdr:from>
    <cdr:to>
      <cdr:x>0.69503</cdr:x>
      <cdr:y>0.14135</cdr:y>
    </cdr:to>
    <cdr:sp macro="" textlink="">
      <cdr:nvSpPr>
        <cdr:cNvPr id="482" name="FracNo 862 StartRow 4968">
          <a:extLst xmlns:a="http://schemas.openxmlformats.org/drawingml/2006/main">
            <a:ext uri="{FF2B5EF4-FFF2-40B4-BE49-F238E27FC236}">
              <a16:creationId xmlns:a16="http://schemas.microsoft.com/office/drawing/2014/main" id="{8E150432-52CE-14DD-B619-C44CD4BAE14F}"/>
            </a:ext>
          </a:extLst>
        </cdr:cNvPr>
        <cdr:cNvSpPr/>
      </cdr:nvSpPr>
      <cdr:spPr>
        <a:xfrm xmlns:a="http://schemas.openxmlformats.org/drawingml/2006/main">
          <a:off x="5015733" y="1006176"/>
          <a:ext cx="68579" cy="709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579" h="70935">
              <a:moveTo>
                <a:pt x="42713" y="6676"/>
              </a:moveTo>
              <a:lnTo>
                <a:pt x="36259" y="0"/>
              </a:lnTo>
              <a:lnTo>
                <a:pt x="0" y="0"/>
              </a:lnTo>
              <a:lnTo>
                <a:pt x="13695" y="14165"/>
              </a:lnTo>
              <a:lnTo>
                <a:pt x="68578" y="70934"/>
              </a:lnTo>
              <a:lnTo>
                <a:pt x="68578" y="334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0.6364</cdr:x>
      <cdr:y>0.18096</cdr:y>
    </cdr:from>
    <cdr:to>
      <cdr:x>0.64578</cdr:x>
      <cdr:y>0.19026</cdr:y>
    </cdr:to>
    <cdr:sp macro="" textlink="">
      <cdr:nvSpPr>
        <cdr:cNvPr id="483" name="FracNo 477 StartRow 4977">
          <a:extLst xmlns:a="http://schemas.openxmlformats.org/drawingml/2006/main">
            <a:ext uri="{FF2B5EF4-FFF2-40B4-BE49-F238E27FC236}">
              <a16:creationId xmlns:a16="http://schemas.microsoft.com/office/drawing/2014/main" id="{782E49AB-B443-130C-5783-66F2D00ADDE2}"/>
            </a:ext>
          </a:extLst>
        </cdr:cNvPr>
        <cdr:cNvSpPr/>
      </cdr:nvSpPr>
      <cdr:spPr>
        <a:xfrm xmlns:a="http://schemas.openxmlformats.org/drawingml/2006/main">
          <a:off x="4655405" y="1378878"/>
          <a:ext cx="68579" cy="709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579" h="70935">
              <a:moveTo>
                <a:pt x="291" y="37804"/>
              </a:moveTo>
              <a:lnTo>
                <a:pt x="0" y="37504"/>
              </a:lnTo>
              <a:lnTo>
                <a:pt x="0" y="0"/>
              </a:lnTo>
              <a:lnTo>
                <a:pt x="617" y="638"/>
              </a:lnTo>
              <a:lnTo>
                <a:pt x="68578" y="70934"/>
              </a:lnTo>
              <a:lnTo>
                <a:pt x="32320" y="709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0.51303</cdr:x>
      <cdr:y>0.08515</cdr:y>
    </cdr:from>
    <cdr:to>
      <cdr:x>0.51986</cdr:x>
      <cdr:y>0.09686</cdr:y>
    </cdr:to>
    <cdr:sp macro="" textlink="">
      <cdr:nvSpPr>
        <cdr:cNvPr id="484" name="FracNo 887 StartRow 4986">
          <a:extLst xmlns:a="http://schemas.openxmlformats.org/drawingml/2006/main">
            <a:ext uri="{FF2B5EF4-FFF2-40B4-BE49-F238E27FC236}">
              <a16:creationId xmlns:a16="http://schemas.microsoft.com/office/drawing/2014/main" id="{5B904C43-1C08-4ADE-DAD6-7D4F0E649220}"/>
            </a:ext>
          </a:extLst>
        </cdr:cNvPr>
        <cdr:cNvSpPr/>
      </cdr:nvSpPr>
      <cdr:spPr>
        <a:xfrm xmlns:a="http://schemas.openxmlformats.org/drawingml/2006/main">
          <a:off x="3752895" y="648864"/>
          <a:ext cx="49995" cy="89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995" h="89216">
              <a:moveTo>
                <a:pt x="12026" y="49942"/>
              </a:moveTo>
              <a:lnTo>
                <a:pt x="0" y="37503"/>
              </a:lnTo>
              <a:lnTo>
                <a:pt x="0" y="0"/>
              </a:lnTo>
              <a:lnTo>
                <a:pt x="12026" y="12438"/>
              </a:lnTo>
              <a:lnTo>
                <a:pt x="49994" y="51711"/>
              </a:lnTo>
              <a:lnTo>
                <a:pt x="49994" y="892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0.8219</cdr:x>
      <cdr:y>0.09302</cdr:y>
    </cdr:from>
    <cdr:to>
      <cdr:x>0.82868</cdr:x>
      <cdr:y>0.10467</cdr:y>
    </cdr:to>
    <cdr:sp macro="" textlink="">
      <cdr:nvSpPr>
        <cdr:cNvPr id="485" name="FracNo 959 StartRow 4995">
          <a:extLst xmlns:a="http://schemas.openxmlformats.org/drawingml/2006/main">
            <a:ext uri="{FF2B5EF4-FFF2-40B4-BE49-F238E27FC236}">
              <a16:creationId xmlns:a16="http://schemas.microsoft.com/office/drawing/2014/main" id="{9F9FD7B4-0B77-C843-4DBF-F30D2C078767}"/>
            </a:ext>
          </a:extLst>
        </cdr:cNvPr>
        <cdr:cNvSpPr/>
      </cdr:nvSpPr>
      <cdr:spPr>
        <a:xfrm xmlns:a="http://schemas.openxmlformats.org/drawingml/2006/main">
          <a:off x="6012356" y="708805"/>
          <a:ext cx="49593" cy="887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593" h="88799">
              <a:moveTo>
                <a:pt x="41580" y="43007"/>
              </a:moveTo>
              <a:lnTo>
                <a:pt x="0" y="0"/>
              </a:lnTo>
              <a:lnTo>
                <a:pt x="0" y="37503"/>
              </a:lnTo>
              <a:lnTo>
                <a:pt x="41580" y="80512"/>
              </a:lnTo>
              <a:lnTo>
                <a:pt x="49592" y="88798"/>
              </a:lnTo>
              <a:lnTo>
                <a:pt x="49592" y="512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0.18947</cdr:x>
      <cdr:y>0.33805</cdr:y>
    </cdr:from>
    <cdr:to>
      <cdr:x>0.19992</cdr:x>
      <cdr:y>0.34597</cdr:y>
    </cdr:to>
    <cdr:sp macro="" textlink="">
      <cdr:nvSpPr>
        <cdr:cNvPr id="486" name="FracNo 972 StartRow 5004">
          <a:extLst xmlns:a="http://schemas.openxmlformats.org/drawingml/2006/main">
            <a:ext uri="{FF2B5EF4-FFF2-40B4-BE49-F238E27FC236}">
              <a16:creationId xmlns:a16="http://schemas.microsoft.com/office/drawing/2014/main" id="{33844E5B-8FB9-6484-92BA-9466F17CEA34}"/>
            </a:ext>
          </a:extLst>
        </cdr:cNvPr>
        <cdr:cNvSpPr/>
      </cdr:nvSpPr>
      <cdr:spPr>
        <a:xfrm xmlns:a="http://schemas.openxmlformats.org/drawingml/2006/main">
          <a:off x="1385995" y="2575917"/>
          <a:ext cx="76475" cy="603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475" h="60349">
              <a:moveTo>
                <a:pt x="50479" y="14709"/>
              </a:moveTo>
              <a:lnTo>
                <a:pt x="36258" y="0"/>
              </a:lnTo>
              <a:lnTo>
                <a:pt x="0" y="0"/>
              </a:lnTo>
              <a:lnTo>
                <a:pt x="20631" y="21339"/>
              </a:lnTo>
              <a:lnTo>
                <a:pt x="58345" y="60348"/>
              </a:lnTo>
              <a:lnTo>
                <a:pt x="76474" y="415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0.68873</cdr:x>
      <cdr:y>0.76894</cdr:y>
    </cdr:from>
    <cdr:to>
      <cdr:x>0.69789</cdr:x>
      <cdr:y>0.77804</cdr:y>
    </cdr:to>
    <cdr:sp macro="" textlink="">
      <cdr:nvSpPr>
        <cdr:cNvPr id="487" name="FracNo 543 StartRow 5013">
          <a:extLst xmlns:a="http://schemas.openxmlformats.org/drawingml/2006/main">
            <a:ext uri="{FF2B5EF4-FFF2-40B4-BE49-F238E27FC236}">
              <a16:creationId xmlns:a16="http://schemas.microsoft.com/office/drawing/2014/main" id="{B54AB483-C35A-6DBA-95E5-AD181957F44D}"/>
            </a:ext>
          </a:extLst>
        </cdr:cNvPr>
        <cdr:cNvSpPr/>
      </cdr:nvSpPr>
      <cdr:spPr>
        <a:xfrm xmlns:a="http://schemas.openxmlformats.org/drawingml/2006/main">
          <a:off x="5038179" y="5859306"/>
          <a:ext cx="67020" cy="693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020" h="69322">
              <a:moveTo>
                <a:pt x="10712" y="11080"/>
              </a:moveTo>
              <a:lnTo>
                <a:pt x="0" y="0"/>
              </a:lnTo>
              <a:lnTo>
                <a:pt x="0" y="37503"/>
              </a:lnTo>
              <a:lnTo>
                <a:pt x="4917" y="42589"/>
              </a:lnTo>
              <a:lnTo>
                <a:pt x="30761" y="69321"/>
              </a:lnTo>
              <a:lnTo>
                <a:pt x="67019" y="693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0.62828</cdr:x>
      <cdr:y>0.4134</cdr:y>
    </cdr:from>
    <cdr:to>
      <cdr:x>0.63496</cdr:x>
      <cdr:y>0.42495</cdr:y>
    </cdr:to>
    <cdr:sp macro="" textlink="">
      <cdr:nvSpPr>
        <cdr:cNvPr id="488" name="FracNo 386 StartRow 5022">
          <a:extLst xmlns:a="http://schemas.openxmlformats.org/drawingml/2006/main">
            <a:ext uri="{FF2B5EF4-FFF2-40B4-BE49-F238E27FC236}">
              <a16:creationId xmlns:a16="http://schemas.microsoft.com/office/drawing/2014/main" id="{25D84288-844B-15DB-6D22-5BED92F10581}"/>
            </a:ext>
          </a:extLst>
        </cdr:cNvPr>
        <cdr:cNvSpPr/>
      </cdr:nvSpPr>
      <cdr:spPr>
        <a:xfrm xmlns:a="http://schemas.openxmlformats.org/drawingml/2006/main">
          <a:off x="4595973" y="3150080"/>
          <a:ext cx="48867" cy="88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867" h="88049">
              <a:moveTo>
                <a:pt x="18252" y="56383"/>
              </a:moveTo>
              <a:lnTo>
                <a:pt x="0" y="37504"/>
              </a:lnTo>
              <a:lnTo>
                <a:pt x="0" y="0"/>
              </a:lnTo>
              <a:lnTo>
                <a:pt x="18252" y="18879"/>
              </a:lnTo>
              <a:lnTo>
                <a:pt x="48866" y="50544"/>
              </a:lnTo>
              <a:lnTo>
                <a:pt x="48866" y="880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0.79636</cdr:x>
      <cdr:y>0.2465</cdr:y>
    </cdr:from>
    <cdr:to>
      <cdr:x>0.808</cdr:x>
      <cdr:y>0.25313</cdr:y>
    </cdr:to>
    <cdr:sp macro="" textlink="">
      <cdr:nvSpPr>
        <cdr:cNvPr id="489" name="FracNo 1076 StartRow 5031">
          <a:extLst xmlns:a="http://schemas.openxmlformats.org/drawingml/2006/main">
            <a:ext uri="{FF2B5EF4-FFF2-40B4-BE49-F238E27FC236}">
              <a16:creationId xmlns:a16="http://schemas.microsoft.com/office/drawing/2014/main" id="{639BC8F1-56C5-01C9-39AD-078DA3D3501C}"/>
            </a:ext>
          </a:extLst>
        </cdr:cNvPr>
        <cdr:cNvSpPr/>
      </cdr:nvSpPr>
      <cdr:spPr>
        <a:xfrm xmlns:a="http://schemas.openxmlformats.org/drawingml/2006/main">
          <a:off x="5825529" y="1878299"/>
          <a:ext cx="85126" cy="505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126" h="50545">
              <a:moveTo>
                <a:pt x="77123" y="42267"/>
              </a:moveTo>
              <a:lnTo>
                <a:pt x="36259" y="0"/>
              </a:lnTo>
              <a:lnTo>
                <a:pt x="0" y="0"/>
              </a:lnTo>
              <a:lnTo>
                <a:pt x="40864" y="42267"/>
              </a:lnTo>
              <a:lnTo>
                <a:pt x="48866" y="50544"/>
              </a:lnTo>
              <a:lnTo>
                <a:pt x="85125" y="505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0.75315</cdr:x>
      <cdr:y>0.2894</cdr:y>
    </cdr:from>
    <cdr:to>
      <cdr:x>0.76479</cdr:x>
      <cdr:y>0.29604</cdr:y>
    </cdr:to>
    <cdr:sp macro="" textlink="">
      <cdr:nvSpPr>
        <cdr:cNvPr id="490" name="FracNo 917 StartRow 5040">
          <a:extLst xmlns:a="http://schemas.openxmlformats.org/drawingml/2006/main">
            <a:ext uri="{FF2B5EF4-FFF2-40B4-BE49-F238E27FC236}">
              <a16:creationId xmlns:a16="http://schemas.microsoft.com/office/drawing/2014/main" id="{9A4571C2-DE7C-29EC-4661-14BA0C62510A}"/>
            </a:ext>
          </a:extLst>
        </cdr:cNvPr>
        <cdr:cNvSpPr/>
      </cdr:nvSpPr>
      <cdr:spPr>
        <a:xfrm xmlns:a="http://schemas.openxmlformats.org/drawingml/2006/main">
          <a:off x="5509441" y="2205242"/>
          <a:ext cx="85125" cy="505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125" h="50545">
              <a:moveTo>
                <a:pt x="62232" y="26865"/>
              </a:moveTo>
              <a:lnTo>
                <a:pt x="36259" y="0"/>
              </a:lnTo>
              <a:lnTo>
                <a:pt x="0" y="0"/>
              </a:lnTo>
              <a:lnTo>
                <a:pt x="25973" y="26865"/>
              </a:lnTo>
              <a:lnTo>
                <a:pt x="48866" y="50544"/>
              </a:lnTo>
              <a:lnTo>
                <a:pt x="85124" y="505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0.65625</cdr:x>
      <cdr:y>0.38562</cdr:y>
    </cdr:from>
    <cdr:to>
      <cdr:x>0.66789</cdr:x>
      <cdr:y>0.39225</cdr:y>
    </cdr:to>
    <cdr:sp macro="" textlink="">
      <cdr:nvSpPr>
        <cdr:cNvPr id="491" name="FracNo 1116 StartRow 5049">
          <a:extLst xmlns:a="http://schemas.openxmlformats.org/drawingml/2006/main">
            <a:ext uri="{FF2B5EF4-FFF2-40B4-BE49-F238E27FC236}">
              <a16:creationId xmlns:a16="http://schemas.microsoft.com/office/drawing/2014/main" id="{3E97CAFA-1540-AEEC-FADF-6E2A255E9E08}"/>
            </a:ext>
          </a:extLst>
        </cdr:cNvPr>
        <cdr:cNvSpPr/>
      </cdr:nvSpPr>
      <cdr:spPr>
        <a:xfrm xmlns:a="http://schemas.openxmlformats.org/drawingml/2006/main">
          <a:off x="4800634" y="2938391"/>
          <a:ext cx="85126" cy="505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126" h="50545">
              <a:moveTo>
                <a:pt x="71568" y="36522"/>
              </a:moveTo>
              <a:lnTo>
                <a:pt x="37251" y="1026"/>
              </a:lnTo>
              <a:lnTo>
                <a:pt x="36259" y="0"/>
              </a:lnTo>
              <a:lnTo>
                <a:pt x="0" y="0"/>
              </a:lnTo>
              <a:lnTo>
                <a:pt x="1675" y="1732"/>
              </a:lnTo>
              <a:lnTo>
                <a:pt x="35503" y="36722"/>
              </a:lnTo>
              <a:lnTo>
                <a:pt x="48866" y="50544"/>
              </a:lnTo>
              <a:lnTo>
                <a:pt x="85125" y="505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0.4548</cdr:x>
      <cdr:y>0.43362</cdr:y>
    </cdr:from>
    <cdr:to>
      <cdr:x>0.46393</cdr:x>
      <cdr:y>0.44268</cdr:y>
    </cdr:to>
    <cdr:sp macro="" textlink="">
      <cdr:nvSpPr>
        <cdr:cNvPr id="492" name="FracNo 965 StartRow 5060">
          <a:extLst xmlns:a="http://schemas.openxmlformats.org/drawingml/2006/main">
            <a:ext uri="{FF2B5EF4-FFF2-40B4-BE49-F238E27FC236}">
              <a16:creationId xmlns:a16="http://schemas.microsoft.com/office/drawing/2014/main" id="{CD88D116-E385-2B03-C168-B332BFE0EA3E}"/>
            </a:ext>
          </a:extLst>
        </cdr:cNvPr>
        <cdr:cNvSpPr/>
      </cdr:nvSpPr>
      <cdr:spPr>
        <a:xfrm xmlns:a="http://schemas.openxmlformats.org/drawingml/2006/main">
          <a:off x="3326979" y="3304168"/>
          <a:ext cx="66764" cy="69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64" h="69057">
              <a:moveTo>
                <a:pt x="53866" y="55716"/>
              </a:moveTo>
              <a:lnTo>
                <a:pt x="0" y="0"/>
              </a:lnTo>
              <a:lnTo>
                <a:pt x="0" y="37504"/>
              </a:lnTo>
              <a:lnTo>
                <a:pt x="24612" y="62961"/>
              </a:lnTo>
              <a:lnTo>
                <a:pt x="30504" y="69056"/>
              </a:lnTo>
              <a:lnTo>
                <a:pt x="66763" y="690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0.51621</cdr:x>
      <cdr:y>0.37264</cdr:y>
    </cdr:from>
    <cdr:to>
      <cdr:x>0.52534</cdr:x>
      <cdr:y>0.38171</cdr:y>
    </cdr:to>
    <cdr:sp macro="" textlink="">
      <cdr:nvSpPr>
        <cdr:cNvPr id="493" name="FracNo 1106 StartRow 5069">
          <a:extLst xmlns:a="http://schemas.openxmlformats.org/drawingml/2006/main">
            <a:ext uri="{FF2B5EF4-FFF2-40B4-BE49-F238E27FC236}">
              <a16:creationId xmlns:a16="http://schemas.microsoft.com/office/drawing/2014/main" id="{32369B12-DE36-4561-9919-6ED645C99EDC}"/>
            </a:ext>
          </a:extLst>
        </cdr:cNvPr>
        <cdr:cNvSpPr/>
      </cdr:nvSpPr>
      <cdr:spPr>
        <a:xfrm xmlns:a="http://schemas.openxmlformats.org/drawingml/2006/main">
          <a:off x="3776168" y="2839554"/>
          <a:ext cx="66763" cy="69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763" h="69057">
              <a:moveTo>
                <a:pt x="57518" y="59493"/>
              </a:moveTo>
              <a:lnTo>
                <a:pt x="0" y="0"/>
              </a:lnTo>
              <a:lnTo>
                <a:pt x="36258" y="0"/>
              </a:lnTo>
              <a:lnTo>
                <a:pt x="62538" y="27183"/>
              </a:lnTo>
              <a:lnTo>
                <a:pt x="66762" y="31552"/>
              </a:lnTo>
              <a:lnTo>
                <a:pt x="66762" y="690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0.51964</cdr:x>
      <cdr:y>0.78434</cdr:y>
    </cdr:from>
    <cdr:to>
      <cdr:x>0.52874</cdr:x>
      <cdr:y>0.79337</cdr:y>
    </cdr:to>
    <cdr:sp macro="" textlink="">
      <cdr:nvSpPr>
        <cdr:cNvPr id="494" name="FracNo 943 StartRow 5078">
          <a:extLst xmlns:a="http://schemas.openxmlformats.org/drawingml/2006/main">
            <a:ext uri="{FF2B5EF4-FFF2-40B4-BE49-F238E27FC236}">
              <a16:creationId xmlns:a16="http://schemas.microsoft.com/office/drawing/2014/main" id="{D6254341-91CB-39CB-F5F7-89FD7EEEF577}"/>
            </a:ext>
          </a:extLst>
        </cdr:cNvPr>
        <cdr:cNvSpPr/>
      </cdr:nvSpPr>
      <cdr:spPr>
        <a:xfrm xmlns:a="http://schemas.openxmlformats.org/drawingml/2006/main">
          <a:off x="3801284" y="5976663"/>
          <a:ext cx="66531" cy="688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531" h="68816">
              <a:moveTo>
                <a:pt x="58121" y="60118"/>
              </a:moveTo>
              <a:lnTo>
                <a:pt x="0" y="0"/>
              </a:lnTo>
              <a:lnTo>
                <a:pt x="36259" y="0"/>
              </a:lnTo>
              <a:lnTo>
                <a:pt x="62703" y="27354"/>
              </a:lnTo>
              <a:lnTo>
                <a:pt x="66530" y="31311"/>
              </a:lnTo>
              <a:lnTo>
                <a:pt x="66530" y="688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0.69428</cdr:x>
      <cdr:y>0.61093</cdr:y>
    </cdr:from>
    <cdr:to>
      <cdr:x>0.70337</cdr:x>
      <cdr:y>0.61996</cdr:y>
    </cdr:to>
    <cdr:sp macro="" textlink="">
      <cdr:nvSpPr>
        <cdr:cNvPr id="495" name="FracNo 980 StartRow 5087">
          <a:extLst xmlns:a="http://schemas.openxmlformats.org/drawingml/2006/main">
            <a:ext uri="{FF2B5EF4-FFF2-40B4-BE49-F238E27FC236}">
              <a16:creationId xmlns:a16="http://schemas.microsoft.com/office/drawing/2014/main" id="{8B767C68-F01A-DD9D-6D92-43E7F76743A0}"/>
            </a:ext>
          </a:extLst>
        </cdr:cNvPr>
        <cdr:cNvSpPr/>
      </cdr:nvSpPr>
      <cdr:spPr>
        <a:xfrm xmlns:a="http://schemas.openxmlformats.org/drawingml/2006/main">
          <a:off x="5078797" y="4655277"/>
          <a:ext cx="66531" cy="688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531" h="68816">
              <a:moveTo>
                <a:pt x="37391" y="38675"/>
              </a:moveTo>
              <a:lnTo>
                <a:pt x="0" y="0"/>
              </a:lnTo>
              <a:lnTo>
                <a:pt x="36259" y="0"/>
              </a:lnTo>
              <a:lnTo>
                <a:pt x="53272" y="17598"/>
              </a:lnTo>
              <a:lnTo>
                <a:pt x="66530" y="31311"/>
              </a:lnTo>
              <a:lnTo>
                <a:pt x="66530" y="688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0.59754</cdr:x>
      <cdr:y>0.59139</cdr:y>
    </cdr:from>
    <cdr:to>
      <cdr:x>0.60662</cdr:x>
      <cdr:y>0.6004</cdr:y>
    </cdr:to>
    <cdr:sp macro="" textlink="">
      <cdr:nvSpPr>
        <cdr:cNvPr id="496" name="FracNo 396 StartRow 5096">
          <a:extLst xmlns:a="http://schemas.openxmlformats.org/drawingml/2006/main">
            <a:ext uri="{FF2B5EF4-FFF2-40B4-BE49-F238E27FC236}">
              <a16:creationId xmlns:a16="http://schemas.microsoft.com/office/drawing/2014/main" id="{25AD0DCA-78B5-E2D5-A04B-853AA96DF9C4}"/>
            </a:ext>
          </a:extLst>
        </cdr:cNvPr>
        <cdr:cNvSpPr/>
      </cdr:nvSpPr>
      <cdr:spPr>
        <a:xfrm xmlns:a="http://schemas.openxmlformats.org/drawingml/2006/main">
          <a:off x="4371155" y="4506421"/>
          <a:ext cx="66367" cy="68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67" h="68646">
              <a:moveTo>
                <a:pt x="13837" y="51816"/>
              </a:moveTo>
              <a:lnTo>
                <a:pt x="0" y="37504"/>
              </a:lnTo>
              <a:lnTo>
                <a:pt x="0" y="0"/>
              </a:lnTo>
              <a:lnTo>
                <a:pt x="30502" y="31549"/>
              </a:lnTo>
              <a:lnTo>
                <a:pt x="66366" y="68645"/>
              </a:lnTo>
              <a:lnTo>
                <a:pt x="30107" y="686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0.48178</cdr:x>
      <cdr:y>0.55886</cdr:y>
    </cdr:from>
    <cdr:to>
      <cdr:x>0.49085</cdr:x>
      <cdr:y>0.56787</cdr:y>
    </cdr:to>
    <cdr:sp macro="" textlink="">
      <cdr:nvSpPr>
        <cdr:cNvPr id="497" name="FracNo 983 StartRow 5105">
          <a:extLst xmlns:a="http://schemas.openxmlformats.org/drawingml/2006/main">
            <a:ext uri="{FF2B5EF4-FFF2-40B4-BE49-F238E27FC236}">
              <a16:creationId xmlns:a16="http://schemas.microsoft.com/office/drawing/2014/main" id="{FB3BB6FD-ABF0-4014-4479-B0C40E8EDE40}"/>
            </a:ext>
          </a:extLst>
        </cdr:cNvPr>
        <cdr:cNvSpPr/>
      </cdr:nvSpPr>
      <cdr:spPr>
        <a:xfrm xmlns:a="http://schemas.openxmlformats.org/drawingml/2006/main">
          <a:off x="3524310" y="4258547"/>
          <a:ext cx="66336" cy="68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36" h="68614">
              <a:moveTo>
                <a:pt x="56642" y="21084"/>
              </a:moveTo>
              <a:lnTo>
                <a:pt x="36258" y="0"/>
              </a:lnTo>
              <a:lnTo>
                <a:pt x="0" y="0"/>
              </a:lnTo>
              <a:lnTo>
                <a:pt x="44957" y="46501"/>
              </a:lnTo>
              <a:lnTo>
                <a:pt x="66335" y="68613"/>
              </a:lnTo>
              <a:lnTo>
                <a:pt x="66335" y="311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0.52314</cdr:x>
      <cdr:y>0.5178</cdr:y>
    </cdr:from>
    <cdr:to>
      <cdr:x>0.53221</cdr:x>
      <cdr:y>0.5268</cdr:y>
    </cdr:to>
    <cdr:sp macro="" textlink="">
      <cdr:nvSpPr>
        <cdr:cNvPr id="498" name="FracNo 382 StartRow 5114">
          <a:extLst xmlns:a="http://schemas.openxmlformats.org/drawingml/2006/main">
            <a:ext uri="{FF2B5EF4-FFF2-40B4-BE49-F238E27FC236}">
              <a16:creationId xmlns:a16="http://schemas.microsoft.com/office/drawing/2014/main" id="{5844FE32-4681-69CA-4FD5-908791F84E13}"/>
            </a:ext>
          </a:extLst>
        </cdr:cNvPr>
        <cdr:cNvSpPr/>
      </cdr:nvSpPr>
      <cdr:spPr>
        <a:xfrm xmlns:a="http://schemas.openxmlformats.org/drawingml/2006/main">
          <a:off x="3826853" y="3945613"/>
          <a:ext cx="66337" cy="68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37" h="68614">
              <a:moveTo>
                <a:pt x="48832" y="13005"/>
              </a:moveTo>
              <a:lnTo>
                <a:pt x="36259" y="0"/>
              </a:lnTo>
              <a:lnTo>
                <a:pt x="0" y="0"/>
              </a:lnTo>
              <a:lnTo>
                <a:pt x="27730" y="28682"/>
              </a:lnTo>
              <a:lnTo>
                <a:pt x="66336" y="68613"/>
              </a:lnTo>
              <a:lnTo>
                <a:pt x="66336" y="311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0.53312</cdr:x>
      <cdr:y>0.50788</cdr:y>
    </cdr:from>
    <cdr:to>
      <cdr:x>0.54219</cdr:x>
      <cdr:y>0.51689</cdr:y>
    </cdr:to>
    <cdr:sp macro="" textlink="">
      <cdr:nvSpPr>
        <cdr:cNvPr id="499" name="FracNo 383 StartRow 5123">
          <a:extLst xmlns:a="http://schemas.openxmlformats.org/drawingml/2006/main">
            <a:ext uri="{FF2B5EF4-FFF2-40B4-BE49-F238E27FC236}">
              <a16:creationId xmlns:a16="http://schemas.microsoft.com/office/drawing/2014/main" id="{47FB7F4F-BD94-BC37-0882-E5030631B2F7}"/>
            </a:ext>
          </a:extLst>
        </cdr:cNvPr>
        <cdr:cNvSpPr/>
      </cdr:nvSpPr>
      <cdr:spPr>
        <a:xfrm xmlns:a="http://schemas.openxmlformats.org/drawingml/2006/main">
          <a:off x="3899892" y="3870066"/>
          <a:ext cx="66337" cy="68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37" h="68614">
              <a:moveTo>
                <a:pt x="6622" y="44353"/>
              </a:moveTo>
              <a:lnTo>
                <a:pt x="0" y="37504"/>
              </a:lnTo>
              <a:lnTo>
                <a:pt x="0" y="0"/>
              </a:lnTo>
              <a:lnTo>
                <a:pt x="14604" y="15105"/>
              </a:lnTo>
              <a:lnTo>
                <a:pt x="66336" y="68613"/>
              </a:lnTo>
              <a:lnTo>
                <a:pt x="30077" y="686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0.5807</cdr:x>
      <cdr:y>0.36938</cdr:y>
    </cdr:from>
    <cdr:to>
      <cdr:x>0.59224</cdr:x>
      <cdr:y>0.37592</cdr:y>
    </cdr:to>
    <cdr:sp macro="" textlink="">
      <cdr:nvSpPr>
        <cdr:cNvPr id="500" name="FracNo 389 StartRow 5132">
          <a:extLst xmlns:a="http://schemas.openxmlformats.org/drawingml/2006/main">
            <a:ext uri="{FF2B5EF4-FFF2-40B4-BE49-F238E27FC236}">
              <a16:creationId xmlns:a16="http://schemas.microsoft.com/office/drawing/2014/main" id="{5EF4CBEC-F83B-4BA2-A852-A4AC7AF76F75}"/>
            </a:ext>
          </a:extLst>
        </cdr:cNvPr>
        <cdr:cNvSpPr/>
      </cdr:nvSpPr>
      <cdr:spPr>
        <a:xfrm xmlns:a="http://schemas.openxmlformats.org/drawingml/2006/main">
          <a:off x="4247941" y="2814700"/>
          <a:ext cx="84443" cy="498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443" h="49840">
              <a:moveTo>
                <a:pt x="40600" y="4492"/>
              </a:moveTo>
              <a:lnTo>
                <a:pt x="36258" y="0"/>
              </a:lnTo>
              <a:lnTo>
                <a:pt x="0" y="0"/>
              </a:lnTo>
              <a:lnTo>
                <a:pt x="4342" y="4492"/>
              </a:lnTo>
              <a:lnTo>
                <a:pt x="48184" y="49839"/>
              </a:lnTo>
              <a:lnTo>
                <a:pt x="84442" y="498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0.6565</cdr:x>
      <cdr:y>0.29412</cdr:y>
    </cdr:from>
    <cdr:to>
      <cdr:x>0.66804</cdr:x>
      <cdr:y>0.30066</cdr:y>
    </cdr:to>
    <cdr:sp macro="" textlink="">
      <cdr:nvSpPr>
        <cdr:cNvPr id="501" name="FracNo 319 StartRow 5141">
          <a:extLst xmlns:a="http://schemas.openxmlformats.org/drawingml/2006/main">
            <a:ext uri="{FF2B5EF4-FFF2-40B4-BE49-F238E27FC236}">
              <a16:creationId xmlns:a16="http://schemas.microsoft.com/office/drawing/2014/main" id="{BED5F9B3-97C2-0AD3-EC00-CF4ACAB54773}"/>
            </a:ext>
          </a:extLst>
        </cdr:cNvPr>
        <cdr:cNvSpPr/>
      </cdr:nvSpPr>
      <cdr:spPr>
        <a:xfrm xmlns:a="http://schemas.openxmlformats.org/drawingml/2006/main">
          <a:off x="4802403" y="2241197"/>
          <a:ext cx="84443" cy="49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443" h="49839">
              <a:moveTo>
                <a:pt x="65303" y="30042"/>
              </a:moveTo>
              <a:lnTo>
                <a:pt x="36258" y="0"/>
              </a:lnTo>
              <a:lnTo>
                <a:pt x="0" y="0"/>
              </a:lnTo>
              <a:lnTo>
                <a:pt x="29045" y="30042"/>
              </a:lnTo>
              <a:lnTo>
                <a:pt x="48184" y="49838"/>
              </a:lnTo>
              <a:lnTo>
                <a:pt x="84442" y="498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0.77197</cdr:x>
      <cdr:y>0.17946</cdr:y>
    </cdr:from>
    <cdr:to>
      <cdr:x>0.78352</cdr:x>
      <cdr:y>0.186</cdr:y>
    </cdr:to>
    <cdr:sp macro="" textlink="">
      <cdr:nvSpPr>
        <cdr:cNvPr id="502" name="FracNo 305 StartRow 5150">
          <a:extLst xmlns:a="http://schemas.openxmlformats.org/drawingml/2006/main">
            <a:ext uri="{FF2B5EF4-FFF2-40B4-BE49-F238E27FC236}">
              <a16:creationId xmlns:a16="http://schemas.microsoft.com/office/drawing/2014/main" id="{E6033419-1DFD-7195-1AE8-0A8B2FE6ADD8}"/>
            </a:ext>
          </a:extLst>
        </cdr:cNvPr>
        <cdr:cNvSpPr/>
      </cdr:nvSpPr>
      <cdr:spPr>
        <a:xfrm xmlns:a="http://schemas.openxmlformats.org/drawingml/2006/main">
          <a:off x="5647126" y="1367464"/>
          <a:ext cx="84443" cy="49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443" h="49839">
              <a:moveTo>
                <a:pt x="38753" y="2580"/>
              </a:moveTo>
              <a:lnTo>
                <a:pt x="36258" y="0"/>
              </a:lnTo>
              <a:lnTo>
                <a:pt x="0" y="0"/>
              </a:lnTo>
              <a:lnTo>
                <a:pt x="2495" y="2580"/>
              </a:lnTo>
              <a:lnTo>
                <a:pt x="48184" y="49838"/>
              </a:lnTo>
              <a:lnTo>
                <a:pt x="84442" y="498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0.67929</cdr:x>
      <cdr:y>0.27149</cdr:y>
    </cdr:from>
    <cdr:to>
      <cdr:x>0.68587</cdr:x>
      <cdr:y>0.28295</cdr:y>
    </cdr:to>
    <cdr:sp macro="" textlink="">
      <cdr:nvSpPr>
        <cdr:cNvPr id="503" name="FracNo 1094 StartRow 5159">
          <a:extLst xmlns:a="http://schemas.openxmlformats.org/drawingml/2006/main">
            <a:ext uri="{FF2B5EF4-FFF2-40B4-BE49-F238E27FC236}">
              <a16:creationId xmlns:a16="http://schemas.microsoft.com/office/drawing/2014/main" id="{9F705AEA-9577-E6F9-7D5D-520B09F0E3FB}"/>
            </a:ext>
          </a:extLst>
        </cdr:cNvPr>
        <cdr:cNvSpPr/>
      </cdr:nvSpPr>
      <cdr:spPr>
        <a:xfrm xmlns:a="http://schemas.openxmlformats.org/drawingml/2006/main">
          <a:off x="4969121" y="2068753"/>
          <a:ext cx="48185" cy="873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185" h="87343">
              <a:moveTo>
                <a:pt x="6381" y="44103"/>
              </a:moveTo>
              <a:lnTo>
                <a:pt x="0" y="37503"/>
              </a:lnTo>
              <a:lnTo>
                <a:pt x="0" y="0"/>
              </a:lnTo>
              <a:lnTo>
                <a:pt x="6381" y="6600"/>
              </a:lnTo>
              <a:lnTo>
                <a:pt x="48184" y="49839"/>
              </a:lnTo>
              <a:lnTo>
                <a:pt x="48184" y="873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0.68229</cdr:x>
      <cdr:y>0.2685</cdr:y>
    </cdr:from>
    <cdr:to>
      <cdr:x>0.68888</cdr:x>
      <cdr:y>0.27997</cdr:y>
    </cdr:to>
    <cdr:sp macro="" textlink="">
      <cdr:nvSpPr>
        <cdr:cNvPr id="504" name="FracNo 1014 StartRow 5168">
          <a:extLst xmlns:a="http://schemas.openxmlformats.org/drawingml/2006/main">
            <a:ext uri="{FF2B5EF4-FFF2-40B4-BE49-F238E27FC236}">
              <a16:creationId xmlns:a16="http://schemas.microsoft.com/office/drawing/2014/main" id="{10826EC3-9BF2-2FE4-09A3-D55CED3BD754}"/>
            </a:ext>
          </a:extLst>
        </cdr:cNvPr>
        <cdr:cNvSpPr/>
      </cdr:nvSpPr>
      <cdr:spPr>
        <a:xfrm xmlns:a="http://schemas.openxmlformats.org/drawingml/2006/main">
          <a:off x="4991114" y="2046005"/>
          <a:ext cx="48184" cy="873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184" h="87343">
              <a:moveTo>
                <a:pt x="46888" y="86002"/>
              </a:moveTo>
              <a:lnTo>
                <a:pt x="0" y="37504"/>
              </a:lnTo>
              <a:lnTo>
                <a:pt x="0" y="0"/>
              </a:lnTo>
              <a:lnTo>
                <a:pt x="46888" y="48499"/>
              </a:lnTo>
              <a:lnTo>
                <a:pt x="48183" y="49839"/>
              </a:lnTo>
              <a:lnTo>
                <a:pt x="48183" y="873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0.73634</cdr:x>
      <cdr:y>0.21484</cdr:y>
    </cdr:from>
    <cdr:to>
      <cdr:x>0.74788</cdr:x>
      <cdr:y>0.22138</cdr:y>
    </cdr:to>
    <cdr:sp macro="" textlink="">
      <cdr:nvSpPr>
        <cdr:cNvPr id="505" name="FracNo 935 StartRow 5177">
          <a:extLst xmlns:a="http://schemas.openxmlformats.org/drawingml/2006/main">
            <a:ext uri="{FF2B5EF4-FFF2-40B4-BE49-F238E27FC236}">
              <a16:creationId xmlns:a16="http://schemas.microsoft.com/office/drawing/2014/main" id="{89A0182C-A52B-E7F3-4BD9-084E083A910A}"/>
            </a:ext>
          </a:extLst>
        </cdr:cNvPr>
        <cdr:cNvSpPr/>
      </cdr:nvSpPr>
      <cdr:spPr>
        <a:xfrm xmlns:a="http://schemas.openxmlformats.org/drawingml/2006/main">
          <a:off x="5386448" y="1637093"/>
          <a:ext cx="84444" cy="498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444" h="49840">
              <a:moveTo>
                <a:pt x="53656" y="17995"/>
              </a:moveTo>
              <a:lnTo>
                <a:pt x="36259" y="0"/>
              </a:lnTo>
              <a:lnTo>
                <a:pt x="0" y="0"/>
              </a:lnTo>
              <a:lnTo>
                <a:pt x="17397" y="17995"/>
              </a:lnTo>
              <a:lnTo>
                <a:pt x="48184" y="49839"/>
              </a:lnTo>
              <a:lnTo>
                <a:pt x="84443" y="498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0.20579</cdr:x>
      <cdr:y>0.53136</cdr:y>
    </cdr:from>
    <cdr:to>
      <cdr:x>0.21237</cdr:x>
      <cdr:y>0.54281</cdr:y>
    </cdr:to>
    <cdr:sp macro="" textlink="">
      <cdr:nvSpPr>
        <cdr:cNvPr id="506" name="FracNo 1032 StartRow 5186">
          <a:extLst xmlns:a="http://schemas.openxmlformats.org/drawingml/2006/main">
            <a:ext uri="{FF2B5EF4-FFF2-40B4-BE49-F238E27FC236}">
              <a16:creationId xmlns:a16="http://schemas.microsoft.com/office/drawing/2014/main" id="{2F090DD8-DFA8-DDD6-3825-7AC910BEB80B}"/>
            </a:ext>
          </a:extLst>
        </cdr:cNvPr>
        <cdr:cNvSpPr/>
      </cdr:nvSpPr>
      <cdr:spPr>
        <a:xfrm xmlns:a="http://schemas.openxmlformats.org/drawingml/2006/main">
          <a:off x="1505381" y="4048953"/>
          <a:ext cx="48133" cy="87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133" h="87290">
              <a:moveTo>
                <a:pt x="10439" y="10797"/>
              </a:moveTo>
              <a:lnTo>
                <a:pt x="0" y="0"/>
              </a:lnTo>
              <a:lnTo>
                <a:pt x="0" y="37504"/>
              </a:lnTo>
              <a:lnTo>
                <a:pt x="10439" y="48301"/>
              </a:lnTo>
              <a:lnTo>
                <a:pt x="48132" y="87289"/>
              </a:lnTo>
              <a:lnTo>
                <a:pt x="48132" y="497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0.29845</cdr:x>
      <cdr:y>0.43935</cdr:y>
    </cdr:from>
    <cdr:to>
      <cdr:x>0.30999</cdr:x>
      <cdr:y>0.44588</cdr:y>
    </cdr:to>
    <cdr:sp macro="" textlink="">
      <cdr:nvSpPr>
        <cdr:cNvPr id="507" name="FracNo 858 StartRow 5195">
          <a:extLst xmlns:a="http://schemas.openxmlformats.org/drawingml/2006/main">
            <a:ext uri="{FF2B5EF4-FFF2-40B4-BE49-F238E27FC236}">
              <a16:creationId xmlns:a16="http://schemas.microsoft.com/office/drawing/2014/main" id="{EF2FF9B5-BCEE-AAAF-A147-0B588BA0510F}"/>
            </a:ext>
          </a:extLst>
        </cdr:cNvPr>
        <cdr:cNvSpPr/>
      </cdr:nvSpPr>
      <cdr:spPr>
        <a:xfrm xmlns:a="http://schemas.openxmlformats.org/drawingml/2006/main">
          <a:off x="2183243" y="3347812"/>
          <a:ext cx="84391" cy="497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391" h="49786">
              <a:moveTo>
                <a:pt x="38774" y="40106"/>
              </a:moveTo>
              <a:lnTo>
                <a:pt x="0" y="0"/>
              </a:lnTo>
              <a:lnTo>
                <a:pt x="36259" y="0"/>
              </a:lnTo>
              <a:lnTo>
                <a:pt x="75033" y="40106"/>
              </a:lnTo>
              <a:lnTo>
                <a:pt x="84390" y="49785"/>
              </a:lnTo>
              <a:lnTo>
                <a:pt x="48132" y="497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0.69638</cdr:x>
      <cdr:y>0.40853</cdr:y>
    </cdr:from>
    <cdr:to>
      <cdr:x>0.70541</cdr:x>
      <cdr:y>0.41751</cdr:y>
    </cdr:to>
    <cdr:sp macro="" textlink="">
      <cdr:nvSpPr>
        <cdr:cNvPr id="508" name="FracNo 994 StartRow 5204">
          <a:extLst xmlns:a="http://schemas.openxmlformats.org/drawingml/2006/main">
            <a:ext uri="{FF2B5EF4-FFF2-40B4-BE49-F238E27FC236}">
              <a16:creationId xmlns:a16="http://schemas.microsoft.com/office/drawing/2014/main" id="{93A8C12A-0F03-5765-1063-8D092ACB8332}"/>
            </a:ext>
          </a:extLst>
        </cdr:cNvPr>
        <cdr:cNvSpPr/>
      </cdr:nvSpPr>
      <cdr:spPr>
        <a:xfrm xmlns:a="http://schemas.openxmlformats.org/drawingml/2006/main">
          <a:off x="5094125" y="3113036"/>
          <a:ext cx="66103" cy="68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103" h="68373">
              <a:moveTo>
                <a:pt x="26162" y="27061"/>
              </a:moveTo>
              <a:lnTo>
                <a:pt x="0" y="0"/>
              </a:lnTo>
              <a:lnTo>
                <a:pt x="0" y="37504"/>
              </a:lnTo>
              <a:lnTo>
                <a:pt x="11812" y="49721"/>
              </a:lnTo>
              <a:lnTo>
                <a:pt x="29844" y="68372"/>
              </a:lnTo>
              <a:lnTo>
                <a:pt x="66102" y="683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0.72676</cdr:x>
      <cdr:y>0.37837</cdr:y>
    </cdr:from>
    <cdr:to>
      <cdr:x>0.73579</cdr:x>
      <cdr:y>0.38734</cdr:y>
    </cdr:to>
    <cdr:sp macro="" textlink="">
      <cdr:nvSpPr>
        <cdr:cNvPr id="509" name="FracNo 626 StartRow 5213">
          <a:extLst xmlns:a="http://schemas.openxmlformats.org/drawingml/2006/main">
            <a:ext uri="{FF2B5EF4-FFF2-40B4-BE49-F238E27FC236}">
              <a16:creationId xmlns:a16="http://schemas.microsoft.com/office/drawing/2014/main" id="{578512AD-14BD-B072-F6B9-42D94C8B7B47}"/>
            </a:ext>
          </a:extLst>
        </cdr:cNvPr>
        <cdr:cNvSpPr/>
      </cdr:nvSpPr>
      <cdr:spPr>
        <a:xfrm xmlns:a="http://schemas.openxmlformats.org/drawingml/2006/main">
          <a:off x="5316384" y="2883145"/>
          <a:ext cx="66102" cy="68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102" h="68373">
              <a:moveTo>
                <a:pt x="12580" y="13012"/>
              </a:moveTo>
              <a:lnTo>
                <a:pt x="0" y="0"/>
              </a:lnTo>
              <a:lnTo>
                <a:pt x="36258" y="0"/>
              </a:lnTo>
              <a:lnTo>
                <a:pt x="41938" y="5875"/>
              </a:lnTo>
              <a:lnTo>
                <a:pt x="66101" y="30868"/>
              </a:lnTo>
              <a:lnTo>
                <a:pt x="66101" y="683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0.61264</cdr:x>
      <cdr:y>0.49168</cdr:y>
    </cdr:from>
    <cdr:to>
      <cdr:x>0.62167</cdr:x>
      <cdr:y>0.50066</cdr:y>
    </cdr:to>
    <cdr:sp macro="" textlink="">
      <cdr:nvSpPr>
        <cdr:cNvPr id="510" name="FracNo 397 StartRow 5222">
          <a:extLst xmlns:a="http://schemas.openxmlformats.org/drawingml/2006/main">
            <a:ext uri="{FF2B5EF4-FFF2-40B4-BE49-F238E27FC236}">
              <a16:creationId xmlns:a16="http://schemas.microsoft.com/office/drawing/2014/main" id="{827167ED-9B82-DC72-97EC-D47D5F3887D4}"/>
            </a:ext>
          </a:extLst>
        </cdr:cNvPr>
        <cdr:cNvSpPr/>
      </cdr:nvSpPr>
      <cdr:spPr>
        <a:xfrm xmlns:a="http://schemas.openxmlformats.org/drawingml/2006/main">
          <a:off x="4481571" y="3746626"/>
          <a:ext cx="66103" cy="68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103" h="68373">
              <a:moveTo>
                <a:pt x="62576" y="64725"/>
              </a:moveTo>
              <a:lnTo>
                <a:pt x="0" y="0"/>
              </a:lnTo>
              <a:lnTo>
                <a:pt x="0" y="37504"/>
              </a:lnTo>
              <a:lnTo>
                <a:pt x="28252" y="66725"/>
              </a:lnTo>
              <a:lnTo>
                <a:pt x="29844" y="68372"/>
              </a:lnTo>
              <a:lnTo>
                <a:pt x="66102" y="683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0.8234</cdr:x>
      <cdr:y>0.2824</cdr:y>
    </cdr:from>
    <cdr:to>
      <cdr:x>0.83244</cdr:x>
      <cdr:y>0.29138</cdr:y>
    </cdr:to>
    <cdr:sp macro="" textlink="">
      <cdr:nvSpPr>
        <cdr:cNvPr id="511" name="FracNo 1012 StartRow 5231">
          <a:extLst xmlns:a="http://schemas.openxmlformats.org/drawingml/2006/main">
            <a:ext uri="{FF2B5EF4-FFF2-40B4-BE49-F238E27FC236}">
              <a16:creationId xmlns:a16="http://schemas.microsoft.com/office/drawing/2014/main" id="{60FA108E-E9A8-166A-4E9B-139E4D1D9A66}"/>
            </a:ext>
          </a:extLst>
        </cdr:cNvPr>
        <cdr:cNvSpPr/>
      </cdr:nvSpPr>
      <cdr:spPr>
        <a:xfrm xmlns:a="http://schemas.openxmlformats.org/drawingml/2006/main">
          <a:off x="6023328" y="2151923"/>
          <a:ext cx="66102" cy="683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102" h="68372">
              <a:moveTo>
                <a:pt x="46116" y="47700"/>
              </a:moveTo>
              <a:lnTo>
                <a:pt x="0" y="0"/>
              </a:lnTo>
              <a:lnTo>
                <a:pt x="36259" y="0"/>
              </a:lnTo>
              <a:lnTo>
                <a:pt x="57079" y="21535"/>
              </a:lnTo>
              <a:lnTo>
                <a:pt x="66101" y="30868"/>
              </a:lnTo>
              <a:lnTo>
                <a:pt x="66101" y="683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0.64455</cdr:x>
      <cdr:y>0.46</cdr:y>
    </cdr:from>
    <cdr:to>
      <cdr:x>0.65359</cdr:x>
      <cdr:y>0.46897</cdr:y>
    </cdr:to>
    <cdr:sp macro="" textlink="">
      <cdr:nvSpPr>
        <cdr:cNvPr id="512" name="FracNo 398 StartRow 5240">
          <a:extLst xmlns:a="http://schemas.openxmlformats.org/drawingml/2006/main">
            <a:ext uri="{FF2B5EF4-FFF2-40B4-BE49-F238E27FC236}">
              <a16:creationId xmlns:a16="http://schemas.microsoft.com/office/drawing/2014/main" id="{9F5D8040-CD9F-C7D0-7ADF-B058B81B8504}"/>
            </a:ext>
          </a:extLst>
        </cdr:cNvPr>
        <cdr:cNvSpPr/>
      </cdr:nvSpPr>
      <cdr:spPr>
        <a:xfrm xmlns:a="http://schemas.openxmlformats.org/drawingml/2006/main">
          <a:off x="4715008" y="3505174"/>
          <a:ext cx="66102" cy="683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102" h="68372">
              <a:moveTo>
                <a:pt x="58857" y="60878"/>
              </a:moveTo>
              <a:lnTo>
                <a:pt x="0" y="0"/>
              </a:lnTo>
              <a:lnTo>
                <a:pt x="0" y="37503"/>
              </a:lnTo>
              <a:lnTo>
                <a:pt x="26572" y="64988"/>
              </a:lnTo>
              <a:lnTo>
                <a:pt x="29843" y="68371"/>
              </a:lnTo>
              <a:lnTo>
                <a:pt x="66101" y="683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0.76906</cdr:x>
      <cdr:y>0.33636</cdr:y>
    </cdr:from>
    <cdr:to>
      <cdr:x>0.7781</cdr:x>
      <cdr:y>0.34533</cdr:y>
    </cdr:to>
    <cdr:sp macro="" textlink="">
      <cdr:nvSpPr>
        <cdr:cNvPr id="513" name="FracNo 303 StartRow 5249">
          <a:extLst xmlns:a="http://schemas.openxmlformats.org/drawingml/2006/main">
            <a:ext uri="{FF2B5EF4-FFF2-40B4-BE49-F238E27FC236}">
              <a16:creationId xmlns:a16="http://schemas.microsoft.com/office/drawing/2014/main" id="{555C3640-CE20-3ACB-248B-F40E2F3E2CA2}"/>
            </a:ext>
          </a:extLst>
        </cdr:cNvPr>
        <cdr:cNvSpPr/>
      </cdr:nvSpPr>
      <cdr:spPr>
        <a:xfrm xmlns:a="http://schemas.openxmlformats.org/drawingml/2006/main">
          <a:off x="5625827" y="2563074"/>
          <a:ext cx="66103" cy="68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103" h="68373">
              <a:moveTo>
                <a:pt x="5661" y="5856"/>
              </a:moveTo>
              <a:lnTo>
                <a:pt x="0" y="0"/>
              </a:lnTo>
              <a:lnTo>
                <a:pt x="0" y="37504"/>
              </a:lnTo>
              <a:lnTo>
                <a:pt x="2556" y="40148"/>
              </a:lnTo>
              <a:lnTo>
                <a:pt x="29843" y="68372"/>
              </a:lnTo>
              <a:lnTo>
                <a:pt x="66102" y="683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0.87261</cdr:x>
      <cdr:y>0.23354</cdr:y>
    </cdr:from>
    <cdr:to>
      <cdr:x>0.88165</cdr:x>
      <cdr:y>0.24251</cdr:y>
    </cdr:to>
    <cdr:sp macro="" textlink="">
      <cdr:nvSpPr>
        <cdr:cNvPr id="514" name="FracNo 307 StartRow 5258">
          <a:extLst xmlns:a="http://schemas.openxmlformats.org/drawingml/2006/main">
            <a:ext uri="{FF2B5EF4-FFF2-40B4-BE49-F238E27FC236}">
              <a16:creationId xmlns:a16="http://schemas.microsoft.com/office/drawing/2014/main" id="{60CAA653-9A18-0BC4-DFF6-D8B00C4F76BF}"/>
            </a:ext>
          </a:extLst>
        </cdr:cNvPr>
        <cdr:cNvSpPr/>
      </cdr:nvSpPr>
      <cdr:spPr>
        <a:xfrm xmlns:a="http://schemas.openxmlformats.org/drawingml/2006/main">
          <a:off x="6383322" y="1779567"/>
          <a:ext cx="66102" cy="683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102" h="68372">
              <a:moveTo>
                <a:pt x="4544" y="4700"/>
              </a:moveTo>
              <a:lnTo>
                <a:pt x="0" y="0"/>
              </a:lnTo>
              <a:lnTo>
                <a:pt x="0" y="37503"/>
              </a:lnTo>
              <a:lnTo>
                <a:pt x="2051" y="39626"/>
              </a:lnTo>
              <a:lnTo>
                <a:pt x="29842" y="68371"/>
              </a:lnTo>
              <a:lnTo>
                <a:pt x="66101" y="683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0.82665</cdr:x>
      <cdr:y>0.27918</cdr:y>
    </cdr:from>
    <cdr:to>
      <cdr:x>0.83568</cdr:x>
      <cdr:y>0.28815</cdr:y>
    </cdr:to>
    <cdr:sp macro="" textlink="">
      <cdr:nvSpPr>
        <cdr:cNvPr id="515" name="FracNo 1126 StartRow 5267">
          <a:extLst xmlns:a="http://schemas.openxmlformats.org/drawingml/2006/main">
            <a:ext uri="{FF2B5EF4-FFF2-40B4-BE49-F238E27FC236}">
              <a16:creationId xmlns:a16="http://schemas.microsoft.com/office/drawing/2014/main" id="{B276B4BB-8A64-4BEA-576F-409557689F0B}"/>
            </a:ext>
          </a:extLst>
        </cdr:cNvPr>
        <cdr:cNvSpPr/>
      </cdr:nvSpPr>
      <cdr:spPr>
        <a:xfrm xmlns:a="http://schemas.openxmlformats.org/drawingml/2006/main">
          <a:off x="6047081" y="2127354"/>
          <a:ext cx="66102" cy="683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102" h="68372">
              <a:moveTo>
                <a:pt x="47397" y="49024"/>
              </a:moveTo>
              <a:lnTo>
                <a:pt x="0" y="0"/>
              </a:lnTo>
              <a:lnTo>
                <a:pt x="36259" y="0"/>
              </a:lnTo>
              <a:lnTo>
                <a:pt x="57657" y="22133"/>
              </a:lnTo>
              <a:lnTo>
                <a:pt x="66101" y="30868"/>
              </a:lnTo>
              <a:lnTo>
                <a:pt x="66101" y="683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0.80596</cdr:x>
      <cdr:y>0.29972</cdr:y>
    </cdr:from>
    <cdr:to>
      <cdr:x>0.81499</cdr:x>
      <cdr:y>0.3087</cdr:y>
    </cdr:to>
    <cdr:sp macro="" textlink="">
      <cdr:nvSpPr>
        <cdr:cNvPr id="516" name="FracNo 1055 StartRow 5276">
          <a:extLst xmlns:a="http://schemas.openxmlformats.org/drawingml/2006/main">
            <a:ext uri="{FF2B5EF4-FFF2-40B4-BE49-F238E27FC236}">
              <a16:creationId xmlns:a16="http://schemas.microsoft.com/office/drawing/2014/main" id="{9D108AB3-3541-E01E-81F3-624F5564D9C0}"/>
            </a:ext>
          </a:extLst>
        </cdr:cNvPr>
        <cdr:cNvSpPr/>
      </cdr:nvSpPr>
      <cdr:spPr>
        <a:xfrm xmlns:a="http://schemas.openxmlformats.org/drawingml/2006/main">
          <a:off x="5895737" y="2283896"/>
          <a:ext cx="66102" cy="683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102" h="68372">
              <a:moveTo>
                <a:pt x="22989" y="23778"/>
              </a:moveTo>
              <a:lnTo>
                <a:pt x="0" y="0"/>
              </a:lnTo>
              <a:lnTo>
                <a:pt x="0" y="37503"/>
              </a:lnTo>
              <a:lnTo>
                <a:pt x="10379" y="48239"/>
              </a:lnTo>
              <a:lnTo>
                <a:pt x="29843" y="68371"/>
              </a:lnTo>
              <a:lnTo>
                <a:pt x="66101" y="683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0.54118</cdr:x>
      <cdr:y>0.56263</cdr:y>
    </cdr:from>
    <cdr:to>
      <cdr:x>0.55022</cdr:x>
      <cdr:y>0.57161</cdr:y>
    </cdr:to>
    <cdr:sp macro="" textlink="">
      <cdr:nvSpPr>
        <cdr:cNvPr id="517" name="FracNo 1064 StartRow 5285">
          <a:extLst xmlns:a="http://schemas.openxmlformats.org/drawingml/2006/main">
            <a:ext uri="{FF2B5EF4-FFF2-40B4-BE49-F238E27FC236}">
              <a16:creationId xmlns:a16="http://schemas.microsoft.com/office/drawing/2014/main" id="{621072EA-FFC8-3707-AABB-CF1186CB2826}"/>
            </a:ext>
          </a:extLst>
        </cdr:cNvPr>
        <cdr:cNvSpPr/>
      </cdr:nvSpPr>
      <cdr:spPr>
        <a:xfrm xmlns:a="http://schemas.openxmlformats.org/drawingml/2006/main">
          <a:off x="3958871" y="4287278"/>
          <a:ext cx="66102" cy="68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102" h="68373">
              <a:moveTo>
                <a:pt x="17188" y="17779"/>
              </a:moveTo>
              <a:lnTo>
                <a:pt x="0" y="0"/>
              </a:lnTo>
              <a:lnTo>
                <a:pt x="0" y="37504"/>
              </a:lnTo>
              <a:lnTo>
                <a:pt x="7759" y="45530"/>
              </a:lnTo>
              <a:lnTo>
                <a:pt x="29843" y="68372"/>
              </a:lnTo>
              <a:lnTo>
                <a:pt x="66101" y="683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0.93353</cdr:x>
      <cdr:y>0.61288</cdr:y>
    </cdr:from>
    <cdr:to>
      <cdr:x>0.94246</cdr:x>
      <cdr:y>0.62175</cdr:y>
    </cdr:to>
    <cdr:sp macro="" textlink="">
      <cdr:nvSpPr>
        <cdr:cNvPr id="518" name="FracNo 622 StartRow 5294">
          <a:extLst xmlns:a="http://schemas.openxmlformats.org/drawingml/2006/main">
            <a:ext uri="{FF2B5EF4-FFF2-40B4-BE49-F238E27FC236}">
              <a16:creationId xmlns:a16="http://schemas.microsoft.com/office/drawing/2014/main" id="{F39FBE4F-7B80-8F2C-5323-68BB3CFFE44C}"/>
            </a:ext>
          </a:extLst>
        </cdr:cNvPr>
        <cdr:cNvSpPr/>
      </cdr:nvSpPr>
      <cdr:spPr>
        <a:xfrm xmlns:a="http://schemas.openxmlformats.org/drawingml/2006/main">
          <a:off x="6828925" y="4670110"/>
          <a:ext cx="65383" cy="67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83" h="67629">
              <a:moveTo>
                <a:pt x="51271" y="53033"/>
              </a:moveTo>
              <a:lnTo>
                <a:pt x="0" y="0"/>
              </a:lnTo>
              <a:lnTo>
                <a:pt x="36258" y="0"/>
              </a:lnTo>
              <a:lnTo>
                <a:pt x="59097" y="23623"/>
              </a:lnTo>
              <a:lnTo>
                <a:pt x="65382" y="30124"/>
              </a:lnTo>
              <a:lnTo>
                <a:pt x="65382" y="676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0.5819</cdr:x>
      <cdr:y>0.39961</cdr:y>
    </cdr:from>
    <cdr:to>
      <cdr:x>0.58834</cdr:x>
      <cdr:y>0.41093</cdr:y>
    </cdr:to>
    <cdr:sp macro="" textlink="">
      <cdr:nvSpPr>
        <cdr:cNvPr id="519" name="FracNo 390 StartRow 5303">
          <a:extLst xmlns:a="http://schemas.openxmlformats.org/drawingml/2006/main">
            <a:ext uri="{FF2B5EF4-FFF2-40B4-BE49-F238E27FC236}">
              <a16:creationId xmlns:a16="http://schemas.microsoft.com/office/drawing/2014/main" id="{7D3921FF-BF07-7CEE-42E3-FAC348A8F5FF}"/>
            </a:ext>
          </a:extLst>
        </cdr:cNvPr>
        <cdr:cNvSpPr/>
      </cdr:nvSpPr>
      <cdr:spPr>
        <a:xfrm xmlns:a="http://schemas.openxmlformats.org/drawingml/2006/main">
          <a:off x="4256682" y="3045062"/>
          <a:ext cx="47134" cy="862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134" h="86256">
              <a:moveTo>
                <a:pt x="25519" y="26396"/>
              </a:moveTo>
              <a:lnTo>
                <a:pt x="0" y="0"/>
              </a:lnTo>
              <a:lnTo>
                <a:pt x="0" y="37504"/>
              </a:lnTo>
              <a:lnTo>
                <a:pt x="25519" y="63900"/>
              </a:lnTo>
              <a:lnTo>
                <a:pt x="47133" y="86255"/>
              </a:lnTo>
              <a:lnTo>
                <a:pt x="47133" y="4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0.5363</cdr:x>
      <cdr:y>0.44489</cdr:y>
    </cdr:from>
    <cdr:to>
      <cdr:x>0.54274</cdr:x>
      <cdr:y>0.45621</cdr:y>
    </cdr:to>
    <cdr:sp macro="" textlink="">
      <cdr:nvSpPr>
        <cdr:cNvPr id="520" name="FracNo 1018 StartRow 5312">
          <a:extLst xmlns:a="http://schemas.openxmlformats.org/drawingml/2006/main">
            <a:ext uri="{FF2B5EF4-FFF2-40B4-BE49-F238E27FC236}">
              <a16:creationId xmlns:a16="http://schemas.microsoft.com/office/drawing/2014/main" id="{AF71F0BE-CBCA-3414-8025-3E82C6D788B1}"/>
            </a:ext>
          </a:extLst>
        </cdr:cNvPr>
        <cdr:cNvSpPr/>
      </cdr:nvSpPr>
      <cdr:spPr>
        <a:xfrm xmlns:a="http://schemas.openxmlformats.org/drawingml/2006/main">
          <a:off x="3923154" y="3390044"/>
          <a:ext cx="47134" cy="862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134" h="86256">
              <a:moveTo>
                <a:pt x="6200" y="6413"/>
              </a:moveTo>
              <a:lnTo>
                <a:pt x="0" y="0"/>
              </a:lnTo>
              <a:lnTo>
                <a:pt x="0" y="37504"/>
              </a:lnTo>
              <a:lnTo>
                <a:pt x="6200" y="43917"/>
              </a:lnTo>
              <a:lnTo>
                <a:pt x="47133" y="86255"/>
              </a:lnTo>
              <a:lnTo>
                <a:pt x="47133" y="4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0.92636</cdr:x>
      <cdr:y>0.22736</cdr:y>
    </cdr:from>
    <cdr:to>
      <cdr:x>0.93523</cdr:x>
      <cdr:y>0.23617</cdr:y>
    </cdr:to>
    <cdr:sp macro="" textlink="">
      <cdr:nvSpPr>
        <cdr:cNvPr id="521" name="FracNo 315 StartRow 5321">
          <a:extLst xmlns:a="http://schemas.openxmlformats.org/drawingml/2006/main">
            <a:ext uri="{FF2B5EF4-FFF2-40B4-BE49-F238E27FC236}">
              <a16:creationId xmlns:a16="http://schemas.microsoft.com/office/drawing/2014/main" id="{900B6E36-0C24-7423-1FF5-FF6B9E6B0BD8}"/>
            </a:ext>
          </a:extLst>
        </cdr:cNvPr>
        <cdr:cNvSpPr/>
      </cdr:nvSpPr>
      <cdr:spPr>
        <a:xfrm xmlns:a="http://schemas.openxmlformats.org/drawingml/2006/main">
          <a:off x="6776499" y="1732486"/>
          <a:ext cx="64911" cy="671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911" h="67140">
              <a:moveTo>
                <a:pt x="64197" y="28898"/>
              </a:moveTo>
              <a:lnTo>
                <a:pt x="36259" y="0"/>
              </a:lnTo>
              <a:lnTo>
                <a:pt x="0" y="0"/>
              </a:lnTo>
              <a:lnTo>
                <a:pt x="63295" y="65469"/>
              </a:lnTo>
              <a:lnTo>
                <a:pt x="64910" y="67139"/>
              </a:lnTo>
              <a:lnTo>
                <a:pt x="64910" y="296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0.37635</cdr:x>
      <cdr:y>0.37288</cdr:y>
    </cdr:from>
    <cdr:to>
      <cdr:x>0.3877</cdr:x>
      <cdr:y>0.37923</cdr:y>
    </cdr:to>
    <cdr:sp macro="" textlink="">
      <cdr:nvSpPr>
        <cdr:cNvPr id="522" name="FracNo 1063 StartRow 5330">
          <a:extLst xmlns:a="http://schemas.openxmlformats.org/drawingml/2006/main">
            <a:ext uri="{FF2B5EF4-FFF2-40B4-BE49-F238E27FC236}">
              <a16:creationId xmlns:a16="http://schemas.microsoft.com/office/drawing/2014/main" id="{4B68E1C1-A800-09BC-6BD4-E4AEA10048A0}"/>
            </a:ext>
          </a:extLst>
        </cdr:cNvPr>
        <cdr:cNvSpPr/>
      </cdr:nvSpPr>
      <cdr:spPr>
        <a:xfrm xmlns:a="http://schemas.openxmlformats.org/drawingml/2006/main">
          <a:off x="2753075" y="2841362"/>
          <a:ext cx="83003" cy="483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003" h="48350">
              <a:moveTo>
                <a:pt x="22807" y="23590"/>
              </a:moveTo>
              <a:lnTo>
                <a:pt x="0" y="0"/>
              </a:lnTo>
              <a:lnTo>
                <a:pt x="36259" y="0"/>
              </a:lnTo>
              <a:lnTo>
                <a:pt x="59066" y="23590"/>
              </a:lnTo>
              <a:lnTo>
                <a:pt x="83002" y="48349"/>
              </a:lnTo>
              <a:lnTo>
                <a:pt x="46743" y="483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0.43829</cdr:x>
      <cdr:y>0.31138</cdr:y>
    </cdr:from>
    <cdr:to>
      <cdr:x>0.44963</cdr:x>
      <cdr:y>0.31772</cdr:y>
    </cdr:to>
    <cdr:sp macro="" textlink="">
      <cdr:nvSpPr>
        <cdr:cNvPr id="523" name="FracNo 1065 StartRow 5339">
          <a:extLst xmlns:a="http://schemas.openxmlformats.org/drawingml/2006/main">
            <a:ext uri="{FF2B5EF4-FFF2-40B4-BE49-F238E27FC236}">
              <a16:creationId xmlns:a16="http://schemas.microsoft.com/office/drawing/2014/main" id="{6B381B8B-3FB2-4A73-AE55-B4E7A22074CF}"/>
            </a:ext>
          </a:extLst>
        </cdr:cNvPr>
        <cdr:cNvSpPr/>
      </cdr:nvSpPr>
      <cdr:spPr>
        <a:xfrm xmlns:a="http://schemas.openxmlformats.org/drawingml/2006/main">
          <a:off x="3206165" y="2372713"/>
          <a:ext cx="83002" cy="483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002" h="48349">
              <a:moveTo>
                <a:pt x="37451" y="38737"/>
              </a:moveTo>
              <a:lnTo>
                <a:pt x="0" y="0"/>
              </a:lnTo>
              <a:lnTo>
                <a:pt x="36258" y="0"/>
              </a:lnTo>
              <a:lnTo>
                <a:pt x="73709" y="38737"/>
              </a:lnTo>
              <a:lnTo>
                <a:pt x="83001" y="48348"/>
              </a:lnTo>
              <a:lnTo>
                <a:pt x="46743" y="483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0.65677</cdr:x>
      <cdr:y>0.58046</cdr:y>
    </cdr:from>
    <cdr:to>
      <cdr:x>0.66812</cdr:x>
      <cdr:y>0.5868</cdr:y>
    </cdr:to>
    <cdr:sp macro="" textlink="">
      <cdr:nvSpPr>
        <cdr:cNvPr id="524" name="FracNo 635 StartRow 5348">
          <a:extLst xmlns:a="http://schemas.openxmlformats.org/drawingml/2006/main">
            <a:ext uri="{FF2B5EF4-FFF2-40B4-BE49-F238E27FC236}">
              <a16:creationId xmlns:a16="http://schemas.microsoft.com/office/drawing/2014/main" id="{276B6ECD-659C-A149-DF0E-18090CA2375A}"/>
            </a:ext>
          </a:extLst>
        </cdr:cNvPr>
        <cdr:cNvSpPr/>
      </cdr:nvSpPr>
      <cdr:spPr>
        <a:xfrm xmlns:a="http://schemas.openxmlformats.org/drawingml/2006/main">
          <a:off x="4804436" y="4423074"/>
          <a:ext cx="83002" cy="48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002" h="48348">
              <a:moveTo>
                <a:pt x="67289" y="32096"/>
              </a:moveTo>
              <a:lnTo>
                <a:pt x="36258" y="0"/>
              </a:lnTo>
              <a:lnTo>
                <a:pt x="0" y="0"/>
              </a:lnTo>
              <a:lnTo>
                <a:pt x="31030" y="32096"/>
              </a:lnTo>
              <a:lnTo>
                <a:pt x="46742" y="48347"/>
              </a:lnTo>
              <a:lnTo>
                <a:pt x="83001" y="483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0.87269</cdr:x>
      <cdr:y>0.36606</cdr:y>
    </cdr:from>
    <cdr:to>
      <cdr:x>0.87908</cdr:x>
      <cdr:y>0.37732</cdr:y>
    </cdr:to>
    <cdr:sp macro="" textlink="">
      <cdr:nvSpPr>
        <cdr:cNvPr id="525" name="FracNo 902 StartRow 5357">
          <a:extLst xmlns:a="http://schemas.openxmlformats.org/drawingml/2006/main">
            <a:ext uri="{FF2B5EF4-FFF2-40B4-BE49-F238E27FC236}">
              <a16:creationId xmlns:a16="http://schemas.microsoft.com/office/drawing/2014/main" id="{CE70AB8D-983E-3301-22F7-5BDFB094545D}"/>
            </a:ext>
          </a:extLst>
        </cdr:cNvPr>
        <cdr:cNvSpPr/>
      </cdr:nvSpPr>
      <cdr:spPr>
        <a:xfrm xmlns:a="http://schemas.openxmlformats.org/drawingml/2006/main">
          <a:off x="6383911" y="2789357"/>
          <a:ext cx="46743" cy="858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743" h="85852">
              <a:moveTo>
                <a:pt x="1768" y="39333"/>
              </a:moveTo>
              <a:lnTo>
                <a:pt x="0" y="37503"/>
              </a:lnTo>
              <a:lnTo>
                <a:pt x="0" y="0"/>
              </a:lnTo>
              <a:lnTo>
                <a:pt x="1768" y="1829"/>
              </a:lnTo>
              <a:lnTo>
                <a:pt x="46742" y="48347"/>
              </a:lnTo>
              <a:lnTo>
                <a:pt x="46742" y="858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0.39139</cdr:x>
      <cdr:y>0.10049</cdr:y>
    </cdr:from>
    <cdr:to>
      <cdr:x>0.39777</cdr:x>
      <cdr:y>0.11175</cdr:y>
    </cdr:to>
    <cdr:sp macro="" textlink="">
      <cdr:nvSpPr>
        <cdr:cNvPr id="526" name="FracNo 933 StartRow 5366">
          <a:extLst xmlns:a="http://schemas.openxmlformats.org/drawingml/2006/main">
            <a:ext uri="{FF2B5EF4-FFF2-40B4-BE49-F238E27FC236}">
              <a16:creationId xmlns:a16="http://schemas.microsoft.com/office/drawing/2014/main" id="{B5E08317-0B70-C17D-40EE-09B76BDDD627}"/>
            </a:ext>
          </a:extLst>
        </cdr:cNvPr>
        <cdr:cNvSpPr/>
      </cdr:nvSpPr>
      <cdr:spPr>
        <a:xfrm xmlns:a="http://schemas.openxmlformats.org/drawingml/2006/main">
          <a:off x="2863075" y="765757"/>
          <a:ext cx="46684" cy="857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684" h="85791">
              <a:moveTo>
                <a:pt x="34846" y="73546"/>
              </a:moveTo>
              <a:lnTo>
                <a:pt x="0" y="37504"/>
              </a:lnTo>
              <a:lnTo>
                <a:pt x="0" y="0"/>
              </a:lnTo>
              <a:lnTo>
                <a:pt x="34846" y="36043"/>
              </a:lnTo>
              <a:lnTo>
                <a:pt x="46683" y="48286"/>
              </a:lnTo>
              <a:lnTo>
                <a:pt x="46683" y="857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0.40718</cdr:x>
      <cdr:y>0.08481</cdr:y>
    </cdr:from>
    <cdr:to>
      <cdr:x>0.41356</cdr:x>
      <cdr:y>0.09607</cdr:y>
    </cdr:to>
    <cdr:sp macro="" textlink="">
      <cdr:nvSpPr>
        <cdr:cNvPr id="527" name="FracNo 934 StartRow 5375">
          <a:extLst xmlns:a="http://schemas.openxmlformats.org/drawingml/2006/main">
            <a:ext uri="{FF2B5EF4-FFF2-40B4-BE49-F238E27FC236}">
              <a16:creationId xmlns:a16="http://schemas.microsoft.com/office/drawing/2014/main" id="{E1F6C128-DAE8-4D91-DE2D-74D6DC24204F}"/>
            </a:ext>
          </a:extLst>
        </cdr:cNvPr>
        <cdr:cNvSpPr/>
      </cdr:nvSpPr>
      <cdr:spPr>
        <a:xfrm xmlns:a="http://schemas.openxmlformats.org/drawingml/2006/main">
          <a:off x="2978576" y="646290"/>
          <a:ext cx="46684" cy="857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684" h="85790">
              <a:moveTo>
                <a:pt x="9077" y="46891"/>
              </a:moveTo>
              <a:lnTo>
                <a:pt x="0" y="37504"/>
              </a:lnTo>
              <a:lnTo>
                <a:pt x="0" y="0"/>
              </a:lnTo>
              <a:lnTo>
                <a:pt x="9077" y="9387"/>
              </a:lnTo>
              <a:lnTo>
                <a:pt x="46683" y="48285"/>
              </a:lnTo>
              <a:lnTo>
                <a:pt x="46683" y="857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0.15696</cdr:x>
      <cdr:y>0.85763</cdr:y>
    </cdr:from>
    <cdr:to>
      <cdr:x>0.16581</cdr:x>
      <cdr:y>0.86643</cdr:y>
    </cdr:to>
    <cdr:sp macro="" textlink="">
      <cdr:nvSpPr>
        <cdr:cNvPr id="528" name="FracNo 1040 StartRow 5384">
          <a:extLst xmlns:a="http://schemas.openxmlformats.org/drawingml/2006/main">
            <a:ext uri="{FF2B5EF4-FFF2-40B4-BE49-F238E27FC236}">
              <a16:creationId xmlns:a16="http://schemas.microsoft.com/office/drawing/2014/main" id="{5527857A-1C45-542B-BDFE-EDA5D6CB4F9F}"/>
            </a:ext>
          </a:extLst>
        </cdr:cNvPr>
        <cdr:cNvSpPr/>
      </cdr:nvSpPr>
      <cdr:spPr>
        <a:xfrm xmlns:a="http://schemas.openxmlformats.org/drawingml/2006/main">
          <a:off x="1148175" y="6535155"/>
          <a:ext cx="64783" cy="670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783" h="67007">
              <a:moveTo>
                <a:pt x="23003" y="61297"/>
              </a:moveTo>
              <a:lnTo>
                <a:pt x="0" y="37504"/>
              </a:lnTo>
              <a:lnTo>
                <a:pt x="0" y="0"/>
              </a:lnTo>
              <a:lnTo>
                <a:pt x="52243" y="54037"/>
              </a:lnTo>
              <a:lnTo>
                <a:pt x="64782" y="67006"/>
              </a:lnTo>
              <a:lnTo>
                <a:pt x="28524" y="670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0.11182</cdr:x>
      <cdr:y>0.90246</cdr:y>
    </cdr:from>
    <cdr:to>
      <cdr:x>0.12067</cdr:x>
      <cdr:y>0.91125</cdr:y>
    </cdr:to>
    <cdr:sp macro="" textlink="">
      <cdr:nvSpPr>
        <cdr:cNvPr id="529" name="FracNo 70 StartRow 5393">
          <a:extLst xmlns:a="http://schemas.openxmlformats.org/drawingml/2006/main">
            <a:ext uri="{FF2B5EF4-FFF2-40B4-BE49-F238E27FC236}">
              <a16:creationId xmlns:a16="http://schemas.microsoft.com/office/drawing/2014/main" id="{C96DBD7D-31DE-A668-020F-00D4E7220826}"/>
            </a:ext>
          </a:extLst>
        </cdr:cNvPr>
        <cdr:cNvSpPr/>
      </cdr:nvSpPr>
      <cdr:spPr>
        <a:xfrm xmlns:a="http://schemas.openxmlformats.org/drawingml/2006/main">
          <a:off x="817959" y="6876710"/>
          <a:ext cx="64784" cy="6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784" h="67008">
              <a:moveTo>
                <a:pt x="57910" y="22395"/>
              </a:moveTo>
              <a:lnTo>
                <a:pt x="36259" y="0"/>
              </a:lnTo>
              <a:lnTo>
                <a:pt x="0" y="0"/>
              </a:lnTo>
              <a:lnTo>
                <a:pt x="49173" y="50862"/>
              </a:lnTo>
              <a:lnTo>
                <a:pt x="64783" y="67007"/>
              </a:lnTo>
              <a:lnTo>
                <a:pt x="64783" y="29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0.64028</cdr:x>
      <cdr:y>0.63936</cdr:y>
    </cdr:from>
    <cdr:to>
      <cdr:x>0.65158</cdr:x>
      <cdr:y>0.64567</cdr:y>
    </cdr:to>
    <cdr:sp macro="" textlink="">
      <cdr:nvSpPr>
        <cdr:cNvPr id="530" name="FracNo 399 StartRow 5402">
          <a:extLst xmlns:a="http://schemas.openxmlformats.org/drawingml/2006/main">
            <a:ext uri="{FF2B5EF4-FFF2-40B4-BE49-F238E27FC236}">
              <a16:creationId xmlns:a16="http://schemas.microsoft.com/office/drawing/2014/main" id="{3B26C0E6-B5CC-A001-3874-6AB1F3C616CF}"/>
            </a:ext>
          </a:extLst>
        </cdr:cNvPr>
        <cdr:cNvSpPr/>
      </cdr:nvSpPr>
      <cdr:spPr>
        <a:xfrm xmlns:a="http://schemas.openxmlformats.org/drawingml/2006/main">
          <a:off x="4683750" y="4871950"/>
          <a:ext cx="82721" cy="480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721" h="48059">
              <a:moveTo>
                <a:pt x="4432" y="4584"/>
              </a:moveTo>
              <a:lnTo>
                <a:pt x="0" y="0"/>
              </a:lnTo>
              <a:lnTo>
                <a:pt x="36259" y="0"/>
              </a:lnTo>
              <a:lnTo>
                <a:pt x="40690" y="4584"/>
              </a:lnTo>
              <a:lnTo>
                <a:pt x="82720" y="48058"/>
              </a:lnTo>
              <a:lnTo>
                <a:pt x="46462" y="480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0.43781</cdr:y>
    </cdr:from>
    <cdr:to>
      <cdr:x>0.10064</cdr:x>
      <cdr:y>0.44657</cdr:y>
    </cdr:to>
    <cdr:sp macro="" textlink="">
      <cdr:nvSpPr>
        <cdr:cNvPr id="531" name="FracNo 1085 StartRow 5411">
          <a:extLst xmlns:a="http://schemas.openxmlformats.org/drawingml/2006/main">
            <a:ext uri="{FF2B5EF4-FFF2-40B4-BE49-F238E27FC236}">
              <a16:creationId xmlns:a16="http://schemas.microsoft.com/office/drawing/2014/main" id="{40D3EEB5-90B5-BE82-7233-8940A1B3CAFA}"/>
            </a:ext>
          </a:extLst>
        </cdr:cNvPr>
        <cdr:cNvSpPr/>
      </cdr:nvSpPr>
      <cdr:spPr>
        <a:xfrm xmlns:a="http://schemas.openxmlformats.org/drawingml/2006/main">
          <a:off x="671676" y="3336092"/>
          <a:ext cx="64559" cy="66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559" h="66777">
              <a:moveTo>
                <a:pt x="21855" y="22606"/>
              </a:moveTo>
              <a:lnTo>
                <a:pt x="0" y="0"/>
              </a:lnTo>
              <a:lnTo>
                <a:pt x="0" y="37504"/>
              </a:lnTo>
              <a:lnTo>
                <a:pt x="9580" y="47413"/>
              </a:lnTo>
              <a:lnTo>
                <a:pt x="28300" y="66776"/>
              </a:lnTo>
              <a:lnTo>
                <a:pt x="64558" y="667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0.17949</cdr:x>
      <cdr:y>0.70699</cdr:y>
    </cdr:from>
    <cdr:to>
      <cdr:x>0.18828</cdr:x>
      <cdr:y>0.71572</cdr:y>
    </cdr:to>
    <cdr:sp macro="" textlink="">
      <cdr:nvSpPr>
        <cdr:cNvPr id="532" name="FracNo 967 StartRow 5420">
          <a:extLst xmlns:a="http://schemas.openxmlformats.org/drawingml/2006/main">
            <a:ext uri="{FF2B5EF4-FFF2-40B4-BE49-F238E27FC236}">
              <a16:creationId xmlns:a16="http://schemas.microsoft.com/office/drawing/2014/main" id="{47AD8CE5-CFFC-043B-A034-AF05EF7874A3}"/>
            </a:ext>
          </a:extLst>
        </cdr:cNvPr>
        <cdr:cNvSpPr/>
      </cdr:nvSpPr>
      <cdr:spPr>
        <a:xfrm xmlns:a="http://schemas.openxmlformats.org/drawingml/2006/main">
          <a:off x="1313023" y="5387289"/>
          <a:ext cx="64289" cy="66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289" h="66497">
              <a:moveTo>
                <a:pt x="31607" y="32693"/>
              </a:moveTo>
              <a:lnTo>
                <a:pt x="0" y="0"/>
              </a:lnTo>
              <a:lnTo>
                <a:pt x="36258" y="0"/>
              </a:lnTo>
              <a:lnTo>
                <a:pt x="50039" y="14254"/>
              </a:lnTo>
              <a:lnTo>
                <a:pt x="64288" y="28992"/>
              </a:lnTo>
              <a:lnTo>
                <a:pt x="64288" y="664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0.34905</cdr:x>
      <cdr:y>0.66193</cdr:y>
    </cdr:from>
    <cdr:to>
      <cdr:x>0.35783</cdr:x>
      <cdr:y>0.67065</cdr:y>
    </cdr:to>
    <cdr:sp macro="" textlink="">
      <cdr:nvSpPr>
        <cdr:cNvPr id="533" name="FracNo 969 StartRow 5429">
          <a:extLst xmlns:a="http://schemas.openxmlformats.org/drawingml/2006/main">
            <a:ext uri="{FF2B5EF4-FFF2-40B4-BE49-F238E27FC236}">
              <a16:creationId xmlns:a16="http://schemas.microsoft.com/office/drawing/2014/main" id="{82721D69-0E0C-312F-78F6-1C0A9020281A}"/>
            </a:ext>
          </a:extLst>
        </cdr:cNvPr>
        <cdr:cNvSpPr/>
      </cdr:nvSpPr>
      <cdr:spPr>
        <a:xfrm xmlns:a="http://schemas.openxmlformats.org/drawingml/2006/main">
          <a:off x="2553343" y="5043872"/>
          <a:ext cx="64247" cy="664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247" h="66453">
              <a:moveTo>
                <a:pt x="15470" y="16001"/>
              </a:moveTo>
              <a:lnTo>
                <a:pt x="0" y="0"/>
              </a:lnTo>
              <a:lnTo>
                <a:pt x="36258" y="0"/>
              </a:lnTo>
              <a:lnTo>
                <a:pt x="42998" y="6970"/>
              </a:lnTo>
              <a:lnTo>
                <a:pt x="64246" y="28949"/>
              </a:lnTo>
              <a:lnTo>
                <a:pt x="64246" y="664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0.36649</cdr:x>
      <cdr:y>0.25787</cdr:y>
    </cdr:from>
    <cdr:to>
      <cdr:x>0.37772</cdr:x>
      <cdr:y>0.2641</cdr:y>
    </cdr:to>
    <cdr:sp macro="" textlink="">
      <cdr:nvSpPr>
        <cdr:cNvPr id="534" name="FracNo 1108 StartRow 5438">
          <a:extLst xmlns:a="http://schemas.openxmlformats.org/drawingml/2006/main">
            <a:ext uri="{FF2B5EF4-FFF2-40B4-BE49-F238E27FC236}">
              <a16:creationId xmlns:a16="http://schemas.microsoft.com/office/drawing/2014/main" id="{E39BCB75-4469-038F-00DE-134852C1A581}"/>
            </a:ext>
          </a:extLst>
        </cdr:cNvPr>
        <cdr:cNvSpPr/>
      </cdr:nvSpPr>
      <cdr:spPr>
        <a:xfrm xmlns:a="http://schemas.openxmlformats.org/drawingml/2006/main">
          <a:off x="2680945" y="1964945"/>
          <a:ext cx="82146" cy="474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146" h="47463">
              <a:moveTo>
                <a:pt x="39205" y="40551"/>
              </a:moveTo>
              <a:lnTo>
                <a:pt x="0" y="0"/>
              </a:lnTo>
              <a:lnTo>
                <a:pt x="36259" y="0"/>
              </a:lnTo>
              <a:lnTo>
                <a:pt x="75464" y="40551"/>
              </a:lnTo>
              <a:lnTo>
                <a:pt x="82145" y="47462"/>
              </a:lnTo>
              <a:lnTo>
                <a:pt x="45886" y="474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0.32264</cdr:x>
      <cdr:y>0.72549</cdr:y>
    </cdr:from>
    <cdr:to>
      <cdr:x>0.32889</cdr:x>
      <cdr:y>0.73662</cdr:y>
    </cdr:to>
    <cdr:sp macro="" textlink="">
      <cdr:nvSpPr>
        <cdr:cNvPr id="535" name="FracNo 906 StartRow 5447">
          <a:extLst xmlns:a="http://schemas.openxmlformats.org/drawingml/2006/main">
            <a:ext uri="{FF2B5EF4-FFF2-40B4-BE49-F238E27FC236}">
              <a16:creationId xmlns:a16="http://schemas.microsoft.com/office/drawing/2014/main" id="{B339B1A0-02AE-E8EF-A19A-16FF7CA93585}"/>
            </a:ext>
          </a:extLst>
        </cdr:cNvPr>
        <cdr:cNvSpPr/>
      </cdr:nvSpPr>
      <cdr:spPr>
        <a:xfrm xmlns:a="http://schemas.openxmlformats.org/drawingml/2006/main">
          <a:off x="2360187" y="5528204"/>
          <a:ext cx="45741" cy="848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741" h="84815">
              <a:moveTo>
                <a:pt x="5870" y="6072"/>
              </a:moveTo>
              <a:lnTo>
                <a:pt x="0" y="0"/>
              </a:lnTo>
              <a:lnTo>
                <a:pt x="0" y="37504"/>
              </a:lnTo>
              <a:lnTo>
                <a:pt x="5870" y="43576"/>
              </a:lnTo>
              <a:lnTo>
                <a:pt x="45740" y="84814"/>
              </a:lnTo>
              <a:lnTo>
                <a:pt x="45740" y="473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0.14944</cdr:x>
      <cdr:y>0.83847</cdr:y>
    </cdr:from>
    <cdr:to>
      <cdr:x>0.15816</cdr:x>
      <cdr:y>0.84712</cdr:y>
    </cdr:to>
    <cdr:sp macro="" textlink="">
      <cdr:nvSpPr>
        <cdr:cNvPr id="536" name="FracNo 880 StartRow 5456">
          <a:extLst xmlns:a="http://schemas.openxmlformats.org/drawingml/2006/main">
            <a:ext uri="{FF2B5EF4-FFF2-40B4-BE49-F238E27FC236}">
              <a16:creationId xmlns:a16="http://schemas.microsoft.com/office/drawing/2014/main" id="{05547C79-E5EB-1A25-27FD-50ECA4AE5AA1}"/>
            </a:ext>
          </a:extLst>
        </cdr:cNvPr>
        <cdr:cNvSpPr/>
      </cdr:nvSpPr>
      <cdr:spPr>
        <a:xfrm xmlns:a="http://schemas.openxmlformats.org/drawingml/2006/main">
          <a:off x="1093210" y="6389130"/>
          <a:ext cx="63744" cy="65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744" h="65934">
              <a:moveTo>
                <a:pt x="21530" y="59773"/>
              </a:moveTo>
              <a:lnTo>
                <a:pt x="0" y="37503"/>
              </a:lnTo>
              <a:lnTo>
                <a:pt x="0" y="0"/>
              </a:lnTo>
              <a:lnTo>
                <a:pt x="49933" y="51648"/>
              </a:lnTo>
              <a:lnTo>
                <a:pt x="63743" y="65933"/>
              </a:lnTo>
              <a:lnTo>
                <a:pt x="27485" y="659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0.17506</cdr:x>
      <cdr:y>0.81304</cdr:y>
    </cdr:from>
    <cdr:to>
      <cdr:x>0.18377</cdr:x>
      <cdr:y>0.82169</cdr:y>
    </cdr:to>
    <cdr:sp macro="" textlink="">
      <cdr:nvSpPr>
        <cdr:cNvPr id="537" name="FracNo 80 StartRow 5465">
          <a:extLst xmlns:a="http://schemas.openxmlformats.org/drawingml/2006/main">
            <a:ext uri="{FF2B5EF4-FFF2-40B4-BE49-F238E27FC236}">
              <a16:creationId xmlns:a16="http://schemas.microsoft.com/office/drawing/2014/main" id="{89133A87-136A-8484-624C-6EF29F3F480E}"/>
            </a:ext>
          </a:extLst>
        </cdr:cNvPr>
        <cdr:cNvSpPr/>
      </cdr:nvSpPr>
      <cdr:spPr>
        <a:xfrm xmlns:a="http://schemas.openxmlformats.org/drawingml/2006/main">
          <a:off x="1280565" y="6195340"/>
          <a:ext cx="63744" cy="65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744" h="65934">
              <a:moveTo>
                <a:pt x="671" y="38199"/>
              </a:moveTo>
              <a:lnTo>
                <a:pt x="0" y="37504"/>
              </a:lnTo>
              <a:lnTo>
                <a:pt x="0" y="0"/>
              </a:lnTo>
              <a:lnTo>
                <a:pt x="1557" y="1612"/>
              </a:lnTo>
              <a:lnTo>
                <a:pt x="63743" y="65933"/>
              </a:lnTo>
              <a:lnTo>
                <a:pt x="27485" y="659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0.11964</cdr:x>
      <cdr:y>0.86806</cdr:y>
    </cdr:from>
    <cdr:to>
      <cdr:x>0.12836</cdr:x>
      <cdr:y>0.87671</cdr:y>
    </cdr:to>
    <cdr:sp macro="" textlink="">
      <cdr:nvSpPr>
        <cdr:cNvPr id="538" name="FracNo 75 StartRow 5474">
          <a:extLst xmlns:a="http://schemas.openxmlformats.org/drawingml/2006/main">
            <a:ext uri="{FF2B5EF4-FFF2-40B4-BE49-F238E27FC236}">
              <a16:creationId xmlns:a16="http://schemas.microsoft.com/office/drawing/2014/main" id="{714A5260-2E11-D531-AD03-66A449CC50B5}"/>
            </a:ext>
          </a:extLst>
        </cdr:cNvPr>
        <cdr:cNvSpPr/>
      </cdr:nvSpPr>
      <cdr:spPr>
        <a:xfrm xmlns:a="http://schemas.openxmlformats.org/drawingml/2006/main">
          <a:off x="875199" y="6614626"/>
          <a:ext cx="63745" cy="659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745" h="65935">
              <a:moveTo>
                <a:pt x="51951" y="16231"/>
              </a:moveTo>
              <a:lnTo>
                <a:pt x="36259" y="0"/>
              </a:lnTo>
              <a:lnTo>
                <a:pt x="0" y="0"/>
              </a:lnTo>
              <a:lnTo>
                <a:pt x="36392" y="37642"/>
              </a:lnTo>
              <a:lnTo>
                <a:pt x="63744" y="65934"/>
              </a:lnTo>
              <a:lnTo>
                <a:pt x="63744" y="284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0.43512</cdr:x>
      <cdr:y>0.18991</cdr:y>
    </cdr:from>
    <cdr:to>
      <cdr:x>0.4413</cdr:x>
      <cdr:y>0.20096</cdr:y>
    </cdr:to>
    <cdr:sp macro="" textlink="">
      <cdr:nvSpPr>
        <cdr:cNvPr id="539" name="FracNo 464 StartRow 5483">
          <a:extLst xmlns:a="http://schemas.openxmlformats.org/drawingml/2006/main">
            <a:ext uri="{FF2B5EF4-FFF2-40B4-BE49-F238E27FC236}">
              <a16:creationId xmlns:a16="http://schemas.microsoft.com/office/drawing/2014/main" id="{2DB698AB-4EF8-0D18-B0E1-3D0F61E280DE}"/>
            </a:ext>
          </a:extLst>
        </cdr:cNvPr>
        <cdr:cNvSpPr/>
      </cdr:nvSpPr>
      <cdr:spPr>
        <a:xfrm xmlns:a="http://schemas.openxmlformats.org/drawingml/2006/main">
          <a:off x="3183011" y="1447124"/>
          <a:ext cx="45168" cy="842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168" h="84224">
              <a:moveTo>
                <a:pt x="21690" y="22436"/>
              </a:moveTo>
              <a:lnTo>
                <a:pt x="0" y="0"/>
              </a:lnTo>
              <a:lnTo>
                <a:pt x="0" y="37504"/>
              </a:lnTo>
              <a:lnTo>
                <a:pt x="21690" y="59939"/>
              </a:lnTo>
              <a:lnTo>
                <a:pt x="45167" y="84223"/>
              </a:lnTo>
              <a:lnTo>
                <a:pt x="45167" y="467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0.12786</cdr:x>
      <cdr:y>0.68972</cdr:y>
    </cdr:from>
    <cdr:to>
      <cdr:x>0.13402</cdr:x>
      <cdr:y>0.70076</cdr:y>
    </cdr:to>
    <cdr:sp macro="" textlink="">
      <cdr:nvSpPr>
        <cdr:cNvPr id="540" name="FracNo 67 StartRow 5492">
          <a:extLst xmlns:a="http://schemas.openxmlformats.org/drawingml/2006/main">
            <a:ext uri="{FF2B5EF4-FFF2-40B4-BE49-F238E27FC236}">
              <a16:creationId xmlns:a16="http://schemas.microsoft.com/office/drawing/2014/main" id="{B8ADE1EA-2DFC-4CE0-2925-C1389F27D2D0}"/>
            </a:ext>
          </a:extLst>
        </cdr:cNvPr>
        <cdr:cNvSpPr/>
      </cdr:nvSpPr>
      <cdr:spPr>
        <a:xfrm xmlns:a="http://schemas.openxmlformats.org/drawingml/2006/main">
          <a:off x="935294" y="5255668"/>
          <a:ext cx="45084" cy="84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84" h="84137">
              <a:moveTo>
                <a:pt x="13057" y="51010"/>
              </a:moveTo>
              <a:lnTo>
                <a:pt x="0" y="37504"/>
              </a:lnTo>
              <a:lnTo>
                <a:pt x="0" y="0"/>
              </a:lnTo>
              <a:lnTo>
                <a:pt x="13057" y="13506"/>
              </a:lnTo>
              <a:lnTo>
                <a:pt x="45083" y="46632"/>
              </a:lnTo>
              <a:lnTo>
                <a:pt x="45083" y="841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0.15223</cdr:x>
      <cdr:y>0.66552</cdr:y>
    </cdr:from>
    <cdr:to>
      <cdr:x>0.1584</cdr:x>
      <cdr:y>0.67656</cdr:y>
    </cdr:to>
    <cdr:sp macro="" textlink="">
      <cdr:nvSpPr>
        <cdr:cNvPr id="541" name="FracNo 72 StartRow 5501">
          <a:extLst xmlns:a="http://schemas.openxmlformats.org/drawingml/2006/main">
            <a:ext uri="{FF2B5EF4-FFF2-40B4-BE49-F238E27FC236}">
              <a16:creationId xmlns:a16="http://schemas.microsoft.com/office/drawing/2014/main" id="{C15C345B-EEF5-BD32-E3CA-E1E5D818EB5E}"/>
            </a:ext>
          </a:extLst>
        </cdr:cNvPr>
        <cdr:cNvSpPr/>
      </cdr:nvSpPr>
      <cdr:spPr>
        <a:xfrm xmlns:a="http://schemas.openxmlformats.org/drawingml/2006/main">
          <a:off x="1113607" y="5071231"/>
          <a:ext cx="45085" cy="84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85" h="84137">
              <a:moveTo>
                <a:pt x="25810" y="64199"/>
              </a:moveTo>
              <a:lnTo>
                <a:pt x="0" y="37504"/>
              </a:lnTo>
              <a:lnTo>
                <a:pt x="0" y="0"/>
              </a:lnTo>
              <a:lnTo>
                <a:pt x="25810" y="26695"/>
              </a:lnTo>
              <a:lnTo>
                <a:pt x="45084" y="46632"/>
              </a:lnTo>
              <a:lnTo>
                <a:pt x="45084" y="841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0.24085</cdr:x>
      <cdr:y>0.57752</cdr:y>
    </cdr:from>
    <cdr:to>
      <cdr:x>0.25197</cdr:x>
      <cdr:y>0.58364</cdr:y>
    </cdr:to>
    <cdr:sp macro="" textlink="">
      <cdr:nvSpPr>
        <cdr:cNvPr id="542" name="FracNo 976 StartRow 5510">
          <a:extLst xmlns:a="http://schemas.openxmlformats.org/drawingml/2006/main">
            <a:ext uri="{FF2B5EF4-FFF2-40B4-BE49-F238E27FC236}">
              <a16:creationId xmlns:a16="http://schemas.microsoft.com/office/drawing/2014/main" id="{CAA8DA2F-24CE-CF59-E672-EB80E9D53E04}"/>
            </a:ext>
          </a:extLst>
        </cdr:cNvPr>
        <cdr:cNvSpPr/>
      </cdr:nvSpPr>
      <cdr:spPr>
        <a:xfrm xmlns:a="http://schemas.openxmlformats.org/drawingml/2006/main">
          <a:off x="1761880" y="4400695"/>
          <a:ext cx="81344" cy="466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344" h="46633">
              <a:moveTo>
                <a:pt x="46902" y="11008"/>
              </a:moveTo>
              <a:lnTo>
                <a:pt x="36259" y="0"/>
              </a:lnTo>
              <a:lnTo>
                <a:pt x="0" y="0"/>
              </a:lnTo>
              <a:lnTo>
                <a:pt x="10643" y="11008"/>
              </a:lnTo>
              <a:lnTo>
                <a:pt x="45084" y="46632"/>
              </a:lnTo>
              <a:lnTo>
                <a:pt x="81343" y="466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0.32801</cdr:x>
      <cdr:y>0.49097</cdr:y>
    </cdr:from>
    <cdr:to>
      <cdr:x>0.33913</cdr:x>
      <cdr:y>0.49709</cdr:y>
    </cdr:to>
    <cdr:sp macro="" textlink="">
      <cdr:nvSpPr>
        <cdr:cNvPr id="543" name="FracNo 930 StartRow 5519">
          <a:extLst xmlns:a="http://schemas.openxmlformats.org/drawingml/2006/main">
            <a:ext uri="{FF2B5EF4-FFF2-40B4-BE49-F238E27FC236}">
              <a16:creationId xmlns:a16="http://schemas.microsoft.com/office/drawing/2014/main" id="{6A1BF273-3F10-6C99-E215-0B85401105AF}"/>
            </a:ext>
          </a:extLst>
        </cdr:cNvPr>
        <cdr:cNvSpPr/>
      </cdr:nvSpPr>
      <cdr:spPr>
        <a:xfrm xmlns:a="http://schemas.openxmlformats.org/drawingml/2006/main">
          <a:off x="2399474" y="3741205"/>
          <a:ext cx="81344" cy="466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344" h="46633">
              <a:moveTo>
                <a:pt x="46524" y="10617"/>
              </a:moveTo>
              <a:lnTo>
                <a:pt x="36259" y="0"/>
              </a:lnTo>
              <a:lnTo>
                <a:pt x="0" y="0"/>
              </a:lnTo>
              <a:lnTo>
                <a:pt x="10265" y="10617"/>
              </a:lnTo>
              <a:lnTo>
                <a:pt x="45084" y="46632"/>
              </a:lnTo>
              <a:lnTo>
                <a:pt x="81343" y="466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0.38953</cdr:x>
      <cdr:y>0.85513</cdr:y>
    </cdr:from>
    <cdr:to>
      <cdr:x>0.40065</cdr:x>
      <cdr:y>0.86125</cdr:y>
    </cdr:to>
    <cdr:sp macro="" textlink="">
      <cdr:nvSpPr>
        <cdr:cNvPr id="544" name="FracNo 1089 StartRow 5528">
          <a:extLst xmlns:a="http://schemas.openxmlformats.org/drawingml/2006/main">
            <a:ext uri="{FF2B5EF4-FFF2-40B4-BE49-F238E27FC236}">
              <a16:creationId xmlns:a16="http://schemas.microsoft.com/office/drawing/2014/main" id="{7D98DD16-899B-0C23-AFCE-DA927CEEFB8A}"/>
            </a:ext>
          </a:extLst>
        </cdr:cNvPr>
        <cdr:cNvSpPr/>
      </cdr:nvSpPr>
      <cdr:spPr>
        <a:xfrm xmlns:a="http://schemas.openxmlformats.org/drawingml/2006/main">
          <a:off x="2849476" y="6516088"/>
          <a:ext cx="81331" cy="46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331" h="46620">
              <a:moveTo>
                <a:pt x="9798" y="10134"/>
              </a:moveTo>
              <a:lnTo>
                <a:pt x="0" y="0"/>
              </a:lnTo>
              <a:lnTo>
                <a:pt x="36258" y="0"/>
              </a:lnTo>
              <a:lnTo>
                <a:pt x="46056" y="10134"/>
              </a:lnTo>
              <a:lnTo>
                <a:pt x="81330" y="46619"/>
              </a:lnTo>
              <a:lnTo>
                <a:pt x="45072" y="466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0.10679</cdr:x>
      <cdr:y>0.69851</cdr:y>
    </cdr:from>
    <cdr:to>
      <cdr:x>0.1129</cdr:x>
      <cdr:y>0.7095</cdr:y>
    </cdr:to>
    <cdr:sp macro="" textlink="">
      <cdr:nvSpPr>
        <cdr:cNvPr id="545" name="FracNo 954 StartRow 5537">
          <a:extLst xmlns:a="http://schemas.openxmlformats.org/drawingml/2006/main">
            <a:ext uri="{FF2B5EF4-FFF2-40B4-BE49-F238E27FC236}">
              <a16:creationId xmlns:a16="http://schemas.microsoft.com/office/drawing/2014/main" id="{4B60E756-F94C-98B7-7113-C9539C96B204}"/>
            </a:ext>
          </a:extLst>
        </cdr:cNvPr>
        <cdr:cNvSpPr/>
      </cdr:nvSpPr>
      <cdr:spPr>
        <a:xfrm xmlns:a="http://schemas.openxmlformats.org/drawingml/2006/main">
          <a:off x="781163" y="5322618"/>
          <a:ext cx="44703" cy="83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703" h="83741">
              <a:moveTo>
                <a:pt x="21924" y="60180"/>
              </a:moveTo>
              <a:lnTo>
                <a:pt x="0" y="37504"/>
              </a:lnTo>
              <a:lnTo>
                <a:pt x="0" y="0"/>
              </a:lnTo>
              <a:lnTo>
                <a:pt x="21924" y="22676"/>
              </a:lnTo>
              <a:lnTo>
                <a:pt x="44702" y="46237"/>
              </a:lnTo>
              <a:lnTo>
                <a:pt x="44702" y="837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0.30718</cdr:x>
      <cdr:y>0.49952</cdr:y>
    </cdr:from>
    <cdr:to>
      <cdr:x>0.31825</cdr:x>
      <cdr:y>0.50559</cdr:y>
    </cdr:to>
    <cdr:sp macro="" textlink="">
      <cdr:nvSpPr>
        <cdr:cNvPr id="546" name="FracNo 151 StartRow 5546">
          <a:extLst xmlns:a="http://schemas.openxmlformats.org/drawingml/2006/main">
            <a:ext uri="{FF2B5EF4-FFF2-40B4-BE49-F238E27FC236}">
              <a16:creationId xmlns:a16="http://schemas.microsoft.com/office/drawing/2014/main" id="{10402A84-E114-62C9-8499-91511743B40A}"/>
            </a:ext>
          </a:extLst>
        </cdr:cNvPr>
        <cdr:cNvSpPr/>
      </cdr:nvSpPr>
      <cdr:spPr>
        <a:xfrm xmlns:a="http://schemas.openxmlformats.org/drawingml/2006/main">
          <a:off x="2247087" y="3806351"/>
          <a:ext cx="80962" cy="462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962" h="46238">
              <a:moveTo>
                <a:pt x="74126" y="39168"/>
              </a:moveTo>
              <a:lnTo>
                <a:pt x="36259" y="0"/>
              </a:lnTo>
              <a:lnTo>
                <a:pt x="0" y="0"/>
              </a:lnTo>
              <a:lnTo>
                <a:pt x="37868" y="39168"/>
              </a:lnTo>
              <a:lnTo>
                <a:pt x="44702" y="46237"/>
              </a:lnTo>
              <a:lnTo>
                <a:pt x="80961" y="462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0.52617</cdr:x>
      <cdr:y>0.71962</cdr:y>
    </cdr:from>
    <cdr:to>
      <cdr:x>0.53472</cdr:x>
      <cdr:y>0.72811</cdr:y>
    </cdr:to>
    <cdr:sp macro="" textlink="">
      <cdr:nvSpPr>
        <cdr:cNvPr id="547" name="FracNo 715 StartRow 5555">
          <a:extLst xmlns:a="http://schemas.openxmlformats.org/drawingml/2006/main">
            <a:ext uri="{FF2B5EF4-FFF2-40B4-BE49-F238E27FC236}">
              <a16:creationId xmlns:a16="http://schemas.microsoft.com/office/drawing/2014/main" id="{D22AB53C-FEED-35AC-3CF4-6EABFA071688}"/>
            </a:ext>
          </a:extLst>
        </cdr:cNvPr>
        <cdr:cNvSpPr/>
      </cdr:nvSpPr>
      <cdr:spPr>
        <a:xfrm xmlns:a="http://schemas.openxmlformats.org/drawingml/2006/main">
          <a:off x="3849012" y="5483471"/>
          <a:ext cx="62600" cy="64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00" h="64750">
              <a:moveTo>
                <a:pt x="19048" y="57206"/>
              </a:moveTo>
              <a:lnTo>
                <a:pt x="0" y="37504"/>
              </a:lnTo>
              <a:lnTo>
                <a:pt x="0" y="0"/>
              </a:lnTo>
              <a:lnTo>
                <a:pt x="45269" y="46823"/>
              </a:lnTo>
              <a:lnTo>
                <a:pt x="62599" y="64749"/>
              </a:lnTo>
              <a:lnTo>
                <a:pt x="26341" y="647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0.5579</cdr:x>
      <cdr:y>0.6881</cdr:y>
    </cdr:from>
    <cdr:to>
      <cdr:x>0.56646</cdr:x>
      <cdr:y>0.6966</cdr:y>
    </cdr:to>
    <cdr:sp macro="" textlink="">
      <cdr:nvSpPr>
        <cdr:cNvPr id="548" name="FracNo 973 StartRow 5564">
          <a:extLst xmlns:a="http://schemas.openxmlformats.org/drawingml/2006/main">
            <a:ext uri="{FF2B5EF4-FFF2-40B4-BE49-F238E27FC236}">
              <a16:creationId xmlns:a16="http://schemas.microsoft.com/office/drawing/2014/main" id="{90F5FFF8-244C-45B3-CDBA-A9CFE43EAED6}"/>
            </a:ext>
          </a:extLst>
        </cdr:cNvPr>
        <cdr:cNvSpPr/>
      </cdr:nvSpPr>
      <cdr:spPr>
        <a:xfrm xmlns:a="http://schemas.openxmlformats.org/drawingml/2006/main">
          <a:off x="4081154" y="5243357"/>
          <a:ext cx="62600" cy="64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00" h="64749">
              <a:moveTo>
                <a:pt x="20201" y="58398"/>
              </a:moveTo>
              <a:lnTo>
                <a:pt x="0" y="37503"/>
              </a:lnTo>
              <a:lnTo>
                <a:pt x="0" y="0"/>
              </a:lnTo>
              <a:lnTo>
                <a:pt x="48007" y="49655"/>
              </a:lnTo>
              <a:lnTo>
                <a:pt x="62599" y="64748"/>
              </a:lnTo>
              <a:lnTo>
                <a:pt x="26341" y="647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0.79782</cdr:x>
      <cdr:y>0.17824</cdr:y>
    </cdr:from>
    <cdr:to>
      <cdr:x>0.80635</cdr:x>
      <cdr:y>0.18671</cdr:y>
    </cdr:to>
    <cdr:sp macro="" textlink="">
      <cdr:nvSpPr>
        <cdr:cNvPr id="549" name="FracNo 897 StartRow 5573">
          <a:extLst xmlns:a="http://schemas.openxmlformats.org/drawingml/2006/main">
            <a:ext uri="{FF2B5EF4-FFF2-40B4-BE49-F238E27FC236}">
              <a16:creationId xmlns:a16="http://schemas.microsoft.com/office/drawing/2014/main" id="{68DDF0BA-E978-E5D0-47B1-5D54D4E38419}"/>
            </a:ext>
          </a:extLst>
        </cdr:cNvPr>
        <cdr:cNvSpPr/>
      </cdr:nvSpPr>
      <cdr:spPr>
        <a:xfrm xmlns:a="http://schemas.openxmlformats.org/drawingml/2006/main">
          <a:off x="5836186" y="1358161"/>
          <a:ext cx="62455" cy="645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455" h="64598">
              <a:moveTo>
                <a:pt x="1446" y="38999"/>
              </a:moveTo>
              <a:lnTo>
                <a:pt x="0" y="37503"/>
              </a:lnTo>
              <a:lnTo>
                <a:pt x="0" y="0"/>
              </a:lnTo>
              <a:lnTo>
                <a:pt x="3448" y="3565"/>
              </a:lnTo>
              <a:lnTo>
                <a:pt x="62454" y="64597"/>
              </a:lnTo>
              <a:lnTo>
                <a:pt x="26195" y="645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0.79002</cdr:x>
      <cdr:y>0.18598</cdr:y>
    </cdr:from>
    <cdr:to>
      <cdr:x>0.79855</cdr:x>
      <cdr:y>0.19446</cdr:y>
    </cdr:to>
    <cdr:sp macro="" textlink="">
      <cdr:nvSpPr>
        <cdr:cNvPr id="550" name="FracNo 1057 StartRow 5582">
          <a:extLst xmlns:a="http://schemas.openxmlformats.org/drawingml/2006/main">
            <a:ext uri="{FF2B5EF4-FFF2-40B4-BE49-F238E27FC236}">
              <a16:creationId xmlns:a16="http://schemas.microsoft.com/office/drawing/2014/main" id="{D53E5F44-085D-DD25-A750-3085A330AD3E}"/>
            </a:ext>
          </a:extLst>
        </cdr:cNvPr>
        <cdr:cNvSpPr/>
      </cdr:nvSpPr>
      <cdr:spPr>
        <a:xfrm xmlns:a="http://schemas.openxmlformats.org/drawingml/2006/main">
          <a:off x="5779124" y="1417182"/>
          <a:ext cx="62455" cy="645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455" h="64599">
              <a:moveTo>
                <a:pt x="36268" y="10"/>
              </a:moveTo>
              <a:lnTo>
                <a:pt x="36259" y="0"/>
              </a:lnTo>
              <a:lnTo>
                <a:pt x="0" y="0"/>
              </a:lnTo>
              <a:lnTo>
                <a:pt x="23" y="24"/>
              </a:lnTo>
              <a:lnTo>
                <a:pt x="62454" y="64598"/>
              </a:lnTo>
              <a:lnTo>
                <a:pt x="62454" y="270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0.68116</cdr:x>
      <cdr:y>0.29407</cdr:y>
    </cdr:from>
    <cdr:to>
      <cdr:x>0.6897</cdr:x>
      <cdr:y>0.30255</cdr:y>
    </cdr:to>
    <cdr:sp macro="" textlink="">
      <cdr:nvSpPr>
        <cdr:cNvPr id="551" name="FracNo 1075 StartRow 5591">
          <a:extLst xmlns:a="http://schemas.openxmlformats.org/drawingml/2006/main">
            <a:ext uri="{FF2B5EF4-FFF2-40B4-BE49-F238E27FC236}">
              <a16:creationId xmlns:a16="http://schemas.microsoft.com/office/drawing/2014/main" id="{FBFB94A0-AEBF-27FF-1349-E811A5ADD6EA}"/>
            </a:ext>
          </a:extLst>
        </cdr:cNvPr>
        <cdr:cNvSpPr/>
      </cdr:nvSpPr>
      <cdr:spPr>
        <a:xfrm xmlns:a="http://schemas.openxmlformats.org/drawingml/2006/main">
          <a:off x="4982835" y="2240818"/>
          <a:ext cx="62454" cy="645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454" h="64599">
              <a:moveTo>
                <a:pt x="60374" y="24944"/>
              </a:moveTo>
              <a:lnTo>
                <a:pt x="36258" y="0"/>
              </a:lnTo>
              <a:lnTo>
                <a:pt x="0" y="0"/>
              </a:lnTo>
              <a:lnTo>
                <a:pt x="57496" y="59471"/>
              </a:lnTo>
              <a:lnTo>
                <a:pt x="62453" y="64598"/>
              </a:lnTo>
              <a:lnTo>
                <a:pt x="62453" y="270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0.34246</cdr:x>
      <cdr:y>0.76327</cdr:y>
    </cdr:from>
    <cdr:to>
      <cdr:x>0.35347</cdr:x>
      <cdr:y>0.76929</cdr:y>
    </cdr:to>
    <cdr:sp macro="" textlink="">
      <cdr:nvSpPr>
        <cdr:cNvPr id="552" name="FracNo 76 StartRow 5600">
          <a:extLst xmlns:a="http://schemas.openxmlformats.org/drawingml/2006/main">
            <a:ext uri="{FF2B5EF4-FFF2-40B4-BE49-F238E27FC236}">
              <a16:creationId xmlns:a16="http://schemas.microsoft.com/office/drawing/2014/main" id="{02E75A16-959A-076A-FEA8-4D62710C98C5}"/>
            </a:ext>
          </a:extLst>
        </cdr:cNvPr>
        <cdr:cNvSpPr/>
      </cdr:nvSpPr>
      <cdr:spPr>
        <a:xfrm xmlns:a="http://schemas.openxmlformats.org/drawingml/2006/main">
          <a:off x="2505172" y="5816152"/>
          <a:ext cx="80560" cy="458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560" h="45823">
              <a:moveTo>
                <a:pt x="38090" y="39398"/>
              </a:moveTo>
              <a:lnTo>
                <a:pt x="0" y="0"/>
              </a:lnTo>
              <a:lnTo>
                <a:pt x="36259" y="0"/>
              </a:lnTo>
              <a:lnTo>
                <a:pt x="74348" y="39398"/>
              </a:lnTo>
              <a:lnTo>
                <a:pt x="80559" y="45822"/>
              </a:lnTo>
              <a:lnTo>
                <a:pt x="44300" y="458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0.52278</cdr:x>
      <cdr:y>0.80317</cdr:y>
    </cdr:from>
    <cdr:to>
      <cdr:x>0.53131</cdr:x>
      <cdr:y>0.81163</cdr:y>
    </cdr:to>
    <cdr:sp macro="" textlink="">
      <cdr:nvSpPr>
        <cdr:cNvPr id="553" name="FracNo 1046 StartRow 5609">
          <a:extLst xmlns:a="http://schemas.openxmlformats.org/drawingml/2006/main">
            <a:ext uri="{FF2B5EF4-FFF2-40B4-BE49-F238E27FC236}">
              <a16:creationId xmlns:a16="http://schemas.microsoft.com/office/drawing/2014/main" id="{D7B2A9DB-ED3F-A32B-AE55-DB5B518AEEEB}"/>
            </a:ext>
          </a:extLst>
        </cdr:cNvPr>
        <cdr:cNvSpPr/>
      </cdr:nvSpPr>
      <cdr:spPr>
        <a:xfrm xmlns:a="http://schemas.openxmlformats.org/drawingml/2006/main">
          <a:off x="3824235" y="6120130"/>
          <a:ext cx="62378" cy="64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378" h="64520">
              <a:moveTo>
                <a:pt x="13051" y="51003"/>
              </a:moveTo>
              <a:lnTo>
                <a:pt x="0" y="37504"/>
              </a:lnTo>
              <a:lnTo>
                <a:pt x="0" y="0"/>
              </a:lnTo>
              <a:lnTo>
                <a:pt x="31169" y="32239"/>
              </a:lnTo>
              <a:lnTo>
                <a:pt x="62377" y="64519"/>
              </a:lnTo>
              <a:lnTo>
                <a:pt x="26118" y="645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0.90326</cdr:x>
      <cdr:y>0.50689</cdr:y>
    </cdr:from>
    <cdr:to>
      <cdr:x>0.91178</cdr:x>
      <cdr:y>0.51535</cdr:y>
    </cdr:to>
    <cdr:sp macro="" textlink="">
      <cdr:nvSpPr>
        <cdr:cNvPr id="554" name="FracNo 951 StartRow 5618">
          <a:extLst xmlns:a="http://schemas.openxmlformats.org/drawingml/2006/main">
            <a:ext uri="{FF2B5EF4-FFF2-40B4-BE49-F238E27FC236}">
              <a16:creationId xmlns:a16="http://schemas.microsoft.com/office/drawing/2014/main" id="{371A5686-BF99-4DC2-C857-9D444E9A80B4}"/>
            </a:ext>
          </a:extLst>
        </cdr:cNvPr>
        <cdr:cNvSpPr/>
      </cdr:nvSpPr>
      <cdr:spPr>
        <a:xfrm xmlns:a="http://schemas.openxmlformats.org/drawingml/2006/main">
          <a:off x="6607509" y="3862477"/>
          <a:ext cx="62355" cy="644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355" h="64495">
              <a:moveTo>
                <a:pt x="43260" y="7241"/>
              </a:moveTo>
              <a:lnTo>
                <a:pt x="36259" y="0"/>
              </a:lnTo>
              <a:lnTo>
                <a:pt x="0" y="0"/>
              </a:lnTo>
              <a:lnTo>
                <a:pt x="16729" y="17303"/>
              </a:lnTo>
              <a:lnTo>
                <a:pt x="62354" y="64494"/>
              </a:lnTo>
              <a:lnTo>
                <a:pt x="62354" y="269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0.66045</cdr:x>
      <cdr:y>0.83991</cdr:y>
    </cdr:from>
    <cdr:to>
      <cdr:x>0.66897</cdr:x>
      <cdr:y>0.84837</cdr:y>
    </cdr:to>
    <cdr:sp macro="" textlink="">
      <cdr:nvSpPr>
        <cdr:cNvPr id="555" name="FracNo 1121 StartRow 5627">
          <a:extLst xmlns:a="http://schemas.openxmlformats.org/drawingml/2006/main">
            <a:ext uri="{FF2B5EF4-FFF2-40B4-BE49-F238E27FC236}">
              <a16:creationId xmlns:a16="http://schemas.microsoft.com/office/drawing/2014/main" id="{633CBB85-ED5B-E3C7-7F57-B54C78BD1127}"/>
            </a:ext>
          </a:extLst>
        </cdr:cNvPr>
        <cdr:cNvSpPr/>
      </cdr:nvSpPr>
      <cdr:spPr>
        <a:xfrm xmlns:a="http://schemas.openxmlformats.org/drawingml/2006/main">
          <a:off x="4831341" y="6400103"/>
          <a:ext cx="62326" cy="64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326" h="64466">
              <a:moveTo>
                <a:pt x="44110" y="45625"/>
              </a:moveTo>
              <a:lnTo>
                <a:pt x="0" y="0"/>
              </a:lnTo>
              <a:lnTo>
                <a:pt x="0" y="37504"/>
              </a:lnTo>
              <a:lnTo>
                <a:pt x="18448" y="56586"/>
              </a:lnTo>
              <a:lnTo>
                <a:pt x="26066" y="64465"/>
              </a:lnTo>
              <a:lnTo>
                <a:pt x="62325" y="644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0.26191</cdr:x>
      <cdr:y>0.35654</cdr:y>
    </cdr:from>
    <cdr:to>
      <cdr:x>0.2679</cdr:x>
      <cdr:y>0.36741</cdr:y>
    </cdr:to>
    <cdr:sp macro="" textlink="">
      <cdr:nvSpPr>
        <cdr:cNvPr id="556" name="FracNo 230 StartRow 5636">
          <a:extLst xmlns:a="http://schemas.openxmlformats.org/drawingml/2006/main">
            <a:ext uri="{FF2B5EF4-FFF2-40B4-BE49-F238E27FC236}">
              <a16:creationId xmlns:a16="http://schemas.microsoft.com/office/drawing/2014/main" id="{195320DD-ED9B-D9A0-B0F7-7BDA07874DB5}"/>
            </a:ext>
          </a:extLst>
        </cdr:cNvPr>
        <cdr:cNvSpPr/>
      </cdr:nvSpPr>
      <cdr:spPr>
        <a:xfrm xmlns:a="http://schemas.openxmlformats.org/drawingml/2006/main">
          <a:off x="1915937" y="2716846"/>
          <a:ext cx="43790" cy="827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790" h="82798">
              <a:moveTo>
                <a:pt x="16138" y="16692"/>
              </a:moveTo>
              <a:lnTo>
                <a:pt x="0" y="0"/>
              </a:lnTo>
              <a:lnTo>
                <a:pt x="0" y="37504"/>
              </a:lnTo>
              <a:lnTo>
                <a:pt x="16138" y="54196"/>
              </a:lnTo>
              <a:lnTo>
                <a:pt x="43789" y="82797"/>
              </a:lnTo>
              <a:lnTo>
                <a:pt x="43789" y="452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0.23221</cdr:x>
      <cdr:y>0.23115</cdr:y>
    </cdr:from>
    <cdr:to>
      <cdr:x>0.24063</cdr:x>
      <cdr:y>0.23951</cdr:y>
    </cdr:to>
    <cdr:sp macro="" textlink="">
      <cdr:nvSpPr>
        <cdr:cNvPr id="557" name="FracNo 232 StartRow 5645">
          <a:extLst xmlns:a="http://schemas.openxmlformats.org/drawingml/2006/main">
            <a:ext uri="{FF2B5EF4-FFF2-40B4-BE49-F238E27FC236}">
              <a16:creationId xmlns:a16="http://schemas.microsoft.com/office/drawing/2014/main" id="{384AF4C5-27AF-847D-F064-7A4E6C9C2C3D}"/>
            </a:ext>
          </a:extLst>
        </cdr:cNvPr>
        <cdr:cNvSpPr/>
      </cdr:nvSpPr>
      <cdr:spPr>
        <a:xfrm xmlns:a="http://schemas.openxmlformats.org/drawingml/2006/main">
          <a:off x="1698680" y="1761379"/>
          <a:ext cx="61570" cy="636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570" h="63685">
              <a:moveTo>
                <a:pt x="33279" y="34422"/>
              </a:moveTo>
              <a:lnTo>
                <a:pt x="0" y="0"/>
              </a:lnTo>
              <a:lnTo>
                <a:pt x="0" y="37504"/>
              </a:lnTo>
              <a:lnTo>
                <a:pt x="13681" y="51655"/>
              </a:lnTo>
              <a:lnTo>
                <a:pt x="25310" y="63684"/>
              </a:lnTo>
              <a:lnTo>
                <a:pt x="61569" y="636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0.91667</cdr:x>
      <cdr:y>0.79152</cdr:y>
    </cdr:from>
    <cdr:to>
      <cdr:x>0.92257</cdr:x>
      <cdr:y>0.8023</cdr:y>
    </cdr:to>
    <cdr:sp macro="" textlink="">
      <cdr:nvSpPr>
        <cdr:cNvPr id="558" name="FracNo 910 StartRow 5654">
          <a:extLst xmlns:a="http://schemas.openxmlformats.org/drawingml/2006/main">
            <a:ext uri="{FF2B5EF4-FFF2-40B4-BE49-F238E27FC236}">
              <a16:creationId xmlns:a16="http://schemas.microsoft.com/office/drawing/2014/main" id="{081ED664-A23B-0A5B-357C-E60B9E1C56FE}"/>
            </a:ext>
          </a:extLst>
        </cdr:cNvPr>
        <cdr:cNvSpPr/>
      </cdr:nvSpPr>
      <cdr:spPr>
        <a:xfrm xmlns:a="http://schemas.openxmlformats.org/drawingml/2006/main">
          <a:off x="6705629" y="6031387"/>
          <a:ext cx="43179" cy="821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79" h="82165">
              <a:moveTo>
                <a:pt x="4706" y="4868"/>
              </a:moveTo>
              <a:lnTo>
                <a:pt x="0" y="0"/>
              </a:lnTo>
              <a:lnTo>
                <a:pt x="0" y="37504"/>
              </a:lnTo>
              <a:lnTo>
                <a:pt x="4706" y="42372"/>
              </a:lnTo>
              <a:lnTo>
                <a:pt x="43178" y="82164"/>
              </a:lnTo>
              <a:lnTo>
                <a:pt x="43178" y="446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0.86856</cdr:x>
      <cdr:y>0.34999</cdr:y>
    </cdr:from>
    <cdr:to>
      <cdr:x>0.87446</cdr:x>
      <cdr:y>0.36077</cdr:y>
    </cdr:to>
    <cdr:sp macro="" textlink="">
      <cdr:nvSpPr>
        <cdr:cNvPr id="559" name="FracNo 995 StartRow 5663">
          <a:extLst xmlns:a="http://schemas.openxmlformats.org/drawingml/2006/main">
            <a:ext uri="{FF2B5EF4-FFF2-40B4-BE49-F238E27FC236}">
              <a16:creationId xmlns:a16="http://schemas.microsoft.com/office/drawing/2014/main" id="{E2F5A4F2-8134-5151-A090-5EFBE1E905D6}"/>
            </a:ext>
          </a:extLst>
        </cdr:cNvPr>
        <cdr:cNvSpPr/>
      </cdr:nvSpPr>
      <cdr:spPr>
        <a:xfrm xmlns:a="http://schemas.openxmlformats.org/drawingml/2006/main">
          <a:off x="6353703" y="2666929"/>
          <a:ext cx="43163" cy="821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63" h="82149">
              <a:moveTo>
                <a:pt x="8830" y="46637"/>
              </a:moveTo>
              <a:lnTo>
                <a:pt x="0" y="37504"/>
              </a:lnTo>
              <a:lnTo>
                <a:pt x="0" y="0"/>
              </a:lnTo>
              <a:lnTo>
                <a:pt x="8830" y="9134"/>
              </a:lnTo>
              <a:lnTo>
                <a:pt x="43162" y="44644"/>
              </a:lnTo>
              <a:lnTo>
                <a:pt x="43162" y="821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0.87943</cdr:x>
      <cdr:y>0.3392</cdr:y>
    </cdr:from>
    <cdr:to>
      <cdr:x>0.88533</cdr:x>
      <cdr:y>0.34998</cdr:y>
    </cdr:to>
    <cdr:sp macro="" textlink="">
      <cdr:nvSpPr>
        <cdr:cNvPr id="560" name="FracNo 310 StartRow 5672">
          <a:extLst xmlns:a="http://schemas.openxmlformats.org/drawingml/2006/main">
            <a:ext uri="{FF2B5EF4-FFF2-40B4-BE49-F238E27FC236}">
              <a16:creationId xmlns:a16="http://schemas.microsoft.com/office/drawing/2014/main" id="{8DD6C9D3-6A58-2B82-4634-CD2603D27416}"/>
            </a:ext>
          </a:extLst>
        </cdr:cNvPr>
        <cdr:cNvSpPr/>
      </cdr:nvSpPr>
      <cdr:spPr>
        <a:xfrm xmlns:a="http://schemas.openxmlformats.org/drawingml/2006/main">
          <a:off x="6433172" y="2584731"/>
          <a:ext cx="43163" cy="821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63" h="82148">
              <a:moveTo>
                <a:pt x="18318" y="56450"/>
              </a:moveTo>
              <a:lnTo>
                <a:pt x="0" y="37504"/>
              </a:lnTo>
              <a:lnTo>
                <a:pt x="0" y="0"/>
              </a:lnTo>
              <a:lnTo>
                <a:pt x="18318" y="18947"/>
              </a:lnTo>
              <a:lnTo>
                <a:pt x="43162" y="44643"/>
              </a:lnTo>
              <a:lnTo>
                <a:pt x="43162" y="821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0.77965</cdr:x>
      <cdr:y>0.14843</cdr:y>
    </cdr:from>
    <cdr:to>
      <cdr:x>0.79047</cdr:x>
      <cdr:y>0.15426</cdr:y>
    </cdr:to>
    <cdr:sp macro="" textlink="">
      <cdr:nvSpPr>
        <cdr:cNvPr id="561" name="FracNo 936 StartRow 5681">
          <a:extLst xmlns:a="http://schemas.openxmlformats.org/drawingml/2006/main">
            <a:ext uri="{FF2B5EF4-FFF2-40B4-BE49-F238E27FC236}">
              <a16:creationId xmlns:a16="http://schemas.microsoft.com/office/drawing/2014/main" id="{EBCA7C6F-68B8-B284-AA6A-5B902D55D111}"/>
            </a:ext>
          </a:extLst>
        </cdr:cNvPr>
        <cdr:cNvSpPr/>
      </cdr:nvSpPr>
      <cdr:spPr>
        <a:xfrm xmlns:a="http://schemas.openxmlformats.org/drawingml/2006/main">
          <a:off x="5703307" y="1131056"/>
          <a:ext cx="79175" cy="443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175" h="44390">
              <a:moveTo>
                <a:pt x="1736" y="1795"/>
              </a:moveTo>
              <a:lnTo>
                <a:pt x="0" y="0"/>
              </a:lnTo>
              <a:lnTo>
                <a:pt x="36259" y="0"/>
              </a:lnTo>
              <a:lnTo>
                <a:pt x="37994" y="1795"/>
              </a:lnTo>
              <a:lnTo>
                <a:pt x="79174" y="44389"/>
              </a:lnTo>
              <a:lnTo>
                <a:pt x="42915" y="443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0.77345</cdr:x>
      <cdr:y>0.15459</cdr:y>
    </cdr:from>
    <cdr:to>
      <cdr:x>0.77931</cdr:x>
      <cdr:y>0.16534</cdr:y>
    </cdr:to>
    <cdr:sp macro="" textlink="">
      <cdr:nvSpPr>
        <cdr:cNvPr id="562" name="FracNo 301 StartRow 5690">
          <a:extLst xmlns:a="http://schemas.openxmlformats.org/drawingml/2006/main">
            <a:ext uri="{FF2B5EF4-FFF2-40B4-BE49-F238E27FC236}">
              <a16:creationId xmlns:a16="http://schemas.microsoft.com/office/drawing/2014/main" id="{AC40209A-102D-3EB6-4250-01213E566E0E}"/>
            </a:ext>
          </a:extLst>
        </cdr:cNvPr>
        <cdr:cNvSpPr/>
      </cdr:nvSpPr>
      <cdr:spPr>
        <a:xfrm xmlns:a="http://schemas.openxmlformats.org/drawingml/2006/main">
          <a:off x="5657916" y="1178006"/>
          <a:ext cx="42916" cy="818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16" h="81893">
              <a:moveTo>
                <a:pt x="42396" y="43851"/>
              </a:moveTo>
              <a:lnTo>
                <a:pt x="0" y="0"/>
              </a:lnTo>
              <a:lnTo>
                <a:pt x="0" y="37504"/>
              </a:lnTo>
              <a:lnTo>
                <a:pt x="42396" y="81356"/>
              </a:lnTo>
              <a:lnTo>
                <a:pt x="42915" y="81892"/>
              </a:lnTo>
              <a:lnTo>
                <a:pt x="42915" y="443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0.7137</cdr:x>
      <cdr:y>0.60479</cdr:y>
    </cdr:from>
    <cdr:to>
      <cdr:x>0.72198</cdr:x>
      <cdr:y>0.61301</cdr:y>
    </cdr:to>
    <cdr:sp macro="" textlink="">
      <cdr:nvSpPr>
        <cdr:cNvPr id="563" name="FracNo 992 StartRow 5699">
          <a:extLst xmlns:a="http://schemas.openxmlformats.org/drawingml/2006/main">
            <a:ext uri="{FF2B5EF4-FFF2-40B4-BE49-F238E27FC236}">
              <a16:creationId xmlns:a16="http://schemas.microsoft.com/office/drawing/2014/main" id="{3679DDE3-D65A-C58B-BD3D-95D7784D7F4A}"/>
            </a:ext>
          </a:extLst>
        </cdr:cNvPr>
        <cdr:cNvSpPr/>
      </cdr:nvSpPr>
      <cdr:spPr>
        <a:xfrm xmlns:a="http://schemas.openxmlformats.org/drawingml/2006/main">
          <a:off x="5220852" y="4608469"/>
          <a:ext cx="60592" cy="626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92" h="62674">
              <a:moveTo>
                <a:pt x="39545" y="3399"/>
              </a:moveTo>
              <a:lnTo>
                <a:pt x="36259" y="0"/>
              </a:lnTo>
              <a:lnTo>
                <a:pt x="0" y="0"/>
              </a:lnTo>
              <a:lnTo>
                <a:pt x="8183" y="8464"/>
              </a:lnTo>
              <a:lnTo>
                <a:pt x="60591" y="62673"/>
              </a:lnTo>
              <a:lnTo>
                <a:pt x="60591" y="251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0.16059</cdr:x>
      <cdr:y>0.78061</cdr:y>
    </cdr:from>
    <cdr:to>
      <cdr:x>0.17135</cdr:x>
      <cdr:y>0.78637</cdr:y>
    </cdr:to>
    <cdr:sp macro="" textlink="">
      <cdr:nvSpPr>
        <cdr:cNvPr id="564" name="FracNo 988 StartRow 5708">
          <a:extLst xmlns:a="http://schemas.openxmlformats.org/drawingml/2006/main">
            <a:ext uri="{FF2B5EF4-FFF2-40B4-BE49-F238E27FC236}">
              <a16:creationId xmlns:a16="http://schemas.microsoft.com/office/drawing/2014/main" id="{396E5DCD-BBCD-B443-70B8-6CA6990ABC27}"/>
            </a:ext>
          </a:extLst>
        </cdr:cNvPr>
        <cdr:cNvSpPr/>
      </cdr:nvSpPr>
      <cdr:spPr>
        <a:xfrm xmlns:a="http://schemas.openxmlformats.org/drawingml/2006/main">
          <a:off x="1174772" y="5948250"/>
          <a:ext cx="78655" cy="438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655" h="43852">
              <a:moveTo>
                <a:pt x="45682" y="9747"/>
              </a:moveTo>
              <a:lnTo>
                <a:pt x="36259" y="0"/>
              </a:lnTo>
              <a:lnTo>
                <a:pt x="0" y="0"/>
              </a:lnTo>
              <a:lnTo>
                <a:pt x="9424" y="9747"/>
              </a:lnTo>
              <a:lnTo>
                <a:pt x="42395" y="43851"/>
              </a:lnTo>
              <a:lnTo>
                <a:pt x="78654" y="438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0.09743</cdr:x>
      <cdr:y>0.84333</cdr:y>
    </cdr:from>
    <cdr:to>
      <cdr:x>0.10323</cdr:x>
      <cdr:y>0.854</cdr:y>
    </cdr:to>
    <cdr:sp macro="" textlink="">
      <cdr:nvSpPr>
        <cdr:cNvPr id="565" name="FracNo 1074 StartRow 5717">
          <a:extLst xmlns:a="http://schemas.openxmlformats.org/drawingml/2006/main">
            <a:ext uri="{FF2B5EF4-FFF2-40B4-BE49-F238E27FC236}">
              <a16:creationId xmlns:a16="http://schemas.microsoft.com/office/drawing/2014/main" id="{17329DAC-A6B8-DF58-5AC1-C62F0F962F07}"/>
            </a:ext>
          </a:extLst>
        </cdr:cNvPr>
        <cdr:cNvSpPr/>
      </cdr:nvSpPr>
      <cdr:spPr>
        <a:xfrm xmlns:a="http://schemas.openxmlformats.org/drawingml/2006/main">
          <a:off x="712731" y="6426159"/>
          <a:ext cx="42396" cy="813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396" h="81356">
              <a:moveTo>
                <a:pt x="13238" y="51196"/>
              </a:moveTo>
              <a:lnTo>
                <a:pt x="0" y="37503"/>
              </a:lnTo>
              <a:lnTo>
                <a:pt x="0" y="0"/>
              </a:lnTo>
              <a:lnTo>
                <a:pt x="13238" y="13692"/>
              </a:lnTo>
              <a:lnTo>
                <a:pt x="42395" y="43851"/>
              </a:lnTo>
              <a:lnTo>
                <a:pt x="42395" y="813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0.45385</cdr:x>
      <cdr:y>0.91577</cdr:y>
    </cdr:from>
    <cdr:to>
      <cdr:x>0.46209</cdr:x>
      <cdr:y>0.92395</cdr:y>
    </cdr:to>
    <cdr:sp macro="" textlink="">
      <cdr:nvSpPr>
        <cdr:cNvPr id="566" name="FracNo 703 StartRow 5726">
          <a:extLst xmlns:a="http://schemas.openxmlformats.org/drawingml/2006/main">
            <a:ext uri="{FF2B5EF4-FFF2-40B4-BE49-F238E27FC236}">
              <a16:creationId xmlns:a16="http://schemas.microsoft.com/office/drawing/2014/main" id="{214B5372-EDE6-CB0C-F7C5-04B18D436F42}"/>
            </a:ext>
          </a:extLst>
        </cdr:cNvPr>
        <cdr:cNvSpPr/>
      </cdr:nvSpPr>
      <cdr:spPr>
        <a:xfrm xmlns:a="http://schemas.openxmlformats.org/drawingml/2006/main">
          <a:off x="3320002" y="6978171"/>
          <a:ext cx="60272" cy="623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272" h="62341">
              <a:moveTo>
                <a:pt x="16087" y="16639"/>
              </a:moveTo>
              <a:lnTo>
                <a:pt x="0" y="0"/>
              </a:lnTo>
              <a:lnTo>
                <a:pt x="36259" y="0"/>
              </a:lnTo>
              <a:lnTo>
                <a:pt x="42668" y="6629"/>
              </a:lnTo>
              <a:lnTo>
                <a:pt x="60271" y="24836"/>
              </a:lnTo>
              <a:lnTo>
                <a:pt x="60271" y="623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0.93548</cdr:x>
      <cdr:y>0.37587</cdr:y>
    </cdr:from>
    <cdr:to>
      <cdr:x>0.94246</cdr:x>
      <cdr:y>0.38527</cdr:y>
    </cdr:to>
    <cdr:sp macro="" textlink="">
      <cdr:nvSpPr>
        <cdr:cNvPr id="567" name="FracNo 734 StartRow 5735">
          <a:extLst xmlns:a="http://schemas.openxmlformats.org/drawingml/2006/main">
            <a:ext uri="{FF2B5EF4-FFF2-40B4-BE49-F238E27FC236}">
              <a16:creationId xmlns:a16="http://schemas.microsoft.com/office/drawing/2014/main" id="{0CB1D53A-55F4-A013-4994-A413F46ECAC2}"/>
            </a:ext>
          </a:extLst>
        </cdr:cNvPr>
        <cdr:cNvSpPr/>
      </cdr:nvSpPr>
      <cdr:spPr>
        <a:xfrm xmlns:a="http://schemas.openxmlformats.org/drawingml/2006/main">
          <a:off x="6843188" y="2864105"/>
          <a:ext cx="51120" cy="71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20" h="71629">
              <a:moveTo>
                <a:pt x="18129" y="71628"/>
              </a:moveTo>
              <a:lnTo>
                <a:pt x="0" y="52876"/>
              </a:lnTo>
              <a:lnTo>
                <a:pt x="51119" y="0"/>
              </a:lnTo>
              <a:lnTo>
                <a:pt x="5111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0.12254</cdr:x>
      <cdr:y>0.35184</cdr:y>
    </cdr:from>
    <cdr:to>
      <cdr:x>0.12828</cdr:x>
      <cdr:y>0.36246</cdr:y>
    </cdr:to>
    <cdr:sp macro="" textlink="">
      <cdr:nvSpPr>
        <cdr:cNvPr id="568" name="FracNo 890 StartRow 5742">
          <a:extLst xmlns:a="http://schemas.openxmlformats.org/drawingml/2006/main">
            <a:ext uri="{FF2B5EF4-FFF2-40B4-BE49-F238E27FC236}">
              <a16:creationId xmlns:a16="http://schemas.microsoft.com/office/drawing/2014/main" id="{D5FC4C03-A522-5FFF-5469-2FF0963A8D37}"/>
            </a:ext>
          </a:extLst>
        </cdr:cNvPr>
        <cdr:cNvSpPr/>
      </cdr:nvSpPr>
      <cdr:spPr>
        <a:xfrm xmlns:a="http://schemas.openxmlformats.org/drawingml/2006/main">
          <a:off x="896431" y="2681042"/>
          <a:ext cx="41945" cy="808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45" h="80890">
              <a:moveTo>
                <a:pt x="4748" y="42415"/>
              </a:moveTo>
              <a:lnTo>
                <a:pt x="0" y="37504"/>
              </a:lnTo>
              <a:lnTo>
                <a:pt x="0" y="0"/>
              </a:lnTo>
              <a:lnTo>
                <a:pt x="4748" y="4911"/>
              </a:lnTo>
              <a:lnTo>
                <a:pt x="41944" y="43385"/>
              </a:lnTo>
              <a:lnTo>
                <a:pt x="41944" y="808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0.20375</cdr:x>
      <cdr:y>0.27121</cdr:y>
    </cdr:from>
    <cdr:to>
      <cdr:x>0.20948</cdr:x>
      <cdr:y>0.28182</cdr:y>
    </cdr:to>
    <cdr:sp macro="" textlink="">
      <cdr:nvSpPr>
        <cdr:cNvPr id="569" name="FracNo 226 StartRow 5751">
          <a:extLst xmlns:a="http://schemas.openxmlformats.org/drawingml/2006/main">
            <a:ext uri="{FF2B5EF4-FFF2-40B4-BE49-F238E27FC236}">
              <a16:creationId xmlns:a16="http://schemas.microsoft.com/office/drawing/2014/main" id="{7750F324-0D7B-9D2F-7586-FAFD498D4040}"/>
            </a:ext>
          </a:extLst>
        </cdr:cNvPr>
        <cdr:cNvSpPr/>
      </cdr:nvSpPr>
      <cdr:spPr>
        <a:xfrm xmlns:a="http://schemas.openxmlformats.org/drawingml/2006/main">
          <a:off x="1490459" y="2066614"/>
          <a:ext cx="41946" cy="808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46" h="80889">
              <a:moveTo>
                <a:pt x="1506" y="39061"/>
              </a:moveTo>
              <a:lnTo>
                <a:pt x="0" y="37503"/>
              </a:lnTo>
              <a:lnTo>
                <a:pt x="0" y="0"/>
              </a:lnTo>
              <a:lnTo>
                <a:pt x="1506" y="1558"/>
              </a:lnTo>
              <a:lnTo>
                <a:pt x="41945" y="43385"/>
              </a:lnTo>
              <a:lnTo>
                <a:pt x="41945" y="808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0.73211</cdr:x>
      <cdr:y>0.23212</cdr:y>
    </cdr:from>
    <cdr:to>
      <cdr:x>0.73783</cdr:x>
      <cdr:y>0.24272</cdr:y>
    </cdr:to>
    <cdr:sp macro="" textlink="">
      <cdr:nvSpPr>
        <cdr:cNvPr id="570" name="FracNo 922 StartRow 5760">
          <a:extLst xmlns:a="http://schemas.openxmlformats.org/drawingml/2006/main">
            <a:ext uri="{FF2B5EF4-FFF2-40B4-BE49-F238E27FC236}">
              <a16:creationId xmlns:a16="http://schemas.microsoft.com/office/drawing/2014/main" id="{D47AC919-F165-C71A-F58B-BF4922F8D839}"/>
            </a:ext>
          </a:extLst>
        </cdr:cNvPr>
        <cdr:cNvSpPr/>
      </cdr:nvSpPr>
      <cdr:spPr>
        <a:xfrm xmlns:a="http://schemas.openxmlformats.org/drawingml/2006/main">
          <a:off x="5355558" y="1768723"/>
          <a:ext cx="41849" cy="807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849" h="80791">
              <a:moveTo>
                <a:pt x="16968" y="55055"/>
              </a:moveTo>
              <a:lnTo>
                <a:pt x="0" y="37504"/>
              </a:lnTo>
              <a:lnTo>
                <a:pt x="0" y="0"/>
              </a:lnTo>
              <a:lnTo>
                <a:pt x="16968" y="17551"/>
              </a:lnTo>
              <a:lnTo>
                <a:pt x="41848" y="43286"/>
              </a:lnTo>
              <a:lnTo>
                <a:pt x="41848" y="807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0.5067</cdr:x>
      <cdr:y>0.45594</cdr:y>
    </cdr:from>
    <cdr:to>
      <cdr:x>0.51738</cdr:x>
      <cdr:y>0.46162</cdr:y>
    </cdr:to>
    <cdr:sp macro="" textlink="">
      <cdr:nvSpPr>
        <cdr:cNvPr id="571" name="FracNo 1019 StartRow 5769">
          <a:extLst xmlns:a="http://schemas.openxmlformats.org/drawingml/2006/main">
            <a:ext uri="{FF2B5EF4-FFF2-40B4-BE49-F238E27FC236}">
              <a16:creationId xmlns:a16="http://schemas.microsoft.com/office/drawing/2014/main" id="{9BE0025F-F358-36CA-242A-8B112208B85B}"/>
            </a:ext>
          </a:extLst>
        </cdr:cNvPr>
        <cdr:cNvSpPr/>
      </cdr:nvSpPr>
      <cdr:spPr>
        <a:xfrm xmlns:a="http://schemas.openxmlformats.org/drawingml/2006/main">
          <a:off x="3706645" y="3474263"/>
          <a:ext cx="78108" cy="432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108" h="43287">
              <a:moveTo>
                <a:pt x="49879" y="14088"/>
              </a:moveTo>
              <a:lnTo>
                <a:pt x="36258" y="0"/>
              </a:lnTo>
              <a:lnTo>
                <a:pt x="0" y="0"/>
              </a:lnTo>
              <a:lnTo>
                <a:pt x="13621" y="14088"/>
              </a:lnTo>
              <a:lnTo>
                <a:pt x="41848" y="43286"/>
              </a:lnTo>
              <a:lnTo>
                <a:pt x="78107" y="432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0.19337</cdr:x>
      <cdr:y>0.75958</cdr:y>
    </cdr:from>
    <cdr:to>
      <cdr:x>0.20148</cdr:x>
      <cdr:y>0.76763</cdr:y>
    </cdr:to>
    <cdr:sp macro="" textlink="">
      <cdr:nvSpPr>
        <cdr:cNvPr id="572" name="FracNo 918 StartRow 5778">
          <a:extLst xmlns:a="http://schemas.openxmlformats.org/drawingml/2006/main">
            <a:ext uri="{FF2B5EF4-FFF2-40B4-BE49-F238E27FC236}">
              <a16:creationId xmlns:a16="http://schemas.microsoft.com/office/drawing/2014/main" id="{0335F545-1360-7A63-9676-F5BFFD611CA5}"/>
            </a:ext>
          </a:extLst>
        </cdr:cNvPr>
        <cdr:cNvSpPr/>
      </cdr:nvSpPr>
      <cdr:spPr>
        <a:xfrm xmlns:a="http://schemas.openxmlformats.org/drawingml/2006/main">
          <a:off x="1414527" y="5787964"/>
          <a:ext cx="59339" cy="613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339" h="61377">
              <a:moveTo>
                <a:pt x="57687" y="22165"/>
              </a:moveTo>
              <a:lnTo>
                <a:pt x="36258" y="0"/>
              </a:lnTo>
              <a:lnTo>
                <a:pt x="0" y="0"/>
              </a:lnTo>
              <a:lnTo>
                <a:pt x="55093" y="56986"/>
              </a:lnTo>
              <a:lnTo>
                <a:pt x="59338" y="61376"/>
              </a:lnTo>
              <a:lnTo>
                <a:pt x="59338" y="238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0.23564</cdr:x>
      <cdr:y>0.7176</cdr:y>
    </cdr:from>
    <cdr:to>
      <cdr:x>0.24375</cdr:x>
      <cdr:y>0.72566</cdr:y>
    </cdr:to>
    <cdr:sp macro="" textlink="">
      <cdr:nvSpPr>
        <cdr:cNvPr id="573" name="FracNo 1041 StartRow 5787">
          <a:extLst xmlns:a="http://schemas.openxmlformats.org/drawingml/2006/main">
            <a:ext uri="{FF2B5EF4-FFF2-40B4-BE49-F238E27FC236}">
              <a16:creationId xmlns:a16="http://schemas.microsoft.com/office/drawing/2014/main" id="{2D7C3D02-CA86-8EEA-B69E-1180F4B52DF7}"/>
            </a:ext>
          </a:extLst>
        </cdr:cNvPr>
        <cdr:cNvSpPr/>
      </cdr:nvSpPr>
      <cdr:spPr>
        <a:xfrm xmlns:a="http://schemas.openxmlformats.org/drawingml/2006/main">
          <a:off x="1723728" y="5468145"/>
          <a:ext cx="59339" cy="613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339" h="61376">
              <a:moveTo>
                <a:pt x="37826" y="1621"/>
              </a:moveTo>
              <a:lnTo>
                <a:pt x="36258" y="0"/>
              </a:lnTo>
              <a:lnTo>
                <a:pt x="0" y="0"/>
              </a:lnTo>
              <a:lnTo>
                <a:pt x="4031" y="4169"/>
              </a:lnTo>
              <a:lnTo>
                <a:pt x="59338" y="61375"/>
              </a:lnTo>
              <a:lnTo>
                <a:pt x="59338" y="238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0.2948</cdr:x>
      <cdr:y>0.65886</cdr:y>
    </cdr:from>
    <cdr:to>
      <cdr:x>0.30291</cdr:x>
      <cdr:y>0.66691</cdr:y>
    </cdr:to>
    <cdr:sp macro="" textlink="">
      <cdr:nvSpPr>
        <cdr:cNvPr id="574" name="FracNo 1073 StartRow 5796">
          <a:extLst xmlns:a="http://schemas.openxmlformats.org/drawingml/2006/main">
            <a:ext uri="{FF2B5EF4-FFF2-40B4-BE49-F238E27FC236}">
              <a16:creationId xmlns:a16="http://schemas.microsoft.com/office/drawing/2014/main" id="{EB209DC8-BF16-F23C-6459-0CF0D0C146D8}"/>
            </a:ext>
          </a:extLst>
        </cdr:cNvPr>
        <cdr:cNvSpPr/>
      </cdr:nvSpPr>
      <cdr:spPr>
        <a:xfrm xmlns:a="http://schemas.openxmlformats.org/drawingml/2006/main">
          <a:off x="2156512" y="5020497"/>
          <a:ext cx="59339" cy="613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339" h="61377">
              <a:moveTo>
                <a:pt x="16228" y="54289"/>
              </a:moveTo>
              <a:lnTo>
                <a:pt x="0" y="37504"/>
              </a:lnTo>
              <a:lnTo>
                <a:pt x="0" y="0"/>
              </a:lnTo>
              <a:lnTo>
                <a:pt x="41722" y="43156"/>
              </a:lnTo>
              <a:lnTo>
                <a:pt x="59338" y="61376"/>
              </a:lnTo>
              <a:lnTo>
                <a:pt x="23080" y="613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0.28054</cdr:x>
      <cdr:y>0.67301</cdr:y>
    </cdr:from>
    <cdr:to>
      <cdr:x>0.28866</cdr:x>
      <cdr:y>0.68107</cdr:y>
    </cdr:to>
    <cdr:sp macro="" textlink="">
      <cdr:nvSpPr>
        <cdr:cNvPr id="575" name="FracNo 924 StartRow 5805">
          <a:extLst xmlns:a="http://schemas.openxmlformats.org/drawingml/2006/main">
            <a:ext uri="{FF2B5EF4-FFF2-40B4-BE49-F238E27FC236}">
              <a16:creationId xmlns:a16="http://schemas.microsoft.com/office/drawing/2014/main" id="{993681AE-82D7-15AC-C67C-B3BB838EF1B0}"/>
            </a:ext>
          </a:extLst>
        </cdr:cNvPr>
        <cdr:cNvSpPr/>
      </cdr:nvSpPr>
      <cdr:spPr>
        <a:xfrm xmlns:a="http://schemas.openxmlformats.org/drawingml/2006/main">
          <a:off x="2052231" y="5128360"/>
          <a:ext cx="59339" cy="613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339" h="61377">
              <a:moveTo>
                <a:pt x="53904" y="18253"/>
              </a:moveTo>
              <a:lnTo>
                <a:pt x="36258" y="0"/>
              </a:lnTo>
              <a:lnTo>
                <a:pt x="0" y="0"/>
              </a:lnTo>
              <a:lnTo>
                <a:pt x="45369" y="46928"/>
              </a:lnTo>
              <a:lnTo>
                <a:pt x="59338" y="61376"/>
              </a:lnTo>
              <a:lnTo>
                <a:pt x="59338" y="238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0.09297</cdr:x>
      <cdr:y>0.85926</cdr:y>
    </cdr:from>
    <cdr:to>
      <cdr:x>0.10109</cdr:x>
      <cdr:y>0.86732</cdr:y>
    </cdr:to>
    <cdr:sp macro="" textlink="">
      <cdr:nvSpPr>
        <cdr:cNvPr id="576" name="FracNo 1091 StartRow 5814">
          <a:extLst xmlns:a="http://schemas.openxmlformats.org/drawingml/2006/main">
            <a:ext uri="{FF2B5EF4-FFF2-40B4-BE49-F238E27FC236}">
              <a16:creationId xmlns:a16="http://schemas.microsoft.com/office/drawing/2014/main" id="{1360F8E0-C55B-496E-F0F3-99E5D8D8CD48}"/>
            </a:ext>
          </a:extLst>
        </cdr:cNvPr>
        <cdr:cNvSpPr/>
      </cdr:nvSpPr>
      <cdr:spPr>
        <a:xfrm xmlns:a="http://schemas.openxmlformats.org/drawingml/2006/main">
          <a:off x="680119" y="6547593"/>
          <a:ext cx="59339" cy="613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339" h="61377">
              <a:moveTo>
                <a:pt x="18706" y="56851"/>
              </a:moveTo>
              <a:lnTo>
                <a:pt x="0" y="37504"/>
              </a:lnTo>
              <a:lnTo>
                <a:pt x="0" y="0"/>
              </a:lnTo>
              <a:lnTo>
                <a:pt x="48093" y="49744"/>
              </a:lnTo>
              <a:lnTo>
                <a:pt x="59338" y="61376"/>
              </a:lnTo>
              <a:lnTo>
                <a:pt x="23080" y="613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0.18509</cdr:x>
      <cdr:y>0.76779</cdr:y>
    </cdr:from>
    <cdr:to>
      <cdr:x>0.1932</cdr:x>
      <cdr:y>0.77585</cdr:y>
    </cdr:to>
    <cdr:sp macro="" textlink="">
      <cdr:nvSpPr>
        <cdr:cNvPr id="577" name="FracNo 74 StartRow 5823">
          <a:extLst xmlns:a="http://schemas.openxmlformats.org/drawingml/2006/main">
            <a:ext uri="{FF2B5EF4-FFF2-40B4-BE49-F238E27FC236}">
              <a16:creationId xmlns:a16="http://schemas.microsoft.com/office/drawing/2014/main" id="{77F4C1F1-95FB-F033-148F-5F4D94EF9096}"/>
            </a:ext>
          </a:extLst>
        </cdr:cNvPr>
        <cdr:cNvSpPr/>
      </cdr:nvSpPr>
      <cdr:spPr>
        <a:xfrm xmlns:a="http://schemas.openxmlformats.org/drawingml/2006/main">
          <a:off x="1353984" y="5850586"/>
          <a:ext cx="59339" cy="613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339" h="61377">
              <a:moveTo>
                <a:pt x="54733" y="19108"/>
              </a:moveTo>
              <a:lnTo>
                <a:pt x="36259" y="0"/>
              </a:lnTo>
              <a:lnTo>
                <a:pt x="0" y="0"/>
              </a:lnTo>
              <a:lnTo>
                <a:pt x="47497" y="49128"/>
              </a:lnTo>
              <a:lnTo>
                <a:pt x="59338" y="61376"/>
              </a:lnTo>
              <a:lnTo>
                <a:pt x="59338" y="238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0.90507</cdr:x>
      <cdr:y>0.3975</cdr:y>
    </cdr:from>
    <cdr:to>
      <cdr:x>0.91559</cdr:x>
      <cdr:y>0.40302</cdr:y>
    </cdr:to>
    <cdr:sp macro="" textlink="">
      <cdr:nvSpPr>
        <cdr:cNvPr id="578" name="FracNo 1060 StartRow 5832">
          <a:extLst xmlns:a="http://schemas.openxmlformats.org/drawingml/2006/main">
            <a:ext uri="{FF2B5EF4-FFF2-40B4-BE49-F238E27FC236}">
              <a16:creationId xmlns:a16="http://schemas.microsoft.com/office/drawing/2014/main" id="{D6E89E65-5067-3E6B-FF85-02F7399A96CF}"/>
            </a:ext>
          </a:extLst>
        </cdr:cNvPr>
        <cdr:cNvSpPr/>
      </cdr:nvSpPr>
      <cdr:spPr>
        <a:xfrm xmlns:a="http://schemas.openxmlformats.org/drawingml/2006/main">
          <a:off x="6620782" y="3028931"/>
          <a:ext cx="76976" cy="421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976" h="42116">
              <a:moveTo>
                <a:pt x="34709" y="35901"/>
              </a:moveTo>
              <a:lnTo>
                <a:pt x="0" y="0"/>
              </a:lnTo>
              <a:lnTo>
                <a:pt x="36258" y="0"/>
              </a:lnTo>
              <a:lnTo>
                <a:pt x="70968" y="35901"/>
              </a:lnTo>
              <a:lnTo>
                <a:pt x="76975" y="42115"/>
              </a:lnTo>
              <a:lnTo>
                <a:pt x="40717" y="421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0.30734</cdr:x>
      <cdr:y>0.84042</cdr:y>
    </cdr:from>
    <cdr:to>
      <cdr:x>0.31538</cdr:x>
      <cdr:y>0.84841</cdr:y>
    </cdr:to>
    <cdr:sp macro="" textlink="">
      <cdr:nvSpPr>
        <cdr:cNvPr id="579" name="FracNo 73 StartRow 5841">
          <a:extLst xmlns:a="http://schemas.openxmlformats.org/drawingml/2006/main">
            <a:ext uri="{FF2B5EF4-FFF2-40B4-BE49-F238E27FC236}">
              <a16:creationId xmlns:a16="http://schemas.microsoft.com/office/drawing/2014/main" id="{55003C66-76DA-CBC0-2E6B-7569FD5A0F03}"/>
            </a:ext>
          </a:extLst>
        </cdr:cNvPr>
        <cdr:cNvSpPr/>
      </cdr:nvSpPr>
      <cdr:spPr>
        <a:xfrm xmlns:a="http://schemas.openxmlformats.org/drawingml/2006/main">
          <a:off x="2248280" y="6404029"/>
          <a:ext cx="58823" cy="608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823" h="60843">
              <a:moveTo>
                <a:pt x="8648" y="46448"/>
              </a:moveTo>
              <a:lnTo>
                <a:pt x="0" y="37504"/>
              </a:lnTo>
              <a:lnTo>
                <a:pt x="0" y="0"/>
              </a:lnTo>
              <a:lnTo>
                <a:pt x="22544" y="23317"/>
              </a:lnTo>
              <a:lnTo>
                <a:pt x="58822" y="60842"/>
              </a:lnTo>
              <a:lnTo>
                <a:pt x="22564" y="608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0.16358</cdr:x>
      <cdr:y>0.63108</cdr:y>
    </cdr:from>
    <cdr:to>
      <cdr:x>0.16913</cdr:x>
      <cdr:y>0.64152</cdr:y>
    </cdr:to>
    <cdr:sp macro="" textlink="">
      <cdr:nvSpPr>
        <cdr:cNvPr id="580" name="FracNo 143 StartRow 5850">
          <a:extLst xmlns:a="http://schemas.openxmlformats.org/drawingml/2006/main">
            <a:ext uri="{FF2B5EF4-FFF2-40B4-BE49-F238E27FC236}">
              <a16:creationId xmlns:a16="http://schemas.microsoft.com/office/drawing/2014/main" id="{75E94330-0EF2-7E2B-2DCF-C60EF45CC962}"/>
            </a:ext>
          </a:extLst>
        </cdr:cNvPr>
        <cdr:cNvSpPr/>
      </cdr:nvSpPr>
      <cdr:spPr>
        <a:xfrm xmlns:a="http://schemas.openxmlformats.org/drawingml/2006/main">
          <a:off x="1196625" y="4808844"/>
          <a:ext cx="40628" cy="79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628" h="79527">
              <a:moveTo>
                <a:pt x="28830" y="67325"/>
              </a:moveTo>
              <a:lnTo>
                <a:pt x="0" y="37504"/>
              </a:lnTo>
              <a:lnTo>
                <a:pt x="0" y="0"/>
              </a:lnTo>
              <a:lnTo>
                <a:pt x="28830" y="29821"/>
              </a:lnTo>
              <a:lnTo>
                <a:pt x="40627" y="42023"/>
              </a:lnTo>
              <a:lnTo>
                <a:pt x="40627" y="795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0.85495</cdr:x>
      <cdr:y>0.46516</cdr:y>
    </cdr:from>
    <cdr:to>
      <cdr:x>0.86415</cdr:x>
      <cdr:y>0.47184</cdr:y>
    </cdr:to>
    <cdr:sp macro="" textlink="">
      <cdr:nvSpPr>
        <cdr:cNvPr id="581" name="FracNo 1115 StartRow 5859">
          <a:extLst xmlns:a="http://schemas.openxmlformats.org/drawingml/2006/main">
            <a:ext uri="{FF2B5EF4-FFF2-40B4-BE49-F238E27FC236}">
              <a16:creationId xmlns:a16="http://schemas.microsoft.com/office/drawing/2014/main" id="{A04B189B-80DB-3CE3-E854-0BECC791FA05}"/>
            </a:ext>
          </a:extLst>
        </cdr:cNvPr>
        <cdr:cNvSpPr/>
      </cdr:nvSpPr>
      <cdr:spPr>
        <a:xfrm xmlns:a="http://schemas.openxmlformats.org/drawingml/2006/main">
          <a:off x="6254120" y="3544540"/>
          <a:ext cx="67325" cy="508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325" h="50886">
              <a:moveTo>
                <a:pt x="19130" y="38540"/>
              </a:moveTo>
              <a:lnTo>
                <a:pt x="0" y="18752"/>
              </a:lnTo>
              <a:lnTo>
                <a:pt x="18129" y="0"/>
              </a:lnTo>
              <a:lnTo>
                <a:pt x="48424" y="31336"/>
              </a:lnTo>
              <a:lnTo>
                <a:pt x="67324" y="50885"/>
              </a:lnTo>
              <a:lnTo>
                <a:pt x="31066" y="508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0.41101</cdr:x>
      <cdr:y>0.32758</cdr:y>
    </cdr:from>
    <cdr:to>
      <cdr:x>0.42144</cdr:x>
      <cdr:y>0.33303</cdr:y>
    </cdr:to>
    <cdr:sp macro="" textlink="">
      <cdr:nvSpPr>
        <cdr:cNvPr id="582" name="FracNo 1067 StartRow 5868">
          <a:extLst xmlns:a="http://schemas.openxmlformats.org/drawingml/2006/main">
            <a:ext uri="{FF2B5EF4-FFF2-40B4-BE49-F238E27FC236}">
              <a16:creationId xmlns:a16="http://schemas.microsoft.com/office/drawing/2014/main" id="{110F3670-2268-0A6F-86E3-3C5563A01686}"/>
            </a:ext>
          </a:extLst>
        </cdr:cNvPr>
        <cdr:cNvSpPr/>
      </cdr:nvSpPr>
      <cdr:spPr>
        <a:xfrm xmlns:a="http://schemas.openxmlformats.org/drawingml/2006/main">
          <a:off x="3006587" y="2496193"/>
          <a:ext cx="76358" cy="414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358" h="41477">
              <a:moveTo>
                <a:pt x="26245" y="27147"/>
              </a:moveTo>
              <a:lnTo>
                <a:pt x="0" y="0"/>
              </a:lnTo>
              <a:lnTo>
                <a:pt x="36259" y="0"/>
              </a:lnTo>
              <a:lnTo>
                <a:pt x="62504" y="27147"/>
              </a:lnTo>
              <a:lnTo>
                <a:pt x="76357" y="41476"/>
              </a:lnTo>
              <a:lnTo>
                <a:pt x="40099" y="414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0.36319</cdr:x>
      <cdr:y>0.58662</cdr:y>
    </cdr:from>
    <cdr:to>
      <cdr:x>0.37103</cdr:x>
      <cdr:y>0.5944</cdr:y>
    </cdr:to>
    <cdr:sp macro="" textlink="">
      <cdr:nvSpPr>
        <cdr:cNvPr id="583" name="FracNo 1145 StartRow 5877">
          <a:extLst xmlns:a="http://schemas.openxmlformats.org/drawingml/2006/main">
            <a:ext uri="{FF2B5EF4-FFF2-40B4-BE49-F238E27FC236}">
              <a16:creationId xmlns:a16="http://schemas.microsoft.com/office/drawing/2014/main" id="{61D94C84-A05C-C803-B62F-466837B28531}"/>
            </a:ext>
          </a:extLst>
        </cdr:cNvPr>
        <cdr:cNvSpPr/>
      </cdr:nvSpPr>
      <cdr:spPr>
        <a:xfrm xmlns:a="http://schemas.openxmlformats.org/drawingml/2006/main">
          <a:off x="2656823" y="4470065"/>
          <a:ext cx="57316" cy="59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316" h="59285">
              <a:moveTo>
                <a:pt x="50176" y="14396"/>
              </a:moveTo>
              <a:lnTo>
                <a:pt x="36258" y="0"/>
              </a:lnTo>
              <a:lnTo>
                <a:pt x="0" y="0"/>
              </a:lnTo>
              <a:lnTo>
                <a:pt x="37884" y="39186"/>
              </a:lnTo>
              <a:lnTo>
                <a:pt x="57315" y="59284"/>
              </a:lnTo>
              <a:lnTo>
                <a:pt x="57315" y="217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0.91482</cdr:x>
      <cdr:y>0.50741</cdr:y>
    </cdr:from>
    <cdr:to>
      <cdr:x>0.92016</cdr:x>
      <cdr:y>0.51762</cdr:y>
    </cdr:to>
    <cdr:sp macro="" textlink="">
      <cdr:nvSpPr>
        <cdr:cNvPr id="584" name="FracNo 637 StartRow 5886">
          <a:extLst xmlns:a="http://schemas.openxmlformats.org/drawingml/2006/main">
            <a:ext uri="{FF2B5EF4-FFF2-40B4-BE49-F238E27FC236}">
              <a16:creationId xmlns:a16="http://schemas.microsoft.com/office/drawing/2014/main" id="{63B3B3B2-4C30-E0E4-163F-892B3D5D0B05}"/>
            </a:ext>
          </a:extLst>
        </cdr:cNvPr>
        <cdr:cNvSpPr/>
      </cdr:nvSpPr>
      <cdr:spPr>
        <a:xfrm xmlns:a="http://schemas.openxmlformats.org/drawingml/2006/main">
          <a:off x="6692120" y="3866444"/>
          <a:ext cx="39000" cy="778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00" h="77843">
              <a:moveTo>
                <a:pt x="12871" y="13313"/>
              </a:moveTo>
              <a:lnTo>
                <a:pt x="0" y="0"/>
              </a:lnTo>
              <a:lnTo>
                <a:pt x="0" y="37504"/>
              </a:lnTo>
              <a:lnTo>
                <a:pt x="12871" y="50816"/>
              </a:lnTo>
              <a:lnTo>
                <a:pt x="38999" y="77842"/>
              </a:lnTo>
              <a:lnTo>
                <a:pt x="38999" y="403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0.81157</cdr:x>
      <cdr:y>0.60993</cdr:y>
    </cdr:from>
    <cdr:to>
      <cdr:x>0.81691</cdr:x>
      <cdr:y>0.62015</cdr:y>
    </cdr:to>
    <cdr:sp macro="" textlink="">
      <cdr:nvSpPr>
        <cdr:cNvPr id="585" name="FracNo 1023 StartRow 5895">
          <a:extLst xmlns:a="http://schemas.openxmlformats.org/drawingml/2006/main">
            <a:ext uri="{FF2B5EF4-FFF2-40B4-BE49-F238E27FC236}">
              <a16:creationId xmlns:a16="http://schemas.microsoft.com/office/drawing/2014/main" id="{BFEC5DEC-4784-D390-B5A1-D8DB7B73D135}"/>
            </a:ext>
          </a:extLst>
        </cdr:cNvPr>
        <cdr:cNvSpPr/>
      </cdr:nvSpPr>
      <cdr:spPr>
        <a:xfrm xmlns:a="http://schemas.openxmlformats.org/drawingml/2006/main">
          <a:off x="5936828" y="4647676"/>
          <a:ext cx="38999" cy="778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99" h="77842">
              <a:moveTo>
                <a:pt x="36005" y="37242"/>
              </a:moveTo>
              <a:lnTo>
                <a:pt x="0" y="0"/>
              </a:lnTo>
              <a:lnTo>
                <a:pt x="0" y="37503"/>
              </a:lnTo>
              <a:lnTo>
                <a:pt x="36005" y="74745"/>
              </a:lnTo>
              <a:lnTo>
                <a:pt x="38998" y="77841"/>
              </a:lnTo>
              <a:lnTo>
                <a:pt x="38998" y="403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0.81926</cdr:x>
      <cdr:y>0.74652</cdr:y>
    </cdr:from>
    <cdr:to>
      <cdr:x>0.82459</cdr:x>
      <cdr:y>0.75674</cdr:y>
    </cdr:to>
    <cdr:sp macro="" textlink="">
      <cdr:nvSpPr>
        <cdr:cNvPr id="586" name="FracNo 1029 StartRow 5904">
          <a:extLst xmlns:a="http://schemas.openxmlformats.org/drawingml/2006/main">
            <a:ext uri="{FF2B5EF4-FFF2-40B4-BE49-F238E27FC236}">
              <a16:creationId xmlns:a16="http://schemas.microsoft.com/office/drawing/2014/main" id="{282FD00B-59D8-1EEE-BB4E-1035E7811E9B}"/>
            </a:ext>
          </a:extLst>
        </cdr:cNvPr>
        <cdr:cNvSpPr/>
      </cdr:nvSpPr>
      <cdr:spPr>
        <a:xfrm xmlns:a="http://schemas.openxmlformats.org/drawingml/2006/main">
          <a:off x="5993069" y="5688516"/>
          <a:ext cx="38996" cy="77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96" h="77838">
              <a:moveTo>
                <a:pt x="21041" y="21764"/>
              </a:moveTo>
              <a:lnTo>
                <a:pt x="0" y="0"/>
              </a:lnTo>
              <a:lnTo>
                <a:pt x="0" y="37504"/>
              </a:lnTo>
              <a:lnTo>
                <a:pt x="21041" y="59268"/>
              </a:lnTo>
              <a:lnTo>
                <a:pt x="38995" y="77837"/>
              </a:lnTo>
              <a:lnTo>
                <a:pt x="38995" y="403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0.81209</cdr:x>
      <cdr:y>0.75364</cdr:y>
    </cdr:from>
    <cdr:to>
      <cdr:x>0.82238</cdr:x>
      <cdr:y>0.75894</cdr:y>
    </cdr:to>
    <cdr:sp macro="" textlink="">
      <cdr:nvSpPr>
        <cdr:cNvPr id="587" name="FracNo 555 StartRow 5913">
          <a:extLst xmlns:a="http://schemas.openxmlformats.org/drawingml/2006/main">
            <a:ext uri="{FF2B5EF4-FFF2-40B4-BE49-F238E27FC236}">
              <a16:creationId xmlns:a16="http://schemas.microsoft.com/office/drawing/2014/main" id="{049494F9-AE5A-A3C7-3D0F-F09B76D1CF79}"/>
            </a:ext>
          </a:extLst>
        </cdr:cNvPr>
        <cdr:cNvSpPr/>
      </cdr:nvSpPr>
      <cdr:spPr>
        <a:xfrm xmlns:a="http://schemas.openxmlformats.org/drawingml/2006/main">
          <a:off x="5940628" y="5742759"/>
          <a:ext cx="75253" cy="403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253" h="40334">
              <a:moveTo>
                <a:pt x="28932" y="29926"/>
              </a:moveTo>
              <a:lnTo>
                <a:pt x="0" y="0"/>
              </a:lnTo>
              <a:lnTo>
                <a:pt x="36258" y="0"/>
              </a:lnTo>
              <a:lnTo>
                <a:pt x="65190" y="29926"/>
              </a:lnTo>
              <a:lnTo>
                <a:pt x="75252" y="40333"/>
              </a:lnTo>
              <a:lnTo>
                <a:pt x="38994" y="403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0.14033</cdr:x>
      <cdr:y>0.92358</cdr:y>
    </cdr:from>
    <cdr:to>
      <cdr:x>0.14937</cdr:x>
      <cdr:y>0.9301</cdr:y>
    </cdr:to>
    <cdr:sp macro="" textlink="">
      <cdr:nvSpPr>
        <cdr:cNvPr id="588" name="FracNo 26 StartRow 5922">
          <a:extLst xmlns:a="http://schemas.openxmlformats.org/drawingml/2006/main">
            <a:ext uri="{FF2B5EF4-FFF2-40B4-BE49-F238E27FC236}">
              <a16:creationId xmlns:a16="http://schemas.microsoft.com/office/drawing/2014/main" id="{913FF461-D3D2-345E-3106-CC9DE087AE31}"/>
            </a:ext>
          </a:extLst>
        </cdr:cNvPr>
        <cdr:cNvSpPr/>
      </cdr:nvSpPr>
      <cdr:spPr>
        <a:xfrm xmlns:a="http://schemas.openxmlformats.org/drawingml/2006/main">
          <a:off x="1026521" y="7037681"/>
          <a:ext cx="66164" cy="496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164" h="49685">
              <a:moveTo>
                <a:pt x="24365" y="24483"/>
              </a:moveTo>
              <a:lnTo>
                <a:pt x="0" y="49684"/>
              </a:lnTo>
              <a:lnTo>
                <a:pt x="36259" y="49684"/>
              </a:lnTo>
              <a:lnTo>
                <a:pt x="51428" y="33994"/>
              </a:lnTo>
              <a:lnTo>
                <a:pt x="66163" y="18753"/>
              </a:lnTo>
              <a:lnTo>
                <a:pt x="480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0.21371</cdr:x>
      <cdr:y>0.53656</cdr:y>
    </cdr:from>
    <cdr:to>
      <cdr:x>0.219</cdr:x>
      <cdr:y>0.54673</cdr:y>
    </cdr:to>
    <cdr:sp macro="" textlink="">
      <cdr:nvSpPr>
        <cdr:cNvPr id="589" name="FracNo 1086 StartRow 5931">
          <a:extLst xmlns:a="http://schemas.openxmlformats.org/drawingml/2006/main">
            <a:ext uri="{FF2B5EF4-FFF2-40B4-BE49-F238E27FC236}">
              <a16:creationId xmlns:a16="http://schemas.microsoft.com/office/drawing/2014/main" id="{2889AFD9-3666-520C-1D80-7840C5CFC926}"/>
            </a:ext>
          </a:extLst>
        </cdr:cNvPr>
        <cdr:cNvSpPr/>
      </cdr:nvSpPr>
      <cdr:spPr>
        <a:xfrm xmlns:a="http://schemas.openxmlformats.org/drawingml/2006/main">
          <a:off x="1563350" y="4088564"/>
          <a:ext cx="38710" cy="775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10" h="77544">
              <a:moveTo>
                <a:pt x="11438" y="11830"/>
              </a:moveTo>
              <a:lnTo>
                <a:pt x="0" y="0"/>
              </a:lnTo>
              <a:lnTo>
                <a:pt x="0" y="37504"/>
              </a:lnTo>
              <a:lnTo>
                <a:pt x="11438" y="49334"/>
              </a:lnTo>
              <a:lnTo>
                <a:pt x="38709" y="77543"/>
              </a:lnTo>
              <a:lnTo>
                <a:pt x="38709" y="400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0.24492</cdr:x>
      <cdr:y>0.50556</cdr:y>
    </cdr:from>
    <cdr:to>
      <cdr:x>0.25022</cdr:x>
      <cdr:y>0.51574</cdr:y>
    </cdr:to>
    <cdr:sp macro="" textlink="">
      <cdr:nvSpPr>
        <cdr:cNvPr id="590" name="FracNo 1143 StartRow 5940">
          <a:extLst xmlns:a="http://schemas.openxmlformats.org/drawingml/2006/main">
            <a:ext uri="{FF2B5EF4-FFF2-40B4-BE49-F238E27FC236}">
              <a16:creationId xmlns:a16="http://schemas.microsoft.com/office/drawing/2014/main" id="{C31B6230-9ABD-3899-D4DF-993BB7E29614}"/>
            </a:ext>
          </a:extLst>
        </cdr:cNvPr>
        <cdr:cNvSpPr/>
      </cdr:nvSpPr>
      <cdr:spPr>
        <a:xfrm xmlns:a="http://schemas.openxmlformats.org/drawingml/2006/main">
          <a:off x="1791668" y="3852404"/>
          <a:ext cx="38711" cy="775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11" h="77545">
              <a:moveTo>
                <a:pt x="19691" y="20368"/>
              </a:moveTo>
              <a:lnTo>
                <a:pt x="0" y="0"/>
              </a:lnTo>
              <a:lnTo>
                <a:pt x="0" y="37504"/>
              </a:lnTo>
              <a:lnTo>
                <a:pt x="19691" y="57872"/>
              </a:lnTo>
              <a:lnTo>
                <a:pt x="38710" y="77544"/>
              </a:lnTo>
              <a:lnTo>
                <a:pt x="38710" y="400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0.2513</cdr:x>
      <cdr:y>0.49923</cdr:y>
    </cdr:from>
    <cdr:to>
      <cdr:x>0.26155</cdr:x>
      <cdr:y>0.50449</cdr:y>
    </cdr:to>
    <cdr:sp macro="" textlink="">
      <cdr:nvSpPr>
        <cdr:cNvPr id="591" name="FracNo 913 StartRow 5949">
          <a:extLst xmlns:a="http://schemas.openxmlformats.org/drawingml/2006/main">
            <a:ext uri="{FF2B5EF4-FFF2-40B4-BE49-F238E27FC236}">
              <a16:creationId xmlns:a16="http://schemas.microsoft.com/office/drawing/2014/main" id="{73A0A441-35C4-7ECF-5E70-9E43E55AA685}"/>
            </a:ext>
          </a:extLst>
        </cdr:cNvPr>
        <cdr:cNvSpPr/>
      </cdr:nvSpPr>
      <cdr:spPr>
        <a:xfrm xmlns:a="http://schemas.openxmlformats.org/drawingml/2006/main">
          <a:off x="1838310" y="3804160"/>
          <a:ext cx="74969" cy="400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969" h="40041">
              <a:moveTo>
                <a:pt x="31845" y="32939"/>
              </a:moveTo>
              <a:lnTo>
                <a:pt x="0" y="0"/>
              </a:lnTo>
              <a:lnTo>
                <a:pt x="36258" y="0"/>
              </a:lnTo>
              <a:lnTo>
                <a:pt x="68103" y="32939"/>
              </a:lnTo>
              <a:lnTo>
                <a:pt x="74968" y="40040"/>
              </a:lnTo>
              <a:lnTo>
                <a:pt x="38710" y="400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0.54073</cdr:x>
      <cdr:y>0.73821</cdr:y>
    </cdr:from>
    <cdr:to>
      <cdr:x>0.54601</cdr:x>
      <cdr:y>0.74838</cdr:y>
    </cdr:to>
    <cdr:sp macro="" textlink="">
      <cdr:nvSpPr>
        <cdr:cNvPr id="592" name="FracNo 927 StartRow 5958">
          <a:extLst xmlns:a="http://schemas.openxmlformats.org/drawingml/2006/main">
            <a:ext uri="{FF2B5EF4-FFF2-40B4-BE49-F238E27FC236}">
              <a16:creationId xmlns:a16="http://schemas.microsoft.com/office/drawing/2014/main" id="{29AB0E01-2589-2ADB-F619-7B7831316471}"/>
            </a:ext>
          </a:extLst>
        </cdr:cNvPr>
        <cdr:cNvSpPr/>
      </cdr:nvSpPr>
      <cdr:spPr>
        <a:xfrm xmlns:a="http://schemas.openxmlformats.org/drawingml/2006/main">
          <a:off x="3955537" y="5625172"/>
          <a:ext cx="38617" cy="77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617" h="77447">
              <a:moveTo>
                <a:pt x="17083" y="17669"/>
              </a:moveTo>
              <a:lnTo>
                <a:pt x="0" y="0"/>
              </a:lnTo>
              <a:lnTo>
                <a:pt x="0" y="37504"/>
              </a:lnTo>
              <a:lnTo>
                <a:pt x="17083" y="55173"/>
              </a:lnTo>
              <a:lnTo>
                <a:pt x="38616" y="77446"/>
              </a:lnTo>
              <a:lnTo>
                <a:pt x="38616" y="399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0.61627</cdr:x>
      <cdr:y>0.6632</cdr:y>
    </cdr:from>
    <cdr:to>
      <cdr:x>0.6265</cdr:x>
      <cdr:y>0.66845</cdr:y>
    </cdr:to>
    <cdr:sp macro="" textlink="">
      <cdr:nvSpPr>
        <cdr:cNvPr id="593" name="FracNo 720 StartRow 5967">
          <a:extLst xmlns:a="http://schemas.openxmlformats.org/drawingml/2006/main">
            <a:ext uri="{FF2B5EF4-FFF2-40B4-BE49-F238E27FC236}">
              <a16:creationId xmlns:a16="http://schemas.microsoft.com/office/drawing/2014/main" id="{6B06AD1C-7B7B-ECE9-0281-0578C3278013}"/>
            </a:ext>
          </a:extLst>
        </cdr:cNvPr>
        <cdr:cNvSpPr/>
      </cdr:nvSpPr>
      <cdr:spPr>
        <a:xfrm xmlns:a="http://schemas.openxmlformats.org/drawingml/2006/main">
          <a:off x="4508116" y="5053616"/>
          <a:ext cx="74876" cy="39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876" h="39943">
              <a:moveTo>
                <a:pt x="31237" y="32309"/>
              </a:moveTo>
              <a:lnTo>
                <a:pt x="0" y="0"/>
              </a:lnTo>
              <a:lnTo>
                <a:pt x="36259" y="0"/>
              </a:lnTo>
              <a:lnTo>
                <a:pt x="67495" y="32309"/>
              </a:lnTo>
              <a:lnTo>
                <a:pt x="74875" y="39942"/>
              </a:lnTo>
              <a:lnTo>
                <a:pt x="38617" y="399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0.20468</cdr:x>
      <cdr:y>0.3782</cdr:y>
    </cdr:from>
    <cdr:to>
      <cdr:x>0.21243</cdr:x>
      <cdr:y>0.38589</cdr:y>
    </cdr:to>
    <cdr:sp macro="" textlink="">
      <cdr:nvSpPr>
        <cdr:cNvPr id="594" name="FracNo 148 StartRow 5976">
          <a:extLst xmlns:a="http://schemas.openxmlformats.org/drawingml/2006/main">
            <a:ext uri="{FF2B5EF4-FFF2-40B4-BE49-F238E27FC236}">
              <a16:creationId xmlns:a16="http://schemas.microsoft.com/office/drawing/2014/main" id="{26A0BE2B-E793-4A67-811F-BB2261E1AEC4}"/>
            </a:ext>
          </a:extLst>
        </cdr:cNvPr>
        <cdr:cNvSpPr/>
      </cdr:nvSpPr>
      <cdr:spPr>
        <a:xfrm xmlns:a="http://schemas.openxmlformats.org/drawingml/2006/main">
          <a:off x="1497300" y="2881861"/>
          <a:ext cx="56650" cy="585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650" h="58595">
              <a:moveTo>
                <a:pt x="12481" y="50414"/>
              </a:moveTo>
              <a:lnTo>
                <a:pt x="0" y="37503"/>
              </a:lnTo>
              <a:lnTo>
                <a:pt x="0" y="0"/>
              </a:lnTo>
              <a:lnTo>
                <a:pt x="34676" y="35867"/>
              </a:lnTo>
              <a:lnTo>
                <a:pt x="56649" y="58594"/>
              </a:lnTo>
              <a:lnTo>
                <a:pt x="20391" y="585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0.33494</cdr:x>
      <cdr:y>0.24886</cdr:y>
    </cdr:from>
    <cdr:to>
      <cdr:x>0.34268</cdr:x>
      <cdr:y>0.25655</cdr:y>
    </cdr:to>
    <cdr:sp macro="" textlink="">
      <cdr:nvSpPr>
        <cdr:cNvPr id="595" name="FracNo 909 StartRow 5985">
          <a:extLst xmlns:a="http://schemas.openxmlformats.org/drawingml/2006/main">
            <a:ext uri="{FF2B5EF4-FFF2-40B4-BE49-F238E27FC236}">
              <a16:creationId xmlns:a16="http://schemas.microsoft.com/office/drawing/2014/main" id="{18460594-26EC-2ECE-6457-8722664DFEE9}"/>
            </a:ext>
          </a:extLst>
        </cdr:cNvPr>
        <cdr:cNvSpPr/>
      </cdr:nvSpPr>
      <cdr:spPr>
        <a:xfrm xmlns:a="http://schemas.openxmlformats.org/drawingml/2006/main">
          <a:off x="2450125" y="1896314"/>
          <a:ext cx="56650" cy="585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650" h="58596">
              <a:moveTo>
                <a:pt x="5896" y="43602"/>
              </a:moveTo>
              <a:lnTo>
                <a:pt x="0" y="37503"/>
              </a:lnTo>
              <a:lnTo>
                <a:pt x="0" y="0"/>
              </a:lnTo>
              <a:lnTo>
                <a:pt x="16380" y="16943"/>
              </a:lnTo>
              <a:lnTo>
                <a:pt x="56649" y="58595"/>
              </a:lnTo>
              <a:lnTo>
                <a:pt x="20391" y="585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0.34348</cdr:x>
      <cdr:y>0.24037</cdr:y>
    </cdr:from>
    <cdr:to>
      <cdr:x>0.35123</cdr:x>
      <cdr:y>0.24806</cdr:y>
    </cdr:to>
    <cdr:sp macro="" textlink="">
      <cdr:nvSpPr>
        <cdr:cNvPr id="596" name="FracNo 228 StartRow 5994">
          <a:extLst xmlns:a="http://schemas.openxmlformats.org/drawingml/2006/main">
            <a:ext uri="{FF2B5EF4-FFF2-40B4-BE49-F238E27FC236}">
              <a16:creationId xmlns:a16="http://schemas.microsoft.com/office/drawing/2014/main" id="{DD686687-2DEE-EF9D-2E6D-8CF972BF04C1}"/>
            </a:ext>
          </a:extLst>
        </cdr:cNvPr>
        <cdr:cNvSpPr/>
      </cdr:nvSpPr>
      <cdr:spPr>
        <a:xfrm xmlns:a="http://schemas.openxmlformats.org/drawingml/2006/main">
          <a:off x="2512645" y="1831646"/>
          <a:ext cx="56651" cy="585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651" h="58596">
              <a:moveTo>
                <a:pt x="47776" y="11914"/>
              </a:moveTo>
              <a:lnTo>
                <a:pt x="36259" y="0"/>
              </a:lnTo>
              <a:lnTo>
                <a:pt x="0" y="0"/>
              </a:lnTo>
              <a:lnTo>
                <a:pt x="31997" y="33097"/>
              </a:lnTo>
              <a:lnTo>
                <a:pt x="56650" y="58595"/>
              </a:lnTo>
              <a:lnTo>
                <a:pt x="56650" y="210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0.24049</cdr:x>
      <cdr:y>0.34265</cdr:y>
    </cdr:from>
    <cdr:to>
      <cdr:x>0.24823</cdr:x>
      <cdr:y>0.35034</cdr:y>
    </cdr:to>
    <cdr:sp macro="" textlink="">
      <cdr:nvSpPr>
        <cdr:cNvPr id="597" name="FracNo 231 StartRow 6003">
          <a:extLst xmlns:a="http://schemas.openxmlformats.org/drawingml/2006/main">
            <a:ext uri="{FF2B5EF4-FFF2-40B4-BE49-F238E27FC236}">
              <a16:creationId xmlns:a16="http://schemas.microsoft.com/office/drawing/2014/main" id="{74CE7FC3-21E8-CE87-E4E1-1D2CD28207EF}"/>
            </a:ext>
          </a:extLst>
        </cdr:cNvPr>
        <cdr:cNvSpPr/>
      </cdr:nvSpPr>
      <cdr:spPr>
        <a:xfrm xmlns:a="http://schemas.openxmlformats.org/drawingml/2006/main">
          <a:off x="1759202" y="2610964"/>
          <a:ext cx="56650" cy="585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650" h="58596">
              <a:moveTo>
                <a:pt x="2523" y="40114"/>
              </a:moveTo>
              <a:lnTo>
                <a:pt x="0" y="37504"/>
              </a:lnTo>
              <a:lnTo>
                <a:pt x="0" y="0"/>
              </a:lnTo>
              <a:lnTo>
                <a:pt x="7009" y="7250"/>
              </a:lnTo>
              <a:lnTo>
                <a:pt x="56649" y="58595"/>
              </a:lnTo>
              <a:lnTo>
                <a:pt x="20391" y="585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0.23136</cdr:x>
      <cdr:y>0.3517</cdr:y>
    </cdr:from>
    <cdr:to>
      <cdr:x>0.23911</cdr:x>
      <cdr:y>0.35939</cdr:y>
    </cdr:to>
    <cdr:sp macro="" textlink="">
      <cdr:nvSpPr>
        <cdr:cNvPr id="598" name="FracNo 237 StartRow 6012">
          <a:extLst xmlns:a="http://schemas.openxmlformats.org/drawingml/2006/main">
            <a:ext uri="{FF2B5EF4-FFF2-40B4-BE49-F238E27FC236}">
              <a16:creationId xmlns:a16="http://schemas.microsoft.com/office/drawing/2014/main" id="{F1EE25A2-5F26-9911-BFE7-CEC9A7657D27}"/>
            </a:ext>
          </a:extLst>
        </cdr:cNvPr>
        <cdr:cNvSpPr/>
      </cdr:nvSpPr>
      <cdr:spPr>
        <a:xfrm xmlns:a="http://schemas.openxmlformats.org/drawingml/2006/main">
          <a:off x="1692468" y="2679990"/>
          <a:ext cx="56650" cy="585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650" h="58596">
              <a:moveTo>
                <a:pt x="14340" y="52337"/>
              </a:moveTo>
              <a:lnTo>
                <a:pt x="0" y="37504"/>
              </a:lnTo>
              <a:lnTo>
                <a:pt x="0" y="0"/>
              </a:lnTo>
              <a:lnTo>
                <a:pt x="39840" y="41209"/>
              </a:lnTo>
              <a:lnTo>
                <a:pt x="56649" y="58595"/>
              </a:lnTo>
              <a:lnTo>
                <a:pt x="20391" y="585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0.91409</cdr:x>
      <cdr:y>0.59182</cdr:y>
    </cdr:from>
    <cdr:to>
      <cdr:x>0.9218</cdr:x>
      <cdr:y>0.59947</cdr:y>
    </cdr:to>
    <cdr:sp macro="" textlink="">
      <cdr:nvSpPr>
        <cdr:cNvPr id="599" name="FracNo 1059 StartRow 6021">
          <a:extLst xmlns:a="http://schemas.openxmlformats.org/drawingml/2006/main">
            <a:ext uri="{FF2B5EF4-FFF2-40B4-BE49-F238E27FC236}">
              <a16:creationId xmlns:a16="http://schemas.microsoft.com/office/drawing/2014/main" id="{3B6B8F1A-E50B-8658-509D-94A019B658A0}"/>
            </a:ext>
          </a:extLst>
        </cdr:cNvPr>
        <cdr:cNvSpPr/>
      </cdr:nvSpPr>
      <cdr:spPr>
        <a:xfrm xmlns:a="http://schemas.openxmlformats.org/drawingml/2006/main">
          <a:off x="6686728" y="4509653"/>
          <a:ext cx="56389" cy="58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89" h="58325">
              <a:moveTo>
                <a:pt x="16396" y="16959"/>
              </a:moveTo>
              <a:lnTo>
                <a:pt x="0" y="0"/>
              </a:lnTo>
              <a:lnTo>
                <a:pt x="0" y="37504"/>
              </a:lnTo>
              <a:lnTo>
                <a:pt x="5853" y="43558"/>
              </a:lnTo>
              <a:lnTo>
                <a:pt x="20129" y="58324"/>
              </a:lnTo>
              <a:lnTo>
                <a:pt x="56388" y="583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0.47898</cdr:x>
      <cdr:y>0.58012</cdr:y>
    </cdr:from>
    <cdr:to>
      <cdr:x>0.48917</cdr:x>
      <cdr:y>0.58531</cdr:y>
    </cdr:to>
    <cdr:sp macro="" textlink="">
      <cdr:nvSpPr>
        <cdr:cNvPr id="600" name="FracNo 1081 StartRow 6030">
          <a:extLst xmlns:a="http://schemas.openxmlformats.org/drawingml/2006/main">
            <a:ext uri="{FF2B5EF4-FFF2-40B4-BE49-F238E27FC236}">
              <a16:creationId xmlns:a16="http://schemas.microsoft.com/office/drawing/2014/main" id="{091BC3EC-1FBE-0CE0-24C0-162C8F682F5A}"/>
            </a:ext>
          </a:extLst>
        </cdr:cNvPr>
        <cdr:cNvSpPr/>
      </cdr:nvSpPr>
      <cdr:spPr>
        <a:xfrm xmlns:a="http://schemas.openxmlformats.org/drawingml/2006/main">
          <a:off x="3503831" y="4420501"/>
          <a:ext cx="74509" cy="39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509" h="39563">
              <a:moveTo>
                <a:pt x="60461" y="25033"/>
              </a:moveTo>
              <a:lnTo>
                <a:pt x="36259" y="0"/>
              </a:lnTo>
              <a:lnTo>
                <a:pt x="0" y="0"/>
              </a:lnTo>
              <a:lnTo>
                <a:pt x="24202" y="25033"/>
              </a:lnTo>
              <a:lnTo>
                <a:pt x="38249" y="39562"/>
              </a:lnTo>
              <a:lnTo>
                <a:pt x="74508" y="395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0.56451</cdr:x>
      <cdr:y>0.49519</cdr:y>
    </cdr:from>
    <cdr:to>
      <cdr:x>0.56974</cdr:x>
      <cdr:y>0.5053</cdr:y>
    </cdr:to>
    <cdr:sp macro="" textlink="">
      <cdr:nvSpPr>
        <cdr:cNvPr id="601" name="FracNo 871 StartRow 6039">
          <a:extLst xmlns:a="http://schemas.openxmlformats.org/drawingml/2006/main">
            <a:ext uri="{FF2B5EF4-FFF2-40B4-BE49-F238E27FC236}">
              <a16:creationId xmlns:a16="http://schemas.microsoft.com/office/drawing/2014/main" id="{31D19E92-1886-ECC1-00C9-C38E6F56C7EB}"/>
            </a:ext>
          </a:extLst>
        </cdr:cNvPr>
        <cdr:cNvSpPr/>
      </cdr:nvSpPr>
      <cdr:spPr>
        <a:xfrm xmlns:a="http://schemas.openxmlformats.org/drawingml/2006/main">
          <a:off x="4129509" y="3773336"/>
          <a:ext cx="38251" cy="77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251" h="77067">
              <a:moveTo>
                <a:pt x="9356" y="47180"/>
              </a:moveTo>
              <a:lnTo>
                <a:pt x="0" y="37503"/>
              </a:lnTo>
              <a:lnTo>
                <a:pt x="0" y="0"/>
              </a:lnTo>
              <a:lnTo>
                <a:pt x="9356" y="9676"/>
              </a:lnTo>
              <a:lnTo>
                <a:pt x="38250" y="39562"/>
              </a:lnTo>
              <a:lnTo>
                <a:pt x="38250" y="770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0.40762</cdr:x>
      <cdr:y>0.65098</cdr:y>
    </cdr:from>
    <cdr:to>
      <cdr:x>0.41781</cdr:x>
      <cdr:y>0.65617</cdr:y>
    </cdr:to>
    <cdr:sp macro="" textlink="">
      <cdr:nvSpPr>
        <cdr:cNvPr id="602" name="FracNo 974 StartRow 6048">
          <a:extLst xmlns:a="http://schemas.openxmlformats.org/drawingml/2006/main">
            <a:ext uri="{FF2B5EF4-FFF2-40B4-BE49-F238E27FC236}">
              <a16:creationId xmlns:a16="http://schemas.microsoft.com/office/drawing/2014/main" id="{287A250B-856D-7F7E-3B3A-72711A1A6D0E}"/>
            </a:ext>
          </a:extLst>
        </cdr:cNvPr>
        <cdr:cNvSpPr/>
      </cdr:nvSpPr>
      <cdr:spPr>
        <a:xfrm xmlns:a="http://schemas.openxmlformats.org/drawingml/2006/main">
          <a:off x="2981823" y="4960436"/>
          <a:ext cx="74508" cy="39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508" h="39564">
              <a:moveTo>
                <a:pt x="45658" y="9723"/>
              </a:moveTo>
              <a:lnTo>
                <a:pt x="36258" y="0"/>
              </a:lnTo>
              <a:lnTo>
                <a:pt x="0" y="0"/>
              </a:lnTo>
              <a:lnTo>
                <a:pt x="9399" y="9723"/>
              </a:lnTo>
              <a:lnTo>
                <a:pt x="38249" y="39563"/>
              </a:lnTo>
              <a:lnTo>
                <a:pt x="74507" y="395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0.50293</cdr:x>
      <cdr:y>0.24951</cdr:y>
    </cdr:from>
    <cdr:to>
      <cdr:x>0.50815</cdr:x>
      <cdr:y>0.25962</cdr:y>
    </cdr:to>
    <cdr:sp macro="" textlink="">
      <cdr:nvSpPr>
        <cdr:cNvPr id="603" name="FracNo 465 StartRow 6057">
          <a:extLst xmlns:a="http://schemas.openxmlformats.org/drawingml/2006/main">
            <a:ext uri="{FF2B5EF4-FFF2-40B4-BE49-F238E27FC236}">
              <a16:creationId xmlns:a16="http://schemas.microsoft.com/office/drawing/2014/main" id="{B24FA187-E71D-C8EE-8603-91106EE0FB9D}"/>
            </a:ext>
          </a:extLst>
        </cdr:cNvPr>
        <cdr:cNvSpPr/>
      </cdr:nvSpPr>
      <cdr:spPr>
        <a:xfrm xmlns:a="http://schemas.openxmlformats.org/drawingml/2006/main">
          <a:off x="3679034" y="1901301"/>
          <a:ext cx="38190" cy="770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190" h="77005">
              <a:moveTo>
                <a:pt x="33343" y="34487"/>
              </a:moveTo>
              <a:lnTo>
                <a:pt x="0" y="0"/>
              </a:lnTo>
              <a:lnTo>
                <a:pt x="0" y="37503"/>
              </a:lnTo>
              <a:lnTo>
                <a:pt x="33343" y="71991"/>
              </a:lnTo>
              <a:lnTo>
                <a:pt x="38189" y="77004"/>
              </a:lnTo>
              <a:lnTo>
                <a:pt x="38189" y="395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0.20607</cdr:x>
      <cdr:y>0.41363</cdr:y>
    </cdr:from>
    <cdr:to>
      <cdr:x>0.21371</cdr:x>
      <cdr:y>0.42121</cdr:y>
    </cdr:to>
    <cdr:sp macro="" textlink="">
      <cdr:nvSpPr>
        <cdr:cNvPr id="604" name="FracNo 1114 StartRow 6066">
          <a:extLst xmlns:a="http://schemas.openxmlformats.org/drawingml/2006/main">
            <a:ext uri="{FF2B5EF4-FFF2-40B4-BE49-F238E27FC236}">
              <a16:creationId xmlns:a16="http://schemas.microsoft.com/office/drawing/2014/main" id="{453E4C2D-1075-EB7C-09AA-C9D9649655CB}"/>
            </a:ext>
          </a:extLst>
        </cdr:cNvPr>
        <cdr:cNvSpPr/>
      </cdr:nvSpPr>
      <cdr:spPr>
        <a:xfrm xmlns:a="http://schemas.openxmlformats.org/drawingml/2006/main">
          <a:off x="1507472" y="3151847"/>
          <a:ext cx="55873" cy="577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73" h="57792">
              <a:moveTo>
                <a:pt x="5092" y="42771"/>
              </a:moveTo>
              <a:lnTo>
                <a:pt x="0" y="37504"/>
              </a:lnTo>
              <a:lnTo>
                <a:pt x="0" y="0"/>
              </a:lnTo>
              <a:lnTo>
                <a:pt x="14507" y="15005"/>
              </a:lnTo>
              <a:lnTo>
                <a:pt x="55872" y="57791"/>
              </a:lnTo>
              <a:lnTo>
                <a:pt x="19614" y="577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0.2298</cdr:x>
      <cdr:y>0.65704</cdr:y>
    </cdr:from>
    <cdr:to>
      <cdr:x>0.23492</cdr:x>
      <cdr:y>0.66704</cdr:y>
    </cdr:to>
    <cdr:sp macro="" textlink="">
      <cdr:nvSpPr>
        <cdr:cNvPr id="605" name="FracNo 952 StartRow 6075">
          <a:extLst xmlns:a="http://schemas.openxmlformats.org/drawingml/2006/main">
            <a:ext uri="{FF2B5EF4-FFF2-40B4-BE49-F238E27FC236}">
              <a16:creationId xmlns:a16="http://schemas.microsoft.com/office/drawing/2014/main" id="{EE6005A2-0762-57A1-C6C6-A75031CA1FB7}"/>
            </a:ext>
          </a:extLst>
        </cdr:cNvPr>
        <cdr:cNvSpPr/>
      </cdr:nvSpPr>
      <cdr:spPr>
        <a:xfrm xmlns:a="http://schemas.openxmlformats.org/drawingml/2006/main">
          <a:off x="1681049" y="5006623"/>
          <a:ext cx="37442" cy="76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442" h="76232">
              <a:moveTo>
                <a:pt x="3833" y="3966"/>
              </a:moveTo>
              <a:lnTo>
                <a:pt x="0" y="0"/>
              </a:lnTo>
              <a:lnTo>
                <a:pt x="0" y="37504"/>
              </a:lnTo>
              <a:lnTo>
                <a:pt x="3833" y="41470"/>
              </a:lnTo>
              <a:lnTo>
                <a:pt x="37441" y="76231"/>
              </a:lnTo>
              <a:lnTo>
                <a:pt x="37441" y="387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0.46984</cdr:x>
      <cdr:y>0.34997</cdr:y>
    </cdr:from>
    <cdr:to>
      <cdr:x>0.47987</cdr:x>
      <cdr:y>0.355</cdr:y>
    </cdr:to>
    <cdr:sp macro="" textlink="">
      <cdr:nvSpPr>
        <cdr:cNvPr id="606" name="FracNo 480 StartRow 6084">
          <a:extLst xmlns:a="http://schemas.openxmlformats.org/drawingml/2006/main">
            <a:ext uri="{FF2B5EF4-FFF2-40B4-BE49-F238E27FC236}">
              <a16:creationId xmlns:a16="http://schemas.microsoft.com/office/drawing/2014/main" id="{C76251B1-464A-C34D-B253-CE2843FCDC68}"/>
            </a:ext>
          </a:extLst>
        </cdr:cNvPr>
        <cdr:cNvSpPr/>
      </cdr:nvSpPr>
      <cdr:spPr>
        <a:xfrm xmlns:a="http://schemas.openxmlformats.org/drawingml/2006/main">
          <a:off x="3436959" y="2666738"/>
          <a:ext cx="73382" cy="38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382" h="38397">
              <a:moveTo>
                <a:pt x="18767" y="19410"/>
              </a:moveTo>
              <a:lnTo>
                <a:pt x="0" y="0"/>
              </a:lnTo>
              <a:lnTo>
                <a:pt x="36259" y="0"/>
              </a:lnTo>
              <a:lnTo>
                <a:pt x="55025" y="19410"/>
              </a:lnTo>
              <a:lnTo>
                <a:pt x="73381" y="38396"/>
              </a:lnTo>
              <a:lnTo>
                <a:pt x="37122" y="383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0.50918</cdr:x>
      <cdr:y>0.3109</cdr:y>
    </cdr:from>
    <cdr:to>
      <cdr:x>0.51922</cdr:x>
      <cdr:y>0.31594</cdr:y>
    </cdr:to>
    <cdr:sp macro="" textlink="">
      <cdr:nvSpPr>
        <cdr:cNvPr id="607" name="FracNo 1149 StartRow 6093">
          <a:extLst xmlns:a="http://schemas.openxmlformats.org/drawingml/2006/main">
            <a:ext uri="{FF2B5EF4-FFF2-40B4-BE49-F238E27FC236}">
              <a16:creationId xmlns:a16="http://schemas.microsoft.com/office/drawing/2014/main" id="{9679D26C-2991-534C-948D-B959C2BC7BBF}"/>
            </a:ext>
          </a:extLst>
        </cdr:cNvPr>
        <cdr:cNvSpPr/>
      </cdr:nvSpPr>
      <cdr:spPr>
        <a:xfrm xmlns:a="http://schemas.openxmlformats.org/drawingml/2006/main">
          <a:off x="3724784" y="2369029"/>
          <a:ext cx="73381" cy="38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381" h="38397">
              <a:moveTo>
                <a:pt x="26600" y="27513"/>
              </a:moveTo>
              <a:lnTo>
                <a:pt x="0" y="0"/>
              </a:lnTo>
              <a:lnTo>
                <a:pt x="36259" y="0"/>
              </a:lnTo>
              <a:lnTo>
                <a:pt x="62858" y="27513"/>
              </a:lnTo>
              <a:lnTo>
                <a:pt x="73380" y="38396"/>
              </a:lnTo>
              <a:lnTo>
                <a:pt x="37122" y="383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0.46015</cdr:x>
      <cdr:y>0.35959</cdr:y>
    </cdr:from>
    <cdr:to>
      <cdr:x>0.46522</cdr:x>
      <cdr:y>0.36955</cdr:y>
    </cdr:to>
    <cdr:sp macro="" textlink="">
      <cdr:nvSpPr>
        <cdr:cNvPr id="608" name="FracNo 463 StartRow 6102">
          <a:extLst xmlns:a="http://schemas.openxmlformats.org/drawingml/2006/main">
            <a:ext uri="{FF2B5EF4-FFF2-40B4-BE49-F238E27FC236}">
              <a16:creationId xmlns:a16="http://schemas.microsoft.com/office/drawing/2014/main" id="{DA288634-64C4-1240-95C9-21954467DD1A}"/>
            </a:ext>
          </a:extLst>
        </cdr:cNvPr>
        <cdr:cNvSpPr/>
      </cdr:nvSpPr>
      <cdr:spPr>
        <a:xfrm xmlns:a="http://schemas.openxmlformats.org/drawingml/2006/main">
          <a:off x="3366076" y="2740055"/>
          <a:ext cx="37123" cy="759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23" h="75901">
              <a:moveTo>
                <a:pt x="6114" y="6324"/>
              </a:moveTo>
              <a:lnTo>
                <a:pt x="0" y="0"/>
              </a:lnTo>
              <a:lnTo>
                <a:pt x="0" y="37504"/>
              </a:lnTo>
              <a:lnTo>
                <a:pt x="6046" y="43757"/>
              </a:lnTo>
              <a:lnTo>
                <a:pt x="36217" y="74964"/>
              </a:lnTo>
              <a:lnTo>
                <a:pt x="37122" y="75900"/>
              </a:lnTo>
              <a:lnTo>
                <a:pt x="37122" y="38397"/>
              </a:lnTo>
              <a:lnTo>
                <a:pt x="36626" y="378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0.1755</cdr:x>
      <cdr:y>0.46382</cdr:y>
    </cdr:from>
    <cdr:to>
      <cdr:x>0.18304</cdr:x>
      <cdr:y>0.47131</cdr:y>
    </cdr:to>
    <cdr:sp macro="" textlink="">
      <cdr:nvSpPr>
        <cdr:cNvPr id="609" name="FracNo 1001 StartRow 6113">
          <a:extLst xmlns:a="http://schemas.openxmlformats.org/drawingml/2006/main">
            <a:ext uri="{FF2B5EF4-FFF2-40B4-BE49-F238E27FC236}">
              <a16:creationId xmlns:a16="http://schemas.microsoft.com/office/drawing/2014/main" id="{967A1955-824F-2A6E-46BF-F74D598461E3}"/>
            </a:ext>
          </a:extLst>
        </cdr:cNvPr>
        <cdr:cNvSpPr/>
      </cdr:nvSpPr>
      <cdr:spPr>
        <a:xfrm xmlns:a="http://schemas.openxmlformats.org/drawingml/2006/main">
          <a:off x="1283820" y="3534337"/>
          <a:ext cx="55171" cy="57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171" h="57065">
              <a:moveTo>
                <a:pt x="39080" y="2918"/>
              </a:moveTo>
              <a:lnTo>
                <a:pt x="36258" y="0"/>
              </a:lnTo>
              <a:lnTo>
                <a:pt x="0" y="0"/>
              </a:lnTo>
              <a:lnTo>
                <a:pt x="8231" y="8513"/>
              </a:lnTo>
              <a:lnTo>
                <a:pt x="55170" y="57064"/>
              </a:lnTo>
              <a:lnTo>
                <a:pt x="55170" y="195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0.21312</cdr:x>
      <cdr:y>0.42647</cdr:y>
    </cdr:from>
    <cdr:to>
      <cdr:x>0.22066</cdr:x>
      <cdr:y>0.43396</cdr:y>
    </cdr:to>
    <cdr:sp macro="" textlink="">
      <cdr:nvSpPr>
        <cdr:cNvPr id="610" name="FracNo 141 StartRow 6122">
          <a:extLst xmlns:a="http://schemas.openxmlformats.org/drawingml/2006/main">
            <a:ext uri="{FF2B5EF4-FFF2-40B4-BE49-F238E27FC236}">
              <a16:creationId xmlns:a16="http://schemas.microsoft.com/office/drawing/2014/main" id="{FDAF0D91-6F4B-DD10-366F-22600FAC2C26}"/>
            </a:ext>
          </a:extLst>
        </cdr:cNvPr>
        <cdr:cNvSpPr/>
      </cdr:nvSpPr>
      <cdr:spPr>
        <a:xfrm xmlns:a="http://schemas.openxmlformats.org/drawingml/2006/main">
          <a:off x="1558991" y="3249715"/>
          <a:ext cx="55171" cy="57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171" h="57067">
              <a:moveTo>
                <a:pt x="944" y="38481"/>
              </a:moveTo>
              <a:lnTo>
                <a:pt x="0" y="37504"/>
              </a:lnTo>
              <a:lnTo>
                <a:pt x="0" y="0"/>
              </a:lnTo>
              <a:lnTo>
                <a:pt x="2756" y="2851"/>
              </a:lnTo>
              <a:lnTo>
                <a:pt x="55170" y="57066"/>
              </a:lnTo>
              <a:lnTo>
                <a:pt x="18912" y="570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0.29103</cdr:x>
      <cdr:y>0.3491</cdr:y>
    </cdr:from>
    <cdr:to>
      <cdr:x>0.29858</cdr:x>
      <cdr:y>0.35659</cdr:y>
    </cdr:to>
    <cdr:sp macro="" textlink="">
      <cdr:nvSpPr>
        <cdr:cNvPr id="611" name="FracNo 971 StartRow 6131">
          <a:extLst xmlns:a="http://schemas.openxmlformats.org/drawingml/2006/main">
            <a:ext uri="{FF2B5EF4-FFF2-40B4-BE49-F238E27FC236}">
              <a16:creationId xmlns:a16="http://schemas.microsoft.com/office/drawing/2014/main" id="{15D15AD3-DDE3-4001-3396-175E17839561}"/>
            </a:ext>
          </a:extLst>
        </cdr:cNvPr>
        <cdr:cNvSpPr/>
      </cdr:nvSpPr>
      <cdr:spPr>
        <a:xfrm xmlns:a="http://schemas.openxmlformats.org/drawingml/2006/main">
          <a:off x="2128966" y="2660166"/>
          <a:ext cx="55172" cy="57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172" h="57066">
              <a:moveTo>
                <a:pt x="51336" y="15595"/>
              </a:moveTo>
              <a:lnTo>
                <a:pt x="36259" y="0"/>
              </a:lnTo>
              <a:lnTo>
                <a:pt x="0" y="0"/>
              </a:lnTo>
              <a:lnTo>
                <a:pt x="43985" y="45495"/>
              </a:lnTo>
              <a:lnTo>
                <a:pt x="55171" y="57065"/>
              </a:lnTo>
              <a:lnTo>
                <a:pt x="55171" y="195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0.17467</cdr:x>
      <cdr:y>0.46465</cdr:y>
    </cdr:from>
    <cdr:to>
      <cdr:x>0.18221</cdr:x>
      <cdr:y>0.47213</cdr:y>
    </cdr:to>
    <cdr:sp macro="" textlink="">
      <cdr:nvSpPr>
        <cdr:cNvPr id="612" name="FracNo 1002 StartRow 6140">
          <a:extLst xmlns:a="http://schemas.openxmlformats.org/drawingml/2006/main">
            <a:ext uri="{FF2B5EF4-FFF2-40B4-BE49-F238E27FC236}">
              <a16:creationId xmlns:a16="http://schemas.microsoft.com/office/drawing/2014/main" id="{78B25E9C-826F-1FD7-ABE6-D03878B9E685}"/>
            </a:ext>
          </a:extLst>
        </cdr:cNvPr>
        <cdr:cNvSpPr/>
      </cdr:nvSpPr>
      <cdr:spPr>
        <a:xfrm xmlns:a="http://schemas.openxmlformats.org/drawingml/2006/main">
          <a:off x="1277763" y="3540601"/>
          <a:ext cx="55171" cy="57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171" h="57066">
              <a:moveTo>
                <a:pt x="11912" y="49825"/>
              </a:moveTo>
              <a:lnTo>
                <a:pt x="0" y="37504"/>
              </a:lnTo>
              <a:lnTo>
                <a:pt x="0" y="0"/>
              </a:lnTo>
              <a:lnTo>
                <a:pt x="34750" y="35943"/>
              </a:lnTo>
              <a:lnTo>
                <a:pt x="55170" y="57065"/>
              </a:lnTo>
              <a:lnTo>
                <a:pt x="18912" y="570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0.58701</cdr:x>
      <cdr:y>0.67128</cdr:y>
    </cdr:from>
    <cdr:to>
      <cdr:x>0.59702</cdr:x>
      <cdr:y>0.6763</cdr:y>
    </cdr:to>
    <cdr:sp macro="" textlink="">
      <cdr:nvSpPr>
        <cdr:cNvPr id="613" name="FracNo 1044 StartRow 6149">
          <a:extLst xmlns:a="http://schemas.openxmlformats.org/drawingml/2006/main">
            <a:ext uri="{FF2B5EF4-FFF2-40B4-BE49-F238E27FC236}">
              <a16:creationId xmlns:a16="http://schemas.microsoft.com/office/drawing/2014/main" id="{C64AD8B8-9BF1-04DC-DFC5-14C5591D3AD8}"/>
            </a:ext>
          </a:extLst>
        </cdr:cNvPr>
        <cdr:cNvSpPr/>
      </cdr:nvSpPr>
      <cdr:spPr>
        <a:xfrm xmlns:a="http://schemas.openxmlformats.org/drawingml/2006/main">
          <a:off x="4294061" y="5115132"/>
          <a:ext cx="73244" cy="382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244" h="38255">
              <a:moveTo>
                <a:pt x="9592" y="9921"/>
              </a:moveTo>
              <a:lnTo>
                <a:pt x="0" y="0"/>
              </a:lnTo>
              <a:lnTo>
                <a:pt x="36259" y="0"/>
              </a:lnTo>
              <a:lnTo>
                <a:pt x="45850" y="9921"/>
              </a:lnTo>
              <a:lnTo>
                <a:pt x="73243" y="38254"/>
              </a:lnTo>
              <a:lnTo>
                <a:pt x="36984" y="382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0.37645</cdr:x>
      <cdr:y>0.88035</cdr:y>
    </cdr:from>
    <cdr:to>
      <cdr:x>0.3815</cdr:x>
      <cdr:y>0.8903</cdr:y>
    </cdr:to>
    <cdr:sp macro="" textlink="">
      <cdr:nvSpPr>
        <cdr:cNvPr id="614" name="FracNo 704 StartRow 6158">
          <a:extLst xmlns:a="http://schemas.openxmlformats.org/drawingml/2006/main">
            <a:ext uri="{FF2B5EF4-FFF2-40B4-BE49-F238E27FC236}">
              <a16:creationId xmlns:a16="http://schemas.microsoft.com/office/drawing/2014/main" id="{56D15346-34F5-2D74-150B-3D87429B738C}"/>
            </a:ext>
          </a:extLst>
        </cdr:cNvPr>
        <cdr:cNvSpPr/>
      </cdr:nvSpPr>
      <cdr:spPr>
        <a:xfrm xmlns:a="http://schemas.openxmlformats.org/drawingml/2006/main">
          <a:off x="2753789" y="6708301"/>
          <a:ext cx="36984" cy="757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84" h="75758">
              <a:moveTo>
                <a:pt x="17073" y="17660"/>
              </a:moveTo>
              <a:lnTo>
                <a:pt x="0" y="0"/>
              </a:lnTo>
              <a:lnTo>
                <a:pt x="0" y="37504"/>
              </a:lnTo>
              <a:lnTo>
                <a:pt x="17073" y="55164"/>
              </a:lnTo>
              <a:lnTo>
                <a:pt x="36983" y="75757"/>
              </a:lnTo>
              <a:lnTo>
                <a:pt x="36983" y="382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0.38484</cdr:x>
      <cdr:y>0.87202</cdr:y>
    </cdr:from>
    <cdr:to>
      <cdr:x>0.3899</cdr:x>
      <cdr:y>0.88196</cdr:y>
    </cdr:to>
    <cdr:sp macro="" textlink="">
      <cdr:nvSpPr>
        <cdr:cNvPr id="615" name="FracNo 1110 StartRow 6167">
          <a:extLst xmlns:a="http://schemas.openxmlformats.org/drawingml/2006/main">
            <a:ext uri="{FF2B5EF4-FFF2-40B4-BE49-F238E27FC236}">
              <a16:creationId xmlns:a16="http://schemas.microsoft.com/office/drawing/2014/main" id="{418D13D9-345D-CA20-A3FF-A4887A7F1F24}"/>
            </a:ext>
          </a:extLst>
        </cdr:cNvPr>
        <cdr:cNvSpPr/>
      </cdr:nvSpPr>
      <cdr:spPr>
        <a:xfrm xmlns:a="http://schemas.openxmlformats.org/drawingml/2006/main">
          <a:off x="2815184" y="6644797"/>
          <a:ext cx="36985" cy="757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85" h="75758">
              <a:moveTo>
                <a:pt x="34478" y="35661"/>
              </a:moveTo>
              <a:lnTo>
                <a:pt x="0" y="0"/>
              </a:lnTo>
              <a:lnTo>
                <a:pt x="0" y="37504"/>
              </a:lnTo>
              <a:lnTo>
                <a:pt x="34478" y="73165"/>
              </a:lnTo>
              <a:lnTo>
                <a:pt x="36984" y="75757"/>
              </a:lnTo>
              <a:lnTo>
                <a:pt x="36984" y="382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0.62123</cdr:x>
      <cdr:y>0.6373</cdr:y>
    </cdr:from>
    <cdr:to>
      <cdr:x>0.62628</cdr:x>
      <cdr:y>0.64724</cdr:y>
    </cdr:to>
    <cdr:sp macro="" textlink="">
      <cdr:nvSpPr>
        <cdr:cNvPr id="616" name="FracNo 388 StartRow 6176">
          <a:extLst xmlns:a="http://schemas.openxmlformats.org/drawingml/2006/main">
            <a:ext uri="{FF2B5EF4-FFF2-40B4-BE49-F238E27FC236}">
              <a16:creationId xmlns:a16="http://schemas.microsoft.com/office/drawing/2014/main" id="{6BAAA149-7815-B6F1-5819-1C2FA823417A}"/>
            </a:ext>
          </a:extLst>
        </cdr:cNvPr>
        <cdr:cNvSpPr/>
      </cdr:nvSpPr>
      <cdr:spPr>
        <a:xfrm xmlns:a="http://schemas.openxmlformats.org/drawingml/2006/main">
          <a:off x="4544397" y="4856199"/>
          <a:ext cx="36985" cy="757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85" h="75759">
              <a:moveTo>
                <a:pt x="36058" y="37296"/>
              </a:moveTo>
              <a:lnTo>
                <a:pt x="0" y="0"/>
              </a:lnTo>
              <a:lnTo>
                <a:pt x="0" y="37503"/>
              </a:lnTo>
              <a:lnTo>
                <a:pt x="36058" y="74800"/>
              </a:lnTo>
              <a:lnTo>
                <a:pt x="36984" y="75758"/>
              </a:lnTo>
              <a:lnTo>
                <a:pt x="36984" y="382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0.367</cdr:x>
      <cdr:y>0.72892</cdr:y>
    </cdr:from>
    <cdr:to>
      <cdr:x>0.37203</cdr:x>
      <cdr:y>0.73884</cdr:y>
    </cdr:to>
    <cdr:sp macro="" textlink="">
      <cdr:nvSpPr>
        <cdr:cNvPr id="617" name="FracNo 968 StartRow 6185">
          <a:extLst xmlns:a="http://schemas.openxmlformats.org/drawingml/2006/main">
            <a:ext uri="{FF2B5EF4-FFF2-40B4-BE49-F238E27FC236}">
              <a16:creationId xmlns:a16="http://schemas.microsoft.com/office/drawing/2014/main" id="{F3717F3C-2B81-33AA-5D69-8B56C106011B}"/>
            </a:ext>
          </a:extLst>
        </cdr:cNvPr>
        <cdr:cNvSpPr/>
      </cdr:nvSpPr>
      <cdr:spPr>
        <a:xfrm xmlns:a="http://schemas.openxmlformats.org/drawingml/2006/main">
          <a:off x="2684649" y="5554391"/>
          <a:ext cx="36798" cy="755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98" h="75565">
              <a:moveTo>
                <a:pt x="35527" y="36747"/>
              </a:moveTo>
              <a:lnTo>
                <a:pt x="0" y="0"/>
              </a:lnTo>
              <a:lnTo>
                <a:pt x="0" y="37503"/>
              </a:lnTo>
              <a:lnTo>
                <a:pt x="35527" y="74251"/>
              </a:lnTo>
              <a:lnTo>
                <a:pt x="36797" y="75564"/>
              </a:lnTo>
              <a:lnTo>
                <a:pt x="36797" y="380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0.3365</cdr:x>
      <cdr:y>0.75921</cdr:y>
    </cdr:from>
    <cdr:to>
      <cdr:x>0.34648</cdr:x>
      <cdr:y>0.7642</cdr:y>
    </cdr:to>
    <cdr:sp macro="" textlink="">
      <cdr:nvSpPr>
        <cdr:cNvPr id="618" name="FracNo 1024 StartRow 6194">
          <a:extLst xmlns:a="http://schemas.openxmlformats.org/drawingml/2006/main">
            <a:ext uri="{FF2B5EF4-FFF2-40B4-BE49-F238E27FC236}">
              <a16:creationId xmlns:a16="http://schemas.microsoft.com/office/drawing/2014/main" id="{53F5A01B-1CCF-0261-2648-3F9573DDA9A2}"/>
            </a:ext>
          </a:extLst>
        </cdr:cNvPr>
        <cdr:cNvSpPr/>
      </cdr:nvSpPr>
      <cdr:spPr>
        <a:xfrm xmlns:a="http://schemas.openxmlformats.org/drawingml/2006/main">
          <a:off x="2461540" y="5785162"/>
          <a:ext cx="73056" cy="380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056" h="38061">
              <a:moveTo>
                <a:pt x="34878" y="36075"/>
              </a:moveTo>
              <a:lnTo>
                <a:pt x="0" y="0"/>
              </a:lnTo>
              <a:lnTo>
                <a:pt x="36259" y="0"/>
              </a:lnTo>
              <a:lnTo>
                <a:pt x="71136" y="36075"/>
              </a:lnTo>
              <a:lnTo>
                <a:pt x="73055" y="38060"/>
              </a:lnTo>
              <a:lnTo>
                <a:pt x="36797" y="380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0.37714</cdr:x>
      <cdr:y>0.71885</cdr:y>
    </cdr:from>
    <cdr:to>
      <cdr:x>0.38712</cdr:x>
      <cdr:y>0.72385</cdr:y>
    </cdr:to>
    <cdr:sp macro="" textlink="">
      <cdr:nvSpPr>
        <cdr:cNvPr id="619" name="FracNo 989 StartRow 6203">
          <a:extLst xmlns:a="http://schemas.openxmlformats.org/drawingml/2006/main">
            <a:ext uri="{FF2B5EF4-FFF2-40B4-BE49-F238E27FC236}">
              <a16:creationId xmlns:a16="http://schemas.microsoft.com/office/drawing/2014/main" id="{B0B6C5E6-CB30-4F36-568A-6E085D1C864E}"/>
            </a:ext>
          </a:extLst>
        </cdr:cNvPr>
        <cdr:cNvSpPr/>
      </cdr:nvSpPr>
      <cdr:spPr>
        <a:xfrm xmlns:a="http://schemas.openxmlformats.org/drawingml/2006/main">
          <a:off x="2758827" y="5477665"/>
          <a:ext cx="73057" cy="380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057" h="38061">
              <a:moveTo>
                <a:pt x="8900" y="9205"/>
              </a:moveTo>
              <a:lnTo>
                <a:pt x="0" y="0"/>
              </a:lnTo>
              <a:lnTo>
                <a:pt x="36259" y="0"/>
              </a:lnTo>
              <a:lnTo>
                <a:pt x="45158" y="9205"/>
              </a:lnTo>
              <a:lnTo>
                <a:pt x="73056" y="38060"/>
              </a:lnTo>
              <a:lnTo>
                <a:pt x="36797" y="380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0.58525</cdr:x>
      <cdr:y>0.41761</cdr:y>
    </cdr:from>
    <cdr:to>
      <cdr:x>0.59276</cdr:x>
      <cdr:y>0.42506</cdr:y>
    </cdr:to>
    <cdr:sp macro="" textlink="">
      <cdr:nvSpPr>
        <cdr:cNvPr id="620" name="FracNo 940 StartRow 6212">
          <a:extLst xmlns:a="http://schemas.openxmlformats.org/drawingml/2006/main">
            <a:ext uri="{FF2B5EF4-FFF2-40B4-BE49-F238E27FC236}">
              <a16:creationId xmlns:a16="http://schemas.microsoft.com/office/drawing/2014/main" id="{26E96050-6075-5799-21AA-4E78FCECFD00}"/>
            </a:ext>
          </a:extLst>
        </cdr:cNvPr>
        <cdr:cNvSpPr/>
      </cdr:nvSpPr>
      <cdr:spPr>
        <a:xfrm xmlns:a="http://schemas.openxmlformats.org/drawingml/2006/main">
          <a:off x="4281244" y="3182206"/>
          <a:ext cx="54890" cy="567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890" h="56775">
              <a:moveTo>
                <a:pt x="44431" y="8453"/>
              </a:moveTo>
              <a:lnTo>
                <a:pt x="36259" y="0"/>
              </a:lnTo>
              <a:lnTo>
                <a:pt x="0" y="0"/>
              </a:lnTo>
              <a:lnTo>
                <a:pt x="24077" y="24904"/>
              </a:lnTo>
              <a:lnTo>
                <a:pt x="54889" y="56774"/>
              </a:lnTo>
              <a:lnTo>
                <a:pt x="54889" y="192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0.57426</cdr:x>
      <cdr:y>0.42852</cdr:y>
    </cdr:from>
    <cdr:to>
      <cdr:x>0.58177</cdr:x>
      <cdr:y>0.43597</cdr:y>
    </cdr:to>
    <cdr:sp macro="" textlink="">
      <cdr:nvSpPr>
        <cdr:cNvPr id="621" name="FracNo 1131 StartRow 6221">
          <a:extLst xmlns:a="http://schemas.openxmlformats.org/drawingml/2006/main">
            <a:ext uri="{FF2B5EF4-FFF2-40B4-BE49-F238E27FC236}">
              <a16:creationId xmlns:a16="http://schemas.microsoft.com/office/drawing/2014/main" id="{7BD964E9-046F-C277-CD52-B1B13171DF61}"/>
            </a:ext>
          </a:extLst>
        </cdr:cNvPr>
        <cdr:cNvSpPr/>
      </cdr:nvSpPr>
      <cdr:spPr>
        <a:xfrm xmlns:a="http://schemas.openxmlformats.org/drawingml/2006/main">
          <a:off x="4200858" y="3265353"/>
          <a:ext cx="54890" cy="56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890" h="56774">
              <a:moveTo>
                <a:pt x="12078" y="49995"/>
              </a:moveTo>
              <a:lnTo>
                <a:pt x="0" y="37504"/>
              </a:lnTo>
              <a:lnTo>
                <a:pt x="0" y="0"/>
              </a:lnTo>
              <a:lnTo>
                <a:pt x="35583" y="36804"/>
              </a:lnTo>
              <a:lnTo>
                <a:pt x="54889" y="56773"/>
              </a:lnTo>
              <a:lnTo>
                <a:pt x="18631" y="567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0.60054</cdr:x>
      <cdr:y>0.40243</cdr:y>
    </cdr:from>
    <cdr:to>
      <cdr:x>0.60804</cdr:x>
      <cdr:y>0.40988</cdr:y>
    </cdr:to>
    <cdr:sp macro="" textlink="">
      <cdr:nvSpPr>
        <cdr:cNvPr id="622" name="FracNo 400 StartRow 6230">
          <a:extLst xmlns:a="http://schemas.openxmlformats.org/drawingml/2006/main">
            <a:ext uri="{FF2B5EF4-FFF2-40B4-BE49-F238E27FC236}">
              <a16:creationId xmlns:a16="http://schemas.microsoft.com/office/drawing/2014/main" id="{276461EF-8199-07A4-63B2-301AC1AEF653}"/>
            </a:ext>
          </a:extLst>
        </cdr:cNvPr>
        <cdr:cNvSpPr/>
      </cdr:nvSpPr>
      <cdr:spPr>
        <a:xfrm xmlns:a="http://schemas.openxmlformats.org/drawingml/2006/main">
          <a:off x="4393065" y="3066546"/>
          <a:ext cx="54889" cy="56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889" h="56774">
              <a:moveTo>
                <a:pt x="384" y="37901"/>
              </a:moveTo>
              <a:lnTo>
                <a:pt x="0" y="37503"/>
              </a:lnTo>
              <a:lnTo>
                <a:pt x="0" y="0"/>
              </a:lnTo>
              <a:lnTo>
                <a:pt x="1133" y="1171"/>
              </a:lnTo>
              <a:lnTo>
                <a:pt x="54888" y="56773"/>
              </a:lnTo>
              <a:lnTo>
                <a:pt x="18630" y="567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0.24212</cdr:x>
      <cdr:y>0.63491</cdr:y>
    </cdr:from>
    <cdr:to>
      <cdr:x>0.24834</cdr:x>
      <cdr:y>0.64355</cdr:y>
    </cdr:to>
    <cdr:sp macro="" textlink="">
      <cdr:nvSpPr>
        <cdr:cNvPr id="623" name="FracNo 160 StartRow 6239">
          <a:extLst xmlns:a="http://schemas.openxmlformats.org/drawingml/2006/main">
            <a:ext uri="{FF2B5EF4-FFF2-40B4-BE49-F238E27FC236}">
              <a16:creationId xmlns:a16="http://schemas.microsoft.com/office/drawing/2014/main" id="{FE54861C-3B82-E806-3776-0561F836B0DE}"/>
            </a:ext>
          </a:extLst>
        </cdr:cNvPr>
        <cdr:cNvSpPr/>
      </cdr:nvSpPr>
      <cdr:spPr>
        <a:xfrm xmlns:a="http://schemas.openxmlformats.org/drawingml/2006/main">
          <a:off x="1771159" y="4838012"/>
          <a:ext cx="45517" cy="658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517" h="65832">
              <a:moveTo>
                <a:pt x="24255" y="6336"/>
              </a:moveTo>
              <a:lnTo>
                <a:pt x="18129" y="0"/>
              </a:lnTo>
              <a:lnTo>
                <a:pt x="0" y="18752"/>
              </a:lnTo>
              <a:lnTo>
                <a:pt x="10181" y="29283"/>
              </a:lnTo>
              <a:lnTo>
                <a:pt x="45516" y="65831"/>
              </a:lnTo>
              <a:lnTo>
                <a:pt x="45516" y="283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0.68814</cdr:x>
      <cdr:y>0.63016</cdr:y>
    </cdr:from>
    <cdr:to>
      <cdr:x>0.69312</cdr:x>
      <cdr:y>0.64003</cdr:y>
    </cdr:to>
    <cdr:sp macro="" textlink="">
      <cdr:nvSpPr>
        <cdr:cNvPr id="624" name="FracNo 867 StartRow 6248">
          <a:extLst xmlns:a="http://schemas.openxmlformats.org/drawingml/2006/main">
            <a:ext uri="{FF2B5EF4-FFF2-40B4-BE49-F238E27FC236}">
              <a16:creationId xmlns:a16="http://schemas.microsoft.com/office/drawing/2014/main" id="{1BFE0CAB-120F-1939-4CB1-39264E675DEB}"/>
            </a:ext>
          </a:extLst>
        </cdr:cNvPr>
        <cdr:cNvSpPr/>
      </cdr:nvSpPr>
      <cdr:spPr>
        <a:xfrm xmlns:a="http://schemas.openxmlformats.org/drawingml/2006/main">
          <a:off x="5033907" y="4801835"/>
          <a:ext cx="36434" cy="75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434" h="75189">
              <a:moveTo>
                <a:pt x="19267" y="57432"/>
              </a:moveTo>
              <a:lnTo>
                <a:pt x="0" y="37504"/>
              </a:lnTo>
              <a:lnTo>
                <a:pt x="0" y="0"/>
              </a:lnTo>
              <a:lnTo>
                <a:pt x="19267" y="19929"/>
              </a:lnTo>
              <a:lnTo>
                <a:pt x="36433" y="37684"/>
              </a:lnTo>
              <a:lnTo>
                <a:pt x="36433" y="751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0.50513</cdr:x>
      <cdr:y>0.43586</cdr:y>
    </cdr:from>
    <cdr:to>
      <cdr:x>0.51255</cdr:x>
      <cdr:y>0.44323</cdr:y>
    </cdr:to>
    <cdr:sp macro="" textlink="">
      <cdr:nvSpPr>
        <cdr:cNvPr id="625" name="FracNo 1083 StartRow 6257">
          <a:extLst xmlns:a="http://schemas.openxmlformats.org/drawingml/2006/main">
            <a:ext uri="{FF2B5EF4-FFF2-40B4-BE49-F238E27FC236}">
              <a16:creationId xmlns:a16="http://schemas.microsoft.com/office/drawing/2014/main" id="{2A8A731A-0E76-AE89-A195-61D9900C3687}"/>
            </a:ext>
          </a:extLst>
        </cdr:cNvPr>
        <cdr:cNvSpPr/>
      </cdr:nvSpPr>
      <cdr:spPr>
        <a:xfrm xmlns:a="http://schemas.openxmlformats.org/drawingml/2006/main">
          <a:off x="3695130" y="3321255"/>
          <a:ext cx="54310" cy="561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310" h="56176">
              <a:moveTo>
                <a:pt x="3026" y="3131"/>
              </a:moveTo>
              <a:lnTo>
                <a:pt x="0" y="0"/>
              </a:lnTo>
              <a:lnTo>
                <a:pt x="0" y="37504"/>
              </a:lnTo>
              <a:lnTo>
                <a:pt x="1006" y="38545"/>
              </a:lnTo>
              <a:lnTo>
                <a:pt x="18051" y="56175"/>
              </a:lnTo>
              <a:lnTo>
                <a:pt x="54309" y="561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0.76104</cdr:x>
      <cdr:y>0.29483</cdr:y>
    </cdr:from>
    <cdr:to>
      <cdr:x>0.76846</cdr:x>
      <cdr:y>0.3022</cdr:y>
    </cdr:to>
    <cdr:sp macro="" textlink="">
      <cdr:nvSpPr>
        <cdr:cNvPr id="626" name="FracNo 1058 StartRow 6266">
          <a:extLst xmlns:a="http://schemas.openxmlformats.org/drawingml/2006/main">
            <a:ext uri="{FF2B5EF4-FFF2-40B4-BE49-F238E27FC236}">
              <a16:creationId xmlns:a16="http://schemas.microsoft.com/office/drawing/2014/main" id="{4DD24F96-39F6-4B27-FD91-3BF783D57139}"/>
            </a:ext>
          </a:extLst>
        </cdr:cNvPr>
        <cdr:cNvSpPr/>
      </cdr:nvSpPr>
      <cdr:spPr>
        <a:xfrm xmlns:a="http://schemas.openxmlformats.org/drawingml/2006/main">
          <a:off x="5567170" y="2246618"/>
          <a:ext cx="54261" cy="561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261" h="56125">
              <a:moveTo>
                <a:pt x="15731" y="53776"/>
              </a:moveTo>
              <a:lnTo>
                <a:pt x="0" y="37504"/>
              </a:lnTo>
              <a:lnTo>
                <a:pt x="0" y="0"/>
              </a:lnTo>
              <a:lnTo>
                <a:pt x="47418" y="49047"/>
              </a:lnTo>
              <a:lnTo>
                <a:pt x="54260" y="56124"/>
              </a:lnTo>
              <a:lnTo>
                <a:pt x="18002" y="561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0.2904</cdr:x>
      <cdr:y>0.53079</cdr:y>
    </cdr:from>
    <cdr:to>
      <cdr:x>0.29904</cdr:x>
      <cdr:y>0.5369</cdr:y>
    </cdr:to>
    <cdr:sp macro="" textlink="">
      <cdr:nvSpPr>
        <cdr:cNvPr id="627" name="FracNo 977 StartRow 6275">
          <a:extLst xmlns:a="http://schemas.openxmlformats.org/drawingml/2006/main">
            <a:ext uri="{FF2B5EF4-FFF2-40B4-BE49-F238E27FC236}">
              <a16:creationId xmlns:a16="http://schemas.microsoft.com/office/drawing/2014/main" id="{120CE9DA-9BDE-0699-AECC-0639A9204DA2}"/>
            </a:ext>
          </a:extLst>
        </cdr:cNvPr>
        <cdr:cNvSpPr/>
      </cdr:nvSpPr>
      <cdr:spPr>
        <a:xfrm xmlns:a="http://schemas.openxmlformats.org/drawingml/2006/main">
          <a:off x="2124356" y="4044618"/>
          <a:ext cx="63168" cy="465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168" h="46585">
              <a:moveTo>
                <a:pt x="37448" y="19982"/>
              </a:moveTo>
              <a:lnTo>
                <a:pt x="18130" y="0"/>
              </a:lnTo>
              <a:lnTo>
                <a:pt x="0" y="18752"/>
              </a:lnTo>
              <a:lnTo>
                <a:pt x="11543" y="30691"/>
              </a:lnTo>
              <a:lnTo>
                <a:pt x="26909" y="46584"/>
              </a:lnTo>
              <a:lnTo>
                <a:pt x="63167" y="465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0.80667</cdr:x>
      <cdr:y>0.90075</cdr:y>
    </cdr:from>
    <cdr:to>
      <cdr:x>0.81158</cdr:x>
      <cdr:y>0.91055</cdr:y>
    </cdr:to>
    <cdr:sp macro="" textlink="">
      <cdr:nvSpPr>
        <cdr:cNvPr id="628" name="FracNo 558 StartRow 6284">
          <a:extLst xmlns:a="http://schemas.openxmlformats.org/drawingml/2006/main">
            <a:ext uri="{FF2B5EF4-FFF2-40B4-BE49-F238E27FC236}">
              <a16:creationId xmlns:a16="http://schemas.microsoft.com/office/drawing/2014/main" id="{5556B7D5-3F9C-D7B7-4FED-07E5B74A95FD}"/>
            </a:ext>
          </a:extLst>
        </cdr:cNvPr>
        <cdr:cNvSpPr/>
      </cdr:nvSpPr>
      <cdr:spPr>
        <a:xfrm xmlns:a="http://schemas.openxmlformats.org/drawingml/2006/main">
          <a:off x="5900929" y="6863723"/>
          <a:ext cx="35928" cy="746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928" h="74665">
              <a:moveTo>
                <a:pt x="33771" y="34930"/>
              </a:moveTo>
              <a:lnTo>
                <a:pt x="0" y="0"/>
              </a:lnTo>
              <a:lnTo>
                <a:pt x="0" y="37503"/>
              </a:lnTo>
              <a:lnTo>
                <a:pt x="33771" y="72434"/>
              </a:lnTo>
              <a:lnTo>
                <a:pt x="35927" y="74664"/>
              </a:lnTo>
              <a:lnTo>
                <a:pt x="35927" y="371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0.82906</cdr:x>
      <cdr:y>0.36105</cdr:y>
    </cdr:from>
    <cdr:to>
      <cdr:x>0.83641</cdr:x>
      <cdr:y>0.36834</cdr:y>
    </cdr:to>
    <cdr:sp macro="" textlink="">
      <cdr:nvSpPr>
        <cdr:cNvPr id="629" name="FracNo 302 StartRow 6293">
          <a:extLst xmlns:a="http://schemas.openxmlformats.org/drawingml/2006/main">
            <a:ext uri="{FF2B5EF4-FFF2-40B4-BE49-F238E27FC236}">
              <a16:creationId xmlns:a16="http://schemas.microsoft.com/office/drawing/2014/main" id="{2D9D8BC3-0511-14C1-0E68-9DB81F08DC29}"/>
            </a:ext>
          </a:extLst>
        </cdr:cNvPr>
        <cdr:cNvSpPr/>
      </cdr:nvSpPr>
      <cdr:spPr>
        <a:xfrm xmlns:a="http://schemas.openxmlformats.org/drawingml/2006/main">
          <a:off x="6064770" y="2751196"/>
          <a:ext cx="53745" cy="555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745" h="55592">
              <a:moveTo>
                <a:pt x="34222" y="35398"/>
              </a:moveTo>
              <a:lnTo>
                <a:pt x="0" y="0"/>
              </a:lnTo>
              <a:lnTo>
                <a:pt x="0" y="37504"/>
              </a:lnTo>
              <a:lnTo>
                <a:pt x="15282" y="53311"/>
              </a:lnTo>
              <a:lnTo>
                <a:pt x="15836" y="53884"/>
              </a:lnTo>
              <a:lnTo>
                <a:pt x="17486" y="55591"/>
              </a:lnTo>
              <a:lnTo>
                <a:pt x="53744" y="55591"/>
              </a:lnTo>
              <a:lnTo>
                <a:pt x="35463" y="366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0.70586</cdr:x>
      <cdr:y>0.48339</cdr:y>
    </cdr:from>
    <cdr:to>
      <cdr:x>0.71321</cdr:x>
      <cdr:y>0.49068</cdr:y>
    </cdr:to>
    <cdr:sp macro="" textlink="">
      <cdr:nvSpPr>
        <cdr:cNvPr id="630" name="FracNo 1022 StartRow 6304">
          <a:extLst xmlns:a="http://schemas.openxmlformats.org/drawingml/2006/main">
            <a:ext uri="{FF2B5EF4-FFF2-40B4-BE49-F238E27FC236}">
              <a16:creationId xmlns:a16="http://schemas.microsoft.com/office/drawing/2014/main" id="{1CE7FB91-AFA8-13A9-29EA-94B1F1C26734}"/>
            </a:ext>
          </a:extLst>
        </cdr:cNvPr>
        <cdr:cNvSpPr/>
      </cdr:nvSpPr>
      <cdr:spPr>
        <a:xfrm xmlns:a="http://schemas.openxmlformats.org/drawingml/2006/main">
          <a:off x="5163516" y="3683401"/>
          <a:ext cx="53746" cy="55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746" h="55591">
              <a:moveTo>
                <a:pt x="25262" y="26129"/>
              </a:moveTo>
              <a:lnTo>
                <a:pt x="0" y="0"/>
              </a:lnTo>
              <a:lnTo>
                <a:pt x="36259" y="0"/>
              </a:lnTo>
              <a:lnTo>
                <a:pt x="44478" y="8501"/>
              </a:lnTo>
              <a:lnTo>
                <a:pt x="53745" y="18086"/>
              </a:lnTo>
              <a:lnTo>
                <a:pt x="53745" y="555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0.86671</cdr:x>
      <cdr:y>0.32367</cdr:y>
    </cdr:from>
    <cdr:to>
      <cdr:x>0.87406</cdr:x>
      <cdr:y>0.33096</cdr:y>
    </cdr:to>
    <cdr:sp macro="" textlink="">
      <cdr:nvSpPr>
        <cdr:cNvPr id="631" name="FracNo 997 StartRow 6313">
          <a:extLst xmlns:a="http://schemas.openxmlformats.org/drawingml/2006/main">
            <a:ext uri="{FF2B5EF4-FFF2-40B4-BE49-F238E27FC236}">
              <a16:creationId xmlns:a16="http://schemas.microsoft.com/office/drawing/2014/main" id="{70D8EA5C-22DB-6FEB-DB7E-DD8E1AC362CC}"/>
            </a:ext>
          </a:extLst>
        </cdr:cNvPr>
        <cdr:cNvSpPr/>
      </cdr:nvSpPr>
      <cdr:spPr>
        <a:xfrm xmlns:a="http://schemas.openxmlformats.org/drawingml/2006/main">
          <a:off x="6340169" y="2466340"/>
          <a:ext cx="53745" cy="55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745" h="55591">
              <a:moveTo>
                <a:pt x="35418" y="36635"/>
              </a:moveTo>
              <a:lnTo>
                <a:pt x="0" y="0"/>
              </a:lnTo>
              <a:lnTo>
                <a:pt x="36258" y="0"/>
              </a:lnTo>
              <a:lnTo>
                <a:pt x="47781" y="11919"/>
              </a:lnTo>
              <a:lnTo>
                <a:pt x="53744" y="18086"/>
              </a:lnTo>
              <a:lnTo>
                <a:pt x="53744" y="555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0.16654</cdr:x>
      <cdr:y>0.46313</cdr:y>
    </cdr:from>
    <cdr:to>
      <cdr:x>0.17385</cdr:x>
      <cdr:y>0.47039</cdr:y>
    </cdr:to>
    <cdr:sp macro="" textlink="">
      <cdr:nvSpPr>
        <cdr:cNvPr id="632" name="FracNo 932 StartRow 6322">
          <a:extLst xmlns:a="http://schemas.openxmlformats.org/drawingml/2006/main">
            <a:ext uri="{FF2B5EF4-FFF2-40B4-BE49-F238E27FC236}">
              <a16:creationId xmlns:a16="http://schemas.microsoft.com/office/drawing/2014/main" id="{7BC3DCF6-629C-D09A-172E-10BCB131404A}"/>
            </a:ext>
          </a:extLst>
        </cdr:cNvPr>
        <cdr:cNvSpPr/>
      </cdr:nvSpPr>
      <cdr:spPr>
        <a:xfrm xmlns:a="http://schemas.openxmlformats.org/drawingml/2006/main">
          <a:off x="1218255" y="3529075"/>
          <a:ext cx="53456" cy="552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456" h="55292">
              <a:moveTo>
                <a:pt x="14661" y="15164"/>
              </a:moveTo>
              <a:lnTo>
                <a:pt x="0" y="0"/>
              </a:lnTo>
              <a:lnTo>
                <a:pt x="36258" y="0"/>
              </a:lnTo>
              <a:lnTo>
                <a:pt x="40975" y="4878"/>
              </a:lnTo>
              <a:lnTo>
                <a:pt x="53455" y="17787"/>
              </a:lnTo>
              <a:lnTo>
                <a:pt x="53455" y="552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0.18749</cdr:x>
      <cdr:y>0.44233</cdr:y>
    </cdr:from>
    <cdr:to>
      <cdr:x>0.19479</cdr:x>
      <cdr:y>0.44959</cdr:y>
    </cdr:to>
    <cdr:sp macro="" textlink="">
      <cdr:nvSpPr>
        <cdr:cNvPr id="633" name="FracNo 1112 StartRow 6331">
          <a:extLst xmlns:a="http://schemas.openxmlformats.org/drawingml/2006/main">
            <a:ext uri="{FF2B5EF4-FFF2-40B4-BE49-F238E27FC236}">
              <a16:creationId xmlns:a16="http://schemas.microsoft.com/office/drawing/2014/main" id="{F29F716F-5F24-D317-06A7-DAE2C0CF080E}"/>
            </a:ext>
          </a:extLst>
        </cdr:cNvPr>
        <cdr:cNvSpPr/>
      </cdr:nvSpPr>
      <cdr:spPr>
        <a:xfrm xmlns:a="http://schemas.openxmlformats.org/drawingml/2006/main">
          <a:off x="1371498" y="3370569"/>
          <a:ext cx="53456" cy="552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456" h="55292">
              <a:moveTo>
                <a:pt x="43527" y="45022"/>
              </a:moveTo>
              <a:lnTo>
                <a:pt x="0" y="0"/>
              </a:lnTo>
              <a:lnTo>
                <a:pt x="36258" y="0"/>
              </a:lnTo>
              <a:lnTo>
                <a:pt x="50261" y="14484"/>
              </a:lnTo>
              <a:lnTo>
                <a:pt x="53455" y="17787"/>
              </a:lnTo>
              <a:lnTo>
                <a:pt x="53455" y="552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0.21131</cdr:x>
      <cdr:y>0.39885</cdr:y>
    </cdr:from>
    <cdr:to>
      <cdr:x>0.21613</cdr:x>
      <cdr:y>0.40856</cdr:y>
    </cdr:to>
    <cdr:sp macro="" textlink="">
      <cdr:nvSpPr>
        <cdr:cNvPr id="634" name="FracNo 1034 StartRow 6340">
          <a:extLst xmlns:a="http://schemas.openxmlformats.org/drawingml/2006/main">
            <a:ext uri="{FF2B5EF4-FFF2-40B4-BE49-F238E27FC236}">
              <a16:creationId xmlns:a16="http://schemas.microsoft.com/office/drawing/2014/main" id="{6BAD6AB1-BE22-4C21-25E6-71620960A736}"/>
            </a:ext>
          </a:extLst>
        </cdr:cNvPr>
        <cdr:cNvSpPr/>
      </cdr:nvSpPr>
      <cdr:spPr>
        <a:xfrm xmlns:a="http://schemas.openxmlformats.org/drawingml/2006/main">
          <a:off x="1545742" y="3039228"/>
          <a:ext cx="35306" cy="740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306" h="74022">
              <a:moveTo>
                <a:pt x="16975" y="55062"/>
              </a:moveTo>
              <a:lnTo>
                <a:pt x="0" y="37504"/>
              </a:lnTo>
              <a:lnTo>
                <a:pt x="0" y="0"/>
              </a:lnTo>
              <a:lnTo>
                <a:pt x="16975" y="17558"/>
              </a:lnTo>
              <a:lnTo>
                <a:pt x="35305" y="36517"/>
              </a:lnTo>
              <a:lnTo>
                <a:pt x="35305" y="740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0.4628</cdr:x>
      <cdr:y>0.39816</cdr:y>
    </cdr:from>
    <cdr:to>
      <cdr:x>0.47009</cdr:x>
      <cdr:y>0.4054</cdr:y>
    </cdr:to>
    <cdr:sp macro="" textlink="">
      <cdr:nvSpPr>
        <cdr:cNvPr id="635" name="FracNo 895 StartRow 6349">
          <a:extLst xmlns:a="http://schemas.openxmlformats.org/drawingml/2006/main">
            <a:ext uri="{FF2B5EF4-FFF2-40B4-BE49-F238E27FC236}">
              <a16:creationId xmlns:a16="http://schemas.microsoft.com/office/drawing/2014/main" id="{066E65E8-7F72-9E19-D78B-D1964C6FC71E}"/>
            </a:ext>
          </a:extLst>
        </cdr:cNvPr>
        <cdr:cNvSpPr/>
      </cdr:nvSpPr>
      <cdr:spPr>
        <a:xfrm xmlns:a="http://schemas.openxmlformats.org/drawingml/2006/main">
          <a:off x="3385448" y="3033993"/>
          <a:ext cx="53331" cy="551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331" h="55162">
              <a:moveTo>
                <a:pt x="43328" y="44816"/>
              </a:moveTo>
              <a:lnTo>
                <a:pt x="0" y="0"/>
              </a:lnTo>
              <a:lnTo>
                <a:pt x="36258" y="0"/>
              </a:lnTo>
              <a:lnTo>
                <a:pt x="50128" y="14346"/>
              </a:lnTo>
              <a:lnTo>
                <a:pt x="53330" y="17658"/>
              </a:lnTo>
              <a:lnTo>
                <a:pt x="53330" y="551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0.48711</cdr:x>
      <cdr:y>0.37402</cdr:y>
    </cdr:from>
    <cdr:to>
      <cdr:x>0.4944</cdr:x>
      <cdr:y>0.38126</cdr:y>
    </cdr:to>
    <cdr:sp macro="" textlink="">
      <cdr:nvSpPr>
        <cdr:cNvPr id="636" name="FracNo 923 StartRow 6358">
          <a:extLst xmlns:a="http://schemas.openxmlformats.org/drawingml/2006/main">
            <a:ext uri="{FF2B5EF4-FFF2-40B4-BE49-F238E27FC236}">
              <a16:creationId xmlns:a16="http://schemas.microsoft.com/office/drawing/2014/main" id="{8D43F65F-EFEF-C179-C3EA-88E539E82DC2}"/>
            </a:ext>
          </a:extLst>
        </cdr:cNvPr>
        <cdr:cNvSpPr/>
      </cdr:nvSpPr>
      <cdr:spPr>
        <a:xfrm xmlns:a="http://schemas.openxmlformats.org/drawingml/2006/main">
          <a:off x="3563298" y="2850035"/>
          <a:ext cx="53331" cy="55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331" h="55163">
              <a:moveTo>
                <a:pt x="26053" y="26948"/>
              </a:moveTo>
              <a:lnTo>
                <a:pt x="0" y="0"/>
              </a:lnTo>
              <a:lnTo>
                <a:pt x="36258" y="0"/>
              </a:lnTo>
              <a:lnTo>
                <a:pt x="44598" y="8626"/>
              </a:lnTo>
              <a:lnTo>
                <a:pt x="53330" y="17658"/>
              </a:lnTo>
              <a:lnTo>
                <a:pt x="53330" y="551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0.74158</cdr:x>
      <cdr:y>0.75361</cdr:y>
    </cdr:from>
    <cdr:to>
      <cdr:x>0.74884</cdr:x>
      <cdr:y>0.76082</cdr:y>
    </cdr:to>
    <cdr:sp macro="" textlink="">
      <cdr:nvSpPr>
        <cdr:cNvPr id="637" name="FracNo 884 StartRow 6367">
          <a:extLst xmlns:a="http://schemas.openxmlformats.org/drawingml/2006/main">
            <a:ext uri="{FF2B5EF4-FFF2-40B4-BE49-F238E27FC236}">
              <a16:creationId xmlns:a16="http://schemas.microsoft.com/office/drawing/2014/main" id="{3EDC77CE-6E99-5B55-A294-258548DC027C}"/>
            </a:ext>
          </a:extLst>
        </cdr:cNvPr>
        <cdr:cNvSpPr/>
      </cdr:nvSpPr>
      <cdr:spPr>
        <a:xfrm xmlns:a="http://schemas.openxmlformats.org/drawingml/2006/main">
          <a:off x="5424772" y="5742508"/>
          <a:ext cx="53147" cy="54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47" h="54972">
              <a:moveTo>
                <a:pt x="8679" y="46482"/>
              </a:moveTo>
              <a:lnTo>
                <a:pt x="0" y="37504"/>
              </a:lnTo>
              <a:lnTo>
                <a:pt x="0" y="0"/>
              </a:lnTo>
              <a:lnTo>
                <a:pt x="27315" y="28253"/>
              </a:lnTo>
              <a:lnTo>
                <a:pt x="53146" y="54971"/>
              </a:lnTo>
              <a:lnTo>
                <a:pt x="16887" y="549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0.34435</cdr:x>
      <cdr:y>0.27035</cdr:y>
    </cdr:from>
    <cdr:to>
      <cdr:x>0.35161</cdr:x>
      <cdr:y>0.27756</cdr:y>
    </cdr:to>
    <cdr:sp macro="" textlink="">
      <cdr:nvSpPr>
        <cdr:cNvPr id="638" name="FracNo 929 StartRow 6376">
          <a:extLst xmlns:a="http://schemas.openxmlformats.org/drawingml/2006/main">
            <a:ext uri="{FF2B5EF4-FFF2-40B4-BE49-F238E27FC236}">
              <a16:creationId xmlns:a16="http://schemas.microsoft.com/office/drawing/2014/main" id="{F50DEFF9-CB1C-4E1D-2651-07C5D4292D5B}"/>
            </a:ext>
          </a:extLst>
        </cdr:cNvPr>
        <cdr:cNvSpPr/>
      </cdr:nvSpPr>
      <cdr:spPr>
        <a:xfrm xmlns:a="http://schemas.openxmlformats.org/drawingml/2006/main">
          <a:off x="2518994" y="2060091"/>
          <a:ext cx="53113" cy="549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13" h="54936">
              <a:moveTo>
                <a:pt x="47363" y="11485"/>
              </a:moveTo>
              <a:lnTo>
                <a:pt x="36259" y="0"/>
              </a:lnTo>
              <a:lnTo>
                <a:pt x="0" y="0"/>
              </a:lnTo>
              <a:lnTo>
                <a:pt x="34993" y="36195"/>
              </a:lnTo>
              <a:lnTo>
                <a:pt x="53112" y="54935"/>
              </a:lnTo>
              <a:lnTo>
                <a:pt x="53112" y="174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0.82297</cdr:x>
      <cdr:y>0.47902</cdr:y>
    </cdr:from>
    <cdr:to>
      <cdr:x>0.83023</cdr:x>
      <cdr:y>0.48622</cdr:y>
    </cdr:to>
    <cdr:sp macro="" textlink="">
      <cdr:nvSpPr>
        <cdr:cNvPr id="639" name="FracNo 633 StartRow 6385">
          <a:extLst xmlns:a="http://schemas.openxmlformats.org/drawingml/2006/main">
            <a:ext uri="{FF2B5EF4-FFF2-40B4-BE49-F238E27FC236}">
              <a16:creationId xmlns:a16="http://schemas.microsoft.com/office/drawing/2014/main" id="{43E02F60-CBE6-BF7D-D63F-D04F0DE706DC}"/>
            </a:ext>
          </a:extLst>
        </cdr:cNvPr>
        <cdr:cNvSpPr/>
      </cdr:nvSpPr>
      <cdr:spPr>
        <a:xfrm xmlns:a="http://schemas.openxmlformats.org/drawingml/2006/main">
          <a:off x="6020216" y="3650121"/>
          <a:ext cx="53070" cy="548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070" h="54892">
              <a:moveTo>
                <a:pt x="52053" y="53841"/>
              </a:moveTo>
              <a:lnTo>
                <a:pt x="0" y="0"/>
              </a:lnTo>
              <a:lnTo>
                <a:pt x="0" y="37504"/>
              </a:lnTo>
              <a:lnTo>
                <a:pt x="16489" y="54558"/>
              </a:lnTo>
              <a:lnTo>
                <a:pt x="16810" y="54891"/>
              </a:lnTo>
              <a:lnTo>
                <a:pt x="53069" y="548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0.62688</cdr:x>
      <cdr:y>0.61014</cdr:y>
    </cdr:from>
    <cdr:to>
      <cdr:x>0.63661</cdr:x>
      <cdr:y>0.61487</cdr:y>
    </cdr:to>
    <cdr:sp macro="" textlink="">
      <cdr:nvSpPr>
        <cdr:cNvPr id="640" name="FracNo 941 StartRow 6394">
          <a:extLst xmlns:a="http://schemas.openxmlformats.org/drawingml/2006/main">
            <a:ext uri="{FF2B5EF4-FFF2-40B4-BE49-F238E27FC236}">
              <a16:creationId xmlns:a16="http://schemas.microsoft.com/office/drawing/2014/main" id="{D89E945B-B510-DCC0-931F-0CC25EC00DAF}"/>
            </a:ext>
          </a:extLst>
        </cdr:cNvPr>
        <cdr:cNvSpPr/>
      </cdr:nvSpPr>
      <cdr:spPr>
        <a:xfrm xmlns:a="http://schemas.openxmlformats.org/drawingml/2006/main">
          <a:off x="4585761" y="4649258"/>
          <a:ext cx="71143" cy="360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43" h="36082">
              <a:moveTo>
                <a:pt x="60057" y="24615"/>
              </a:moveTo>
              <a:lnTo>
                <a:pt x="36259" y="0"/>
              </a:lnTo>
              <a:lnTo>
                <a:pt x="0" y="0"/>
              </a:lnTo>
              <a:lnTo>
                <a:pt x="23798" y="24615"/>
              </a:lnTo>
              <a:lnTo>
                <a:pt x="34883" y="36081"/>
              </a:lnTo>
              <a:lnTo>
                <a:pt x="71142" y="360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0.42021</cdr:x>
      <cdr:y>0.24704</cdr:y>
    </cdr:from>
    <cdr:to>
      <cdr:x>0.42746</cdr:x>
      <cdr:y>0.25424</cdr:y>
    </cdr:to>
    <cdr:sp macro="" textlink="">
      <cdr:nvSpPr>
        <cdr:cNvPr id="641" name="FracNo 474 StartRow 6403">
          <a:extLst xmlns:a="http://schemas.openxmlformats.org/drawingml/2006/main">
            <a:ext uri="{FF2B5EF4-FFF2-40B4-BE49-F238E27FC236}">
              <a16:creationId xmlns:a16="http://schemas.microsoft.com/office/drawing/2014/main" id="{F681DDB8-3599-F1AC-1699-46B271388D77}"/>
            </a:ext>
          </a:extLst>
        </cdr:cNvPr>
        <cdr:cNvSpPr/>
      </cdr:nvSpPr>
      <cdr:spPr>
        <a:xfrm xmlns:a="http://schemas.openxmlformats.org/drawingml/2006/main">
          <a:off x="3073931" y="1882461"/>
          <a:ext cx="53005" cy="548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005" h="54826">
              <a:moveTo>
                <a:pt x="50486" y="14717"/>
              </a:moveTo>
              <a:lnTo>
                <a:pt x="36258" y="0"/>
              </a:lnTo>
              <a:lnTo>
                <a:pt x="0" y="0"/>
              </a:lnTo>
              <a:lnTo>
                <a:pt x="45035" y="46582"/>
              </a:lnTo>
              <a:lnTo>
                <a:pt x="53004" y="54825"/>
              </a:lnTo>
              <a:lnTo>
                <a:pt x="53004" y="173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0.43759</cdr:x>
      <cdr:y>0.5429</cdr:y>
    </cdr:from>
    <cdr:to>
      <cdr:x>0.44483</cdr:x>
      <cdr:y>0.55008</cdr:y>
    </cdr:to>
    <cdr:sp macro="" textlink="">
      <cdr:nvSpPr>
        <cdr:cNvPr id="642" name="FracNo 1020 StartRow 6412">
          <a:extLst xmlns:a="http://schemas.openxmlformats.org/drawingml/2006/main">
            <a:ext uri="{FF2B5EF4-FFF2-40B4-BE49-F238E27FC236}">
              <a16:creationId xmlns:a16="http://schemas.microsoft.com/office/drawing/2014/main" id="{7339689D-07F6-BFC4-5612-BAD7CDD59BE5}"/>
            </a:ext>
          </a:extLst>
        </cdr:cNvPr>
        <cdr:cNvSpPr/>
      </cdr:nvSpPr>
      <cdr:spPr>
        <a:xfrm xmlns:a="http://schemas.openxmlformats.org/drawingml/2006/main">
          <a:off x="3201087" y="4136908"/>
          <a:ext cx="52913" cy="54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913" h="54731">
              <a:moveTo>
                <a:pt x="11430" y="11823"/>
              </a:moveTo>
              <a:lnTo>
                <a:pt x="0" y="0"/>
              </a:lnTo>
              <a:lnTo>
                <a:pt x="36259" y="0"/>
              </a:lnTo>
              <a:lnTo>
                <a:pt x="39856" y="3721"/>
              </a:lnTo>
              <a:lnTo>
                <a:pt x="52912" y="17226"/>
              </a:lnTo>
              <a:lnTo>
                <a:pt x="52912" y="547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0.61145</cdr:x>
      <cdr:y>0.91644</cdr:y>
    </cdr:from>
    <cdr:to>
      <cdr:x>0.61616</cdr:x>
      <cdr:y>0.92605</cdr:y>
    </cdr:to>
    <cdr:sp macro="" textlink="">
      <cdr:nvSpPr>
        <cdr:cNvPr id="643" name="FracNo 717 StartRow 6421">
          <a:extLst xmlns:a="http://schemas.openxmlformats.org/drawingml/2006/main">
            <a:ext uri="{FF2B5EF4-FFF2-40B4-BE49-F238E27FC236}">
              <a16:creationId xmlns:a16="http://schemas.microsoft.com/office/drawing/2014/main" id="{E6508013-64F7-C776-7889-E3BE89ADBE02}"/>
            </a:ext>
          </a:extLst>
        </cdr:cNvPr>
        <cdr:cNvSpPr/>
      </cdr:nvSpPr>
      <cdr:spPr>
        <a:xfrm xmlns:a="http://schemas.openxmlformats.org/drawingml/2006/main">
          <a:off x="4472864" y="6983307"/>
          <a:ext cx="34495" cy="731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495" h="73183">
              <a:moveTo>
                <a:pt x="27469" y="28413"/>
              </a:moveTo>
              <a:lnTo>
                <a:pt x="0" y="0"/>
              </a:lnTo>
              <a:lnTo>
                <a:pt x="0" y="37503"/>
              </a:lnTo>
              <a:lnTo>
                <a:pt x="27469" y="65916"/>
              </a:lnTo>
              <a:lnTo>
                <a:pt x="34494" y="73182"/>
              </a:lnTo>
              <a:lnTo>
                <a:pt x="34494" y="356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0.64461</cdr:x>
      <cdr:y>0.88352</cdr:y>
    </cdr:from>
    <cdr:to>
      <cdr:x>0.64932</cdr:x>
      <cdr:y>0.89312</cdr:y>
    </cdr:to>
    <cdr:sp macro="" textlink="">
      <cdr:nvSpPr>
        <cdr:cNvPr id="644" name="FracNo 877 StartRow 6430">
          <a:extLst xmlns:a="http://schemas.openxmlformats.org/drawingml/2006/main">
            <a:ext uri="{FF2B5EF4-FFF2-40B4-BE49-F238E27FC236}">
              <a16:creationId xmlns:a16="http://schemas.microsoft.com/office/drawing/2014/main" id="{79AE798A-FAA3-7BC1-729F-49EEA951B5F0}"/>
            </a:ext>
          </a:extLst>
        </cdr:cNvPr>
        <cdr:cNvSpPr/>
      </cdr:nvSpPr>
      <cdr:spPr>
        <a:xfrm xmlns:a="http://schemas.openxmlformats.org/drawingml/2006/main">
          <a:off x="4715421" y="6732419"/>
          <a:ext cx="34495" cy="73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495" h="73184">
              <a:moveTo>
                <a:pt x="13630" y="14099"/>
              </a:moveTo>
              <a:lnTo>
                <a:pt x="0" y="0"/>
              </a:lnTo>
              <a:lnTo>
                <a:pt x="0" y="37504"/>
              </a:lnTo>
              <a:lnTo>
                <a:pt x="13630" y="51603"/>
              </a:lnTo>
              <a:lnTo>
                <a:pt x="34494" y="73183"/>
              </a:lnTo>
              <a:lnTo>
                <a:pt x="34494" y="356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0.44268</cdr:x>
      <cdr:y>0.40878</cdr:y>
    </cdr:from>
    <cdr:to>
      <cdr:x>0.44987</cdr:x>
      <cdr:y>0.41592</cdr:y>
    </cdr:to>
    <cdr:sp macro="" textlink="">
      <cdr:nvSpPr>
        <cdr:cNvPr id="645" name="FracNo 394 StartRow 6439">
          <a:extLst xmlns:a="http://schemas.openxmlformats.org/drawingml/2006/main">
            <a:ext uri="{FF2B5EF4-FFF2-40B4-BE49-F238E27FC236}">
              <a16:creationId xmlns:a16="http://schemas.microsoft.com/office/drawing/2014/main" id="{3FE40A65-558F-87BC-E304-9B4E8AD07244}"/>
            </a:ext>
          </a:extLst>
        </cdr:cNvPr>
        <cdr:cNvSpPr/>
      </cdr:nvSpPr>
      <cdr:spPr>
        <a:xfrm xmlns:a="http://schemas.openxmlformats.org/drawingml/2006/main">
          <a:off x="3238286" y="3114932"/>
          <a:ext cx="52585" cy="543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585" h="54391">
              <a:moveTo>
                <a:pt x="38186" y="1994"/>
              </a:moveTo>
              <a:lnTo>
                <a:pt x="36259" y="0"/>
              </a:lnTo>
              <a:lnTo>
                <a:pt x="0" y="0"/>
              </a:lnTo>
              <a:lnTo>
                <a:pt x="6208" y="6421"/>
              </a:lnTo>
              <a:lnTo>
                <a:pt x="52584" y="54390"/>
              </a:lnTo>
              <a:lnTo>
                <a:pt x="52584" y="168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0.80923</cdr:x>
      <cdr:y>0.52146</cdr:y>
    </cdr:from>
    <cdr:to>
      <cdr:x>0.81886</cdr:x>
      <cdr:y>0.5261</cdr:y>
    </cdr:to>
    <cdr:sp macro="" textlink="">
      <cdr:nvSpPr>
        <cdr:cNvPr id="646" name="FracNo 993 StartRow 6448">
          <a:extLst xmlns:a="http://schemas.openxmlformats.org/drawingml/2006/main">
            <a:ext uri="{FF2B5EF4-FFF2-40B4-BE49-F238E27FC236}">
              <a16:creationId xmlns:a16="http://schemas.microsoft.com/office/drawing/2014/main" id="{322CBE97-FDE5-2BC9-BE5A-5589A6B49604}"/>
            </a:ext>
          </a:extLst>
        </cdr:cNvPr>
        <cdr:cNvSpPr/>
      </cdr:nvSpPr>
      <cdr:spPr>
        <a:xfrm xmlns:a="http://schemas.openxmlformats.org/drawingml/2006/main">
          <a:off x="5919659" y="3973505"/>
          <a:ext cx="70471" cy="353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471" h="35388">
              <a:moveTo>
                <a:pt x="7547" y="7806"/>
              </a:moveTo>
              <a:lnTo>
                <a:pt x="0" y="0"/>
              </a:lnTo>
              <a:lnTo>
                <a:pt x="36258" y="0"/>
              </a:lnTo>
              <a:lnTo>
                <a:pt x="43805" y="7806"/>
              </a:lnTo>
              <a:lnTo>
                <a:pt x="70470" y="35387"/>
              </a:lnTo>
              <a:lnTo>
                <a:pt x="34212" y="353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0.1497</cdr:x>
      <cdr:y>0.4183</cdr:y>
    </cdr:from>
    <cdr:to>
      <cdr:x>0.15436</cdr:x>
      <cdr:y>0.42785</cdr:y>
    </cdr:to>
    <cdr:sp macro="" textlink="">
      <cdr:nvSpPr>
        <cdr:cNvPr id="647" name="FracNo 1084 StartRow 6457">
          <a:extLst xmlns:a="http://schemas.openxmlformats.org/drawingml/2006/main">
            <a:ext uri="{FF2B5EF4-FFF2-40B4-BE49-F238E27FC236}">
              <a16:creationId xmlns:a16="http://schemas.microsoft.com/office/drawing/2014/main" id="{24BEE43E-302C-C785-BFCC-C1EC7AAB14CB}"/>
            </a:ext>
          </a:extLst>
        </cdr:cNvPr>
        <cdr:cNvSpPr/>
      </cdr:nvSpPr>
      <cdr:spPr>
        <a:xfrm xmlns:a="http://schemas.openxmlformats.org/drawingml/2006/main">
          <a:off x="1095082" y="3187466"/>
          <a:ext cx="34068" cy="727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68" h="72743">
              <a:moveTo>
                <a:pt x="4607" y="42269"/>
              </a:moveTo>
              <a:lnTo>
                <a:pt x="0" y="37504"/>
              </a:lnTo>
              <a:lnTo>
                <a:pt x="0" y="0"/>
              </a:lnTo>
              <a:lnTo>
                <a:pt x="4607" y="4766"/>
              </a:lnTo>
              <a:lnTo>
                <a:pt x="34067" y="35238"/>
              </a:lnTo>
              <a:lnTo>
                <a:pt x="34067" y="727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0.56869</cdr:x>
      <cdr:y>0.24258</cdr:y>
    </cdr:from>
    <cdr:to>
      <cdr:x>0.57334</cdr:x>
      <cdr:y>0.25211</cdr:y>
    </cdr:to>
    <cdr:sp macro="" textlink="">
      <cdr:nvSpPr>
        <cdr:cNvPr id="648" name="FracNo 1027 StartRow 6466">
          <a:extLst xmlns:a="http://schemas.openxmlformats.org/drawingml/2006/main">
            <a:ext uri="{FF2B5EF4-FFF2-40B4-BE49-F238E27FC236}">
              <a16:creationId xmlns:a16="http://schemas.microsoft.com/office/drawing/2014/main" id="{9311ADD0-1897-69C2-ABD4-3F0C8A9F33F1}"/>
            </a:ext>
          </a:extLst>
        </cdr:cNvPr>
        <cdr:cNvSpPr/>
      </cdr:nvSpPr>
      <cdr:spPr>
        <a:xfrm xmlns:a="http://schemas.openxmlformats.org/drawingml/2006/main">
          <a:off x="4160099" y="1848434"/>
          <a:ext cx="33998" cy="726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98" h="72670">
              <a:moveTo>
                <a:pt x="19476" y="20145"/>
              </a:moveTo>
              <a:lnTo>
                <a:pt x="0" y="0"/>
              </a:lnTo>
              <a:lnTo>
                <a:pt x="0" y="37504"/>
              </a:lnTo>
              <a:lnTo>
                <a:pt x="19476" y="57649"/>
              </a:lnTo>
              <a:lnTo>
                <a:pt x="33997" y="72669"/>
              </a:lnTo>
              <a:lnTo>
                <a:pt x="33997" y="351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0.48008</cdr:x>
      <cdr:y>0.30765</cdr:y>
    </cdr:from>
    <cdr:to>
      <cdr:x>0.48717</cdr:x>
      <cdr:y>0.31469</cdr:y>
    </cdr:to>
    <cdr:sp macro="" textlink="">
      <cdr:nvSpPr>
        <cdr:cNvPr id="649" name="FracNo 1097 StartRow 6475">
          <a:extLst xmlns:a="http://schemas.openxmlformats.org/drawingml/2006/main">
            <a:ext uri="{FF2B5EF4-FFF2-40B4-BE49-F238E27FC236}">
              <a16:creationId xmlns:a16="http://schemas.microsoft.com/office/drawing/2014/main" id="{E21F3C2C-DDD3-2AC6-218D-DCEF75D95328}"/>
            </a:ext>
          </a:extLst>
        </cdr:cNvPr>
        <cdr:cNvSpPr/>
      </cdr:nvSpPr>
      <cdr:spPr>
        <a:xfrm xmlns:a="http://schemas.openxmlformats.org/drawingml/2006/main">
          <a:off x="3511884" y="2344273"/>
          <a:ext cx="51872" cy="53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872" h="53653">
              <a:moveTo>
                <a:pt x="32847" y="33974"/>
              </a:moveTo>
              <a:lnTo>
                <a:pt x="0" y="0"/>
              </a:lnTo>
              <a:lnTo>
                <a:pt x="0" y="37503"/>
              </a:lnTo>
              <a:lnTo>
                <a:pt x="9886" y="47729"/>
              </a:lnTo>
              <a:lnTo>
                <a:pt x="15613" y="53652"/>
              </a:lnTo>
              <a:lnTo>
                <a:pt x="51871" y="536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0.40327</cdr:x>
      <cdr:y>0.31461</cdr:y>
    </cdr:from>
    <cdr:to>
      <cdr:x>0.41283</cdr:x>
      <cdr:y>0.31918</cdr:y>
    </cdr:to>
    <cdr:sp macro="" textlink="">
      <cdr:nvSpPr>
        <cdr:cNvPr id="650" name="FracNo 888 StartRow 6484">
          <a:extLst xmlns:a="http://schemas.openxmlformats.org/drawingml/2006/main">
            <a:ext uri="{FF2B5EF4-FFF2-40B4-BE49-F238E27FC236}">
              <a16:creationId xmlns:a16="http://schemas.microsoft.com/office/drawing/2014/main" id="{A2BECE42-D623-3DDB-6993-B3A818A9BEA1}"/>
            </a:ext>
          </a:extLst>
        </cdr:cNvPr>
        <cdr:cNvSpPr/>
      </cdr:nvSpPr>
      <cdr:spPr>
        <a:xfrm xmlns:a="http://schemas.openxmlformats.org/drawingml/2006/main">
          <a:off x="2949991" y="2397332"/>
          <a:ext cx="69941" cy="34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941" h="34838">
              <a:moveTo>
                <a:pt x="44808" y="8843"/>
              </a:moveTo>
              <a:lnTo>
                <a:pt x="36259" y="0"/>
              </a:lnTo>
              <a:lnTo>
                <a:pt x="0" y="0"/>
              </a:lnTo>
              <a:lnTo>
                <a:pt x="8550" y="8843"/>
              </a:lnTo>
              <a:lnTo>
                <a:pt x="33681" y="34837"/>
              </a:lnTo>
              <a:lnTo>
                <a:pt x="69940" y="348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0.43248</cdr:x>
      <cdr:y>0.28561</cdr:y>
    </cdr:from>
    <cdr:to>
      <cdr:x>0.43708</cdr:x>
      <cdr:y>0.2951</cdr:y>
    </cdr:to>
    <cdr:sp macro="" textlink="">
      <cdr:nvSpPr>
        <cdr:cNvPr id="651" name="FracNo 957 StartRow 6493">
          <a:extLst xmlns:a="http://schemas.openxmlformats.org/drawingml/2006/main">
            <a:ext uri="{FF2B5EF4-FFF2-40B4-BE49-F238E27FC236}">
              <a16:creationId xmlns:a16="http://schemas.microsoft.com/office/drawing/2014/main" id="{B9E1A54F-4216-A052-FC8B-3C2849791AC7}"/>
            </a:ext>
          </a:extLst>
        </cdr:cNvPr>
        <cdr:cNvSpPr/>
      </cdr:nvSpPr>
      <cdr:spPr>
        <a:xfrm xmlns:a="http://schemas.openxmlformats.org/drawingml/2006/main">
          <a:off x="3163664" y="2176321"/>
          <a:ext cx="33682" cy="723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682" h="72342">
              <a:moveTo>
                <a:pt x="8865" y="46673"/>
              </a:moveTo>
              <a:lnTo>
                <a:pt x="0" y="37504"/>
              </a:lnTo>
              <a:lnTo>
                <a:pt x="0" y="0"/>
              </a:lnTo>
              <a:lnTo>
                <a:pt x="8865" y="9169"/>
              </a:lnTo>
              <a:lnTo>
                <a:pt x="33681" y="34837"/>
              </a:lnTo>
              <a:lnTo>
                <a:pt x="33681" y="723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0.36896</cdr:x>
      <cdr:y>0.09803</cdr:y>
    </cdr:from>
    <cdr:to>
      <cdr:x>0.37356</cdr:x>
      <cdr:y>0.10752</cdr:y>
    </cdr:to>
    <cdr:sp macro="" textlink="">
      <cdr:nvSpPr>
        <cdr:cNvPr id="652" name="FracNo 236 StartRow 6502">
          <a:extLst xmlns:a="http://schemas.openxmlformats.org/drawingml/2006/main">
            <a:ext uri="{FF2B5EF4-FFF2-40B4-BE49-F238E27FC236}">
              <a16:creationId xmlns:a16="http://schemas.microsoft.com/office/drawing/2014/main" id="{1792A1A3-4349-49EF-DA91-86845AAF4C75}"/>
            </a:ext>
          </a:extLst>
        </cdr:cNvPr>
        <cdr:cNvSpPr/>
      </cdr:nvSpPr>
      <cdr:spPr>
        <a:xfrm xmlns:a="http://schemas.openxmlformats.org/drawingml/2006/main">
          <a:off x="2699023" y="747007"/>
          <a:ext cx="33615" cy="72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615" h="72275">
              <a:moveTo>
                <a:pt x="32164" y="70773"/>
              </a:moveTo>
              <a:lnTo>
                <a:pt x="0" y="37504"/>
              </a:lnTo>
              <a:lnTo>
                <a:pt x="0" y="0"/>
              </a:lnTo>
              <a:lnTo>
                <a:pt x="32164" y="33270"/>
              </a:lnTo>
              <a:lnTo>
                <a:pt x="33614" y="34770"/>
              </a:lnTo>
              <a:lnTo>
                <a:pt x="33614" y="722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0.28406</cdr:x>
      <cdr:y>0.18234</cdr:y>
    </cdr:from>
    <cdr:to>
      <cdr:x>0.28865</cdr:x>
      <cdr:y>0.19182</cdr:y>
    </cdr:to>
    <cdr:sp macro="" textlink="">
      <cdr:nvSpPr>
        <cdr:cNvPr id="653" name="FracNo 222 StartRow 6511">
          <a:extLst xmlns:a="http://schemas.openxmlformats.org/drawingml/2006/main">
            <a:ext uri="{FF2B5EF4-FFF2-40B4-BE49-F238E27FC236}">
              <a16:creationId xmlns:a16="http://schemas.microsoft.com/office/drawing/2014/main" id="{D929DBD8-9951-8E6B-44E7-BCA13DDE99C2}"/>
            </a:ext>
          </a:extLst>
        </cdr:cNvPr>
        <cdr:cNvSpPr/>
      </cdr:nvSpPr>
      <cdr:spPr>
        <a:xfrm xmlns:a="http://schemas.openxmlformats.org/drawingml/2006/main">
          <a:off x="2077950" y="1389409"/>
          <a:ext cx="33615" cy="722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615" h="72274">
              <a:moveTo>
                <a:pt x="990" y="38528"/>
              </a:moveTo>
              <a:lnTo>
                <a:pt x="0" y="37504"/>
              </a:lnTo>
              <a:lnTo>
                <a:pt x="0" y="0"/>
              </a:lnTo>
              <a:lnTo>
                <a:pt x="990" y="1025"/>
              </a:lnTo>
              <a:lnTo>
                <a:pt x="33614" y="34770"/>
              </a:lnTo>
              <a:lnTo>
                <a:pt x="33614" y="722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0.52341</cdr:x>
      <cdr:y>0.35638</cdr:y>
    </cdr:from>
    <cdr:to>
      <cdr:x>0.53295</cdr:x>
      <cdr:y>0.36094</cdr:y>
    </cdr:to>
    <cdr:sp macro="" textlink="">
      <cdr:nvSpPr>
        <cdr:cNvPr id="654" name="FracNo 1147 StartRow 6520">
          <a:extLst xmlns:a="http://schemas.openxmlformats.org/drawingml/2006/main">
            <a:ext uri="{FF2B5EF4-FFF2-40B4-BE49-F238E27FC236}">
              <a16:creationId xmlns:a16="http://schemas.microsoft.com/office/drawing/2014/main" id="{98AF9BDE-6ADA-7615-8642-0B158397A718}"/>
            </a:ext>
          </a:extLst>
        </cdr:cNvPr>
        <cdr:cNvSpPr/>
      </cdr:nvSpPr>
      <cdr:spPr>
        <a:xfrm xmlns:a="http://schemas.openxmlformats.org/drawingml/2006/main">
          <a:off x="3828840" y="2715625"/>
          <a:ext cx="69830" cy="347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830" h="34725">
              <a:moveTo>
                <a:pt x="13749" y="14221"/>
              </a:moveTo>
              <a:lnTo>
                <a:pt x="0" y="0"/>
              </a:lnTo>
              <a:lnTo>
                <a:pt x="36258" y="0"/>
              </a:lnTo>
              <a:lnTo>
                <a:pt x="50007" y="14221"/>
              </a:lnTo>
              <a:lnTo>
                <a:pt x="69829" y="34724"/>
              </a:lnTo>
              <a:lnTo>
                <a:pt x="33571" y="347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0.46658</cdr:x>
      <cdr:y>0.45727</cdr:y>
    </cdr:from>
    <cdr:to>
      <cdr:x>0.47115</cdr:x>
      <cdr:y>0.46673</cdr:y>
    </cdr:to>
    <cdr:sp macro="" textlink="">
      <cdr:nvSpPr>
        <cdr:cNvPr id="655" name="FracNo 1133 StartRow 6529">
          <a:extLst xmlns:a="http://schemas.openxmlformats.org/drawingml/2006/main">
            <a:ext uri="{FF2B5EF4-FFF2-40B4-BE49-F238E27FC236}">
              <a16:creationId xmlns:a16="http://schemas.microsoft.com/office/drawing/2014/main" id="{DB50812B-6384-378B-3515-1CE1E8DF0D12}"/>
            </a:ext>
          </a:extLst>
        </cdr:cNvPr>
        <cdr:cNvSpPr/>
      </cdr:nvSpPr>
      <cdr:spPr>
        <a:xfrm xmlns:a="http://schemas.openxmlformats.org/drawingml/2006/main">
          <a:off x="3413090" y="3484419"/>
          <a:ext cx="33436" cy="720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436" h="72089">
              <a:moveTo>
                <a:pt x="32539" y="33657"/>
              </a:moveTo>
              <a:lnTo>
                <a:pt x="0" y="0"/>
              </a:lnTo>
              <a:lnTo>
                <a:pt x="0" y="37504"/>
              </a:lnTo>
              <a:lnTo>
                <a:pt x="32539" y="71161"/>
              </a:lnTo>
              <a:lnTo>
                <a:pt x="33435" y="72088"/>
              </a:lnTo>
              <a:lnTo>
                <a:pt x="33435" y="345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0.81878</cdr:x>
      <cdr:y>0.39942</cdr:y>
    </cdr:from>
    <cdr:to>
      <cdr:x>0.82334</cdr:x>
      <cdr:y>0.40887</cdr:y>
    </cdr:to>
    <cdr:sp macro="" textlink="">
      <cdr:nvSpPr>
        <cdr:cNvPr id="656" name="FracNo 628 StartRow 6538">
          <a:extLst xmlns:a="http://schemas.openxmlformats.org/drawingml/2006/main">
            <a:ext uri="{FF2B5EF4-FFF2-40B4-BE49-F238E27FC236}">
              <a16:creationId xmlns:a16="http://schemas.microsoft.com/office/drawing/2014/main" id="{BC948B4A-E6C8-8C9F-F637-B80A75363497}"/>
            </a:ext>
          </a:extLst>
        </cdr:cNvPr>
        <cdr:cNvSpPr/>
      </cdr:nvSpPr>
      <cdr:spPr>
        <a:xfrm xmlns:a="http://schemas.openxmlformats.org/drawingml/2006/main">
          <a:off x="5989548" y="3043589"/>
          <a:ext cx="33333" cy="719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333" h="71982">
              <a:moveTo>
                <a:pt x="12538" y="50472"/>
              </a:moveTo>
              <a:lnTo>
                <a:pt x="0" y="37504"/>
              </a:lnTo>
              <a:lnTo>
                <a:pt x="0" y="0"/>
              </a:lnTo>
              <a:lnTo>
                <a:pt x="12538" y="12969"/>
              </a:lnTo>
              <a:lnTo>
                <a:pt x="33332" y="34477"/>
              </a:lnTo>
              <a:lnTo>
                <a:pt x="33332" y="719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0.93673</cdr:x>
      <cdr:y>0.61773</cdr:y>
    </cdr:from>
    <cdr:to>
      <cdr:x>0.94246</cdr:x>
      <cdr:y>0.62588</cdr:y>
    </cdr:to>
    <cdr:sp macro="" textlink="">
      <cdr:nvSpPr>
        <cdr:cNvPr id="657" name="FracNo 584 StartRow 6547">
          <a:extLst xmlns:a="http://schemas.openxmlformats.org/drawingml/2006/main">
            <a:ext uri="{FF2B5EF4-FFF2-40B4-BE49-F238E27FC236}">
              <a16:creationId xmlns:a16="http://schemas.microsoft.com/office/drawing/2014/main" id="{F84238C4-1BA8-9F65-92F6-2D6E55AFEE64}"/>
            </a:ext>
          </a:extLst>
        </cdr:cNvPr>
        <cdr:cNvSpPr/>
      </cdr:nvSpPr>
      <cdr:spPr>
        <a:xfrm xmlns:a="http://schemas.openxmlformats.org/drawingml/2006/main">
          <a:off x="6852400" y="4707098"/>
          <a:ext cx="41908" cy="620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08" h="62099">
              <a:moveTo>
                <a:pt x="32032" y="47719"/>
              </a:moveTo>
              <a:lnTo>
                <a:pt x="18129" y="62098"/>
              </a:lnTo>
              <a:lnTo>
                <a:pt x="0" y="43347"/>
              </a:lnTo>
              <a:lnTo>
                <a:pt x="24502" y="18003"/>
              </a:lnTo>
              <a:lnTo>
                <a:pt x="41907" y="0"/>
              </a:lnTo>
              <a:lnTo>
                <a:pt x="4190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0.93262</cdr:x>
      <cdr:y>0.31924</cdr:y>
    </cdr:from>
    <cdr:to>
      <cdr:x>0.93955</cdr:x>
      <cdr:y>0.32613</cdr:y>
    </cdr:to>
    <cdr:sp macro="" textlink="">
      <cdr:nvSpPr>
        <cdr:cNvPr id="658" name="FracNo 318 StartRow 6556">
          <a:extLst xmlns:a="http://schemas.openxmlformats.org/drawingml/2006/main">
            <a:ext uri="{FF2B5EF4-FFF2-40B4-BE49-F238E27FC236}">
              <a16:creationId xmlns:a16="http://schemas.microsoft.com/office/drawing/2014/main" id="{7A1CA949-1F14-A98E-C760-850B28E63040}"/>
            </a:ext>
          </a:extLst>
        </cdr:cNvPr>
        <cdr:cNvSpPr/>
      </cdr:nvSpPr>
      <cdr:spPr>
        <a:xfrm xmlns:a="http://schemas.openxmlformats.org/drawingml/2006/main">
          <a:off x="6822273" y="2432634"/>
          <a:ext cx="50741" cy="524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741" h="52484">
              <a:moveTo>
                <a:pt x="11363" y="49257"/>
              </a:moveTo>
              <a:lnTo>
                <a:pt x="0" y="37504"/>
              </a:lnTo>
              <a:lnTo>
                <a:pt x="0" y="0"/>
              </a:lnTo>
              <a:lnTo>
                <a:pt x="39810" y="41178"/>
              </a:lnTo>
              <a:lnTo>
                <a:pt x="50740" y="52483"/>
              </a:lnTo>
              <a:lnTo>
                <a:pt x="14482" y="524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0.49175</cdr:x>
      <cdr:y>0.37897</cdr:y>
    </cdr:from>
    <cdr:to>
      <cdr:x>0.49868</cdr:x>
      <cdr:y>0.38585</cdr:y>
    </cdr:to>
    <cdr:sp macro="" textlink="">
      <cdr:nvSpPr>
        <cdr:cNvPr id="659" name="FracNo 384 StartRow 6565">
          <a:extLst xmlns:a="http://schemas.openxmlformats.org/drawingml/2006/main">
            <a:ext uri="{FF2B5EF4-FFF2-40B4-BE49-F238E27FC236}">
              <a16:creationId xmlns:a16="http://schemas.microsoft.com/office/drawing/2014/main" id="{89005B37-9708-2F20-9F88-5C1480EF88D6}"/>
            </a:ext>
          </a:extLst>
        </cdr:cNvPr>
        <cdr:cNvSpPr/>
      </cdr:nvSpPr>
      <cdr:spPr>
        <a:xfrm xmlns:a="http://schemas.openxmlformats.org/drawingml/2006/main">
          <a:off x="3597253" y="2887733"/>
          <a:ext cx="50726" cy="524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726" h="52468">
              <a:moveTo>
                <a:pt x="14319" y="52314"/>
              </a:moveTo>
              <a:lnTo>
                <a:pt x="0" y="37504"/>
              </a:lnTo>
              <a:lnTo>
                <a:pt x="0" y="0"/>
              </a:lnTo>
              <a:lnTo>
                <a:pt x="50207" y="51931"/>
              </a:lnTo>
              <a:lnTo>
                <a:pt x="50725" y="52467"/>
              </a:lnTo>
              <a:lnTo>
                <a:pt x="14467" y="524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0.9044</cdr:x>
      <cdr:y>0.24034</cdr:y>
    </cdr:from>
    <cdr:to>
      <cdr:x>0.9138</cdr:x>
      <cdr:y>0.24475</cdr:y>
    </cdr:to>
    <cdr:sp macro="" textlink="">
      <cdr:nvSpPr>
        <cdr:cNvPr id="660" name="FracNo 896 StartRow 6574">
          <a:extLst xmlns:a="http://schemas.openxmlformats.org/drawingml/2006/main">
            <a:ext uri="{FF2B5EF4-FFF2-40B4-BE49-F238E27FC236}">
              <a16:creationId xmlns:a16="http://schemas.microsoft.com/office/drawing/2014/main" id="{0FFF4238-692E-FABE-2C90-6761A942E9C1}"/>
            </a:ext>
          </a:extLst>
        </cdr:cNvPr>
        <cdr:cNvSpPr/>
      </cdr:nvSpPr>
      <cdr:spPr>
        <a:xfrm xmlns:a="http://schemas.openxmlformats.org/drawingml/2006/main">
          <a:off x="6615847" y="1831355"/>
          <a:ext cx="68793" cy="336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793" h="33651">
              <a:moveTo>
                <a:pt x="49015" y="13195"/>
              </a:moveTo>
              <a:lnTo>
                <a:pt x="36259" y="0"/>
              </a:lnTo>
              <a:lnTo>
                <a:pt x="0" y="0"/>
              </a:lnTo>
              <a:lnTo>
                <a:pt x="12757" y="13195"/>
              </a:lnTo>
              <a:lnTo>
                <a:pt x="32534" y="33650"/>
              </a:lnTo>
              <a:lnTo>
                <a:pt x="68792" y="336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0.92771</cdr:x>
      <cdr:y>0.21719</cdr:y>
    </cdr:from>
    <cdr:to>
      <cdr:x>0.93711</cdr:x>
      <cdr:y>0.22161</cdr:y>
    </cdr:to>
    <cdr:sp macro="" textlink="">
      <cdr:nvSpPr>
        <cdr:cNvPr id="661" name="FracNo 313 StartRow 6583">
          <a:extLst xmlns:a="http://schemas.openxmlformats.org/drawingml/2006/main">
            <a:ext uri="{FF2B5EF4-FFF2-40B4-BE49-F238E27FC236}">
              <a16:creationId xmlns:a16="http://schemas.microsoft.com/office/drawing/2014/main" id="{71F3766D-36E1-0BE0-E212-CF76A6EC7202}"/>
            </a:ext>
          </a:extLst>
        </cdr:cNvPr>
        <cdr:cNvSpPr/>
      </cdr:nvSpPr>
      <cdr:spPr>
        <a:xfrm xmlns:a="http://schemas.openxmlformats.org/drawingml/2006/main">
          <a:off x="6786350" y="1654997"/>
          <a:ext cx="68792" cy="336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792" h="33651">
              <a:moveTo>
                <a:pt x="56604" y="21045"/>
              </a:moveTo>
              <a:lnTo>
                <a:pt x="36258" y="0"/>
              </a:lnTo>
              <a:lnTo>
                <a:pt x="0" y="0"/>
              </a:lnTo>
              <a:lnTo>
                <a:pt x="20346" y="21045"/>
              </a:lnTo>
              <a:lnTo>
                <a:pt x="32534" y="33650"/>
              </a:lnTo>
              <a:lnTo>
                <a:pt x="68791" y="336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0.9135</cdr:x>
      <cdr:y>0.37185</cdr:y>
    </cdr:from>
    <cdr:to>
      <cdr:x>0.91795</cdr:x>
      <cdr:y>0.38118</cdr:y>
    </cdr:to>
    <cdr:sp macro="" textlink="">
      <cdr:nvSpPr>
        <cdr:cNvPr id="662" name="FracNo 640 StartRow 6592">
          <a:extLst xmlns:a="http://schemas.openxmlformats.org/drawingml/2006/main">
            <a:ext uri="{FF2B5EF4-FFF2-40B4-BE49-F238E27FC236}">
              <a16:creationId xmlns:a16="http://schemas.microsoft.com/office/drawing/2014/main" id="{6D94FB3D-174F-C8EE-7043-B8114D169555}"/>
            </a:ext>
          </a:extLst>
        </cdr:cNvPr>
        <cdr:cNvSpPr/>
      </cdr:nvSpPr>
      <cdr:spPr>
        <a:xfrm xmlns:a="http://schemas.openxmlformats.org/drawingml/2006/main">
          <a:off x="6682436" y="2833459"/>
          <a:ext cx="32525" cy="711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25" h="71145">
              <a:moveTo>
                <a:pt x="4036" y="4174"/>
              </a:moveTo>
              <a:lnTo>
                <a:pt x="0" y="0"/>
              </a:lnTo>
              <a:lnTo>
                <a:pt x="0" y="37503"/>
              </a:lnTo>
              <a:lnTo>
                <a:pt x="4036" y="41678"/>
              </a:lnTo>
              <a:lnTo>
                <a:pt x="32524" y="71144"/>
              </a:lnTo>
              <a:lnTo>
                <a:pt x="32524" y="336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0.38169</cdr:x>
      <cdr:y>0.39652</cdr:y>
    </cdr:from>
    <cdr:to>
      <cdr:x>0.38614</cdr:x>
      <cdr:y>0.40585</cdr:y>
    </cdr:to>
    <cdr:sp macro="" textlink="">
      <cdr:nvSpPr>
        <cdr:cNvPr id="663" name="FracNo 392 StartRow 6601">
          <a:extLst xmlns:a="http://schemas.openxmlformats.org/drawingml/2006/main">
            <a:ext uri="{FF2B5EF4-FFF2-40B4-BE49-F238E27FC236}">
              <a16:creationId xmlns:a16="http://schemas.microsoft.com/office/drawing/2014/main" id="{912D4180-0FBC-B22E-E1B9-224A00B80A08}"/>
            </a:ext>
          </a:extLst>
        </cdr:cNvPr>
        <cdr:cNvSpPr/>
      </cdr:nvSpPr>
      <cdr:spPr>
        <a:xfrm xmlns:a="http://schemas.openxmlformats.org/drawingml/2006/main">
          <a:off x="2792165" y="3021499"/>
          <a:ext cx="32490" cy="711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490" h="71110">
              <a:moveTo>
                <a:pt x="28204" y="29173"/>
              </a:moveTo>
              <a:lnTo>
                <a:pt x="0" y="0"/>
              </a:lnTo>
              <a:lnTo>
                <a:pt x="0" y="37504"/>
              </a:lnTo>
              <a:lnTo>
                <a:pt x="28204" y="66677"/>
              </a:lnTo>
              <a:lnTo>
                <a:pt x="32489" y="71109"/>
              </a:lnTo>
              <a:lnTo>
                <a:pt x="32489" y="336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0.4635</cdr:x>
      <cdr:y>0.31529</cdr:y>
    </cdr:from>
    <cdr:to>
      <cdr:x>0.46794</cdr:x>
      <cdr:y>0.32462</cdr:y>
    </cdr:to>
    <cdr:sp macro="" textlink="">
      <cdr:nvSpPr>
        <cdr:cNvPr id="664" name="FracNo 1054 StartRow 6610">
          <a:extLst xmlns:a="http://schemas.openxmlformats.org/drawingml/2006/main">
            <a:ext uri="{FF2B5EF4-FFF2-40B4-BE49-F238E27FC236}">
              <a16:creationId xmlns:a16="http://schemas.microsoft.com/office/drawing/2014/main" id="{C7CEE974-CDE6-1CF3-7017-D9FEB4609DF2}"/>
            </a:ext>
          </a:extLst>
        </cdr:cNvPr>
        <cdr:cNvSpPr/>
      </cdr:nvSpPr>
      <cdr:spPr>
        <a:xfrm xmlns:a="http://schemas.openxmlformats.org/drawingml/2006/main">
          <a:off x="3390605" y="2402508"/>
          <a:ext cx="32490" cy="711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490" h="71109">
              <a:moveTo>
                <a:pt x="28954" y="29948"/>
              </a:moveTo>
              <a:lnTo>
                <a:pt x="0" y="0"/>
              </a:lnTo>
              <a:lnTo>
                <a:pt x="0" y="37503"/>
              </a:lnTo>
              <a:lnTo>
                <a:pt x="28954" y="67452"/>
              </a:lnTo>
              <a:lnTo>
                <a:pt x="32489" y="71108"/>
              </a:lnTo>
              <a:lnTo>
                <a:pt x="32489" y="336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0.53175</cdr:x>
      <cdr:y>0.48072</cdr:y>
    </cdr:from>
    <cdr:to>
      <cdr:x>0.54114</cdr:x>
      <cdr:y>0.48512</cdr:y>
    </cdr:to>
    <cdr:sp macro="" textlink="">
      <cdr:nvSpPr>
        <cdr:cNvPr id="665" name="FracNo 393 StartRow 6619">
          <a:extLst xmlns:a="http://schemas.openxmlformats.org/drawingml/2006/main">
            <a:ext uri="{FF2B5EF4-FFF2-40B4-BE49-F238E27FC236}">
              <a16:creationId xmlns:a16="http://schemas.microsoft.com/office/drawing/2014/main" id="{F5628524-BED2-EB97-AC19-E4B4EFB46225}"/>
            </a:ext>
          </a:extLst>
        </cdr:cNvPr>
        <cdr:cNvSpPr/>
      </cdr:nvSpPr>
      <cdr:spPr>
        <a:xfrm xmlns:a="http://schemas.openxmlformats.org/drawingml/2006/main">
          <a:off x="3889883" y="3663051"/>
          <a:ext cx="68696" cy="335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696" h="33552">
              <a:moveTo>
                <a:pt x="16460" y="17026"/>
              </a:moveTo>
              <a:lnTo>
                <a:pt x="0" y="0"/>
              </a:lnTo>
              <a:lnTo>
                <a:pt x="36258" y="0"/>
              </a:lnTo>
              <a:lnTo>
                <a:pt x="52719" y="17026"/>
              </a:lnTo>
              <a:lnTo>
                <a:pt x="68695" y="33551"/>
              </a:lnTo>
              <a:lnTo>
                <a:pt x="32437" y="335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0.4497</cdr:x>
      <cdr:y>0.86692</cdr:y>
    </cdr:from>
    <cdr:to>
      <cdr:x>0.45414</cdr:x>
      <cdr:y>0.87625</cdr:y>
    </cdr:to>
    <cdr:sp macro="" textlink="">
      <cdr:nvSpPr>
        <cdr:cNvPr id="666" name="FracNo 945 StartRow 6628">
          <a:extLst xmlns:a="http://schemas.openxmlformats.org/drawingml/2006/main">
            <a:ext uri="{FF2B5EF4-FFF2-40B4-BE49-F238E27FC236}">
              <a16:creationId xmlns:a16="http://schemas.microsoft.com/office/drawing/2014/main" id="{EC280631-1294-0845-8E3A-2D1291C5278F}"/>
            </a:ext>
          </a:extLst>
        </cdr:cNvPr>
        <cdr:cNvSpPr/>
      </cdr:nvSpPr>
      <cdr:spPr>
        <a:xfrm xmlns:a="http://schemas.openxmlformats.org/drawingml/2006/main">
          <a:off x="3289677" y="6605966"/>
          <a:ext cx="32427" cy="71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427" h="71044">
              <a:moveTo>
                <a:pt x="19497" y="57670"/>
              </a:moveTo>
              <a:lnTo>
                <a:pt x="0" y="37503"/>
              </a:lnTo>
              <a:lnTo>
                <a:pt x="0" y="0"/>
              </a:lnTo>
              <a:lnTo>
                <a:pt x="19497" y="20166"/>
              </a:lnTo>
              <a:lnTo>
                <a:pt x="32426" y="33540"/>
              </a:lnTo>
              <a:lnTo>
                <a:pt x="32426" y="710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0.53042</cdr:x>
      <cdr:y>0.75893</cdr:y>
    </cdr:from>
    <cdr:to>
      <cdr:x>0.53973</cdr:x>
      <cdr:y>0.76326</cdr:y>
    </cdr:to>
    <cdr:sp macro="" textlink="">
      <cdr:nvSpPr>
        <cdr:cNvPr id="667" name="FracNo 711 StartRow 6637">
          <a:extLst xmlns:a="http://schemas.openxmlformats.org/drawingml/2006/main">
            <a:ext uri="{FF2B5EF4-FFF2-40B4-BE49-F238E27FC236}">
              <a16:creationId xmlns:a16="http://schemas.microsoft.com/office/drawing/2014/main" id="{68BB6934-050B-8C5D-BA5C-4A1DB78F6011}"/>
            </a:ext>
          </a:extLst>
        </cdr:cNvPr>
        <cdr:cNvSpPr/>
      </cdr:nvSpPr>
      <cdr:spPr>
        <a:xfrm xmlns:a="http://schemas.openxmlformats.org/drawingml/2006/main">
          <a:off x="3880125" y="5783058"/>
          <a:ext cx="68136" cy="32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136" h="32972">
              <a:moveTo>
                <a:pt x="25645" y="26526"/>
              </a:moveTo>
              <a:lnTo>
                <a:pt x="0" y="0"/>
              </a:lnTo>
              <a:lnTo>
                <a:pt x="36259" y="0"/>
              </a:lnTo>
              <a:lnTo>
                <a:pt x="61904" y="26526"/>
              </a:lnTo>
              <a:lnTo>
                <a:pt x="68135" y="32971"/>
              </a:lnTo>
              <a:lnTo>
                <a:pt x="31877" y="329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0.63974</cdr:x>
      <cdr:y>0.65038</cdr:y>
    </cdr:from>
    <cdr:to>
      <cdr:x>0.6441</cdr:x>
      <cdr:y>0.65963</cdr:y>
    </cdr:to>
    <cdr:sp macro="" textlink="">
      <cdr:nvSpPr>
        <cdr:cNvPr id="668" name="FracNo 1109 StartRow 6646">
          <a:extLst xmlns:a="http://schemas.openxmlformats.org/drawingml/2006/main">
            <a:ext uri="{FF2B5EF4-FFF2-40B4-BE49-F238E27FC236}">
              <a16:creationId xmlns:a16="http://schemas.microsoft.com/office/drawing/2014/main" id="{F08A1B47-B13C-66D2-03F2-AAC6AF1E136F}"/>
            </a:ext>
          </a:extLst>
        </cdr:cNvPr>
        <cdr:cNvSpPr/>
      </cdr:nvSpPr>
      <cdr:spPr>
        <a:xfrm xmlns:a="http://schemas.openxmlformats.org/drawingml/2006/main">
          <a:off x="4679850" y="4955868"/>
          <a:ext cx="31878" cy="704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878" h="70476">
              <a:moveTo>
                <a:pt x="7215" y="7462"/>
              </a:moveTo>
              <a:lnTo>
                <a:pt x="0" y="0"/>
              </a:lnTo>
              <a:lnTo>
                <a:pt x="0" y="37504"/>
              </a:lnTo>
              <a:lnTo>
                <a:pt x="7215" y="44966"/>
              </a:lnTo>
              <a:lnTo>
                <a:pt x="31877" y="70475"/>
              </a:lnTo>
              <a:lnTo>
                <a:pt x="31877" y="329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0.54592</cdr:x>
      <cdr:y>0.74354</cdr:y>
    </cdr:from>
    <cdr:to>
      <cdr:x>0.55523</cdr:x>
      <cdr:y>0.74787</cdr:y>
    </cdr:to>
    <cdr:sp macro="" textlink="">
      <cdr:nvSpPr>
        <cdr:cNvPr id="669" name="FracNo 716 StartRow 6655">
          <a:extLst xmlns:a="http://schemas.openxmlformats.org/drawingml/2006/main">
            <a:ext uri="{FF2B5EF4-FFF2-40B4-BE49-F238E27FC236}">
              <a16:creationId xmlns:a16="http://schemas.microsoft.com/office/drawing/2014/main" id="{2A949405-2817-1705-0C3B-883080C18CC4}"/>
            </a:ext>
          </a:extLst>
        </cdr:cNvPr>
        <cdr:cNvSpPr/>
      </cdr:nvSpPr>
      <cdr:spPr>
        <a:xfrm xmlns:a="http://schemas.openxmlformats.org/drawingml/2006/main">
          <a:off x="3993504" y="5665786"/>
          <a:ext cx="68135" cy="32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135" h="32972">
              <a:moveTo>
                <a:pt x="7650" y="7913"/>
              </a:moveTo>
              <a:lnTo>
                <a:pt x="0" y="0"/>
              </a:lnTo>
              <a:lnTo>
                <a:pt x="36258" y="0"/>
              </a:lnTo>
              <a:lnTo>
                <a:pt x="43908" y="7913"/>
              </a:lnTo>
              <a:lnTo>
                <a:pt x="68134" y="32971"/>
              </a:lnTo>
              <a:lnTo>
                <a:pt x="31875" y="329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0.29964</cdr:x>
      <cdr:y>0.09256</cdr:y>
    </cdr:from>
    <cdr:to>
      <cdr:x>0.30895</cdr:x>
      <cdr:y>0.09688</cdr:y>
    </cdr:to>
    <cdr:sp macro="" textlink="">
      <cdr:nvSpPr>
        <cdr:cNvPr id="670" name="FracNo 1079 StartRow 6664">
          <a:extLst xmlns:a="http://schemas.openxmlformats.org/drawingml/2006/main">
            <a:ext uri="{FF2B5EF4-FFF2-40B4-BE49-F238E27FC236}">
              <a16:creationId xmlns:a16="http://schemas.microsoft.com/office/drawing/2014/main" id="{C69B11A8-56D3-48A0-545B-0097A2419021}"/>
            </a:ext>
          </a:extLst>
        </cdr:cNvPr>
        <cdr:cNvSpPr/>
      </cdr:nvSpPr>
      <cdr:spPr>
        <a:xfrm xmlns:a="http://schemas.openxmlformats.org/drawingml/2006/main">
          <a:off x="2191957" y="705271"/>
          <a:ext cx="68093" cy="32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093" h="32927">
              <a:moveTo>
                <a:pt x="52178" y="16465"/>
              </a:moveTo>
              <a:lnTo>
                <a:pt x="36259" y="0"/>
              </a:lnTo>
              <a:lnTo>
                <a:pt x="0" y="0"/>
              </a:lnTo>
              <a:lnTo>
                <a:pt x="15919" y="16465"/>
              </a:lnTo>
              <a:lnTo>
                <a:pt x="31833" y="32926"/>
              </a:lnTo>
              <a:lnTo>
                <a:pt x="68092" y="329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0.34537</cdr:x>
      <cdr:y>0.69431</cdr:y>
    </cdr:from>
    <cdr:to>
      <cdr:x>0.35218</cdr:x>
      <cdr:y>0.70108</cdr:y>
    </cdr:to>
    <cdr:sp macro="" textlink="">
      <cdr:nvSpPr>
        <cdr:cNvPr id="671" name="FracNo 66 StartRow 6673">
          <a:extLst xmlns:a="http://schemas.openxmlformats.org/drawingml/2006/main">
            <a:ext uri="{FF2B5EF4-FFF2-40B4-BE49-F238E27FC236}">
              <a16:creationId xmlns:a16="http://schemas.microsoft.com/office/drawing/2014/main" id="{8608CB4F-42E1-038E-7E23-013402B68D57}"/>
            </a:ext>
          </a:extLst>
        </cdr:cNvPr>
        <cdr:cNvSpPr/>
      </cdr:nvSpPr>
      <cdr:spPr>
        <a:xfrm xmlns:a="http://schemas.openxmlformats.org/drawingml/2006/main">
          <a:off x="2526454" y="5290671"/>
          <a:ext cx="49820" cy="515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820" h="51531">
              <a:moveTo>
                <a:pt x="49790" y="13997"/>
              </a:moveTo>
              <a:lnTo>
                <a:pt x="36258" y="0"/>
              </a:lnTo>
              <a:lnTo>
                <a:pt x="0" y="0"/>
              </a:lnTo>
              <a:lnTo>
                <a:pt x="49715" y="51423"/>
              </a:lnTo>
              <a:lnTo>
                <a:pt x="49819" y="51530"/>
              </a:lnTo>
              <a:lnTo>
                <a:pt x="49819" y="140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0.759</cdr:x>
      <cdr:y>0.18377</cdr:y>
    </cdr:from>
    <cdr:to>
      <cdr:x>0.76579</cdr:x>
      <cdr:y>0.19052</cdr:y>
    </cdr:to>
    <cdr:sp macro="" textlink="">
      <cdr:nvSpPr>
        <cdr:cNvPr id="672" name="FracNo 304 StartRow 6682">
          <a:extLst xmlns:a="http://schemas.openxmlformats.org/drawingml/2006/main">
            <a:ext uri="{FF2B5EF4-FFF2-40B4-BE49-F238E27FC236}">
              <a16:creationId xmlns:a16="http://schemas.microsoft.com/office/drawing/2014/main" id="{BAD2B7DD-740B-6F36-8219-A4231E4340D8}"/>
            </a:ext>
          </a:extLst>
        </cdr:cNvPr>
        <cdr:cNvSpPr/>
      </cdr:nvSpPr>
      <cdr:spPr>
        <a:xfrm xmlns:a="http://schemas.openxmlformats.org/drawingml/2006/main">
          <a:off x="5552248" y="1400361"/>
          <a:ext cx="49667" cy="513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667" h="51372">
              <a:moveTo>
                <a:pt x="9151" y="9464"/>
              </a:moveTo>
              <a:lnTo>
                <a:pt x="0" y="0"/>
              </a:lnTo>
              <a:lnTo>
                <a:pt x="0" y="37503"/>
              </a:lnTo>
              <a:lnTo>
                <a:pt x="2470" y="40058"/>
              </a:lnTo>
              <a:lnTo>
                <a:pt x="13408" y="51371"/>
              </a:lnTo>
              <a:lnTo>
                <a:pt x="49666" y="513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0.09501</cdr:x>
      <cdr:y>0.884</cdr:y>
    </cdr:from>
    <cdr:to>
      <cdr:x>0.10177</cdr:x>
      <cdr:y>0.89072</cdr:y>
    </cdr:to>
    <cdr:sp macro="" textlink="">
      <cdr:nvSpPr>
        <cdr:cNvPr id="673" name="FracNo 1139 StartRow 6691">
          <a:extLst xmlns:a="http://schemas.openxmlformats.org/drawingml/2006/main">
            <a:ext uri="{FF2B5EF4-FFF2-40B4-BE49-F238E27FC236}">
              <a16:creationId xmlns:a16="http://schemas.microsoft.com/office/drawing/2014/main" id="{615F621A-F3DA-5925-1176-D23E2EED2443}"/>
            </a:ext>
          </a:extLst>
        </cdr:cNvPr>
        <cdr:cNvSpPr/>
      </cdr:nvSpPr>
      <cdr:spPr>
        <a:xfrm xmlns:a="http://schemas.openxmlformats.org/drawingml/2006/main">
          <a:off x="694985" y="6736107"/>
          <a:ext cx="49514" cy="51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514" h="51215">
              <a:moveTo>
                <a:pt x="46224" y="47811"/>
              </a:moveTo>
              <a:lnTo>
                <a:pt x="0" y="0"/>
              </a:lnTo>
              <a:lnTo>
                <a:pt x="0" y="37504"/>
              </a:lnTo>
              <a:lnTo>
                <a:pt x="12374" y="50303"/>
              </a:lnTo>
              <a:lnTo>
                <a:pt x="13254" y="51214"/>
              </a:lnTo>
              <a:lnTo>
                <a:pt x="49513" y="512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0.26559</cdr:x>
      <cdr:y>0.71461</cdr:y>
    </cdr:from>
    <cdr:to>
      <cdr:x>0.27236</cdr:x>
      <cdr:y>0.72134</cdr:y>
    </cdr:to>
    <cdr:sp macro="" textlink="">
      <cdr:nvSpPr>
        <cdr:cNvPr id="674" name="FracNo 1072 StartRow 6700">
          <a:extLst xmlns:a="http://schemas.openxmlformats.org/drawingml/2006/main">
            <a:ext uri="{FF2B5EF4-FFF2-40B4-BE49-F238E27FC236}">
              <a16:creationId xmlns:a16="http://schemas.microsoft.com/office/drawing/2014/main" id="{274F2854-4AED-7458-71C4-040BB5153299}"/>
            </a:ext>
          </a:extLst>
        </cdr:cNvPr>
        <cdr:cNvSpPr/>
      </cdr:nvSpPr>
      <cdr:spPr>
        <a:xfrm xmlns:a="http://schemas.openxmlformats.org/drawingml/2006/main">
          <a:off x="1942874" y="5445364"/>
          <a:ext cx="49514" cy="512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514" h="51214">
              <a:moveTo>
                <a:pt x="40961" y="42367"/>
              </a:moveTo>
              <a:lnTo>
                <a:pt x="0" y="0"/>
              </a:lnTo>
              <a:lnTo>
                <a:pt x="36259" y="0"/>
              </a:lnTo>
              <a:lnTo>
                <a:pt x="47223" y="11341"/>
              </a:lnTo>
              <a:lnTo>
                <a:pt x="49513" y="13709"/>
              </a:lnTo>
              <a:lnTo>
                <a:pt x="49513" y="512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0.35714</cdr:x>
      <cdr:y>0.65791</cdr:y>
    </cdr:from>
    <cdr:to>
      <cdr:x>0.36142</cdr:x>
      <cdr:y>0.66708</cdr:y>
    </cdr:to>
    <cdr:sp macro="" textlink="">
      <cdr:nvSpPr>
        <cdr:cNvPr id="675" name="FracNo 77 StartRow 6709">
          <a:extLst xmlns:a="http://schemas.openxmlformats.org/drawingml/2006/main">
            <a:ext uri="{FF2B5EF4-FFF2-40B4-BE49-F238E27FC236}">
              <a16:creationId xmlns:a16="http://schemas.microsoft.com/office/drawing/2014/main" id="{625EC3C7-04EC-5DDF-63D4-DF207085D421}"/>
            </a:ext>
          </a:extLst>
        </cdr:cNvPr>
        <cdr:cNvSpPr/>
      </cdr:nvSpPr>
      <cdr:spPr>
        <a:xfrm xmlns:a="http://schemas.openxmlformats.org/drawingml/2006/main">
          <a:off x="2612579" y="5013254"/>
          <a:ext cx="31301" cy="69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301" h="69879">
              <a:moveTo>
                <a:pt x="15027" y="53046"/>
              </a:moveTo>
              <a:lnTo>
                <a:pt x="0" y="37504"/>
              </a:lnTo>
              <a:lnTo>
                <a:pt x="0" y="0"/>
              </a:lnTo>
              <a:lnTo>
                <a:pt x="15027" y="15542"/>
              </a:lnTo>
              <a:lnTo>
                <a:pt x="31300" y="32374"/>
              </a:lnTo>
              <a:lnTo>
                <a:pt x="31300" y="698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0.126</cdr:x>
      <cdr:y>0.28659</cdr:y>
    </cdr:from>
    <cdr:to>
      <cdr:x>0.13275</cdr:x>
      <cdr:y>0.2933</cdr:y>
    </cdr:to>
    <cdr:sp macro="" textlink="">
      <cdr:nvSpPr>
        <cdr:cNvPr id="676" name="FracNo 1128 StartRow 6718">
          <a:extLst xmlns:a="http://schemas.openxmlformats.org/drawingml/2006/main">
            <a:ext uri="{FF2B5EF4-FFF2-40B4-BE49-F238E27FC236}">
              <a16:creationId xmlns:a16="http://schemas.microsoft.com/office/drawing/2014/main" id="{03FC1D3E-67CF-D10F-6DE8-80ABEB1F2C5C}"/>
            </a:ext>
          </a:extLst>
        </cdr:cNvPr>
        <cdr:cNvSpPr/>
      </cdr:nvSpPr>
      <cdr:spPr>
        <a:xfrm xmlns:a="http://schemas.openxmlformats.org/drawingml/2006/main">
          <a:off x="921700" y="2183791"/>
          <a:ext cx="49427" cy="511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427" h="51125">
              <a:moveTo>
                <a:pt x="22024" y="22781"/>
              </a:moveTo>
              <a:lnTo>
                <a:pt x="0" y="0"/>
              </a:lnTo>
              <a:lnTo>
                <a:pt x="0" y="37504"/>
              </a:lnTo>
              <a:lnTo>
                <a:pt x="5868" y="43573"/>
              </a:lnTo>
              <a:lnTo>
                <a:pt x="13168" y="51124"/>
              </a:lnTo>
              <a:lnTo>
                <a:pt x="49426" y="511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0.5999</cdr:x>
      <cdr:y>0.75886</cdr:y>
    </cdr:from>
    <cdr:to>
      <cdr:x>0.60665</cdr:x>
      <cdr:y>0.76556</cdr:y>
    </cdr:to>
    <cdr:sp macro="" textlink="">
      <cdr:nvSpPr>
        <cdr:cNvPr id="677" name="FracNo 1043 StartRow 6727">
          <a:extLst xmlns:a="http://schemas.openxmlformats.org/drawingml/2006/main">
            <a:ext uri="{FF2B5EF4-FFF2-40B4-BE49-F238E27FC236}">
              <a16:creationId xmlns:a16="http://schemas.microsoft.com/office/drawing/2014/main" id="{97F8123C-8B7A-1E7E-A40F-D36D72043AF6}"/>
            </a:ext>
          </a:extLst>
        </cdr:cNvPr>
        <cdr:cNvSpPr/>
      </cdr:nvSpPr>
      <cdr:spPr>
        <a:xfrm xmlns:a="http://schemas.openxmlformats.org/drawingml/2006/main">
          <a:off x="4388390" y="5782532"/>
          <a:ext cx="49355" cy="51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355" h="51050">
              <a:moveTo>
                <a:pt x="5449" y="43140"/>
              </a:moveTo>
              <a:lnTo>
                <a:pt x="0" y="37504"/>
              </a:lnTo>
              <a:lnTo>
                <a:pt x="0" y="0"/>
              </a:lnTo>
              <a:lnTo>
                <a:pt x="20536" y="21241"/>
              </a:lnTo>
              <a:lnTo>
                <a:pt x="49354" y="51049"/>
              </a:lnTo>
              <a:lnTo>
                <a:pt x="13096" y="510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0.67793</cdr:x>
      <cdr:y>0.68138</cdr:y>
    </cdr:from>
    <cdr:to>
      <cdr:x>0.68468</cdr:x>
      <cdr:y>0.68808</cdr:y>
    </cdr:to>
    <cdr:sp macro="" textlink="">
      <cdr:nvSpPr>
        <cdr:cNvPr id="678" name="FracNo 938 StartRow 6736">
          <a:extLst xmlns:a="http://schemas.openxmlformats.org/drawingml/2006/main">
            <a:ext uri="{FF2B5EF4-FFF2-40B4-BE49-F238E27FC236}">
              <a16:creationId xmlns:a16="http://schemas.microsoft.com/office/drawing/2014/main" id="{10F209EC-DBAE-2D86-9DC4-2C6C463E47BE}"/>
            </a:ext>
          </a:extLst>
        </cdr:cNvPr>
        <cdr:cNvSpPr/>
      </cdr:nvSpPr>
      <cdr:spPr>
        <a:xfrm xmlns:a="http://schemas.openxmlformats.org/drawingml/2006/main">
          <a:off x="4959181" y="5192140"/>
          <a:ext cx="49354" cy="51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354" h="51050">
              <a:moveTo>
                <a:pt x="1216" y="38762"/>
              </a:moveTo>
              <a:lnTo>
                <a:pt x="0" y="37504"/>
              </a:lnTo>
              <a:lnTo>
                <a:pt x="0" y="0"/>
              </a:lnTo>
              <a:lnTo>
                <a:pt x="4584" y="4742"/>
              </a:lnTo>
              <a:lnTo>
                <a:pt x="49353" y="51049"/>
              </a:lnTo>
              <a:lnTo>
                <a:pt x="13095" y="510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0.74502</cdr:x>
      <cdr:y>0.61476</cdr:y>
    </cdr:from>
    <cdr:to>
      <cdr:x>0.75177</cdr:x>
      <cdr:y>0.62146</cdr:y>
    </cdr:to>
    <cdr:sp macro="" textlink="">
      <cdr:nvSpPr>
        <cdr:cNvPr id="679" name="FracNo 1062 StartRow 6745">
          <a:extLst xmlns:a="http://schemas.openxmlformats.org/drawingml/2006/main">
            <a:ext uri="{FF2B5EF4-FFF2-40B4-BE49-F238E27FC236}">
              <a16:creationId xmlns:a16="http://schemas.microsoft.com/office/drawing/2014/main" id="{0CD87B60-716C-274C-C02A-5E8FE13C084A}"/>
            </a:ext>
          </a:extLst>
        </cdr:cNvPr>
        <cdr:cNvSpPr/>
      </cdr:nvSpPr>
      <cdr:spPr>
        <a:xfrm xmlns:a="http://schemas.openxmlformats.org/drawingml/2006/main">
          <a:off x="5449997" y="4684468"/>
          <a:ext cx="49354" cy="51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354" h="51050">
              <a:moveTo>
                <a:pt x="48281" y="12436"/>
              </a:moveTo>
              <a:lnTo>
                <a:pt x="36258" y="0"/>
              </a:lnTo>
              <a:lnTo>
                <a:pt x="0" y="0"/>
              </a:lnTo>
              <a:lnTo>
                <a:pt x="45311" y="46867"/>
              </a:lnTo>
              <a:lnTo>
                <a:pt x="49353" y="51049"/>
              </a:lnTo>
              <a:lnTo>
                <a:pt x="49353" y="135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0.73845</cdr:x>
      <cdr:y>0.62128</cdr:y>
    </cdr:from>
    <cdr:to>
      <cdr:x>0.7452</cdr:x>
      <cdr:y>0.62798</cdr:y>
    </cdr:to>
    <cdr:sp macro="" textlink="">
      <cdr:nvSpPr>
        <cdr:cNvPr id="680" name="FracNo 630 StartRow 6754">
          <a:extLst xmlns:a="http://schemas.openxmlformats.org/drawingml/2006/main">
            <a:ext uri="{FF2B5EF4-FFF2-40B4-BE49-F238E27FC236}">
              <a16:creationId xmlns:a16="http://schemas.microsoft.com/office/drawing/2014/main" id="{143DF086-BBAA-1C1B-1C21-9195A8BFED62}"/>
            </a:ext>
          </a:extLst>
        </cdr:cNvPr>
        <cdr:cNvSpPr/>
      </cdr:nvSpPr>
      <cdr:spPr>
        <a:xfrm xmlns:a="http://schemas.openxmlformats.org/drawingml/2006/main">
          <a:off x="5401924" y="4734191"/>
          <a:ext cx="49355" cy="51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355" h="51050">
              <a:moveTo>
                <a:pt x="10167" y="48019"/>
              </a:moveTo>
              <a:lnTo>
                <a:pt x="0" y="37504"/>
              </a:lnTo>
              <a:lnTo>
                <a:pt x="0" y="0"/>
              </a:lnTo>
              <a:lnTo>
                <a:pt x="38315" y="39631"/>
              </a:lnTo>
              <a:lnTo>
                <a:pt x="49354" y="51049"/>
              </a:lnTo>
              <a:lnTo>
                <a:pt x="13096" y="510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0.88657</cdr:x>
      <cdr:y>0.4742</cdr:y>
    </cdr:from>
    <cdr:to>
      <cdr:x>0.89332</cdr:x>
      <cdr:y>0.4809</cdr:y>
    </cdr:to>
    <cdr:sp macro="" textlink="">
      <cdr:nvSpPr>
        <cdr:cNvPr id="681" name="FracNo 981 StartRow 6763">
          <a:extLst xmlns:a="http://schemas.openxmlformats.org/drawingml/2006/main">
            <a:ext uri="{FF2B5EF4-FFF2-40B4-BE49-F238E27FC236}">
              <a16:creationId xmlns:a16="http://schemas.microsoft.com/office/drawing/2014/main" id="{DE6BD36A-5A7D-FCA9-C7E7-533411034FB3}"/>
            </a:ext>
          </a:extLst>
        </cdr:cNvPr>
        <cdr:cNvSpPr/>
      </cdr:nvSpPr>
      <cdr:spPr>
        <a:xfrm xmlns:a="http://schemas.openxmlformats.org/drawingml/2006/main">
          <a:off x="6485472" y="3613433"/>
          <a:ext cx="49354" cy="51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354" h="51050">
              <a:moveTo>
                <a:pt x="46487" y="10581"/>
              </a:moveTo>
              <a:lnTo>
                <a:pt x="36258" y="0"/>
              </a:lnTo>
              <a:lnTo>
                <a:pt x="0" y="0"/>
              </a:lnTo>
              <a:lnTo>
                <a:pt x="38551" y="39876"/>
              </a:lnTo>
              <a:lnTo>
                <a:pt x="49353" y="51049"/>
              </a:lnTo>
              <a:lnTo>
                <a:pt x="49353" y="135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0.84488</cdr:x>
      <cdr:y>0.51561</cdr:y>
    </cdr:from>
    <cdr:to>
      <cdr:x>0.85162</cdr:x>
      <cdr:y>0.52231</cdr:y>
    </cdr:to>
    <cdr:sp macro="" textlink="">
      <cdr:nvSpPr>
        <cdr:cNvPr id="682" name="FracNo 627 StartRow 6772">
          <a:extLst xmlns:a="http://schemas.openxmlformats.org/drawingml/2006/main">
            <a:ext uri="{FF2B5EF4-FFF2-40B4-BE49-F238E27FC236}">
              <a16:creationId xmlns:a16="http://schemas.microsoft.com/office/drawing/2014/main" id="{43ED3915-EF51-05D8-C964-7A8BE58E729D}"/>
            </a:ext>
          </a:extLst>
        </cdr:cNvPr>
        <cdr:cNvSpPr/>
      </cdr:nvSpPr>
      <cdr:spPr>
        <a:xfrm xmlns:a="http://schemas.openxmlformats.org/drawingml/2006/main">
          <a:off x="6180433" y="3928947"/>
          <a:ext cx="49356" cy="51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356" h="51049">
              <a:moveTo>
                <a:pt x="6503" y="44229"/>
              </a:moveTo>
              <a:lnTo>
                <a:pt x="0" y="37503"/>
              </a:lnTo>
              <a:lnTo>
                <a:pt x="0" y="0"/>
              </a:lnTo>
              <a:lnTo>
                <a:pt x="24506" y="25347"/>
              </a:lnTo>
              <a:lnTo>
                <a:pt x="49355" y="51048"/>
              </a:lnTo>
              <a:lnTo>
                <a:pt x="13096" y="510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0.40864</cdr:x>
      <cdr:y>0.82091</cdr:y>
    </cdr:from>
    <cdr:to>
      <cdr:x>0.41787</cdr:x>
      <cdr:y>0.82515</cdr:y>
    </cdr:to>
    <cdr:sp macro="" textlink="">
      <cdr:nvSpPr>
        <cdr:cNvPr id="683" name="FracNo 708 StartRow 6781">
          <a:extLst xmlns:a="http://schemas.openxmlformats.org/drawingml/2006/main">
            <a:ext uri="{FF2B5EF4-FFF2-40B4-BE49-F238E27FC236}">
              <a16:creationId xmlns:a16="http://schemas.microsoft.com/office/drawing/2014/main" id="{C5891C7D-5ACA-0E7D-A799-D3C7F0479221}"/>
            </a:ext>
          </a:extLst>
        </cdr:cNvPr>
        <cdr:cNvSpPr/>
      </cdr:nvSpPr>
      <cdr:spPr>
        <a:xfrm xmlns:a="http://schemas.openxmlformats.org/drawingml/2006/main">
          <a:off x="2989284" y="6255308"/>
          <a:ext cx="67484" cy="32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484" h="32298">
              <a:moveTo>
                <a:pt x="2845" y="2943"/>
              </a:moveTo>
              <a:lnTo>
                <a:pt x="0" y="0"/>
              </a:lnTo>
              <a:lnTo>
                <a:pt x="36258" y="0"/>
              </a:lnTo>
              <a:lnTo>
                <a:pt x="39103" y="2943"/>
              </a:lnTo>
              <a:lnTo>
                <a:pt x="67483" y="32297"/>
              </a:lnTo>
              <a:lnTo>
                <a:pt x="31224" y="322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0.39167</cdr:x>
      <cdr:y>0.83776</cdr:y>
    </cdr:from>
    <cdr:to>
      <cdr:x>0.40089</cdr:x>
      <cdr:y>0.842</cdr:y>
    </cdr:to>
    <cdr:sp macro="" textlink="">
      <cdr:nvSpPr>
        <cdr:cNvPr id="684" name="FracNo 990 StartRow 6790">
          <a:extLst xmlns:a="http://schemas.openxmlformats.org/drawingml/2006/main">
            <a:ext uri="{FF2B5EF4-FFF2-40B4-BE49-F238E27FC236}">
              <a16:creationId xmlns:a16="http://schemas.microsoft.com/office/drawing/2014/main" id="{BDE1975E-C6EE-F3CB-AB31-F3C8E49B06E3}"/>
            </a:ext>
          </a:extLst>
        </cdr:cNvPr>
        <cdr:cNvSpPr/>
      </cdr:nvSpPr>
      <cdr:spPr>
        <a:xfrm xmlns:a="http://schemas.openxmlformats.org/drawingml/2006/main">
          <a:off x="2865136" y="6383720"/>
          <a:ext cx="67484" cy="32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484" h="32298">
              <a:moveTo>
                <a:pt x="19207" y="19867"/>
              </a:moveTo>
              <a:lnTo>
                <a:pt x="0" y="0"/>
              </a:lnTo>
              <a:lnTo>
                <a:pt x="36259" y="0"/>
              </a:lnTo>
              <a:lnTo>
                <a:pt x="55466" y="19867"/>
              </a:lnTo>
              <a:lnTo>
                <a:pt x="67483" y="32297"/>
              </a:lnTo>
              <a:lnTo>
                <a:pt x="31224" y="322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0.42208</cdr:x>
      <cdr:y>0.80756</cdr:y>
    </cdr:from>
    <cdr:to>
      <cdr:x>0.43131</cdr:x>
      <cdr:y>0.8118</cdr:y>
    </cdr:to>
    <cdr:sp macro="" textlink="">
      <cdr:nvSpPr>
        <cdr:cNvPr id="685" name="FracNo 975 StartRow 6799">
          <a:extLst xmlns:a="http://schemas.openxmlformats.org/drawingml/2006/main">
            <a:ext uri="{FF2B5EF4-FFF2-40B4-BE49-F238E27FC236}">
              <a16:creationId xmlns:a16="http://schemas.microsoft.com/office/drawing/2014/main" id="{374D41AD-BAE4-FF42-2C1C-BAC2BEF06CB7}"/>
            </a:ext>
          </a:extLst>
        </cdr:cNvPr>
        <cdr:cNvSpPr/>
      </cdr:nvSpPr>
      <cdr:spPr>
        <a:xfrm xmlns:a="http://schemas.openxmlformats.org/drawingml/2006/main">
          <a:off x="3087620" y="6153595"/>
          <a:ext cx="67484" cy="32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484" h="32297">
              <a:moveTo>
                <a:pt x="13134" y="13584"/>
              </a:moveTo>
              <a:lnTo>
                <a:pt x="0" y="0"/>
              </a:lnTo>
              <a:lnTo>
                <a:pt x="36259" y="0"/>
              </a:lnTo>
              <a:lnTo>
                <a:pt x="49392" y="13584"/>
              </a:lnTo>
              <a:lnTo>
                <a:pt x="67483" y="32296"/>
              </a:lnTo>
              <a:lnTo>
                <a:pt x="31225" y="322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0.5923</cdr:x>
      <cdr:y>0.78178</cdr:y>
    </cdr:from>
    <cdr:to>
      <cdr:x>0.59904</cdr:x>
      <cdr:y>0.78847</cdr:y>
    </cdr:to>
    <cdr:sp macro="" textlink="">
      <cdr:nvSpPr>
        <cdr:cNvPr id="686" name="FracNo 876 StartRow 6808">
          <a:extLst xmlns:a="http://schemas.openxmlformats.org/drawingml/2006/main">
            <a:ext uri="{FF2B5EF4-FFF2-40B4-BE49-F238E27FC236}">
              <a16:creationId xmlns:a16="http://schemas.microsoft.com/office/drawing/2014/main" id="{D1631617-DD28-88AA-B5DD-1E71BA1B335A}"/>
            </a:ext>
          </a:extLst>
        </cdr:cNvPr>
        <cdr:cNvSpPr/>
      </cdr:nvSpPr>
      <cdr:spPr>
        <a:xfrm xmlns:a="http://schemas.openxmlformats.org/drawingml/2006/main">
          <a:off x="4332807" y="5957179"/>
          <a:ext cx="49280" cy="50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80" h="50972">
              <a:moveTo>
                <a:pt x="1296" y="38843"/>
              </a:moveTo>
              <a:lnTo>
                <a:pt x="0" y="37503"/>
              </a:lnTo>
              <a:lnTo>
                <a:pt x="0" y="0"/>
              </a:lnTo>
              <a:lnTo>
                <a:pt x="4904" y="5072"/>
              </a:lnTo>
              <a:lnTo>
                <a:pt x="49279" y="50971"/>
              </a:lnTo>
              <a:lnTo>
                <a:pt x="13020" y="509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0.56373</cdr:x>
      <cdr:y>0.81015</cdr:y>
    </cdr:from>
    <cdr:to>
      <cdr:x>0.57047</cdr:x>
      <cdr:y>0.81684</cdr:y>
    </cdr:to>
    <cdr:sp macro="" textlink="">
      <cdr:nvSpPr>
        <cdr:cNvPr id="687" name="FracNo 718 StartRow 6817">
          <a:extLst xmlns:a="http://schemas.openxmlformats.org/drawingml/2006/main">
            <a:ext uri="{FF2B5EF4-FFF2-40B4-BE49-F238E27FC236}">
              <a16:creationId xmlns:a16="http://schemas.microsoft.com/office/drawing/2014/main" id="{9F2DFF14-AEB4-1B53-39CE-C1FAB7A61F4C}"/>
            </a:ext>
          </a:extLst>
        </cdr:cNvPr>
        <cdr:cNvSpPr/>
      </cdr:nvSpPr>
      <cdr:spPr>
        <a:xfrm xmlns:a="http://schemas.openxmlformats.org/drawingml/2006/main">
          <a:off x="4123812" y="6173351"/>
          <a:ext cx="49280" cy="50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80" h="50972">
              <a:moveTo>
                <a:pt x="45543" y="9603"/>
              </a:moveTo>
              <a:lnTo>
                <a:pt x="36258" y="0"/>
              </a:lnTo>
              <a:lnTo>
                <a:pt x="0" y="0"/>
              </a:lnTo>
              <a:lnTo>
                <a:pt x="35139" y="36345"/>
              </a:lnTo>
              <a:lnTo>
                <a:pt x="49279" y="50971"/>
              </a:lnTo>
              <a:lnTo>
                <a:pt x="49279" y="134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0.23164</cdr:x>
      <cdr:y>0.43531</cdr:y>
    </cdr:from>
    <cdr:to>
      <cdr:x>0.23837</cdr:x>
      <cdr:y>0.44199</cdr:y>
    </cdr:to>
    <cdr:sp macro="" textlink="">
      <cdr:nvSpPr>
        <cdr:cNvPr id="688" name="FracNo 155 StartRow 6826">
          <a:extLst xmlns:a="http://schemas.openxmlformats.org/drawingml/2006/main">
            <a:ext uri="{FF2B5EF4-FFF2-40B4-BE49-F238E27FC236}">
              <a16:creationId xmlns:a16="http://schemas.microsoft.com/office/drawing/2014/main" id="{47189EF8-D5EA-90EF-E5F2-C2AFA046ADF6}"/>
            </a:ext>
          </a:extLst>
        </cdr:cNvPr>
        <cdr:cNvSpPr/>
      </cdr:nvSpPr>
      <cdr:spPr>
        <a:xfrm xmlns:a="http://schemas.openxmlformats.org/drawingml/2006/main">
          <a:off x="1694469" y="3317049"/>
          <a:ext cx="49258" cy="509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58" h="50950">
              <a:moveTo>
                <a:pt x="9833" y="47674"/>
              </a:moveTo>
              <a:lnTo>
                <a:pt x="0" y="37504"/>
              </a:lnTo>
              <a:lnTo>
                <a:pt x="0" y="0"/>
              </a:lnTo>
              <a:lnTo>
                <a:pt x="37260" y="38540"/>
              </a:lnTo>
              <a:lnTo>
                <a:pt x="49257" y="50949"/>
              </a:lnTo>
              <a:lnTo>
                <a:pt x="12998" y="509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0.24073</cdr:x>
      <cdr:y>0.42628</cdr:y>
    </cdr:from>
    <cdr:to>
      <cdr:x>0.24747</cdr:x>
      <cdr:y>0.43296</cdr:y>
    </cdr:to>
    <cdr:sp macro="" textlink="">
      <cdr:nvSpPr>
        <cdr:cNvPr id="689" name="FracNo 931 StartRow 6835">
          <a:extLst xmlns:a="http://schemas.openxmlformats.org/drawingml/2006/main">
            <a:ext uri="{FF2B5EF4-FFF2-40B4-BE49-F238E27FC236}">
              <a16:creationId xmlns:a16="http://schemas.microsoft.com/office/drawing/2014/main" id="{DABFE15E-F652-5547-21D9-E53FC5198255}"/>
            </a:ext>
          </a:extLst>
        </cdr:cNvPr>
        <cdr:cNvSpPr/>
      </cdr:nvSpPr>
      <cdr:spPr>
        <a:xfrm xmlns:a="http://schemas.openxmlformats.org/drawingml/2006/main">
          <a:off x="1761004" y="3248229"/>
          <a:ext cx="49258" cy="509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58" h="50949">
              <a:moveTo>
                <a:pt x="44637" y="8666"/>
              </a:moveTo>
              <a:lnTo>
                <a:pt x="36259" y="0"/>
              </a:lnTo>
              <a:lnTo>
                <a:pt x="0" y="0"/>
              </a:lnTo>
              <a:lnTo>
                <a:pt x="31750" y="32840"/>
              </a:lnTo>
              <a:lnTo>
                <a:pt x="49257" y="50948"/>
              </a:lnTo>
              <a:lnTo>
                <a:pt x="49257" y="134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0.35463</cdr:x>
      <cdr:y>0.48782</cdr:y>
    </cdr:from>
    <cdr:to>
      <cdr:x>0.36134</cdr:x>
      <cdr:y>0.49447</cdr:y>
    </cdr:to>
    <cdr:sp macro="" textlink="">
      <cdr:nvSpPr>
        <cdr:cNvPr id="690" name="FracNo 860 StartRow 6844">
          <a:extLst xmlns:a="http://schemas.openxmlformats.org/drawingml/2006/main">
            <a:ext uri="{FF2B5EF4-FFF2-40B4-BE49-F238E27FC236}">
              <a16:creationId xmlns:a16="http://schemas.microsoft.com/office/drawing/2014/main" id="{0C30B144-F6ED-DB20-1CCF-B0D3730A3C36}"/>
            </a:ext>
          </a:extLst>
        </cdr:cNvPr>
        <cdr:cNvSpPr/>
      </cdr:nvSpPr>
      <cdr:spPr>
        <a:xfrm xmlns:a="http://schemas.openxmlformats.org/drawingml/2006/main">
          <a:off x="2594213" y="3717167"/>
          <a:ext cx="49047" cy="50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47" h="50731">
              <a:moveTo>
                <a:pt x="7789" y="8057"/>
              </a:moveTo>
              <a:lnTo>
                <a:pt x="0" y="0"/>
              </a:lnTo>
              <a:lnTo>
                <a:pt x="36259" y="0"/>
              </a:lnTo>
              <a:lnTo>
                <a:pt x="38289" y="2101"/>
              </a:lnTo>
              <a:lnTo>
                <a:pt x="49046" y="13227"/>
              </a:lnTo>
              <a:lnTo>
                <a:pt x="49046" y="507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0.0956</cdr:x>
      <cdr:y>0.74503</cdr:y>
    </cdr:from>
    <cdr:to>
      <cdr:x>0.10231</cdr:x>
      <cdr:y>0.75168</cdr:y>
    </cdr:to>
    <cdr:sp macro="" textlink="">
      <cdr:nvSpPr>
        <cdr:cNvPr id="691" name="FracNo 1092 StartRow 6853">
          <a:extLst xmlns:a="http://schemas.openxmlformats.org/drawingml/2006/main">
            <a:ext uri="{FF2B5EF4-FFF2-40B4-BE49-F238E27FC236}">
              <a16:creationId xmlns:a16="http://schemas.microsoft.com/office/drawing/2014/main" id="{DD8D6AF1-F408-5344-6849-C6646E3ADB47}"/>
            </a:ext>
          </a:extLst>
        </cdr:cNvPr>
        <cdr:cNvSpPr/>
      </cdr:nvSpPr>
      <cdr:spPr>
        <a:xfrm xmlns:a="http://schemas.openxmlformats.org/drawingml/2006/main">
          <a:off x="699354" y="5677100"/>
          <a:ext cx="49047" cy="50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47" h="50731">
              <a:moveTo>
                <a:pt x="13223" y="13677"/>
              </a:moveTo>
              <a:lnTo>
                <a:pt x="0" y="0"/>
              </a:lnTo>
              <a:lnTo>
                <a:pt x="0" y="37504"/>
              </a:lnTo>
              <a:lnTo>
                <a:pt x="3447" y="41070"/>
              </a:lnTo>
              <a:lnTo>
                <a:pt x="12787" y="50730"/>
              </a:lnTo>
              <a:lnTo>
                <a:pt x="49046" y="507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0.72986</cdr:x>
      <cdr:y>0.11523</cdr:y>
    </cdr:from>
    <cdr:to>
      <cdr:x>0.73656</cdr:x>
      <cdr:y>0.12189</cdr:y>
    </cdr:to>
    <cdr:sp macro="" textlink="">
      <cdr:nvSpPr>
        <cdr:cNvPr id="692" name="FracNo 1013 StartRow 6862">
          <a:extLst xmlns:a="http://schemas.openxmlformats.org/drawingml/2006/main">
            <a:ext uri="{FF2B5EF4-FFF2-40B4-BE49-F238E27FC236}">
              <a16:creationId xmlns:a16="http://schemas.microsoft.com/office/drawing/2014/main" id="{7F03710D-FA65-D74E-68DD-C9840BA2881B}"/>
            </a:ext>
          </a:extLst>
        </cdr:cNvPr>
        <cdr:cNvSpPr/>
      </cdr:nvSpPr>
      <cdr:spPr>
        <a:xfrm xmlns:a="http://schemas.openxmlformats.org/drawingml/2006/main">
          <a:off x="5339065" y="878051"/>
          <a:ext cx="49047" cy="50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47" h="50731">
              <a:moveTo>
                <a:pt x="41138" y="42550"/>
              </a:moveTo>
              <a:lnTo>
                <a:pt x="0" y="0"/>
              </a:lnTo>
              <a:lnTo>
                <a:pt x="0" y="37504"/>
              </a:lnTo>
              <a:lnTo>
                <a:pt x="10726" y="48597"/>
              </a:lnTo>
              <a:lnTo>
                <a:pt x="12787" y="50730"/>
              </a:lnTo>
              <a:lnTo>
                <a:pt x="49046" y="507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0.59646</cdr:x>
      <cdr:y>0.24769</cdr:y>
    </cdr:from>
    <cdr:to>
      <cdr:x>0.60317</cdr:x>
      <cdr:y>0.25435</cdr:y>
    </cdr:to>
    <cdr:sp macro="" textlink="">
      <cdr:nvSpPr>
        <cdr:cNvPr id="693" name="FracNo 956 StartRow 6871">
          <a:extLst xmlns:a="http://schemas.openxmlformats.org/drawingml/2006/main">
            <a:ext uri="{FF2B5EF4-FFF2-40B4-BE49-F238E27FC236}">
              <a16:creationId xmlns:a16="http://schemas.microsoft.com/office/drawing/2014/main" id="{93B89FCB-B78F-8089-1B89-8E0C00FBDC23}"/>
            </a:ext>
          </a:extLst>
        </cdr:cNvPr>
        <cdr:cNvSpPr/>
      </cdr:nvSpPr>
      <cdr:spPr>
        <a:xfrm xmlns:a="http://schemas.openxmlformats.org/drawingml/2006/main">
          <a:off x="4363239" y="1887390"/>
          <a:ext cx="49047" cy="50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47" h="50731">
              <a:moveTo>
                <a:pt x="3651" y="3776"/>
              </a:moveTo>
              <a:lnTo>
                <a:pt x="0" y="0"/>
              </a:lnTo>
              <a:lnTo>
                <a:pt x="0" y="37503"/>
              </a:lnTo>
              <a:lnTo>
                <a:pt x="952" y="38488"/>
              </a:lnTo>
              <a:lnTo>
                <a:pt x="12787" y="50730"/>
              </a:lnTo>
              <a:lnTo>
                <a:pt x="49046" y="507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0.5236</cdr:x>
      <cdr:y>0.32004</cdr:y>
    </cdr:from>
    <cdr:to>
      <cdr:x>0.53031</cdr:x>
      <cdr:y>0.3267</cdr:y>
    </cdr:to>
    <cdr:sp macro="" textlink="">
      <cdr:nvSpPr>
        <cdr:cNvPr id="694" name="FracNo 479 StartRow 6880">
          <a:extLst xmlns:a="http://schemas.openxmlformats.org/drawingml/2006/main">
            <a:ext uri="{FF2B5EF4-FFF2-40B4-BE49-F238E27FC236}">
              <a16:creationId xmlns:a16="http://schemas.microsoft.com/office/drawing/2014/main" id="{AD2B9993-3D1E-CEEA-81DC-33A1C126018D}"/>
            </a:ext>
          </a:extLst>
        </cdr:cNvPr>
        <cdr:cNvSpPr/>
      </cdr:nvSpPr>
      <cdr:spPr>
        <a:xfrm xmlns:a="http://schemas.openxmlformats.org/drawingml/2006/main">
          <a:off x="3830243" y="2438690"/>
          <a:ext cx="49046" cy="50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46" h="50731">
              <a:moveTo>
                <a:pt x="18242" y="18869"/>
              </a:moveTo>
              <a:lnTo>
                <a:pt x="0" y="0"/>
              </a:lnTo>
              <a:lnTo>
                <a:pt x="0" y="37504"/>
              </a:lnTo>
              <a:lnTo>
                <a:pt x="4756" y="42423"/>
              </a:lnTo>
              <a:lnTo>
                <a:pt x="12787" y="50730"/>
              </a:lnTo>
              <a:lnTo>
                <a:pt x="49045" y="507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0.62382</cdr:x>
      <cdr:y>0.22052</cdr:y>
    </cdr:from>
    <cdr:to>
      <cdr:x>0.63053</cdr:x>
      <cdr:y>0.22718</cdr:y>
    </cdr:to>
    <cdr:sp macro="" textlink="">
      <cdr:nvSpPr>
        <cdr:cNvPr id="695" name="FracNo 1146 StartRow 6889">
          <a:extLst xmlns:a="http://schemas.openxmlformats.org/drawingml/2006/main">
            <a:ext uri="{FF2B5EF4-FFF2-40B4-BE49-F238E27FC236}">
              <a16:creationId xmlns:a16="http://schemas.microsoft.com/office/drawing/2014/main" id="{C5FFD879-0550-4DAA-8CF7-32D93DA2B0A6}"/>
            </a:ext>
          </a:extLst>
        </cdr:cNvPr>
        <cdr:cNvSpPr/>
      </cdr:nvSpPr>
      <cdr:spPr>
        <a:xfrm xmlns:a="http://schemas.openxmlformats.org/drawingml/2006/main">
          <a:off x="4563390" y="1680365"/>
          <a:ext cx="49047" cy="50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47" h="50731">
              <a:moveTo>
                <a:pt x="29921" y="30949"/>
              </a:moveTo>
              <a:lnTo>
                <a:pt x="0" y="0"/>
              </a:lnTo>
              <a:lnTo>
                <a:pt x="36258" y="0"/>
              </a:lnTo>
              <a:lnTo>
                <a:pt x="44059" y="8069"/>
              </a:lnTo>
              <a:lnTo>
                <a:pt x="49046" y="13226"/>
              </a:lnTo>
              <a:lnTo>
                <a:pt x="49046" y="507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0.55088</cdr:x>
      <cdr:y>0.29295</cdr:y>
    </cdr:from>
    <cdr:to>
      <cdr:x>0.55759</cdr:x>
      <cdr:y>0.2996</cdr:y>
    </cdr:to>
    <cdr:sp macro="" textlink="">
      <cdr:nvSpPr>
        <cdr:cNvPr id="696" name="FracNo 1098 StartRow 6898">
          <a:extLst xmlns:a="http://schemas.openxmlformats.org/drawingml/2006/main">
            <a:ext uri="{FF2B5EF4-FFF2-40B4-BE49-F238E27FC236}">
              <a16:creationId xmlns:a16="http://schemas.microsoft.com/office/drawing/2014/main" id="{F02928AB-5237-11D7-8801-72C9634BA8C6}"/>
            </a:ext>
          </a:extLst>
        </cdr:cNvPr>
        <cdr:cNvSpPr/>
      </cdr:nvSpPr>
      <cdr:spPr>
        <a:xfrm xmlns:a="http://schemas.openxmlformats.org/drawingml/2006/main">
          <a:off x="4029828" y="2232250"/>
          <a:ext cx="49047" cy="50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47" h="50731">
              <a:moveTo>
                <a:pt x="32586" y="33705"/>
              </a:moveTo>
              <a:lnTo>
                <a:pt x="0" y="0"/>
              </a:lnTo>
              <a:lnTo>
                <a:pt x="36259" y="0"/>
              </a:lnTo>
              <a:lnTo>
                <a:pt x="44754" y="8788"/>
              </a:lnTo>
              <a:lnTo>
                <a:pt x="49046" y="13227"/>
              </a:lnTo>
              <a:lnTo>
                <a:pt x="49046" y="507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0.51748</cdr:x>
      <cdr:y>0.82698</cdr:y>
    </cdr:from>
    <cdr:to>
      <cdr:x>0.5217</cdr:x>
      <cdr:y>0.83609</cdr:y>
    </cdr:to>
    <cdr:sp macro="" textlink="">
      <cdr:nvSpPr>
        <cdr:cNvPr id="697" name="FracNo 705 StartRow 6907">
          <a:extLst xmlns:a="http://schemas.openxmlformats.org/drawingml/2006/main">
            <a:ext uri="{FF2B5EF4-FFF2-40B4-BE49-F238E27FC236}">
              <a16:creationId xmlns:a16="http://schemas.microsoft.com/office/drawing/2014/main" id="{72B2886F-193B-9F8B-6BC7-5B59364EC3F1}"/>
            </a:ext>
          </a:extLst>
        </cdr:cNvPr>
        <cdr:cNvSpPr/>
      </cdr:nvSpPr>
      <cdr:spPr>
        <a:xfrm xmlns:a="http://schemas.openxmlformats.org/drawingml/2006/main">
          <a:off x="3785506" y="6301583"/>
          <a:ext cx="30842" cy="694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42" h="69404">
              <a:moveTo>
                <a:pt x="10882" y="48759"/>
              </a:moveTo>
              <a:lnTo>
                <a:pt x="0" y="37504"/>
              </a:lnTo>
              <a:lnTo>
                <a:pt x="0" y="0"/>
              </a:lnTo>
              <a:lnTo>
                <a:pt x="10882" y="11255"/>
              </a:lnTo>
              <a:lnTo>
                <a:pt x="30841" y="31899"/>
              </a:lnTo>
              <a:lnTo>
                <a:pt x="30841" y="694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0.6367</cdr:x>
      <cdr:y>0.7086</cdr:y>
    </cdr:from>
    <cdr:to>
      <cdr:x>0.64587</cdr:x>
      <cdr:y>0.71279</cdr:y>
    </cdr:to>
    <cdr:sp macro="" textlink="">
      <cdr:nvSpPr>
        <cdr:cNvPr id="698" name="FracNo 719 StartRow 6916">
          <a:extLst xmlns:a="http://schemas.openxmlformats.org/drawingml/2006/main">
            <a:ext uri="{FF2B5EF4-FFF2-40B4-BE49-F238E27FC236}">
              <a16:creationId xmlns:a16="http://schemas.microsoft.com/office/drawing/2014/main" id="{EAB21F9F-A6AB-0066-43A7-F367FEFB7871}"/>
            </a:ext>
          </a:extLst>
        </cdr:cNvPr>
        <cdr:cNvSpPr/>
      </cdr:nvSpPr>
      <cdr:spPr>
        <a:xfrm xmlns:a="http://schemas.openxmlformats.org/drawingml/2006/main">
          <a:off x="4657599" y="5399541"/>
          <a:ext cx="67100" cy="319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100" h="31901">
              <a:moveTo>
                <a:pt x="66636" y="31422"/>
              </a:moveTo>
              <a:lnTo>
                <a:pt x="36258" y="0"/>
              </a:lnTo>
              <a:lnTo>
                <a:pt x="0" y="0"/>
              </a:lnTo>
              <a:lnTo>
                <a:pt x="30378" y="31422"/>
              </a:lnTo>
              <a:lnTo>
                <a:pt x="30840" y="31900"/>
              </a:lnTo>
              <a:lnTo>
                <a:pt x="67099" y="319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0.24404</cdr:x>
      <cdr:y>0.15641</cdr:y>
    </cdr:from>
    <cdr:to>
      <cdr:x>0.25321</cdr:x>
      <cdr:y>0.16059</cdr:y>
    </cdr:to>
    <cdr:sp macro="" textlink="">
      <cdr:nvSpPr>
        <cdr:cNvPr id="699" name="FracNo 1038 StartRow 6925">
          <a:extLst xmlns:a="http://schemas.openxmlformats.org/drawingml/2006/main">
            <a:ext uri="{FF2B5EF4-FFF2-40B4-BE49-F238E27FC236}">
              <a16:creationId xmlns:a16="http://schemas.microsoft.com/office/drawing/2014/main" id="{B4708BDC-184B-2FBD-6902-FD010DE418EE}"/>
            </a:ext>
          </a:extLst>
        </cdr:cNvPr>
        <cdr:cNvSpPr/>
      </cdr:nvSpPr>
      <cdr:spPr>
        <a:xfrm xmlns:a="http://schemas.openxmlformats.org/drawingml/2006/main">
          <a:off x="1785214" y="1191836"/>
          <a:ext cx="67086" cy="318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086" h="31887">
              <a:moveTo>
                <a:pt x="51258" y="15515"/>
              </a:moveTo>
              <a:lnTo>
                <a:pt x="36258" y="0"/>
              </a:lnTo>
              <a:lnTo>
                <a:pt x="0" y="0"/>
              </a:lnTo>
              <a:lnTo>
                <a:pt x="14999" y="15515"/>
              </a:lnTo>
              <a:lnTo>
                <a:pt x="30827" y="31886"/>
              </a:lnTo>
              <a:lnTo>
                <a:pt x="67085" y="318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0.29553</cdr:x>
      <cdr:y>0.18007</cdr:y>
    </cdr:from>
    <cdr:to>
      <cdr:x>0.29973</cdr:x>
      <cdr:y>0.18916</cdr:y>
    </cdr:to>
    <cdr:sp macro="" textlink="">
      <cdr:nvSpPr>
        <cdr:cNvPr id="700" name="FracNo 947 StartRow 6934">
          <a:extLst xmlns:a="http://schemas.openxmlformats.org/drawingml/2006/main">
            <a:ext uri="{FF2B5EF4-FFF2-40B4-BE49-F238E27FC236}">
              <a16:creationId xmlns:a16="http://schemas.microsoft.com/office/drawing/2014/main" id="{9CA307DD-4691-385D-65C4-17447665A387}"/>
            </a:ext>
          </a:extLst>
        </cdr:cNvPr>
        <cdr:cNvSpPr/>
      </cdr:nvSpPr>
      <cdr:spPr>
        <a:xfrm xmlns:a="http://schemas.openxmlformats.org/drawingml/2006/main">
          <a:off x="2161880" y="1372135"/>
          <a:ext cx="30722" cy="69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22" h="69281">
              <a:moveTo>
                <a:pt x="9925" y="47770"/>
              </a:moveTo>
              <a:lnTo>
                <a:pt x="0" y="37504"/>
              </a:lnTo>
              <a:lnTo>
                <a:pt x="0" y="0"/>
              </a:lnTo>
              <a:lnTo>
                <a:pt x="9925" y="10267"/>
              </a:lnTo>
              <a:lnTo>
                <a:pt x="30721" y="31776"/>
              </a:lnTo>
              <a:lnTo>
                <a:pt x="30721" y="692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0.28229</cdr:x>
      <cdr:y>0.19322</cdr:y>
    </cdr:from>
    <cdr:to>
      <cdr:x>0.28649</cdr:x>
      <cdr:y>0.20231</cdr:y>
    </cdr:to>
    <cdr:sp macro="" textlink="">
      <cdr:nvSpPr>
        <cdr:cNvPr id="701" name="FracNo 1129 StartRow 6943">
          <a:extLst xmlns:a="http://schemas.openxmlformats.org/drawingml/2006/main">
            <a:ext uri="{FF2B5EF4-FFF2-40B4-BE49-F238E27FC236}">
              <a16:creationId xmlns:a16="http://schemas.microsoft.com/office/drawing/2014/main" id="{27FB4654-C2EB-8C48-9E56-31C009D29F23}"/>
            </a:ext>
          </a:extLst>
        </cdr:cNvPr>
        <cdr:cNvSpPr/>
      </cdr:nvSpPr>
      <cdr:spPr>
        <a:xfrm xmlns:a="http://schemas.openxmlformats.org/drawingml/2006/main">
          <a:off x="2065012" y="1472330"/>
          <a:ext cx="30722" cy="69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22" h="69281">
              <a:moveTo>
                <a:pt x="27178" y="65616"/>
              </a:moveTo>
              <a:lnTo>
                <a:pt x="0" y="37504"/>
              </a:lnTo>
              <a:lnTo>
                <a:pt x="0" y="0"/>
              </a:lnTo>
              <a:lnTo>
                <a:pt x="27178" y="28112"/>
              </a:lnTo>
              <a:lnTo>
                <a:pt x="30721" y="31776"/>
              </a:lnTo>
              <a:lnTo>
                <a:pt x="30721" y="692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0.25738</cdr:x>
      <cdr:y>0.21796</cdr:y>
    </cdr:from>
    <cdr:to>
      <cdr:x>0.26158</cdr:x>
      <cdr:y>0.22705</cdr:y>
    </cdr:to>
    <cdr:sp macro="" textlink="">
      <cdr:nvSpPr>
        <cdr:cNvPr id="702" name="FracNo 892 StartRow 6952">
          <a:extLst xmlns:a="http://schemas.openxmlformats.org/drawingml/2006/main">
            <a:ext uri="{FF2B5EF4-FFF2-40B4-BE49-F238E27FC236}">
              <a16:creationId xmlns:a16="http://schemas.microsoft.com/office/drawing/2014/main" id="{77B64B24-0FC8-4B29-D48E-AD2A2F2DE9CE}"/>
            </a:ext>
          </a:extLst>
        </cdr:cNvPr>
        <cdr:cNvSpPr/>
      </cdr:nvSpPr>
      <cdr:spPr>
        <a:xfrm xmlns:a="http://schemas.openxmlformats.org/drawingml/2006/main">
          <a:off x="1882778" y="1660821"/>
          <a:ext cx="30722" cy="69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22" h="69282">
              <a:moveTo>
                <a:pt x="8691" y="46494"/>
              </a:moveTo>
              <a:lnTo>
                <a:pt x="0" y="37505"/>
              </a:lnTo>
              <a:lnTo>
                <a:pt x="0" y="0"/>
              </a:lnTo>
              <a:lnTo>
                <a:pt x="8691" y="8991"/>
              </a:lnTo>
              <a:lnTo>
                <a:pt x="30721" y="31777"/>
              </a:lnTo>
              <a:lnTo>
                <a:pt x="30721" y="692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0.74789</cdr:x>
      <cdr:y>0.75684</cdr:y>
    </cdr:from>
    <cdr:to>
      <cdr:x>0.75452</cdr:x>
      <cdr:y>0.76342</cdr:y>
    </cdr:to>
    <cdr:sp macro="" textlink="">
      <cdr:nvSpPr>
        <cdr:cNvPr id="703" name="FracNo 1120 StartRow 6961">
          <a:extLst xmlns:a="http://schemas.openxmlformats.org/drawingml/2006/main">
            <a:ext uri="{FF2B5EF4-FFF2-40B4-BE49-F238E27FC236}">
              <a16:creationId xmlns:a16="http://schemas.microsoft.com/office/drawing/2014/main" id="{468AC465-2699-C509-14C7-22762E792B69}"/>
            </a:ext>
          </a:extLst>
        </cdr:cNvPr>
        <cdr:cNvSpPr/>
      </cdr:nvSpPr>
      <cdr:spPr>
        <a:xfrm xmlns:a="http://schemas.openxmlformats.org/drawingml/2006/main">
          <a:off x="5470989" y="5767142"/>
          <a:ext cx="48475" cy="501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475" h="50139">
              <a:moveTo>
                <a:pt x="3684" y="3811"/>
              </a:moveTo>
              <a:lnTo>
                <a:pt x="0" y="0"/>
              </a:lnTo>
              <a:lnTo>
                <a:pt x="0" y="37504"/>
              </a:lnTo>
              <a:lnTo>
                <a:pt x="929" y="38464"/>
              </a:lnTo>
              <a:lnTo>
                <a:pt x="12215" y="50138"/>
              </a:lnTo>
              <a:lnTo>
                <a:pt x="48474" y="501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0.93591</cdr:x>
      <cdr:y>0.77242</cdr:y>
    </cdr:from>
    <cdr:to>
      <cdr:x>0.94246</cdr:x>
      <cdr:y>0.77893</cdr:y>
    </cdr:to>
    <cdr:sp macro="" textlink="">
      <cdr:nvSpPr>
        <cdr:cNvPr id="704" name="FracNo 984 StartRow 6970">
          <a:extLst xmlns:a="http://schemas.openxmlformats.org/drawingml/2006/main">
            <a:ext uri="{FF2B5EF4-FFF2-40B4-BE49-F238E27FC236}">
              <a16:creationId xmlns:a16="http://schemas.microsoft.com/office/drawing/2014/main" id="{686FFC4B-F947-41A2-E250-E1B9B3C51043}"/>
            </a:ext>
          </a:extLst>
        </cdr:cNvPr>
        <cdr:cNvSpPr/>
      </cdr:nvSpPr>
      <cdr:spPr>
        <a:xfrm xmlns:a="http://schemas.openxmlformats.org/drawingml/2006/main">
          <a:off x="6846336" y="5885848"/>
          <a:ext cx="47972" cy="49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972" h="49620">
              <a:moveTo>
                <a:pt x="4154" y="4298"/>
              </a:moveTo>
              <a:lnTo>
                <a:pt x="0" y="0"/>
              </a:lnTo>
              <a:lnTo>
                <a:pt x="36258" y="0"/>
              </a:lnTo>
              <a:lnTo>
                <a:pt x="37273" y="1050"/>
              </a:lnTo>
              <a:lnTo>
                <a:pt x="47971" y="12116"/>
              </a:lnTo>
              <a:lnTo>
                <a:pt x="47971" y="496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0.51106</cdr:x>
      <cdr:y>0.27796</cdr:y>
    </cdr:from>
    <cdr:to>
      <cdr:x>0.51761</cdr:x>
      <cdr:y>0.28446</cdr:y>
    </cdr:to>
    <cdr:sp macro="" textlink="">
      <cdr:nvSpPr>
        <cdr:cNvPr id="705" name="FracNo 1053 StartRow 6979">
          <a:extLst xmlns:a="http://schemas.openxmlformats.org/drawingml/2006/main">
            <a:ext uri="{FF2B5EF4-FFF2-40B4-BE49-F238E27FC236}">
              <a16:creationId xmlns:a16="http://schemas.microsoft.com/office/drawing/2014/main" id="{4921CBB4-3994-08DB-3E72-8FD75C5F80AB}"/>
            </a:ext>
          </a:extLst>
        </cdr:cNvPr>
        <cdr:cNvSpPr/>
      </cdr:nvSpPr>
      <cdr:spPr>
        <a:xfrm xmlns:a="http://schemas.openxmlformats.org/drawingml/2006/main">
          <a:off x="3738540" y="2118092"/>
          <a:ext cx="47880" cy="495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880" h="49524">
              <a:moveTo>
                <a:pt x="17313" y="17907"/>
              </a:moveTo>
              <a:lnTo>
                <a:pt x="0" y="0"/>
              </a:lnTo>
              <a:lnTo>
                <a:pt x="36258" y="0"/>
              </a:lnTo>
              <a:lnTo>
                <a:pt x="40460" y="4346"/>
              </a:lnTo>
              <a:lnTo>
                <a:pt x="47879" y="12019"/>
              </a:lnTo>
              <a:lnTo>
                <a:pt x="47879" y="495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0.47027</cdr:x>
      <cdr:y>0.11961</cdr:y>
    </cdr:from>
    <cdr:to>
      <cdr:x>0.47925</cdr:x>
      <cdr:y>0.12361</cdr:y>
    </cdr:to>
    <cdr:sp macro="" textlink="">
      <cdr:nvSpPr>
        <cdr:cNvPr id="706" name="FracNo 466 StartRow 6988">
          <a:extLst xmlns:a="http://schemas.openxmlformats.org/drawingml/2006/main">
            <a:ext uri="{FF2B5EF4-FFF2-40B4-BE49-F238E27FC236}">
              <a16:creationId xmlns:a16="http://schemas.microsoft.com/office/drawing/2014/main" id="{1B85D7C2-90CB-C297-A161-58D8459177E4}"/>
            </a:ext>
          </a:extLst>
        </cdr:cNvPr>
        <cdr:cNvSpPr/>
      </cdr:nvSpPr>
      <cdr:spPr>
        <a:xfrm xmlns:a="http://schemas.openxmlformats.org/drawingml/2006/main">
          <a:off x="3440099" y="911445"/>
          <a:ext cx="65725" cy="304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725" h="30479">
              <a:moveTo>
                <a:pt x="47428" y="11554"/>
              </a:moveTo>
              <a:lnTo>
                <a:pt x="36258" y="0"/>
              </a:lnTo>
              <a:lnTo>
                <a:pt x="0" y="0"/>
              </a:lnTo>
              <a:lnTo>
                <a:pt x="11170" y="11554"/>
              </a:lnTo>
              <a:lnTo>
                <a:pt x="29466" y="30478"/>
              </a:lnTo>
              <a:lnTo>
                <a:pt x="65724" y="304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0.48016</cdr:x>
      <cdr:y>0.10979</cdr:y>
    </cdr:from>
    <cdr:to>
      <cdr:x>0.48915</cdr:x>
      <cdr:y>0.11378</cdr:y>
    </cdr:to>
    <cdr:sp macro="" textlink="">
      <cdr:nvSpPr>
        <cdr:cNvPr id="707" name="FracNo 468 StartRow 6997">
          <a:extLst xmlns:a="http://schemas.openxmlformats.org/drawingml/2006/main">
            <a:ext uri="{FF2B5EF4-FFF2-40B4-BE49-F238E27FC236}">
              <a16:creationId xmlns:a16="http://schemas.microsoft.com/office/drawing/2014/main" id="{A8F2E333-5052-4F93-B8B2-6CC980B6CF88}"/>
            </a:ext>
          </a:extLst>
        </cdr:cNvPr>
        <cdr:cNvSpPr/>
      </cdr:nvSpPr>
      <cdr:spPr>
        <a:xfrm xmlns:a="http://schemas.openxmlformats.org/drawingml/2006/main">
          <a:off x="3512495" y="836562"/>
          <a:ext cx="65726" cy="304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726" h="30479">
              <a:moveTo>
                <a:pt x="43998" y="8006"/>
              </a:moveTo>
              <a:lnTo>
                <a:pt x="36259" y="0"/>
              </a:lnTo>
              <a:lnTo>
                <a:pt x="0" y="0"/>
              </a:lnTo>
              <a:lnTo>
                <a:pt x="7740" y="8006"/>
              </a:lnTo>
              <a:lnTo>
                <a:pt x="29466" y="30478"/>
              </a:lnTo>
              <a:lnTo>
                <a:pt x="65725" y="304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0.7831</cdr:x>
      <cdr:y>0.12355</cdr:y>
    </cdr:from>
    <cdr:to>
      <cdr:x>0.79084</cdr:x>
      <cdr:y>0.12878</cdr:y>
    </cdr:to>
    <cdr:sp macro="" textlink="">
      <cdr:nvSpPr>
        <cdr:cNvPr id="708" name="FracNo 312 StartRow 7006">
          <a:extLst xmlns:a="http://schemas.openxmlformats.org/drawingml/2006/main">
            <a:ext uri="{FF2B5EF4-FFF2-40B4-BE49-F238E27FC236}">
              <a16:creationId xmlns:a16="http://schemas.microsoft.com/office/drawing/2014/main" id="{377F73C4-F3B8-23F4-D4E3-5F592BA9B725}"/>
            </a:ext>
          </a:extLst>
        </cdr:cNvPr>
        <cdr:cNvSpPr/>
      </cdr:nvSpPr>
      <cdr:spPr>
        <a:xfrm xmlns:a="http://schemas.openxmlformats.org/drawingml/2006/main">
          <a:off x="5728522" y="941464"/>
          <a:ext cx="56644" cy="39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644" h="39839">
              <a:moveTo>
                <a:pt x="15611" y="34899"/>
              </a:moveTo>
              <a:lnTo>
                <a:pt x="0" y="18753"/>
              </a:lnTo>
              <a:lnTo>
                <a:pt x="18129" y="0"/>
              </a:lnTo>
              <a:lnTo>
                <a:pt x="47623" y="30508"/>
              </a:lnTo>
              <a:lnTo>
                <a:pt x="56643" y="39838"/>
              </a:lnTo>
              <a:lnTo>
                <a:pt x="20385" y="398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0.52622</cdr:x>
      <cdr:y>0.30405</cdr:y>
    </cdr:from>
    <cdr:to>
      <cdr:x>0.53272</cdr:x>
      <cdr:y>0.31051</cdr:y>
    </cdr:to>
    <cdr:sp macro="" textlink="">
      <cdr:nvSpPr>
        <cdr:cNvPr id="709" name="FracNo 998 StartRow 7015">
          <a:extLst xmlns:a="http://schemas.openxmlformats.org/drawingml/2006/main">
            <a:ext uri="{FF2B5EF4-FFF2-40B4-BE49-F238E27FC236}">
              <a16:creationId xmlns:a16="http://schemas.microsoft.com/office/drawing/2014/main" id="{7E259C23-576D-F98B-7C0C-52E8437B18E1}"/>
            </a:ext>
          </a:extLst>
        </cdr:cNvPr>
        <cdr:cNvSpPr/>
      </cdr:nvSpPr>
      <cdr:spPr>
        <a:xfrm xmlns:a="http://schemas.openxmlformats.org/drawingml/2006/main">
          <a:off x="3849436" y="2316889"/>
          <a:ext cx="47530" cy="491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530" h="49162">
              <a:moveTo>
                <a:pt x="31326" y="32402"/>
              </a:moveTo>
              <a:lnTo>
                <a:pt x="0" y="0"/>
              </a:lnTo>
              <a:lnTo>
                <a:pt x="0" y="37504"/>
              </a:lnTo>
              <a:lnTo>
                <a:pt x="7428" y="45187"/>
              </a:lnTo>
              <a:lnTo>
                <a:pt x="11270" y="49161"/>
              </a:lnTo>
              <a:lnTo>
                <a:pt x="47529" y="491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0.12014</cdr:x>
      <cdr:y>0.65456</cdr:y>
    </cdr:from>
    <cdr:to>
      <cdr:x>0.12908</cdr:x>
      <cdr:y>0.65851</cdr:y>
    </cdr:to>
    <cdr:sp macro="" textlink="">
      <cdr:nvSpPr>
        <cdr:cNvPr id="710" name="FracNo 68 StartRow 7024">
          <a:extLst xmlns:a="http://schemas.openxmlformats.org/drawingml/2006/main">
            <a:ext uri="{FF2B5EF4-FFF2-40B4-BE49-F238E27FC236}">
              <a16:creationId xmlns:a16="http://schemas.microsoft.com/office/drawing/2014/main" id="{BA196A61-9E96-CD12-1D40-1C4CBF60BCEB}"/>
            </a:ext>
          </a:extLst>
        </cdr:cNvPr>
        <cdr:cNvSpPr/>
      </cdr:nvSpPr>
      <cdr:spPr>
        <a:xfrm xmlns:a="http://schemas.openxmlformats.org/drawingml/2006/main">
          <a:off x="878860" y="4987748"/>
          <a:ext cx="65390" cy="301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90" h="30132">
              <a:moveTo>
                <a:pt x="26320" y="27223"/>
              </a:moveTo>
              <a:lnTo>
                <a:pt x="0" y="0"/>
              </a:lnTo>
              <a:lnTo>
                <a:pt x="36259" y="0"/>
              </a:lnTo>
              <a:lnTo>
                <a:pt x="62578" y="27223"/>
              </a:lnTo>
              <a:lnTo>
                <a:pt x="65389" y="30131"/>
              </a:lnTo>
              <a:lnTo>
                <a:pt x="29131" y="301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0.46697</cdr:x>
      <cdr:y>0.44898</cdr:y>
    </cdr:from>
    <cdr:to>
      <cdr:x>0.47343</cdr:x>
      <cdr:y>0.45539</cdr:y>
    </cdr:to>
    <cdr:sp macro="" textlink="">
      <cdr:nvSpPr>
        <cdr:cNvPr id="711" name="FracNo 873 StartRow 7033">
          <a:extLst xmlns:a="http://schemas.openxmlformats.org/drawingml/2006/main">
            <a:ext uri="{FF2B5EF4-FFF2-40B4-BE49-F238E27FC236}">
              <a16:creationId xmlns:a16="http://schemas.microsoft.com/office/drawing/2014/main" id="{316094A9-BEB8-098C-11D3-C3BEC670144C}"/>
            </a:ext>
          </a:extLst>
        </cdr:cNvPr>
        <cdr:cNvSpPr/>
      </cdr:nvSpPr>
      <cdr:spPr>
        <a:xfrm xmlns:a="http://schemas.openxmlformats.org/drawingml/2006/main">
          <a:off x="3415977" y="3421246"/>
          <a:ext cx="47224" cy="48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24" h="48846">
              <a:moveTo>
                <a:pt x="42148" y="6092"/>
              </a:moveTo>
              <a:lnTo>
                <a:pt x="36258" y="0"/>
              </a:lnTo>
              <a:lnTo>
                <a:pt x="0" y="0"/>
              </a:lnTo>
              <a:lnTo>
                <a:pt x="25366" y="26238"/>
              </a:lnTo>
              <a:lnTo>
                <a:pt x="47223" y="48845"/>
              </a:lnTo>
              <a:lnTo>
                <a:pt x="47223" y="113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0.22816</cdr:x>
      <cdr:y>0.74389</cdr:y>
    </cdr:from>
    <cdr:to>
      <cdr:x>0.23461</cdr:x>
      <cdr:y>0.7503</cdr:y>
    </cdr:to>
    <cdr:sp macro="" textlink="">
      <cdr:nvSpPr>
        <cdr:cNvPr id="712" name="FracNo 953 StartRow 7042">
          <a:extLst xmlns:a="http://schemas.openxmlformats.org/drawingml/2006/main">
            <a:ext uri="{FF2B5EF4-FFF2-40B4-BE49-F238E27FC236}">
              <a16:creationId xmlns:a16="http://schemas.microsoft.com/office/drawing/2014/main" id="{D40EC084-500D-B605-2B35-2FF40880C003}"/>
            </a:ext>
          </a:extLst>
        </cdr:cNvPr>
        <cdr:cNvSpPr/>
      </cdr:nvSpPr>
      <cdr:spPr>
        <a:xfrm xmlns:a="http://schemas.openxmlformats.org/drawingml/2006/main">
          <a:off x="1669025" y="5668431"/>
          <a:ext cx="47224" cy="48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24" h="48846">
              <a:moveTo>
                <a:pt x="38721" y="2546"/>
              </a:moveTo>
              <a:lnTo>
                <a:pt x="36258" y="0"/>
              </a:lnTo>
              <a:lnTo>
                <a:pt x="0" y="0"/>
              </a:lnTo>
              <a:lnTo>
                <a:pt x="10604" y="10968"/>
              </a:lnTo>
              <a:lnTo>
                <a:pt x="47223" y="48845"/>
              </a:lnTo>
              <a:lnTo>
                <a:pt x="47223" y="113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0.28391</cdr:x>
      <cdr:y>0.68853</cdr:y>
    </cdr:from>
    <cdr:to>
      <cdr:x>0.29037</cdr:x>
      <cdr:y>0.69494</cdr:y>
    </cdr:to>
    <cdr:sp macro="" textlink="">
      <cdr:nvSpPr>
        <cdr:cNvPr id="713" name="FracNo 1039 StartRow 7051">
          <a:extLst xmlns:a="http://schemas.openxmlformats.org/drawingml/2006/main">
            <a:ext uri="{FF2B5EF4-FFF2-40B4-BE49-F238E27FC236}">
              <a16:creationId xmlns:a16="http://schemas.microsoft.com/office/drawing/2014/main" id="{466F8657-7CAC-D5E9-19D9-90F853904E0A}"/>
            </a:ext>
          </a:extLst>
        </cdr:cNvPr>
        <cdr:cNvSpPr/>
      </cdr:nvSpPr>
      <cdr:spPr>
        <a:xfrm xmlns:a="http://schemas.openxmlformats.org/drawingml/2006/main">
          <a:off x="2076876" y="5246573"/>
          <a:ext cx="47225" cy="48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25" h="48846">
              <a:moveTo>
                <a:pt x="7390" y="45147"/>
              </a:moveTo>
              <a:lnTo>
                <a:pt x="0" y="37504"/>
              </a:lnTo>
              <a:lnTo>
                <a:pt x="0" y="0"/>
              </a:lnTo>
              <a:lnTo>
                <a:pt x="31825" y="32917"/>
              </a:lnTo>
              <a:lnTo>
                <a:pt x="47224" y="48845"/>
              </a:lnTo>
              <a:lnTo>
                <a:pt x="10965" y="488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0.32989</cdr:x>
      <cdr:y>0.64287</cdr:y>
    </cdr:from>
    <cdr:to>
      <cdr:x>0.33634</cdr:x>
      <cdr:y>0.64928</cdr:y>
    </cdr:to>
    <cdr:sp macro="" textlink="">
      <cdr:nvSpPr>
        <cdr:cNvPr id="714" name="FracNo 1033 StartRow 7060">
          <a:extLst xmlns:a="http://schemas.openxmlformats.org/drawingml/2006/main">
            <a:ext uri="{FF2B5EF4-FFF2-40B4-BE49-F238E27FC236}">
              <a16:creationId xmlns:a16="http://schemas.microsoft.com/office/drawing/2014/main" id="{8263E765-3586-2804-2CEC-4BF12AE6BF20}"/>
            </a:ext>
          </a:extLst>
        </cdr:cNvPr>
        <cdr:cNvSpPr/>
      </cdr:nvSpPr>
      <cdr:spPr>
        <a:xfrm xmlns:a="http://schemas.openxmlformats.org/drawingml/2006/main">
          <a:off x="2413204" y="4898695"/>
          <a:ext cx="47225" cy="48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25" h="48846">
              <a:moveTo>
                <a:pt x="38914" y="2746"/>
              </a:moveTo>
              <a:lnTo>
                <a:pt x="36259" y="0"/>
              </a:lnTo>
              <a:lnTo>
                <a:pt x="0" y="0"/>
              </a:lnTo>
              <a:lnTo>
                <a:pt x="11434" y="11827"/>
              </a:lnTo>
              <a:lnTo>
                <a:pt x="47224" y="48845"/>
              </a:lnTo>
              <a:lnTo>
                <a:pt x="47224" y="113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0.50083</cdr:x>
      <cdr:y>0.43233</cdr:y>
    </cdr:from>
    <cdr:to>
      <cdr:x>0.50476</cdr:x>
      <cdr:y>0.44115</cdr:y>
    </cdr:to>
    <cdr:sp macro="" textlink="">
      <cdr:nvSpPr>
        <cdr:cNvPr id="715" name="FracNo 942 StartRow 7069">
          <a:extLst xmlns:a="http://schemas.openxmlformats.org/drawingml/2006/main">
            <a:ext uri="{FF2B5EF4-FFF2-40B4-BE49-F238E27FC236}">
              <a16:creationId xmlns:a16="http://schemas.microsoft.com/office/drawing/2014/main" id="{82BA3941-79A7-5022-D767-2A23E7045FA6}"/>
            </a:ext>
          </a:extLst>
        </cdr:cNvPr>
        <cdr:cNvSpPr/>
      </cdr:nvSpPr>
      <cdr:spPr>
        <a:xfrm xmlns:a="http://schemas.openxmlformats.org/drawingml/2006/main">
          <a:off x="3663684" y="3294386"/>
          <a:ext cx="28713" cy="672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13" h="67202">
              <a:moveTo>
                <a:pt x="4973" y="5143"/>
              </a:moveTo>
              <a:lnTo>
                <a:pt x="0" y="0"/>
              </a:lnTo>
              <a:lnTo>
                <a:pt x="0" y="37504"/>
              </a:lnTo>
              <a:lnTo>
                <a:pt x="4973" y="42647"/>
              </a:lnTo>
              <a:lnTo>
                <a:pt x="28712" y="67201"/>
              </a:lnTo>
              <a:lnTo>
                <a:pt x="28712" y="296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0.69282</cdr:x>
      <cdr:y>0.13084</cdr:y>
    </cdr:from>
    <cdr:to>
      <cdr:x>0.69798</cdr:x>
      <cdr:y>0.13842</cdr:y>
    </cdr:to>
    <cdr:sp macro="" textlink="">
      <cdr:nvSpPr>
        <cdr:cNvPr id="716" name="FracNo 309 StartRow 7078">
          <a:extLst xmlns:a="http://schemas.openxmlformats.org/drawingml/2006/main">
            <a:ext uri="{FF2B5EF4-FFF2-40B4-BE49-F238E27FC236}">
              <a16:creationId xmlns:a16="http://schemas.microsoft.com/office/drawing/2014/main" id="{CBD71B13-211D-B35A-F8D5-7E110E8422D1}"/>
            </a:ext>
          </a:extLst>
        </cdr:cNvPr>
        <cdr:cNvSpPr/>
      </cdr:nvSpPr>
      <cdr:spPr>
        <a:xfrm xmlns:a="http://schemas.openxmlformats.org/drawingml/2006/main">
          <a:off x="5068141" y="997006"/>
          <a:ext cx="37744" cy="577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744" h="57791">
              <a:moveTo>
                <a:pt x="19124" y="1029"/>
              </a:moveTo>
              <a:lnTo>
                <a:pt x="18130" y="0"/>
              </a:lnTo>
              <a:lnTo>
                <a:pt x="0" y="18751"/>
              </a:lnTo>
              <a:lnTo>
                <a:pt x="1915" y="20731"/>
              </a:lnTo>
              <a:lnTo>
                <a:pt x="37743" y="57790"/>
              </a:lnTo>
              <a:lnTo>
                <a:pt x="37743" y="202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0.58901</cdr:x>
      <cdr:y>0.43806</cdr:y>
    </cdr:from>
    <cdr:to>
      <cdr:x>0.59293</cdr:x>
      <cdr:y>0.44687</cdr:y>
    </cdr:to>
    <cdr:sp macro="" textlink="">
      <cdr:nvSpPr>
        <cdr:cNvPr id="717" name="FracNo 1134 StartRow 7087">
          <a:extLst xmlns:a="http://schemas.openxmlformats.org/drawingml/2006/main">
            <a:ext uri="{FF2B5EF4-FFF2-40B4-BE49-F238E27FC236}">
              <a16:creationId xmlns:a16="http://schemas.microsoft.com/office/drawing/2014/main" id="{B045DFA0-CE04-7866-4D02-8A5A9A22C9EB}"/>
            </a:ext>
          </a:extLst>
        </cdr:cNvPr>
        <cdr:cNvSpPr/>
      </cdr:nvSpPr>
      <cdr:spPr>
        <a:xfrm xmlns:a="http://schemas.openxmlformats.org/drawingml/2006/main">
          <a:off x="4308749" y="3337993"/>
          <a:ext cx="28660" cy="671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60" h="67148">
              <a:moveTo>
                <a:pt x="22804" y="23587"/>
              </a:moveTo>
              <a:lnTo>
                <a:pt x="0" y="0"/>
              </a:lnTo>
              <a:lnTo>
                <a:pt x="0" y="37504"/>
              </a:lnTo>
              <a:lnTo>
                <a:pt x="22804" y="61091"/>
              </a:lnTo>
              <a:lnTo>
                <a:pt x="28659" y="67147"/>
              </a:lnTo>
              <a:lnTo>
                <a:pt x="28659" y="296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0.81992</cdr:x>
      <cdr:y>0.16832</cdr:y>
    </cdr:from>
    <cdr:to>
      <cdr:x>0.82381</cdr:x>
      <cdr:y>0.17712</cdr:y>
    </cdr:to>
    <cdr:sp macro="" textlink="">
      <cdr:nvSpPr>
        <cdr:cNvPr id="718" name="FracNo 314 StartRow 7096">
          <a:extLst xmlns:a="http://schemas.openxmlformats.org/drawingml/2006/main">
            <a:ext uri="{FF2B5EF4-FFF2-40B4-BE49-F238E27FC236}">
              <a16:creationId xmlns:a16="http://schemas.microsoft.com/office/drawing/2014/main" id="{91C55D50-78F8-8CC2-682C-E1A96528C4DE}"/>
            </a:ext>
          </a:extLst>
        </cdr:cNvPr>
        <cdr:cNvSpPr/>
      </cdr:nvSpPr>
      <cdr:spPr>
        <a:xfrm xmlns:a="http://schemas.openxmlformats.org/drawingml/2006/main">
          <a:off x="5997857" y="1282630"/>
          <a:ext cx="28504" cy="669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504" h="66987">
              <a:moveTo>
                <a:pt x="25677" y="26558"/>
              </a:moveTo>
              <a:lnTo>
                <a:pt x="0" y="0"/>
              </a:lnTo>
              <a:lnTo>
                <a:pt x="0" y="37504"/>
              </a:lnTo>
              <a:lnTo>
                <a:pt x="25677" y="64062"/>
              </a:lnTo>
              <a:lnTo>
                <a:pt x="28503" y="66986"/>
              </a:lnTo>
              <a:lnTo>
                <a:pt x="28503" y="294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0.17563</cdr:x>
      <cdr:y>0.78837</cdr:y>
    </cdr:from>
    <cdr:to>
      <cdr:x>0.18197</cdr:x>
      <cdr:y>0.79467</cdr:y>
    </cdr:to>
    <cdr:sp macro="" textlink="">
      <cdr:nvSpPr>
        <cdr:cNvPr id="719" name="FracNo 1042 StartRow 7105">
          <a:extLst xmlns:a="http://schemas.openxmlformats.org/drawingml/2006/main">
            <a:ext uri="{FF2B5EF4-FFF2-40B4-BE49-F238E27FC236}">
              <a16:creationId xmlns:a16="http://schemas.microsoft.com/office/drawing/2014/main" id="{B29413F6-BB9E-BFBE-262F-7011EAB01B3A}"/>
            </a:ext>
          </a:extLst>
        </cdr:cNvPr>
        <cdr:cNvSpPr/>
      </cdr:nvSpPr>
      <cdr:spPr>
        <a:xfrm xmlns:a="http://schemas.openxmlformats.org/drawingml/2006/main">
          <a:off x="1284793" y="6007401"/>
          <a:ext cx="46389" cy="479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389" h="47981">
              <a:moveTo>
                <a:pt x="2869" y="2966"/>
              </a:moveTo>
              <a:lnTo>
                <a:pt x="0" y="0"/>
              </a:lnTo>
              <a:lnTo>
                <a:pt x="0" y="37504"/>
              </a:lnTo>
              <a:lnTo>
                <a:pt x="627" y="38151"/>
              </a:lnTo>
              <a:lnTo>
                <a:pt x="10129" y="47980"/>
              </a:lnTo>
              <a:lnTo>
                <a:pt x="46388" y="479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0.328</cdr:x>
      <cdr:y>0.63708</cdr:y>
    </cdr:from>
    <cdr:to>
      <cdr:x>0.33434</cdr:x>
      <cdr:y>0.64338</cdr:y>
    </cdr:to>
    <cdr:sp macro="" textlink="">
      <cdr:nvSpPr>
        <cdr:cNvPr id="720" name="FracNo 900 StartRow 7114">
          <a:extLst xmlns:a="http://schemas.openxmlformats.org/drawingml/2006/main">
            <a:ext uri="{FF2B5EF4-FFF2-40B4-BE49-F238E27FC236}">
              <a16:creationId xmlns:a16="http://schemas.microsoft.com/office/drawing/2014/main" id="{30169193-78FF-CABA-84BD-2396100994DB}"/>
            </a:ext>
          </a:extLst>
        </cdr:cNvPr>
        <cdr:cNvSpPr/>
      </cdr:nvSpPr>
      <cdr:spPr>
        <a:xfrm xmlns:a="http://schemas.openxmlformats.org/drawingml/2006/main">
          <a:off x="2399350" y="4854568"/>
          <a:ext cx="46388" cy="479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388" h="47981">
              <a:moveTo>
                <a:pt x="43192" y="44676"/>
              </a:moveTo>
              <a:lnTo>
                <a:pt x="0" y="0"/>
              </a:lnTo>
              <a:lnTo>
                <a:pt x="36258" y="0"/>
              </a:lnTo>
              <a:lnTo>
                <a:pt x="45689" y="9755"/>
              </a:lnTo>
              <a:lnTo>
                <a:pt x="46387" y="10477"/>
              </a:lnTo>
              <a:lnTo>
                <a:pt x="46387" y="479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0.72399</cdr:x>
      <cdr:y>0.85812</cdr:y>
    </cdr:from>
    <cdr:to>
      <cdr:x>0.73268</cdr:x>
      <cdr:y>0.86182</cdr:y>
    </cdr:to>
    <cdr:sp macro="" textlink="">
      <cdr:nvSpPr>
        <cdr:cNvPr id="721" name="FracNo 548 StartRow 7123">
          <a:extLst xmlns:a="http://schemas.openxmlformats.org/drawingml/2006/main">
            <a:ext uri="{FF2B5EF4-FFF2-40B4-BE49-F238E27FC236}">
              <a16:creationId xmlns:a16="http://schemas.microsoft.com/office/drawing/2014/main" id="{2DF0D42C-9156-F975-505D-0B45530BCD7C}"/>
            </a:ext>
          </a:extLst>
        </cdr:cNvPr>
        <cdr:cNvSpPr/>
      </cdr:nvSpPr>
      <cdr:spPr>
        <a:xfrm xmlns:a="http://schemas.openxmlformats.org/drawingml/2006/main">
          <a:off x="5296148" y="6538869"/>
          <a:ext cx="63517" cy="281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517" h="28193">
              <a:moveTo>
                <a:pt x="43452" y="7441"/>
              </a:moveTo>
              <a:lnTo>
                <a:pt x="36259" y="0"/>
              </a:lnTo>
              <a:lnTo>
                <a:pt x="0" y="0"/>
              </a:lnTo>
              <a:lnTo>
                <a:pt x="7194" y="7441"/>
              </a:lnTo>
              <a:lnTo>
                <a:pt x="27257" y="28192"/>
              </a:lnTo>
              <a:lnTo>
                <a:pt x="63516" y="281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0.33193</cdr:x>
      <cdr:y>0.79472</cdr:y>
    </cdr:from>
    <cdr:to>
      <cdr:x>0.33565</cdr:x>
      <cdr:y>0.80334</cdr:y>
    </cdr:to>
    <cdr:sp macro="" textlink="">
      <cdr:nvSpPr>
        <cdr:cNvPr id="722" name="FracNo 1138 StartRow 7132">
          <a:extLst xmlns:a="http://schemas.openxmlformats.org/drawingml/2006/main">
            <a:ext uri="{FF2B5EF4-FFF2-40B4-BE49-F238E27FC236}">
              <a16:creationId xmlns:a16="http://schemas.microsoft.com/office/drawing/2014/main" id="{98E46548-2674-2BB5-ED72-4E4A87E4B641}"/>
            </a:ext>
          </a:extLst>
        </cdr:cNvPr>
        <cdr:cNvSpPr/>
      </cdr:nvSpPr>
      <cdr:spPr>
        <a:xfrm xmlns:a="http://schemas.openxmlformats.org/drawingml/2006/main">
          <a:off x="2428104" y="6055765"/>
          <a:ext cx="27223" cy="656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23" h="65661">
              <a:moveTo>
                <a:pt x="14409" y="52406"/>
              </a:moveTo>
              <a:lnTo>
                <a:pt x="0" y="37503"/>
              </a:lnTo>
              <a:lnTo>
                <a:pt x="0" y="0"/>
              </a:lnTo>
              <a:lnTo>
                <a:pt x="14409" y="14903"/>
              </a:lnTo>
              <a:lnTo>
                <a:pt x="27222" y="28156"/>
              </a:lnTo>
              <a:lnTo>
                <a:pt x="27222" y="656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0.44792</cdr:x>
      <cdr:y>0.67954</cdr:y>
    </cdr:from>
    <cdr:to>
      <cdr:x>0.4566</cdr:x>
      <cdr:y>0.68324</cdr:y>
    </cdr:to>
    <cdr:sp macro="" textlink="">
      <cdr:nvSpPr>
        <cdr:cNvPr id="723" name="FracNo 1007 StartRow 7141">
          <a:extLst xmlns:a="http://schemas.openxmlformats.org/drawingml/2006/main">
            <a:ext uri="{FF2B5EF4-FFF2-40B4-BE49-F238E27FC236}">
              <a16:creationId xmlns:a16="http://schemas.microsoft.com/office/drawing/2014/main" id="{5712AC52-1299-4808-785D-2147F78D0DAA}"/>
            </a:ext>
          </a:extLst>
        </cdr:cNvPr>
        <cdr:cNvSpPr/>
      </cdr:nvSpPr>
      <cdr:spPr>
        <a:xfrm xmlns:a="http://schemas.openxmlformats.org/drawingml/2006/main">
          <a:off x="3276614" y="5178116"/>
          <a:ext cx="63481" cy="28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81" h="28157">
              <a:moveTo>
                <a:pt x="45962" y="10037"/>
              </a:moveTo>
              <a:lnTo>
                <a:pt x="36259" y="0"/>
              </a:lnTo>
              <a:lnTo>
                <a:pt x="0" y="0"/>
              </a:lnTo>
              <a:lnTo>
                <a:pt x="9704" y="10037"/>
              </a:lnTo>
              <a:lnTo>
                <a:pt x="27222" y="28156"/>
              </a:lnTo>
              <a:lnTo>
                <a:pt x="63480" y="281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0.37482</cdr:x>
      <cdr:y>0.75213</cdr:y>
    </cdr:from>
    <cdr:to>
      <cdr:x>0.38349</cdr:x>
      <cdr:y>0.75583</cdr:y>
    </cdr:to>
    <cdr:sp macro="" textlink="">
      <cdr:nvSpPr>
        <cdr:cNvPr id="724" name="FracNo 709 StartRow 7150">
          <a:extLst xmlns:a="http://schemas.openxmlformats.org/drawingml/2006/main">
            <a:ext uri="{FF2B5EF4-FFF2-40B4-BE49-F238E27FC236}">
              <a16:creationId xmlns:a16="http://schemas.microsoft.com/office/drawing/2014/main" id="{48C59BA8-36C3-857E-FCA0-071E8BD04359}"/>
            </a:ext>
          </a:extLst>
        </cdr:cNvPr>
        <cdr:cNvSpPr/>
      </cdr:nvSpPr>
      <cdr:spPr>
        <a:xfrm xmlns:a="http://schemas.openxmlformats.org/drawingml/2006/main">
          <a:off x="2741850" y="5731245"/>
          <a:ext cx="63481" cy="281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81" h="28158">
              <a:moveTo>
                <a:pt x="52651" y="16956"/>
              </a:moveTo>
              <a:lnTo>
                <a:pt x="36258" y="0"/>
              </a:lnTo>
              <a:lnTo>
                <a:pt x="0" y="0"/>
              </a:lnTo>
              <a:lnTo>
                <a:pt x="16392" y="16956"/>
              </a:lnTo>
              <a:lnTo>
                <a:pt x="27221" y="28157"/>
              </a:lnTo>
              <a:lnTo>
                <a:pt x="63480" y="281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0.89059</cdr:x>
      <cdr:y>0.19467</cdr:y>
    </cdr:from>
    <cdr:to>
      <cdr:x>0.89674</cdr:x>
      <cdr:y>0.20078</cdr:y>
    </cdr:to>
    <cdr:sp macro="" textlink="">
      <cdr:nvSpPr>
        <cdr:cNvPr id="725" name="FracNo 1095 StartRow 7159">
          <a:extLst xmlns:a="http://schemas.openxmlformats.org/drawingml/2006/main">
            <a:ext uri="{FF2B5EF4-FFF2-40B4-BE49-F238E27FC236}">
              <a16:creationId xmlns:a16="http://schemas.microsoft.com/office/drawing/2014/main" id="{36FEC05E-F558-9B21-EFCC-8851730D7F74}"/>
            </a:ext>
          </a:extLst>
        </cdr:cNvPr>
        <cdr:cNvSpPr/>
      </cdr:nvSpPr>
      <cdr:spPr>
        <a:xfrm xmlns:a="http://schemas.openxmlformats.org/drawingml/2006/main">
          <a:off x="6514826" y="1483398"/>
          <a:ext cx="44976" cy="46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976" h="46520">
              <a:moveTo>
                <a:pt x="777" y="38306"/>
              </a:moveTo>
              <a:lnTo>
                <a:pt x="0" y="37504"/>
              </a:lnTo>
              <a:lnTo>
                <a:pt x="0" y="0"/>
              </a:lnTo>
              <a:lnTo>
                <a:pt x="4007" y="4143"/>
              </a:lnTo>
              <a:lnTo>
                <a:pt x="44975" y="46519"/>
              </a:lnTo>
              <a:lnTo>
                <a:pt x="8716" y="465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0.33253</cdr:x>
      <cdr:y>0.15168</cdr:y>
    </cdr:from>
    <cdr:to>
      <cdr:x>0.34114</cdr:x>
      <cdr:y>0.15531</cdr:y>
    </cdr:to>
    <cdr:sp macro="" textlink="">
      <cdr:nvSpPr>
        <cdr:cNvPr id="726" name="FracNo 916 StartRow 7168">
          <a:extLst xmlns:a="http://schemas.openxmlformats.org/drawingml/2006/main">
            <a:ext uri="{FF2B5EF4-FFF2-40B4-BE49-F238E27FC236}">
              <a16:creationId xmlns:a16="http://schemas.microsoft.com/office/drawing/2014/main" id="{A7565541-9BFA-459C-2CF5-51B99A677BE6}"/>
            </a:ext>
          </a:extLst>
        </cdr:cNvPr>
        <cdr:cNvSpPr/>
      </cdr:nvSpPr>
      <cdr:spPr>
        <a:xfrm xmlns:a="http://schemas.openxmlformats.org/drawingml/2006/main">
          <a:off x="2432492" y="1155782"/>
          <a:ext cx="63013" cy="276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013" h="27674">
              <a:moveTo>
                <a:pt x="47150" y="11266"/>
              </a:moveTo>
              <a:lnTo>
                <a:pt x="36258" y="0"/>
              </a:lnTo>
              <a:lnTo>
                <a:pt x="0" y="0"/>
              </a:lnTo>
              <a:lnTo>
                <a:pt x="10892" y="11266"/>
              </a:lnTo>
              <a:lnTo>
                <a:pt x="26754" y="27673"/>
              </a:lnTo>
              <a:lnTo>
                <a:pt x="63012" y="276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0.6876</cdr:x>
      <cdr:y>0.40352</cdr:y>
    </cdr:from>
    <cdr:to>
      <cdr:x>0.69611</cdr:x>
      <cdr:y>0.40705</cdr:y>
    </cdr:to>
    <cdr:sp macro="" textlink="">
      <cdr:nvSpPr>
        <cdr:cNvPr id="727" name="FracNo 621 StartRow 7177">
          <a:extLst xmlns:a="http://schemas.openxmlformats.org/drawingml/2006/main">
            <a:ext uri="{FF2B5EF4-FFF2-40B4-BE49-F238E27FC236}">
              <a16:creationId xmlns:a16="http://schemas.microsoft.com/office/drawing/2014/main" id="{A390B17C-671C-1EE0-9F74-565AE4056648}"/>
            </a:ext>
          </a:extLst>
        </cdr:cNvPr>
        <cdr:cNvSpPr/>
      </cdr:nvSpPr>
      <cdr:spPr>
        <a:xfrm xmlns:a="http://schemas.openxmlformats.org/drawingml/2006/main">
          <a:off x="5029929" y="3074824"/>
          <a:ext cx="62240" cy="268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240" h="26874">
              <a:moveTo>
                <a:pt x="25000" y="25859"/>
              </a:moveTo>
              <a:lnTo>
                <a:pt x="0" y="0"/>
              </a:lnTo>
              <a:lnTo>
                <a:pt x="36258" y="0"/>
              </a:lnTo>
              <a:lnTo>
                <a:pt x="61259" y="25859"/>
              </a:lnTo>
              <a:lnTo>
                <a:pt x="62239" y="26873"/>
              </a:lnTo>
              <a:lnTo>
                <a:pt x="25980" y="268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0.24762</cdr:x>
      <cdr:y>0.41243</cdr:y>
    </cdr:from>
    <cdr:to>
      <cdr:x>0.25611</cdr:x>
      <cdr:y>0.41593</cdr:y>
    </cdr:to>
    <cdr:sp macro="" textlink="">
      <cdr:nvSpPr>
        <cdr:cNvPr id="728" name="FracNo 1003 StartRow 7186">
          <a:extLst xmlns:a="http://schemas.openxmlformats.org/drawingml/2006/main">
            <a:ext uri="{FF2B5EF4-FFF2-40B4-BE49-F238E27FC236}">
              <a16:creationId xmlns:a16="http://schemas.microsoft.com/office/drawing/2014/main" id="{063548AF-2AC3-14E0-CA34-5E4FEF1DE252}"/>
            </a:ext>
          </a:extLst>
        </cdr:cNvPr>
        <cdr:cNvSpPr/>
      </cdr:nvSpPr>
      <cdr:spPr>
        <a:xfrm xmlns:a="http://schemas.openxmlformats.org/drawingml/2006/main">
          <a:off x="1811419" y="3142680"/>
          <a:ext cx="62074" cy="26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074" h="26702">
              <a:moveTo>
                <a:pt x="61891" y="26513"/>
              </a:moveTo>
              <a:lnTo>
                <a:pt x="36259" y="0"/>
              </a:lnTo>
              <a:lnTo>
                <a:pt x="0" y="0"/>
              </a:lnTo>
              <a:lnTo>
                <a:pt x="25632" y="26513"/>
              </a:lnTo>
              <a:lnTo>
                <a:pt x="25815" y="26701"/>
              </a:lnTo>
              <a:lnTo>
                <a:pt x="62073" y="267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0.23899</cdr:x>
      <cdr:y>0.421</cdr:y>
    </cdr:from>
    <cdr:to>
      <cdr:x>0.24748</cdr:x>
      <cdr:y>0.4245</cdr:y>
    </cdr:to>
    <cdr:sp macro="" textlink="">
      <cdr:nvSpPr>
        <cdr:cNvPr id="729" name="FracNo 1015 StartRow 7195">
          <a:extLst xmlns:a="http://schemas.openxmlformats.org/drawingml/2006/main">
            <a:ext uri="{FF2B5EF4-FFF2-40B4-BE49-F238E27FC236}">
              <a16:creationId xmlns:a16="http://schemas.microsoft.com/office/drawing/2014/main" id="{EFE26E31-2EB8-8553-25F7-FC967DE2C95E}"/>
            </a:ext>
          </a:extLst>
        </cdr:cNvPr>
        <cdr:cNvSpPr/>
      </cdr:nvSpPr>
      <cdr:spPr>
        <a:xfrm xmlns:a="http://schemas.openxmlformats.org/drawingml/2006/main">
          <a:off x="1748281" y="3207987"/>
          <a:ext cx="62074" cy="26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074" h="26702">
              <a:moveTo>
                <a:pt x="57466" y="21935"/>
              </a:moveTo>
              <a:lnTo>
                <a:pt x="36259" y="0"/>
              </a:lnTo>
              <a:lnTo>
                <a:pt x="0" y="0"/>
              </a:lnTo>
              <a:lnTo>
                <a:pt x="21207" y="21935"/>
              </a:lnTo>
              <a:lnTo>
                <a:pt x="25815" y="26701"/>
              </a:lnTo>
              <a:lnTo>
                <a:pt x="62073" y="267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0.61148</cdr:x>
      <cdr:y>0.36326</cdr:y>
    </cdr:from>
    <cdr:to>
      <cdr:x>0.61748</cdr:x>
      <cdr:y>0.36921</cdr:y>
    </cdr:to>
    <cdr:sp macro="" textlink="">
      <cdr:nvSpPr>
        <cdr:cNvPr id="730" name="FracNo 1000 StartRow 7204">
          <a:extLst xmlns:a="http://schemas.openxmlformats.org/drawingml/2006/main">
            <a:ext uri="{FF2B5EF4-FFF2-40B4-BE49-F238E27FC236}">
              <a16:creationId xmlns:a16="http://schemas.microsoft.com/office/drawing/2014/main" id="{7084BE3C-66AA-9629-0C78-4163CDF3ACBC}"/>
            </a:ext>
          </a:extLst>
        </cdr:cNvPr>
        <cdr:cNvSpPr/>
      </cdr:nvSpPr>
      <cdr:spPr>
        <a:xfrm xmlns:a="http://schemas.openxmlformats.org/drawingml/2006/main">
          <a:off x="4473132" y="2768025"/>
          <a:ext cx="43825" cy="453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825" h="45329">
              <a:moveTo>
                <a:pt x="0" y="37428"/>
              </a:moveTo>
              <a:lnTo>
                <a:pt x="0" y="0"/>
              </a:lnTo>
              <a:lnTo>
                <a:pt x="17471" y="18070"/>
              </a:lnTo>
              <a:lnTo>
                <a:pt x="18798" y="19444"/>
              </a:lnTo>
              <a:lnTo>
                <a:pt x="43824" y="45328"/>
              </a:lnTo>
              <a:lnTo>
                <a:pt x="7565" y="45328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0.88406</cdr:x>
      <cdr:y>0.65511</cdr:y>
    </cdr:from>
    <cdr:to>
      <cdr:x>0.89249</cdr:x>
      <cdr:y>0.65855</cdr:y>
    </cdr:to>
    <cdr:sp macro="" textlink="">
      <cdr:nvSpPr>
        <cdr:cNvPr id="731" name="FracNo 545 StartRow 7214">
          <a:extLst xmlns:a="http://schemas.openxmlformats.org/drawingml/2006/main">
            <a:ext uri="{FF2B5EF4-FFF2-40B4-BE49-F238E27FC236}">
              <a16:creationId xmlns:a16="http://schemas.microsoft.com/office/drawing/2014/main" id="{026324FE-6880-029E-AF12-5420012C282C}"/>
            </a:ext>
          </a:extLst>
        </cdr:cNvPr>
        <cdr:cNvSpPr/>
      </cdr:nvSpPr>
      <cdr:spPr>
        <a:xfrm xmlns:a="http://schemas.openxmlformats.org/drawingml/2006/main">
          <a:off x="6467109" y="4991932"/>
          <a:ext cx="61599" cy="262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599" h="26211">
              <a:moveTo>
                <a:pt x="3623" y="3747"/>
              </a:moveTo>
              <a:lnTo>
                <a:pt x="0" y="0"/>
              </a:lnTo>
              <a:lnTo>
                <a:pt x="36259" y="0"/>
              </a:lnTo>
              <a:lnTo>
                <a:pt x="39881" y="3747"/>
              </a:lnTo>
              <a:lnTo>
                <a:pt x="61598" y="26210"/>
              </a:lnTo>
              <a:lnTo>
                <a:pt x="25340" y="262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0.35093</cdr:x>
      <cdr:y>0.92668</cdr:y>
    </cdr:from>
    <cdr:to>
      <cdr:x>0.35933</cdr:x>
      <cdr:y>0.9301</cdr:y>
    </cdr:to>
    <cdr:sp macro="" textlink="">
      <cdr:nvSpPr>
        <cdr:cNvPr id="732" name="FracNo 881 StartRow 7223">
          <a:extLst xmlns:a="http://schemas.openxmlformats.org/drawingml/2006/main">
            <a:ext uri="{FF2B5EF4-FFF2-40B4-BE49-F238E27FC236}">
              <a16:creationId xmlns:a16="http://schemas.microsoft.com/office/drawing/2014/main" id="{84A600E6-C264-1E08-3E88-D86125B59779}"/>
            </a:ext>
          </a:extLst>
        </cdr:cNvPr>
        <cdr:cNvSpPr/>
      </cdr:nvSpPr>
      <cdr:spPr>
        <a:xfrm xmlns:a="http://schemas.openxmlformats.org/drawingml/2006/main">
          <a:off x="2567118" y="7061271"/>
          <a:ext cx="61487" cy="260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487" h="26095">
              <a:moveTo>
                <a:pt x="3716" y="3843"/>
              </a:moveTo>
              <a:lnTo>
                <a:pt x="0" y="0"/>
              </a:lnTo>
              <a:lnTo>
                <a:pt x="36259" y="0"/>
              </a:lnTo>
              <a:lnTo>
                <a:pt x="39974" y="3843"/>
              </a:lnTo>
              <a:lnTo>
                <a:pt x="61486" y="26094"/>
              </a:lnTo>
              <a:lnTo>
                <a:pt x="25228" y="260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0.23159</cdr:x>
      <cdr:y>0.33019</cdr:y>
    </cdr:from>
    <cdr:to>
      <cdr:x>0.23749</cdr:x>
      <cdr:y>0.33605</cdr:y>
    </cdr:to>
    <cdr:sp macro="" textlink="">
      <cdr:nvSpPr>
        <cdr:cNvPr id="733" name="FracNo 1004 StartRow 7232">
          <a:extLst xmlns:a="http://schemas.openxmlformats.org/drawingml/2006/main">
            <a:ext uri="{FF2B5EF4-FFF2-40B4-BE49-F238E27FC236}">
              <a16:creationId xmlns:a16="http://schemas.microsoft.com/office/drawing/2014/main" id="{A7895E44-7E0B-5CDB-6C26-A22130A65F2A}"/>
            </a:ext>
          </a:extLst>
        </cdr:cNvPr>
        <cdr:cNvSpPr/>
      </cdr:nvSpPr>
      <cdr:spPr>
        <a:xfrm xmlns:a="http://schemas.openxmlformats.org/drawingml/2006/main">
          <a:off x="1694118" y="2516060"/>
          <a:ext cx="43169" cy="446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69" h="44652">
              <a:moveTo>
                <a:pt x="40986" y="42394"/>
              </a:moveTo>
              <a:lnTo>
                <a:pt x="0" y="0"/>
              </a:lnTo>
              <a:lnTo>
                <a:pt x="0" y="37503"/>
              </a:lnTo>
              <a:lnTo>
                <a:pt x="6561" y="44290"/>
              </a:lnTo>
              <a:lnTo>
                <a:pt x="6910" y="44651"/>
              </a:lnTo>
              <a:lnTo>
                <a:pt x="43168" y="446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0.4763</cdr:x>
      <cdr:y>0.20082</cdr:y>
    </cdr:from>
    <cdr:to>
      <cdr:x>0.48219</cdr:x>
      <cdr:y>0.20667</cdr:y>
    </cdr:to>
    <cdr:sp macro="" textlink="">
      <cdr:nvSpPr>
        <cdr:cNvPr id="734" name="FracNo 886 StartRow 7241">
          <a:extLst xmlns:a="http://schemas.openxmlformats.org/drawingml/2006/main">
            <a:ext uri="{FF2B5EF4-FFF2-40B4-BE49-F238E27FC236}">
              <a16:creationId xmlns:a16="http://schemas.microsoft.com/office/drawing/2014/main" id="{C16C006B-9997-7B59-D01A-1C8E9B47A7F9}"/>
            </a:ext>
          </a:extLst>
        </cdr:cNvPr>
        <cdr:cNvSpPr/>
      </cdr:nvSpPr>
      <cdr:spPr>
        <a:xfrm xmlns:a="http://schemas.openxmlformats.org/drawingml/2006/main">
          <a:off x="3484207" y="1530241"/>
          <a:ext cx="43091" cy="445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091" h="44570">
              <a:moveTo>
                <a:pt x="3263" y="3375"/>
              </a:moveTo>
              <a:lnTo>
                <a:pt x="0" y="0"/>
              </a:lnTo>
              <a:lnTo>
                <a:pt x="0" y="37503"/>
              </a:lnTo>
              <a:lnTo>
                <a:pt x="518" y="38039"/>
              </a:lnTo>
              <a:lnTo>
                <a:pt x="6831" y="44569"/>
              </a:lnTo>
              <a:lnTo>
                <a:pt x="43090" y="445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0.35232</cdr:x>
      <cdr:y>0.32393</cdr:y>
    </cdr:from>
    <cdr:to>
      <cdr:x>0.35821</cdr:x>
      <cdr:y>0.32978</cdr:y>
    </cdr:to>
    <cdr:sp macro="" textlink="">
      <cdr:nvSpPr>
        <cdr:cNvPr id="735" name="FracNo 1078 StartRow 7250">
          <a:extLst xmlns:a="http://schemas.openxmlformats.org/drawingml/2006/main">
            <a:ext uri="{FF2B5EF4-FFF2-40B4-BE49-F238E27FC236}">
              <a16:creationId xmlns:a16="http://schemas.microsoft.com/office/drawing/2014/main" id="{3A4C8C9B-B753-41AB-4381-251100F99ABF}"/>
            </a:ext>
          </a:extLst>
        </cdr:cNvPr>
        <cdr:cNvSpPr/>
      </cdr:nvSpPr>
      <cdr:spPr>
        <a:xfrm xmlns:a="http://schemas.openxmlformats.org/drawingml/2006/main">
          <a:off x="2577275" y="2468319"/>
          <a:ext cx="43090" cy="445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090" h="44570">
              <a:moveTo>
                <a:pt x="10354" y="10710"/>
              </a:moveTo>
              <a:lnTo>
                <a:pt x="0" y="0"/>
              </a:lnTo>
              <a:lnTo>
                <a:pt x="36258" y="0"/>
              </a:lnTo>
              <a:lnTo>
                <a:pt x="37900" y="1698"/>
              </a:lnTo>
              <a:lnTo>
                <a:pt x="43089" y="7065"/>
              </a:lnTo>
              <a:lnTo>
                <a:pt x="43089" y="445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0.35507</cdr:x>
      <cdr:y>0.88257</cdr:y>
    </cdr:from>
    <cdr:to>
      <cdr:x>0.36344</cdr:x>
      <cdr:y>0.88596</cdr:y>
    </cdr:to>
    <cdr:sp macro="" textlink="">
      <cdr:nvSpPr>
        <cdr:cNvPr id="736" name="FracNo 69 StartRow 7259">
          <a:extLst xmlns:a="http://schemas.openxmlformats.org/drawingml/2006/main">
            <a:ext uri="{FF2B5EF4-FFF2-40B4-BE49-F238E27FC236}">
              <a16:creationId xmlns:a16="http://schemas.microsoft.com/office/drawing/2014/main" id="{ED1844B9-FCBD-36BF-688D-91FD62864B5C}"/>
            </a:ext>
          </a:extLst>
        </cdr:cNvPr>
        <cdr:cNvSpPr/>
      </cdr:nvSpPr>
      <cdr:spPr>
        <a:xfrm xmlns:a="http://schemas.openxmlformats.org/drawingml/2006/main">
          <a:off x="2597444" y="6725198"/>
          <a:ext cx="61191" cy="257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191" h="25790">
              <a:moveTo>
                <a:pt x="23825" y="24643"/>
              </a:moveTo>
              <a:lnTo>
                <a:pt x="0" y="0"/>
              </a:lnTo>
              <a:lnTo>
                <a:pt x="36258" y="0"/>
              </a:lnTo>
              <a:lnTo>
                <a:pt x="60083" y="24643"/>
              </a:lnTo>
              <a:lnTo>
                <a:pt x="61190" y="25789"/>
              </a:lnTo>
              <a:lnTo>
                <a:pt x="24932" y="257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0.33255</cdr:x>
      <cdr:y>0.90494</cdr:y>
    </cdr:from>
    <cdr:to>
      <cdr:x>0.33596</cdr:x>
      <cdr:y>0.91324</cdr:y>
    </cdr:to>
    <cdr:sp macro="" textlink="">
      <cdr:nvSpPr>
        <cdr:cNvPr id="737" name="FracNo 1026 StartRow 7268">
          <a:extLst xmlns:a="http://schemas.openxmlformats.org/drawingml/2006/main">
            <a:ext uri="{FF2B5EF4-FFF2-40B4-BE49-F238E27FC236}">
              <a16:creationId xmlns:a16="http://schemas.microsoft.com/office/drawing/2014/main" id="{D86C356F-CE40-5F61-167E-E7AC613A73CC}"/>
            </a:ext>
          </a:extLst>
        </cdr:cNvPr>
        <cdr:cNvSpPr/>
      </cdr:nvSpPr>
      <cdr:spPr>
        <a:xfrm xmlns:a="http://schemas.openxmlformats.org/drawingml/2006/main">
          <a:off x="2432680" y="6895620"/>
          <a:ext cx="24933" cy="632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33" h="63293">
              <a:moveTo>
                <a:pt x="18967" y="19618"/>
              </a:moveTo>
              <a:lnTo>
                <a:pt x="0" y="0"/>
              </a:lnTo>
              <a:lnTo>
                <a:pt x="0" y="37504"/>
              </a:lnTo>
              <a:lnTo>
                <a:pt x="18967" y="57122"/>
              </a:lnTo>
              <a:lnTo>
                <a:pt x="24932" y="63292"/>
              </a:lnTo>
              <a:lnTo>
                <a:pt x="24932" y="257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0.73099</cdr:y>
    </cdr:from>
    <cdr:to>
      <cdr:x>0.09522</cdr:x>
      <cdr:y>0.73929</cdr:y>
    </cdr:to>
    <cdr:sp macro="" textlink="">
      <cdr:nvSpPr>
        <cdr:cNvPr id="738" name="FracNo 907 StartRow 7277">
          <a:extLst xmlns:a="http://schemas.openxmlformats.org/drawingml/2006/main">
            <a:ext uri="{FF2B5EF4-FFF2-40B4-BE49-F238E27FC236}">
              <a16:creationId xmlns:a16="http://schemas.microsoft.com/office/drawing/2014/main" id="{7F636A48-0D1C-27D0-C2C5-9770D17E37AA}"/>
            </a:ext>
          </a:extLst>
        </cdr:cNvPr>
        <cdr:cNvSpPr/>
      </cdr:nvSpPr>
      <cdr:spPr>
        <a:xfrm xmlns:a="http://schemas.openxmlformats.org/drawingml/2006/main">
          <a:off x="671676" y="5570131"/>
          <a:ext cx="24883" cy="632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83" h="63241">
              <a:moveTo>
                <a:pt x="18439" y="56576"/>
              </a:moveTo>
              <a:lnTo>
                <a:pt x="0" y="37503"/>
              </a:lnTo>
              <a:lnTo>
                <a:pt x="0" y="0"/>
              </a:lnTo>
              <a:lnTo>
                <a:pt x="18439" y="19072"/>
              </a:lnTo>
              <a:lnTo>
                <a:pt x="24882" y="25736"/>
              </a:lnTo>
              <a:lnTo>
                <a:pt x="24882" y="632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0.31615</cdr:x>
      <cdr:y>0.30786</cdr:y>
    </cdr:from>
    <cdr:to>
      <cdr:x>0.32449</cdr:x>
      <cdr:y>0.31122</cdr:y>
    </cdr:to>
    <cdr:sp macro="" textlink="">
      <cdr:nvSpPr>
        <cdr:cNvPr id="739" name="FracNo 946 StartRow 7286">
          <a:extLst xmlns:a="http://schemas.openxmlformats.org/drawingml/2006/main">
            <a:ext uri="{FF2B5EF4-FFF2-40B4-BE49-F238E27FC236}">
              <a16:creationId xmlns:a16="http://schemas.microsoft.com/office/drawing/2014/main" id="{96F153A5-AE96-8FF3-EEB5-3FE348B30B14}"/>
            </a:ext>
          </a:extLst>
        </cdr:cNvPr>
        <cdr:cNvSpPr/>
      </cdr:nvSpPr>
      <cdr:spPr>
        <a:xfrm xmlns:a="http://schemas.openxmlformats.org/drawingml/2006/main">
          <a:off x="2312667" y="2345871"/>
          <a:ext cx="61013" cy="25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013" h="25605">
              <a:moveTo>
                <a:pt x="13405" y="13866"/>
              </a:moveTo>
              <a:lnTo>
                <a:pt x="0" y="0"/>
              </a:lnTo>
              <a:lnTo>
                <a:pt x="36259" y="0"/>
              </a:lnTo>
              <a:lnTo>
                <a:pt x="49664" y="13866"/>
              </a:lnTo>
              <a:lnTo>
                <a:pt x="61012" y="25604"/>
              </a:lnTo>
              <a:lnTo>
                <a:pt x="24754" y="256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0.80324</cdr:x>
      <cdr:y>0.29574</cdr:y>
    </cdr:from>
    <cdr:to>
      <cdr:x>0.8066</cdr:x>
      <cdr:y>0.304</cdr:y>
    </cdr:to>
    <cdr:sp macro="" textlink="">
      <cdr:nvSpPr>
        <cdr:cNvPr id="740" name="FracNo 1125 StartRow 7295">
          <a:extLst xmlns:a="http://schemas.openxmlformats.org/drawingml/2006/main">
            <a:ext uri="{FF2B5EF4-FFF2-40B4-BE49-F238E27FC236}">
              <a16:creationId xmlns:a16="http://schemas.microsoft.com/office/drawing/2014/main" id="{92F8C2F1-EF10-D1B0-892F-76352E3424F6}"/>
            </a:ext>
          </a:extLst>
        </cdr:cNvPr>
        <cdr:cNvSpPr/>
      </cdr:nvSpPr>
      <cdr:spPr>
        <a:xfrm xmlns:a="http://schemas.openxmlformats.org/drawingml/2006/main">
          <a:off x="5875881" y="2253565"/>
          <a:ext cx="24590" cy="629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90" h="62939">
              <a:moveTo>
                <a:pt x="1091" y="1128"/>
              </a:moveTo>
              <a:lnTo>
                <a:pt x="0" y="0"/>
              </a:lnTo>
              <a:lnTo>
                <a:pt x="0" y="37504"/>
              </a:lnTo>
              <a:lnTo>
                <a:pt x="1091" y="38632"/>
              </a:lnTo>
              <a:lnTo>
                <a:pt x="24589" y="62938"/>
              </a:lnTo>
              <a:lnTo>
                <a:pt x="24589" y="254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0.41933</cdr:x>
      <cdr:y>0.75193</cdr:y>
    </cdr:from>
    <cdr:to>
      <cdr:x>0.42516</cdr:x>
      <cdr:y>0.75772</cdr:y>
    </cdr:to>
    <cdr:sp macro="" textlink="">
      <cdr:nvSpPr>
        <cdr:cNvPr id="741" name="FracNo 874 StartRow 7304">
          <a:extLst xmlns:a="http://schemas.openxmlformats.org/drawingml/2006/main">
            <a:ext uri="{FF2B5EF4-FFF2-40B4-BE49-F238E27FC236}">
              <a16:creationId xmlns:a16="http://schemas.microsoft.com/office/drawing/2014/main" id="{27D0B342-4B28-8030-AEA8-28E67AEF32E7}"/>
            </a:ext>
          </a:extLst>
        </cdr:cNvPr>
        <cdr:cNvSpPr/>
      </cdr:nvSpPr>
      <cdr:spPr>
        <a:xfrm xmlns:a="http://schemas.openxmlformats.org/drawingml/2006/main">
          <a:off x="3067456" y="5729739"/>
          <a:ext cx="42641" cy="441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641" h="44106">
              <a:moveTo>
                <a:pt x="39411" y="3261"/>
              </a:moveTo>
              <a:lnTo>
                <a:pt x="36258" y="0"/>
              </a:lnTo>
              <a:lnTo>
                <a:pt x="0" y="0"/>
              </a:lnTo>
              <a:lnTo>
                <a:pt x="21064" y="21787"/>
              </a:lnTo>
              <a:lnTo>
                <a:pt x="42640" y="44105"/>
              </a:lnTo>
              <a:lnTo>
                <a:pt x="42640" y="66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0.16747</cdr:x>
      <cdr:y>0.53411</cdr:y>
    </cdr:from>
    <cdr:to>
      <cdr:x>0.17327</cdr:x>
      <cdr:y>0.53987</cdr:y>
    </cdr:to>
    <cdr:sp macro="" textlink="">
      <cdr:nvSpPr>
        <cdr:cNvPr id="742" name="FracNo 1144 StartRow 7313">
          <a:extLst xmlns:a="http://schemas.openxmlformats.org/drawingml/2006/main">
            <a:ext uri="{FF2B5EF4-FFF2-40B4-BE49-F238E27FC236}">
              <a16:creationId xmlns:a16="http://schemas.microsoft.com/office/drawing/2014/main" id="{EFB40E0C-1DBF-03CE-2EC6-666DB95A7AAF}"/>
            </a:ext>
          </a:extLst>
        </cdr:cNvPr>
        <cdr:cNvSpPr/>
      </cdr:nvSpPr>
      <cdr:spPr>
        <a:xfrm xmlns:a="http://schemas.openxmlformats.org/drawingml/2006/main">
          <a:off x="1225069" y="4069912"/>
          <a:ext cx="42463" cy="439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463" h="43922">
              <a:moveTo>
                <a:pt x="31787" y="32879"/>
              </a:moveTo>
              <a:lnTo>
                <a:pt x="0" y="0"/>
              </a:lnTo>
              <a:lnTo>
                <a:pt x="0" y="37504"/>
              </a:lnTo>
              <a:lnTo>
                <a:pt x="4644" y="42308"/>
              </a:lnTo>
              <a:lnTo>
                <a:pt x="6204" y="43921"/>
              </a:lnTo>
              <a:lnTo>
                <a:pt x="42462" y="439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0.15439</cdr:x>
      <cdr:y>0.5471</cdr:y>
    </cdr:from>
    <cdr:to>
      <cdr:x>0.16019</cdr:x>
      <cdr:y>0.55286</cdr:y>
    </cdr:to>
    <cdr:sp macro="" textlink="">
      <cdr:nvSpPr>
        <cdr:cNvPr id="743" name="FracNo 153 StartRow 7322">
          <a:extLst xmlns:a="http://schemas.openxmlformats.org/drawingml/2006/main">
            <a:ext uri="{FF2B5EF4-FFF2-40B4-BE49-F238E27FC236}">
              <a16:creationId xmlns:a16="http://schemas.microsoft.com/office/drawing/2014/main" id="{330C9779-8767-7866-7456-D0A9B4D061FF}"/>
            </a:ext>
          </a:extLst>
        </cdr:cNvPr>
        <cdr:cNvSpPr/>
      </cdr:nvSpPr>
      <cdr:spPr>
        <a:xfrm xmlns:a="http://schemas.openxmlformats.org/drawingml/2006/main">
          <a:off x="1129364" y="4168904"/>
          <a:ext cx="42463" cy="439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463" h="43921">
              <a:moveTo>
                <a:pt x="19979" y="20665"/>
              </a:moveTo>
              <a:lnTo>
                <a:pt x="0" y="0"/>
              </a:lnTo>
              <a:lnTo>
                <a:pt x="0" y="37503"/>
              </a:lnTo>
              <a:lnTo>
                <a:pt x="2919" y="40522"/>
              </a:lnTo>
              <a:lnTo>
                <a:pt x="6204" y="43920"/>
              </a:lnTo>
              <a:lnTo>
                <a:pt x="42462" y="439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0.44256</cdr:x>
      <cdr:y>0.21226</cdr:y>
    </cdr:from>
    <cdr:to>
      <cdr:x>0.44589</cdr:x>
      <cdr:y>0.22048</cdr:y>
    </cdr:to>
    <cdr:sp macro="" textlink="">
      <cdr:nvSpPr>
        <cdr:cNvPr id="744" name="FracNo 1051 StartRow 7331">
          <a:extLst xmlns:a="http://schemas.openxmlformats.org/drawingml/2006/main">
            <a:ext uri="{FF2B5EF4-FFF2-40B4-BE49-F238E27FC236}">
              <a16:creationId xmlns:a16="http://schemas.microsoft.com/office/drawing/2014/main" id="{80BF5106-F68E-181B-30A2-D6E75ED59F1A}"/>
            </a:ext>
          </a:extLst>
        </cdr:cNvPr>
        <cdr:cNvSpPr/>
      </cdr:nvSpPr>
      <cdr:spPr>
        <a:xfrm xmlns:a="http://schemas.openxmlformats.org/drawingml/2006/main">
          <a:off x="3237444" y="1617395"/>
          <a:ext cx="24310" cy="626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10" h="62649">
              <a:moveTo>
                <a:pt x="3884" y="41521"/>
              </a:moveTo>
              <a:lnTo>
                <a:pt x="0" y="37504"/>
              </a:lnTo>
              <a:lnTo>
                <a:pt x="0" y="0"/>
              </a:lnTo>
              <a:lnTo>
                <a:pt x="3884" y="4018"/>
              </a:lnTo>
              <a:lnTo>
                <a:pt x="24309" y="25144"/>
              </a:lnTo>
              <a:lnTo>
                <a:pt x="24309" y="626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0.45717</cdr:x>
      <cdr:y>0.19776</cdr:y>
    </cdr:from>
    <cdr:to>
      <cdr:x>0.46049</cdr:x>
      <cdr:y>0.20598</cdr:y>
    </cdr:to>
    <cdr:sp macro="" textlink="">
      <cdr:nvSpPr>
        <cdr:cNvPr id="745" name="FracNo 899 StartRow 7340">
          <a:extLst xmlns:a="http://schemas.openxmlformats.org/drawingml/2006/main">
            <a:ext uri="{FF2B5EF4-FFF2-40B4-BE49-F238E27FC236}">
              <a16:creationId xmlns:a16="http://schemas.microsoft.com/office/drawing/2014/main" id="{26408031-7D8C-7C9D-0DCD-5BB31CED8FDC}"/>
            </a:ext>
          </a:extLst>
        </cdr:cNvPr>
        <cdr:cNvSpPr/>
      </cdr:nvSpPr>
      <cdr:spPr>
        <a:xfrm xmlns:a="http://schemas.openxmlformats.org/drawingml/2006/main">
          <a:off x="3344256" y="1506915"/>
          <a:ext cx="24310" cy="626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10" h="62649">
              <a:moveTo>
                <a:pt x="8179" y="45964"/>
              </a:moveTo>
              <a:lnTo>
                <a:pt x="0" y="37503"/>
              </a:lnTo>
              <a:lnTo>
                <a:pt x="0" y="0"/>
              </a:lnTo>
              <a:lnTo>
                <a:pt x="8179" y="8461"/>
              </a:lnTo>
              <a:lnTo>
                <a:pt x="24309" y="25145"/>
              </a:lnTo>
              <a:lnTo>
                <a:pt x="24309" y="626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0.44328</cdr:x>
      <cdr:y>0.21155</cdr:y>
    </cdr:from>
    <cdr:to>
      <cdr:x>0.45156</cdr:x>
      <cdr:y>0.21485</cdr:y>
    </cdr:to>
    <cdr:sp macro="" textlink="">
      <cdr:nvSpPr>
        <cdr:cNvPr id="746" name="FracNo 462 StartRow 7349">
          <a:extLst xmlns:a="http://schemas.openxmlformats.org/drawingml/2006/main">
            <a:ext uri="{FF2B5EF4-FFF2-40B4-BE49-F238E27FC236}">
              <a16:creationId xmlns:a16="http://schemas.microsoft.com/office/drawing/2014/main" id="{5EDB4256-0D82-7CD9-4324-2F7E08D808CC}"/>
            </a:ext>
          </a:extLst>
        </cdr:cNvPr>
        <cdr:cNvSpPr/>
      </cdr:nvSpPr>
      <cdr:spPr>
        <a:xfrm xmlns:a="http://schemas.openxmlformats.org/drawingml/2006/main">
          <a:off x="3242649" y="1612010"/>
          <a:ext cx="60569" cy="25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9" h="25146">
              <a:moveTo>
                <a:pt x="48608" y="12774"/>
              </a:moveTo>
              <a:lnTo>
                <a:pt x="36259" y="0"/>
              </a:lnTo>
              <a:lnTo>
                <a:pt x="0" y="0"/>
              </a:lnTo>
              <a:lnTo>
                <a:pt x="12349" y="12774"/>
              </a:lnTo>
              <a:lnTo>
                <a:pt x="24310" y="25145"/>
              </a:lnTo>
              <a:lnTo>
                <a:pt x="60568" y="251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0.57157</cdr:x>
      <cdr:y>0.76674</cdr:y>
    </cdr:from>
    <cdr:to>
      <cdr:x>0.57734</cdr:x>
      <cdr:y>0.77247</cdr:y>
    </cdr:to>
    <cdr:sp macro="" textlink="">
      <cdr:nvSpPr>
        <cdr:cNvPr id="747" name="FracNo 702 StartRow 7358">
          <a:extLst xmlns:a="http://schemas.openxmlformats.org/drawingml/2006/main">
            <a:ext uri="{FF2B5EF4-FFF2-40B4-BE49-F238E27FC236}">
              <a16:creationId xmlns:a16="http://schemas.microsoft.com/office/drawing/2014/main" id="{A4C0F79D-866A-0B40-E102-55645800C724}"/>
            </a:ext>
          </a:extLst>
        </cdr:cNvPr>
        <cdr:cNvSpPr/>
      </cdr:nvSpPr>
      <cdr:spPr>
        <a:xfrm xmlns:a="http://schemas.openxmlformats.org/drawingml/2006/main">
          <a:off x="4181115" y="5842528"/>
          <a:ext cx="42232" cy="436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232" h="43683">
              <a:moveTo>
                <a:pt x="28903" y="29896"/>
              </a:moveTo>
              <a:lnTo>
                <a:pt x="0" y="0"/>
              </a:lnTo>
              <a:lnTo>
                <a:pt x="36259" y="0"/>
              </a:lnTo>
              <a:lnTo>
                <a:pt x="40346" y="4229"/>
              </a:lnTo>
              <a:lnTo>
                <a:pt x="42231" y="6179"/>
              </a:lnTo>
              <a:lnTo>
                <a:pt x="42231" y="436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0.54643</cdr:x>
      <cdr:y>0.52353</cdr:y>
    </cdr:from>
    <cdr:to>
      <cdr:x>0.55217</cdr:x>
      <cdr:y>0.52923</cdr:y>
    </cdr:to>
    <cdr:sp macro="" textlink="">
      <cdr:nvSpPr>
        <cdr:cNvPr id="748" name="FracNo 387 StartRow 7367">
          <a:extLst xmlns:a="http://schemas.openxmlformats.org/drawingml/2006/main">
            <a:ext uri="{FF2B5EF4-FFF2-40B4-BE49-F238E27FC236}">
              <a16:creationId xmlns:a16="http://schemas.microsoft.com/office/drawing/2014/main" id="{1D2F7BB8-3168-81B2-502A-BCEA872B1088}"/>
            </a:ext>
          </a:extLst>
        </cdr:cNvPr>
        <cdr:cNvSpPr/>
      </cdr:nvSpPr>
      <cdr:spPr>
        <a:xfrm xmlns:a="http://schemas.openxmlformats.org/drawingml/2006/main">
          <a:off x="3997222" y="3989291"/>
          <a:ext cx="41977" cy="43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77" h="43419">
              <a:moveTo>
                <a:pt x="4852" y="42522"/>
              </a:moveTo>
              <a:lnTo>
                <a:pt x="0" y="37504"/>
              </a:lnTo>
              <a:lnTo>
                <a:pt x="0" y="0"/>
              </a:lnTo>
              <a:lnTo>
                <a:pt x="35619" y="36843"/>
              </a:lnTo>
              <a:lnTo>
                <a:pt x="41976" y="43418"/>
              </a:lnTo>
              <a:lnTo>
                <a:pt x="5717" y="434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0.69339</cdr:x>
      <cdr:y>0.77758</cdr:y>
    </cdr:from>
    <cdr:to>
      <cdr:x>0.69912</cdr:x>
      <cdr:y>0.78326</cdr:y>
    </cdr:to>
    <cdr:sp macro="" textlink="">
      <cdr:nvSpPr>
        <cdr:cNvPr id="749" name="FracNo 985 StartRow 7376">
          <a:extLst xmlns:a="http://schemas.openxmlformats.org/drawingml/2006/main">
            <a:ext uri="{FF2B5EF4-FFF2-40B4-BE49-F238E27FC236}">
              <a16:creationId xmlns:a16="http://schemas.microsoft.com/office/drawing/2014/main" id="{F95547F0-32FC-47DD-87E5-5F1C66BD6270}"/>
            </a:ext>
          </a:extLst>
        </cdr:cNvPr>
        <cdr:cNvSpPr/>
      </cdr:nvSpPr>
      <cdr:spPr>
        <a:xfrm xmlns:a="http://schemas.openxmlformats.org/drawingml/2006/main">
          <a:off x="5072293" y="5925159"/>
          <a:ext cx="41876" cy="433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876" h="43314">
              <a:moveTo>
                <a:pt x="41417" y="5336"/>
              </a:moveTo>
              <a:lnTo>
                <a:pt x="36258" y="0"/>
              </a:lnTo>
              <a:lnTo>
                <a:pt x="0" y="0"/>
              </a:lnTo>
              <a:lnTo>
                <a:pt x="38460" y="39780"/>
              </a:lnTo>
              <a:lnTo>
                <a:pt x="41875" y="43313"/>
              </a:lnTo>
              <a:lnTo>
                <a:pt x="41875" y="58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0.74846</cdr:x>
      <cdr:y>0.32939</cdr:y>
    </cdr:from>
    <cdr:to>
      <cdr:x>0.75417</cdr:x>
      <cdr:y>0.33505</cdr:y>
    </cdr:to>
    <cdr:sp macro="" textlink="">
      <cdr:nvSpPr>
        <cdr:cNvPr id="750" name="FracNo 937 StartRow 7385">
          <a:extLst xmlns:a="http://schemas.openxmlformats.org/drawingml/2006/main">
            <a:ext uri="{FF2B5EF4-FFF2-40B4-BE49-F238E27FC236}">
              <a16:creationId xmlns:a16="http://schemas.microsoft.com/office/drawing/2014/main" id="{39006414-D1AC-E141-4BA9-022B68E14A38}"/>
            </a:ext>
          </a:extLst>
        </cdr:cNvPr>
        <cdr:cNvSpPr/>
      </cdr:nvSpPr>
      <cdr:spPr>
        <a:xfrm xmlns:a="http://schemas.openxmlformats.org/drawingml/2006/main">
          <a:off x="5475171" y="2509918"/>
          <a:ext cx="41739" cy="43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739" h="43173">
              <a:moveTo>
                <a:pt x="15242" y="15766"/>
              </a:moveTo>
              <a:lnTo>
                <a:pt x="0" y="0"/>
              </a:lnTo>
              <a:lnTo>
                <a:pt x="36258" y="0"/>
              </a:lnTo>
              <a:lnTo>
                <a:pt x="38259" y="2070"/>
              </a:lnTo>
              <a:lnTo>
                <a:pt x="41738" y="5668"/>
              </a:lnTo>
              <a:lnTo>
                <a:pt x="41738" y="431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0.83967</cdr:x>
      <cdr:y>0.73684</cdr:y>
    </cdr:from>
    <cdr:to>
      <cdr:x>0.84538</cdr:x>
      <cdr:y>0.74251</cdr:y>
    </cdr:to>
    <cdr:sp macro="" textlink="">
      <cdr:nvSpPr>
        <cdr:cNvPr id="751" name="FracNo 885 StartRow 7394">
          <a:extLst xmlns:a="http://schemas.openxmlformats.org/drawingml/2006/main">
            <a:ext uri="{FF2B5EF4-FFF2-40B4-BE49-F238E27FC236}">
              <a16:creationId xmlns:a16="http://schemas.microsoft.com/office/drawing/2014/main" id="{67154017-5BB8-12D9-2447-F46A62B6A3AA}"/>
            </a:ext>
          </a:extLst>
        </cdr:cNvPr>
        <cdr:cNvSpPr/>
      </cdr:nvSpPr>
      <cdr:spPr>
        <a:xfrm xmlns:a="http://schemas.openxmlformats.org/drawingml/2006/main">
          <a:off x="6142384" y="5614741"/>
          <a:ext cx="41736" cy="431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736" h="43168">
              <a:moveTo>
                <a:pt x="12231" y="12651"/>
              </a:moveTo>
              <a:lnTo>
                <a:pt x="0" y="0"/>
              </a:lnTo>
              <a:lnTo>
                <a:pt x="0" y="37504"/>
              </a:lnTo>
              <a:lnTo>
                <a:pt x="1605" y="39163"/>
              </a:lnTo>
              <a:lnTo>
                <a:pt x="5476" y="43167"/>
              </a:lnTo>
              <a:lnTo>
                <a:pt x="41735" y="431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0.15959</cdr:x>
      <cdr:y>0.56102</cdr:y>
    </cdr:from>
    <cdr:to>
      <cdr:x>0.16523</cdr:x>
      <cdr:y>0.56662</cdr:y>
    </cdr:to>
    <cdr:sp macro="" textlink="">
      <cdr:nvSpPr>
        <cdr:cNvPr id="752" name="FracNo 1016 StartRow 7403">
          <a:extLst xmlns:a="http://schemas.openxmlformats.org/drawingml/2006/main">
            <a:ext uri="{FF2B5EF4-FFF2-40B4-BE49-F238E27FC236}">
              <a16:creationId xmlns:a16="http://schemas.microsoft.com/office/drawing/2014/main" id="{EE818274-CC2B-8904-31CC-221EEECAF4D7}"/>
            </a:ext>
          </a:extLst>
        </cdr:cNvPr>
        <cdr:cNvSpPr/>
      </cdr:nvSpPr>
      <cdr:spPr>
        <a:xfrm xmlns:a="http://schemas.openxmlformats.org/drawingml/2006/main">
          <a:off x="1167410" y="4274951"/>
          <a:ext cx="41301" cy="427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301" h="42720">
              <a:moveTo>
                <a:pt x="39904" y="3771"/>
              </a:moveTo>
              <a:lnTo>
                <a:pt x="36258" y="0"/>
              </a:lnTo>
              <a:lnTo>
                <a:pt x="0" y="0"/>
              </a:lnTo>
              <a:lnTo>
                <a:pt x="29863" y="30889"/>
              </a:lnTo>
              <a:lnTo>
                <a:pt x="41300" y="42719"/>
              </a:lnTo>
              <a:lnTo>
                <a:pt x="41300" y="52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0.65804</cdr:x>
      <cdr:y>0.41292</cdr:y>
    </cdr:from>
    <cdr:to>
      <cdr:x>0.66367</cdr:x>
      <cdr:y>0.41851</cdr:y>
    </cdr:to>
    <cdr:sp macro="" textlink="">
      <cdr:nvSpPr>
        <cdr:cNvPr id="753" name="FracNo 912 StartRow 7412">
          <a:extLst xmlns:a="http://schemas.openxmlformats.org/drawingml/2006/main">
            <a:ext uri="{FF2B5EF4-FFF2-40B4-BE49-F238E27FC236}">
              <a16:creationId xmlns:a16="http://schemas.microsoft.com/office/drawing/2014/main" id="{0F6E1AD3-8878-35C9-349D-D5FED752159C}"/>
            </a:ext>
          </a:extLst>
        </cdr:cNvPr>
        <cdr:cNvSpPr/>
      </cdr:nvSpPr>
      <cdr:spPr>
        <a:xfrm xmlns:a="http://schemas.openxmlformats.org/drawingml/2006/main">
          <a:off x="4813727" y="3146467"/>
          <a:ext cx="41145" cy="425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145" h="42558">
              <a:moveTo>
                <a:pt x="0" y="31131"/>
              </a:moveTo>
              <a:lnTo>
                <a:pt x="0" y="0"/>
              </a:lnTo>
              <a:lnTo>
                <a:pt x="13135" y="13586"/>
              </a:lnTo>
              <a:lnTo>
                <a:pt x="16019" y="16569"/>
              </a:lnTo>
              <a:lnTo>
                <a:pt x="41144" y="42557"/>
              </a:lnTo>
              <a:lnTo>
                <a:pt x="4885" y="42557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0.3248</cdr:x>
      <cdr:y>0.45302</cdr:y>
    </cdr:from>
    <cdr:to>
      <cdr:x>0.32794</cdr:x>
      <cdr:y>0.46106</cdr:y>
    </cdr:to>
    <cdr:sp macro="" textlink="">
      <cdr:nvSpPr>
        <cdr:cNvPr id="754" name="FracNo 1017 StartRow 7422">
          <a:extLst xmlns:a="http://schemas.openxmlformats.org/drawingml/2006/main">
            <a:ext uri="{FF2B5EF4-FFF2-40B4-BE49-F238E27FC236}">
              <a16:creationId xmlns:a16="http://schemas.microsoft.com/office/drawing/2014/main" id="{563F8B4A-920E-1702-4E1C-1925733FF3AD}"/>
            </a:ext>
          </a:extLst>
        </cdr:cNvPr>
        <cdr:cNvSpPr/>
      </cdr:nvSpPr>
      <cdr:spPr>
        <a:xfrm xmlns:a="http://schemas.openxmlformats.org/drawingml/2006/main">
          <a:off x="2375951" y="3452008"/>
          <a:ext cx="22962" cy="612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62" h="61253">
              <a:moveTo>
                <a:pt x="1323" y="1368"/>
              </a:moveTo>
              <a:lnTo>
                <a:pt x="0" y="0"/>
              </a:lnTo>
              <a:lnTo>
                <a:pt x="0" y="37503"/>
              </a:lnTo>
              <a:lnTo>
                <a:pt x="1323" y="38872"/>
              </a:lnTo>
              <a:lnTo>
                <a:pt x="22961" y="61252"/>
              </a:lnTo>
              <a:lnTo>
                <a:pt x="22961" y="237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0.30869</cdr:x>
      <cdr:y>0.46901</cdr:y>
    </cdr:from>
    <cdr:to>
      <cdr:x>0.31679</cdr:x>
      <cdr:y>0.47213</cdr:y>
    </cdr:to>
    <cdr:sp macro="" textlink="">
      <cdr:nvSpPr>
        <cdr:cNvPr id="755" name="FracNo 152 StartRow 7431">
          <a:extLst xmlns:a="http://schemas.openxmlformats.org/drawingml/2006/main">
            <a:ext uri="{FF2B5EF4-FFF2-40B4-BE49-F238E27FC236}">
              <a16:creationId xmlns:a16="http://schemas.microsoft.com/office/drawing/2014/main" id="{B0DD87C2-21AB-C593-3A99-4BDF2805B506}"/>
            </a:ext>
          </a:extLst>
        </cdr:cNvPr>
        <cdr:cNvSpPr/>
      </cdr:nvSpPr>
      <cdr:spPr>
        <a:xfrm xmlns:a="http://schemas.openxmlformats.org/drawingml/2006/main">
          <a:off x="2258135" y="3573869"/>
          <a:ext cx="59220" cy="237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220" h="23751">
              <a:moveTo>
                <a:pt x="309" y="320"/>
              </a:moveTo>
              <a:lnTo>
                <a:pt x="0" y="0"/>
              </a:lnTo>
              <a:lnTo>
                <a:pt x="36258" y="0"/>
              </a:lnTo>
              <a:lnTo>
                <a:pt x="36567" y="320"/>
              </a:lnTo>
              <a:lnTo>
                <a:pt x="59219" y="23750"/>
              </a:lnTo>
              <a:lnTo>
                <a:pt x="22960" y="237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0.41515</cdr:x>
      <cdr:y>0.45194</cdr:y>
    </cdr:from>
    <cdr:to>
      <cdr:x>0.42075</cdr:x>
      <cdr:y>0.45751</cdr:y>
    </cdr:to>
    <cdr:sp macro="" textlink="">
      <cdr:nvSpPr>
        <cdr:cNvPr id="756" name="FracNo 894 StartRow 7440">
          <a:extLst xmlns:a="http://schemas.openxmlformats.org/drawingml/2006/main">
            <a:ext uri="{FF2B5EF4-FFF2-40B4-BE49-F238E27FC236}">
              <a16:creationId xmlns:a16="http://schemas.microsoft.com/office/drawing/2014/main" id="{3E943620-918E-D566-BEA6-46F8418C4306}"/>
            </a:ext>
          </a:extLst>
        </cdr:cNvPr>
        <cdr:cNvSpPr/>
      </cdr:nvSpPr>
      <cdr:spPr>
        <a:xfrm xmlns:a="http://schemas.openxmlformats.org/drawingml/2006/main">
          <a:off x="3036876" y="3443788"/>
          <a:ext cx="41012" cy="424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012" h="42421">
              <a:moveTo>
                <a:pt x="4680" y="42345"/>
              </a:moveTo>
              <a:lnTo>
                <a:pt x="0" y="37504"/>
              </a:lnTo>
              <a:lnTo>
                <a:pt x="0" y="0"/>
              </a:lnTo>
              <a:lnTo>
                <a:pt x="40384" y="41771"/>
              </a:lnTo>
              <a:lnTo>
                <a:pt x="41011" y="42420"/>
              </a:lnTo>
              <a:lnTo>
                <a:pt x="4753" y="424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0.41375</cdr:x>
      <cdr:y>0.74581</cdr:y>
    </cdr:from>
    <cdr:to>
      <cdr:x>0.41933</cdr:x>
      <cdr:y>0.75135</cdr:y>
    </cdr:to>
    <cdr:sp macro="" textlink="">
      <cdr:nvSpPr>
        <cdr:cNvPr id="757" name="FracNo 904 StartRow 7449">
          <a:extLst xmlns:a="http://schemas.openxmlformats.org/drawingml/2006/main">
            <a:ext uri="{FF2B5EF4-FFF2-40B4-BE49-F238E27FC236}">
              <a16:creationId xmlns:a16="http://schemas.microsoft.com/office/drawing/2014/main" id="{0CB0D43B-BB2E-0E5A-0688-955B65A95D44}"/>
            </a:ext>
          </a:extLst>
        </cdr:cNvPr>
        <cdr:cNvSpPr/>
      </cdr:nvSpPr>
      <cdr:spPr>
        <a:xfrm xmlns:a="http://schemas.openxmlformats.org/drawingml/2006/main">
          <a:off x="3026685" y="5683072"/>
          <a:ext cx="40789" cy="42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789" h="42190">
              <a:moveTo>
                <a:pt x="22622" y="23399"/>
              </a:moveTo>
              <a:lnTo>
                <a:pt x="0" y="0"/>
              </a:lnTo>
              <a:lnTo>
                <a:pt x="0" y="37504"/>
              </a:lnTo>
              <a:lnTo>
                <a:pt x="2512" y="40102"/>
              </a:lnTo>
              <a:lnTo>
                <a:pt x="4530" y="42189"/>
              </a:lnTo>
              <a:lnTo>
                <a:pt x="40788" y="421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0.38183</cdr:x>
      <cdr:y>0.77751</cdr:y>
    </cdr:from>
    <cdr:to>
      <cdr:x>0.3874</cdr:x>
      <cdr:y>0.78305</cdr:y>
    </cdr:to>
    <cdr:sp macro="" textlink="">
      <cdr:nvSpPr>
        <cdr:cNvPr id="758" name="FracNo 1137 StartRow 7458">
          <a:extLst xmlns:a="http://schemas.openxmlformats.org/drawingml/2006/main">
            <a:ext uri="{FF2B5EF4-FFF2-40B4-BE49-F238E27FC236}">
              <a16:creationId xmlns:a16="http://schemas.microsoft.com/office/drawing/2014/main" id="{2205368F-7088-8DB8-756A-09147C851830}"/>
            </a:ext>
          </a:extLst>
        </cdr:cNvPr>
        <cdr:cNvSpPr/>
      </cdr:nvSpPr>
      <cdr:spPr>
        <a:xfrm xmlns:a="http://schemas.openxmlformats.org/drawingml/2006/main">
          <a:off x="2793136" y="5924641"/>
          <a:ext cx="40790" cy="42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790" h="42190">
              <a:moveTo>
                <a:pt x="11693" y="12095"/>
              </a:moveTo>
              <a:lnTo>
                <a:pt x="0" y="0"/>
              </a:lnTo>
              <a:lnTo>
                <a:pt x="36259" y="0"/>
              </a:lnTo>
              <a:lnTo>
                <a:pt x="37557" y="1344"/>
              </a:lnTo>
              <a:lnTo>
                <a:pt x="40789" y="4686"/>
              </a:lnTo>
              <a:lnTo>
                <a:pt x="40789" y="421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0.13303</cdr:x>
      <cdr:y>0.64967</cdr:y>
    </cdr:from>
    <cdr:to>
      <cdr:x>0.13856</cdr:x>
      <cdr:y>0.65516</cdr:y>
    </cdr:to>
    <cdr:sp macro="" textlink="">
      <cdr:nvSpPr>
        <cdr:cNvPr id="759" name="FracNo 63 StartRow 7467">
          <a:extLst xmlns:a="http://schemas.openxmlformats.org/drawingml/2006/main">
            <a:ext uri="{FF2B5EF4-FFF2-40B4-BE49-F238E27FC236}">
              <a16:creationId xmlns:a16="http://schemas.microsoft.com/office/drawing/2014/main" id="{E56ACE4B-9A44-6865-D4C0-A93E0DE86E06}"/>
            </a:ext>
          </a:extLst>
        </cdr:cNvPr>
        <cdr:cNvSpPr/>
      </cdr:nvSpPr>
      <cdr:spPr>
        <a:xfrm xmlns:a="http://schemas.openxmlformats.org/drawingml/2006/main">
          <a:off x="973131" y="4950501"/>
          <a:ext cx="40450" cy="41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450" h="41839">
              <a:moveTo>
                <a:pt x="16026" y="16576"/>
              </a:moveTo>
              <a:lnTo>
                <a:pt x="0" y="0"/>
              </a:lnTo>
              <a:lnTo>
                <a:pt x="0" y="37504"/>
              </a:lnTo>
              <a:lnTo>
                <a:pt x="1660" y="39221"/>
              </a:lnTo>
              <a:lnTo>
                <a:pt x="4190" y="41838"/>
              </a:lnTo>
              <a:lnTo>
                <a:pt x="40449" y="418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0.5407</cdr:x>
      <cdr:y>0.75738</cdr:y>
    </cdr:from>
    <cdr:to>
      <cdr:x>0.54375</cdr:x>
      <cdr:y>0.76532</cdr:y>
    </cdr:to>
    <cdr:sp macro="" textlink="">
      <cdr:nvSpPr>
        <cdr:cNvPr id="760" name="FracNo 1008 StartRow 7476">
          <a:extLst xmlns:a="http://schemas.openxmlformats.org/drawingml/2006/main">
            <a:ext uri="{FF2B5EF4-FFF2-40B4-BE49-F238E27FC236}">
              <a16:creationId xmlns:a16="http://schemas.microsoft.com/office/drawing/2014/main" id="{08BA6CBA-3E0F-97C7-87F2-F12C2BFF9658}"/>
            </a:ext>
          </a:extLst>
        </cdr:cNvPr>
        <cdr:cNvSpPr/>
      </cdr:nvSpPr>
      <cdr:spPr>
        <a:xfrm xmlns:a="http://schemas.openxmlformats.org/drawingml/2006/main">
          <a:off x="3955333" y="5771209"/>
          <a:ext cx="22293" cy="60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93" h="60562">
              <a:moveTo>
                <a:pt x="18993" y="19645"/>
              </a:moveTo>
              <a:lnTo>
                <a:pt x="0" y="0"/>
              </a:lnTo>
              <a:lnTo>
                <a:pt x="0" y="37503"/>
              </a:lnTo>
              <a:lnTo>
                <a:pt x="18993" y="57148"/>
              </a:lnTo>
              <a:lnTo>
                <a:pt x="22292" y="60561"/>
              </a:lnTo>
              <a:lnTo>
                <a:pt x="22292" y="230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0.17148</cdr:x>
      <cdr:y>0.40512</cdr:y>
    </cdr:from>
    <cdr:to>
      <cdr:x>0.17453</cdr:x>
      <cdr:y>0.41306</cdr:y>
    </cdr:to>
    <cdr:sp macro="" textlink="">
      <cdr:nvSpPr>
        <cdr:cNvPr id="761" name="FracNo 1142 StartRow 7485">
          <a:extLst xmlns:a="http://schemas.openxmlformats.org/drawingml/2006/main">
            <a:ext uri="{FF2B5EF4-FFF2-40B4-BE49-F238E27FC236}">
              <a16:creationId xmlns:a16="http://schemas.microsoft.com/office/drawing/2014/main" id="{2E8898D0-5668-E73E-1FF8-F312727F0FED}"/>
            </a:ext>
          </a:extLst>
        </cdr:cNvPr>
        <cdr:cNvSpPr/>
      </cdr:nvSpPr>
      <cdr:spPr>
        <a:xfrm xmlns:a="http://schemas.openxmlformats.org/drawingml/2006/main">
          <a:off x="1254404" y="3086987"/>
          <a:ext cx="22291" cy="605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91" h="60560">
              <a:moveTo>
                <a:pt x="3824" y="41459"/>
              </a:moveTo>
              <a:lnTo>
                <a:pt x="0" y="37504"/>
              </a:lnTo>
              <a:lnTo>
                <a:pt x="0" y="0"/>
              </a:lnTo>
              <a:lnTo>
                <a:pt x="3824" y="3956"/>
              </a:lnTo>
              <a:lnTo>
                <a:pt x="22290" y="23056"/>
              </a:lnTo>
              <a:lnTo>
                <a:pt x="22290" y="605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0.66875</cdr:x>
      <cdr:y>0.80849</cdr:y>
    </cdr:from>
    <cdr:to>
      <cdr:x>0.67427</cdr:x>
      <cdr:y>0.81397</cdr:y>
    </cdr:to>
    <cdr:sp macro="" textlink="">
      <cdr:nvSpPr>
        <cdr:cNvPr id="762" name="FracNo 557 StartRow 7494">
          <a:extLst xmlns:a="http://schemas.openxmlformats.org/drawingml/2006/main">
            <a:ext uri="{FF2B5EF4-FFF2-40B4-BE49-F238E27FC236}">
              <a16:creationId xmlns:a16="http://schemas.microsoft.com/office/drawing/2014/main" id="{9A31272F-AC03-6CA6-67C6-6ED8F41968F8}"/>
            </a:ext>
          </a:extLst>
        </cdr:cNvPr>
        <cdr:cNvSpPr/>
      </cdr:nvSpPr>
      <cdr:spPr>
        <a:xfrm xmlns:a="http://schemas.openxmlformats.org/drawingml/2006/main">
          <a:off x="4892068" y="6160696"/>
          <a:ext cx="40371" cy="41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371" h="41757">
              <a:moveTo>
                <a:pt x="37527" y="38815"/>
              </a:moveTo>
              <a:lnTo>
                <a:pt x="0" y="0"/>
              </a:lnTo>
              <a:lnTo>
                <a:pt x="0" y="37503"/>
              </a:lnTo>
              <a:lnTo>
                <a:pt x="3822" y="41456"/>
              </a:lnTo>
              <a:lnTo>
                <a:pt x="4112" y="41756"/>
              </a:lnTo>
              <a:lnTo>
                <a:pt x="40370" y="417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0.45988</cdr:x>
      <cdr:y>0.20166</cdr:y>
    </cdr:from>
    <cdr:to>
      <cdr:x>0.46785</cdr:x>
      <cdr:y>0.20466</cdr:y>
    </cdr:to>
    <cdr:sp macro="" textlink="">
      <cdr:nvSpPr>
        <cdr:cNvPr id="763" name="FracNo 928 StartRow 7503">
          <a:extLst xmlns:a="http://schemas.openxmlformats.org/drawingml/2006/main">
            <a:ext uri="{FF2B5EF4-FFF2-40B4-BE49-F238E27FC236}">
              <a16:creationId xmlns:a16="http://schemas.microsoft.com/office/drawing/2014/main" id="{A84326A7-3DA4-7BC2-CB07-E38F94AE7650}"/>
            </a:ext>
          </a:extLst>
        </cdr:cNvPr>
        <cdr:cNvSpPr/>
      </cdr:nvSpPr>
      <cdr:spPr>
        <a:xfrm xmlns:a="http://schemas.openxmlformats.org/drawingml/2006/main">
          <a:off x="3364123" y="1536653"/>
          <a:ext cx="58327" cy="228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327" h="22826">
              <a:moveTo>
                <a:pt x="45929" y="10003"/>
              </a:moveTo>
              <a:lnTo>
                <a:pt x="36259" y="0"/>
              </a:lnTo>
              <a:lnTo>
                <a:pt x="0" y="0"/>
              </a:lnTo>
              <a:lnTo>
                <a:pt x="9671" y="10003"/>
              </a:lnTo>
              <a:lnTo>
                <a:pt x="22067" y="22825"/>
              </a:lnTo>
              <a:lnTo>
                <a:pt x="58326" y="228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0.76046</cdr:x>
      <cdr:y>0.47156</cdr:y>
    </cdr:from>
    <cdr:to>
      <cdr:x>0.76593</cdr:x>
      <cdr:y>0.47699</cdr:y>
    </cdr:to>
    <cdr:sp macro="" textlink="">
      <cdr:nvSpPr>
        <cdr:cNvPr id="764" name="FracNo 1118 StartRow 7512">
          <a:extLst xmlns:a="http://schemas.openxmlformats.org/drawingml/2006/main">
            <a:ext uri="{FF2B5EF4-FFF2-40B4-BE49-F238E27FC236}">
              <a16:creationId xmlns:a16="http://schemas.microsoft.com/office/drawing/2014/main" id="{73832835-CC80-5444-FFAF-CC0360E5F62D}"/>
            </a:ext>
          </a:extLst>
        </cdr:cNvPr>
        <cdr:cNvSpPr/>
      </cdr:nvSpPr>
      <cdr:spPr>
        <a:xfrm xmlns:a="http://schemas.openxmlformats.org/drawingml/2006/main">
          <a:off x="5562900" y="3593309"/>
          <a:ext cx="40006" cy="413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006" h="41379">
              <a:moveTo>
                <a:pt x="21046" y="21769"/>
              </a:moveTo>
              <a:lnTo>
                <a:pt x="0" y="0"/>
              </a:lnTo>
              <a:lnTo>
                <a:pt x="36259" y="0"/>
              </a:lnTo>
              <a:lnTo>
                <a:pt x="38229" y="2039"/>
              </a:lnTo>
              <a:lnTo>
                <a:pt x="40005" y="3875"/>
              </a:lnTo>
              <a:lnTo>
                <a:pt x="40005" y="413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0.59297</cdr:x>
      <cdr:y>0.63787</cdr:y>
    </cdr:from>
    <cdr:to>
      <cdr:x>0.59844</cdr:x>
      <cdr:y>0.6433</cdr:y>
    </cdr:to>
    <cdr:sp macro="" textlink="">
      <cdr:nvSpPr>
        <cdr:cNvPr id="765" name="FracNo 966 StartRow 7521">
          <a:extLst xmlns:a="http://schemas.openxmlformats.org/drawingml/2006/main">
            <a:ext uri="{FF2B5EF4-FFF2-40B4-BE49-F238E27FC236}">
              <a16:creationId xmlns:a16="http://schemas.microsoft.com/office/drawing/2014/main" id="{13459EE9-ED39-C74C-B62E-227700A6895E}"/>
            </a:ext>
          </a:extLst>
        </cdr:cNvPr>
        <cdr:cNvSpPr/>
      </cdr:nvSpPr>
      <cdr:spPr>
        <a:xfrm xmlns:a="http://schemas.openxmlformats.org/drawingml/2006/main">
          <a:off x="4337682" y="4860604"/>
          <a:ext cx="40006" cy="413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006" h="41380">
              <a:moveTo>
                <a:pt x="737" y="762"/>
              </a:moveTo>
              <a:lnTo>
                <a:pt x="0" y="0"/>
              </a:lnTo>
              <a:lnTo>
                <a:pt x="36258" y="0"/>
              </a:lnTo>
              <a:lnTo>
                <a:pt x="36327" y="71"/>
              </a:lnTo>
              <a:lnTo>
                <a:pt x="40005" y="3875"/>
              </a:lnTo>
              <a:lnTo>
                <a:pt x="40005" y="413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0.61245</cdr:x>
      <cdr:y>0.88183</cdr:y>
    </cdr:from>
    <cdr:to>
      <cdr:x>0.61782</cdr:x>
      <cdr:y>0.88716</cdr:y>
    </cdr:to>
    <cdr:sp macro="" textlink="">
      <cdr:nvSpPr>
        <cdr:cNvPr id="766" name="FracNo 915 StartRow 7530">
          <a:extLst xmlns:a="http://schemas.openxmlformats.org/drawingml/2006/main">
            <a:ext uri="{FF2B5EF4-FFF2-40B4-BE49-F238E27FC236}">
              <a16:creationId xmlns:a16="http://schemas.microsoft.com/office/drawing/2014/main" id="{503D212C-DC2C-283E-63D3-5ABB3FB8898F}"/>
            </a:ext>
          </a:extLst>
        </cdr:cNvPr>
        <cdr:cNvSpPr/>
      </cdr:nvSpPr>
      <cdr:spPr>
        <a:xfrm xmlns:a="http://schemas.openxmlformats.org/drawingml/2006/main">
          <a:off x="4480168" y="6719552"/>
          <a:ext cx="39295" cy="406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95" h="40645">
              <a:moveTo>
                <a:pt x="38727" y="2553"/>
              </a:moveTo>
              <a:lnTo>
                <a:pt x="36258" y="0"/>
              </a:lnTo>
              <a:lnTo>
                <a:pt x="0" y="0"/>
              </a:lnTo>
              <a:lnTo>
                <a:pt x="31950" y="33047"/>
              </a:lnTo>
              <a:lnTo>
                <a:pt x="39294" y="40644"/>
              </a:lnTo>
              <a:lnTo>
                <a:pt x="39294" y="31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0.67179</cdr:x>
      <cdr:y>0.8229</cdr:y>
    </cdr:from>
    <cdr:to>
      <cdr:x>0.67716</cdr:x>
      <cdr:y>0.82824</cdr:y>
    </cdr:to>
    <cdr:sp macro="" textlink="">
      <cdr:nvSpPr>
        <cdr:cNvPr id="767" name="FracNo 1119 StartRow 7539">
          <a:extLst xmlns:a="http://schemas.openxmlformats.org/drawingml/2006/main">
            <a:ext uri="{FF2B5EF4-FFF2-40B4-BE49-F238E27FC236}">
              <a16:creationId xmlns:a16="http://schemas.microsoft.com/office/drawing/2014/main" id="{91B7EBAC-DA0E-11C8-6971-C0D2E7855109}"/>
            </a:ext>
          </a:extLst>
        </cdr:cNvPr>
        <cdr:cNvSpPr/>
      </cdr:nvSpPr>
      <cdr:spPr>
        <a:xfrm xmlns:a="http://schemas.openxmlformats.org/drawingml/2006/main">
          <a:off x="4914276" y="6270535"/>
          <a:ext cx="39296" cy="406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96" h="40645">
              <a:moveTo>
                <a:pt x="1601" y="39159"/>
              </a:moveTo>
              <a:lnTo>
                <a:pt x="0" y="37504"/>
              </a:lnTo>
              <a:lnTo>
                <a:pt x="0" y="0"/>
              </a:lnTo>
              <a:lnTo>
                <a:pt x="20717" y="21428"/>
              </a:lnTo>
              <a:lnTo>
                <a:pt x="39295" y="40644"/>
              </a:lnTo>
              <a:lnTo>
                <a:pt x="3036" y="406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0.30603</cdr:x>
      <cdr:y>0.32462</cdr:y>
    </cdr:from>
    <cdr:to>
      <cdr:x>0.30892</cdr:x>
      <cdr:y>0.33241</cdr:y>
    </cdr:to>
    <cdr:sp macro="" textlink="">
      <cdr:nvSpPr>
        <cdr:cNvPr id="768" name="FracNo 1006 StartRow 7548">
          <a:extLst xmlns:a="http://schemas.openxmlformats.org/drawingml/2006/main">
            <a:ext uri="{FF2B5EF4-FFF2-40B4-BE49-F238E27FC236}">
              <a16:creationId xmlns:a16="http://schemas.microsoft.com/office/drawing/2014/main" id="{9E94ACED-3092-D453-0F1D-8FEDA77F0F9A}"/>
            </a:ext>
          </a:extLst>
        </cdr:cNvPr>
        <cdr:cNvSpPr/>
      </cdr:nvSpPr>
      <cdr:spPr>
        <a:xfrm xmlns:a="http://schemas.openxmlformats.org/drawingml/2006/main">
          <a:off x="2238705" y="2473581"/>
          <a:ext cx="21133" cy="593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33" h="59362">
              <a:moveTo>
                <a:pt x="4079" y="4219"/>
              </a:moveTo>
              <a:lnTo>
                <a:pt x="0" y="0"/>
              </a:lnTo>
              <a:lnTo>
                <a:pt x="0" y="37503"/>
              </a:lnTo>
              <a:lnTo>
                <a:pt x="4079" y="41723"/>
              </a:lnTo>
              <a:lnTo>
                <a:pt x="21132" y="59361"/>
              </a:lnTo>
              <a:lnTo>
                <a:pt x="21132" y="218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0.29219</cdr:x>
      <cdr:y>0.53878</cdr:y>
    </cdr:from>
    <cdr:to>
      <cdr:x>0.29503</cdr:x>
      <cdr:y>0.54652</cdr:y>
    </cdr:to>
    <cdr:sp macro="" textlink="">
      <cdr:nvSpPr>
        <cdr:cNvPr id="769" name="FracNo 142 StartRow 7557">
          <a:extLst xmlns:a="http://schemas.openxmlformats.org/drawingml/2006/main">
            <a:ext uri="{FF2B5EF4-FFF2-40B4-BE49-F238E27FC236}">
              <a16:creationId xmlns:a16="http://schemas.microsoft.com/office/drawing/2014/main" id="{17D3F741-0387-D81E-65E4-D7C0B0173998}"/>
            </a:ext>
          </a:extLst>
        </cdr:cNvPr>
        <cdr:cNvSpPr/>
      </cdr:nvSpPr>
      <cdr:spPr>
        <a:xfrm xmlns:a="http://schemas.openxmlformats.org/drawingml/2006/main">
          <a:off x="2137431" y="4105511"/>
          <a:ext cx="20784" cy="590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84" h="59002">
              <a:moveTo>
                <a:pt x="18234" y="56364"/>
              </a:moveTo>
              <a:lnTo>
                <a:pt x="0" y="37504"/>
              </a:lnTo>
              <a:lnTo>
                <a:pt x="0" y="0"/>
              </a:lnTo>
              <a:lnTo>
                <a:pt x="18234" y="18861"/>
              </a:lnTo>
              <a:lnTo>
                <a:pt x="20783" y="21498"/>
              </a:lnTo>
              <a:lnTo>
                <a:pt x="20783" y="590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0.67418</cdr:x>
      <cdr:y>0.13783</cdr:y>
    </cdr:from>
    <cdr:to>
      <cdr:x>0.67948</cdr:x>
      <cdr:y>0.1431</cdr:y>
    </cdr:to>
    <cdr:sp macro="" textlink="">
      <cdr:nvSpPr>
        <cdr:cNvPr id="770" name="FracNo 1093 StartRow 7566">
          <a:extLst xmlns:a="http://schemas.openxmlformats.org/drawingml/2006/main">
            <a:ext uri="{FF2B5EF4-FFF2-40B4-BE49-F238E27FC236}">
              <a16:creationId xmlns:a16="http://schemas.microsoft.com/office/drawing/2014/main" id="{09920BE6-C2EE-1780-B904-C4585FB4EC1B}"/>
            </a:ext>
          </a:extLst>
        </cdr:cNvPr>
        <cdr:cNvSpPr/>
      </cdr:nvSpPr>
      <cdr:spPr>
        <a:xfrm xmlns:a="http://schemas.openxmlformats.org/drawingml/2006/main">
          <a:off x="4931740" y="1050294"/>
          <a:ext cx="38800" cy="401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800" h="40133">
              <a:moveTo>
                <a:pt x="14643" y="15147"/>
              </a:moveTo>
              <a:lnTo>
                <a:pt x="0" y="0"/>
              </a:lnTo>
              <a:lnTo>
                <a:pt x="36258" y="0"/>
              </a:lnTo>
              <a:lnTo>
                <a:pt x="37217" y="992"/>
              </a:lnTo>
              <a:lnTo>
                <a:pt x="38799" y="2628"/>
              </a:lnTo>
              <a:lnTo>
                <a:pt x="38799" y="401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0.61837</cdr:x>
      <cdr:y>0.2397</cdr:y>
    </cdr:from>
    <cdr:to>
      <cdr:x>0.62119</cdr:x>
      <cdr:y>0.24742</cdr:y>
    </cdr:to>
    <cdr:sp macro="" textlink="">
      <cdr:nvSpPr>
        <cdr:cNvPr id="771" name="FracNo 955 StartRow 7575">
          <a:extLst xmlns:a="http://schemas.openxmlformats.org/drawingml/2006/main">
            <a:ext uri="{FF2B5EF4-FFF2-40B4-BE49-F238E27FC236}">
              <a16:creationId xmlns:a16="http://schemas.microsoft.com/office/drawing/2014/main" id="{ECCE1E76-7569-CB98-3451-EAD40D6B6B13}"/>
            </a:ext>
          </a:extLst>
        </cdr:cNvPr>
        <cdr:cNvSpPr/>
      </cdr:nvSpPr>
      <cdr:spPr>
        <a:xfrm xmlns:a="http://schemas.openxmlformats.org/drawingml/2006/main">
          <a:off x="4523499" y="1826507"/>
          <a:ext cx="20651" cy="588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51" h="58865">
              <a:moveTo>
                <a:pt x="12913" y="50860"/>
              </a:moveTo>
              <a:lnTo>
                <a:pt x="0" y="37504"/>
              </a:lnTo>
              <a:lnTo>
                <a:pt x="0" y="0"/>
              </a:lnTo>
              <a:lnTo>
                <a:pt x="12913" y="13356"/>
              </a:lnTo>
              <a:lnTo>
                <a:pt x="20650" y="21360"/>
              </a:lnTo>
              <a:lnTo>
                <a:pt x="20650" y="588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0.62154</cdr:x>
      <cdr:y>0.23655</cdr:y>
    </cdr:from>
    <cdr:to>
      <cdr:x>0.62436</cdr:x>
      <cdr:y>0.24428</cdr:y>
    </cdr:to>
    <cdr:sp macro="" textlink="">
      <cdr:nvSpPr>
        <cdr:cNvPr id="772" name="FracNo 470 StartRow 7584">
          <a:extLst xmlns:a="http://schemas.openxmlformats.org/drawingml/2006/main">
            <a:ext uri="{FF2B5EF4-FFF2-40B4-BE49-F238E27FC236}">
              <a16:creationId xmlns:a16="http://schemas.microsoft.com/office/drawing/2014/main" id="{A229DABA-6E15-06CE-8A0D-380B7715AC24}"/>
            </a:ext>
          </a:extLst>
        </cdr:cNvPr>
        <cdr:cNvSpPr/>
      </cdr:nvSpPr>
      <cdr:spPr>
        <a:xfrm xmlns:a="http://schemas.openxmlformats.org/drawingml/2006/main">
          <a:off x="4546664" y="1802546"/>
          <a:ext cx="20652" cy="588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52" h="58865">
              <a:moveTo>
                <a:pt x="14341" y="52337"/>
              </a:moveTo>
              <a:lnTo>
                <a:pt x="0" y="37504"/>
              </a:lnTo>
              <a:lnTo>
                <a:pt x="0" y="0"/>
              </a:lnTo>
              <a:lnTo>
                <a:pt x="14341" y="14833"/>
              </a:lnTo>
              <a:lnTo>
                <a:pt x="20651" y="21361"/>
              </a:lnTo>
              <a:lnTo>
                <a:pt x="20651" y="588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0.15292</cdr:x>
      <cdr:y>0.14058</cdr:y>
    </cdr:from>
    <cdr:to>
      <cdr:x>0.1582</cdr:x>
      <cdr:y>0.14582</cdr:y>
    </cdr:to>
    <cdr:sp macro="" textlink="">
      <cdr:nvSpPr>
        <cdr:cNvPr id="773" name="FracNo 221 StartRow 7593">
          <a:extLst xmlns:a="http://schemas.openxmlformats.org/drawingml/2006/main">
            <a:ext uri="{FF2B5EF4-FFF2-40B4-BE49-F238E27FC236}">
              <a16:creationId xmlns:a16="http://schemas.microsoft.com/office/drawing/2014/main" id="{44E6B842-2B3E-8864-5FDD-3535A3FB0682}"/>
            </a:ext>
          </a:extLst>
        </cdr:cNvPr>
        <cdr:cNvSpPr/>
      </cdr:nvSpPr>
      <cdr:spPr>
        <a:xfrm xmlns:a="http://schemas.openxmlformats.org/drawingml/2006/main">
          <a:off x="1118672" y="1071200"/>
          <a:ext cx="38589" cy="399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89" h="39915">
              <a:moveTo>
                <a:pt x="29107" y="30107"/>
              </a:moveTo>
              <a:lnTo>
                <a:pt x="0" y="0"/>
              </a:lnTo>
              <a:lnTo>
                <a:pt x="36258" y="0"/>
              </a:lnTo>
              <a:lnTo>
                <a:pt x="38016" y="1818"/>
              </a:lnTo>
              <a:lnTo>
                <a:pt x="38588" y="2410"/>
              </a:lnTo>
              <a:lnTo>
                <a:pt x="38588" y="399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0.19706</cdr:x>
      <cdr:y>0.09675</cdr:y>
    </cdr:from>
    <cdr:to>
      <cdr:x>0.20234</cdr:x>
      <cdr:y>0.10199</cdr:y>
    </cdr:to>
    <cdr:sp macro="" textlink="">
      <cdr:nvSpPr>
        <cdr:cNvPr id="774" name="FracNo 1037 StartRow 7602">
          <a:extLst xmlns:a="http://schemas.openxmlformats.org/drawingml/2006/main">
            <a:ext uri="{FF2B5EF4-FFF2-40B4-BE49-F238E27FC236}">
              <a16:creationId xmlns:a16="http://schemas.microsoft.com/office/drawing/2014/main" id="{3D938121-1C0B-A695-3080-9DCB22B4D503}"/>
            </a:ext>
          </a:extLst>
        </cdr:cNvPr>
        <cdr:cNvSpPr/>
      </cdr:nvSpPr>
      <cdr:spPr>
        <a:xfrm xmlns:a="http://schemas.openxmlformats.org/drawingml/2006/main">
          <a:off x="1441533" y="737251"/>
          <a:ext cx="38590" cy="399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90" h="39915">
              <a:moveTo>
                <a:pt x="5013" y="5186"/>
              </a:moveTo>
              <a:lnTo>
                <a:pt x="0" y="0"/>
              </a:lnTo>
              <a:lnTo>
                <a:pt x="36259" y="0"/>
              </a:lnTo>
              <a:lnTo>
                <a:pt x="36561" y="313"/>
              </a:lnTo>
              <a:lnTo>
                <a:pt x="38589" y="2410"/>
              </a:lnTo>
              <a:lnTo>
                <a:pt x="38589" y="399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0.57584</cdr:x>
      <cdr:y>0.91267</cdr:y>
    </cdr:from>
    <cdr:to>
      <cdr:x>0.58109</cdr:x>
      <cdr:y>0.91789</cdr:y>
    </cdr:to>
    <cdr:sp macro="" textlink="">
      <cdr:nvSpPr>
        <cdr:cNvPr id="775" name="FracNo 714 StartRow 7611">
          <a:extLst xmlns:a="http://schemas.openxmlformats.org/drawingml/2006/main">
            <a:ext uri="{FF2B5EF4-FFF2-40B4-BE49-F238E27FC236}">
              <a16:creationId xmlns:a16="http://schemas.microsoft.com/office/drawing/2014/main" id="{D110DAB5-5D24-DDDE-6115-035CDE330585}"/>
            </a:ext>
          </a:extLst>
        </cdr:cNvPr>
        <cdr:cNvSpPr/>
      </cdr:nvSpPr>
      <cdr:spPr>
        <a:xfrm xmlns:a="http://schemas.openxmlformats.org/drawingml/2006/main">
          <a:off x="4212372" y="6954542"/>
          <a:ext cx="38434" cy="39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434" h="39754">
              <a:moveTo>
                <a:pt x="436" y="450"/>
              </a:moveTo>
              <a:lnTo>
                <a:pt x="0" y="0"/>
              </a:lnTo>
              <a:lnTo>
                <a:pt x="36259" y="0"/>
              </a:lnTo>
              <a:lnTo>
                <a:pt x="36283" y="26"/>
              </a:lnTo>
              <a:lnTo>
                <a:pt x="38433" y="2249"/>
              </a:lnTo>
              <a:lnTo>
                <a:pt x="38433" y="39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0.56987</cdr:x>
      <cdr:y>0.9186</cdr:y>
    </cdr:from>
    <cdr:to>
      <cdr:x>0.57512</cdr:x>
      <cdr:y>0.92382</cdr:y>
    </cdr:to>
    <cdr:sp macro="" textlink="">
      <cdr:nvSpPr>
        <cdr:cNvPr id="776" name="FracNo 1045 StartRow 7620">
          <a:extLst xmlns:a="http://schemas.openxmlformats.org/drawingml/2006/main">
            <a:ext uri="{FF2B5EF4-FFF2-40B4-BE49-F238E27FC236}">
              <a16:creationId xmlns:a16="http://schemas.microsoft.com/office/drawing/2014/main" id="{D075017B-117D-C7F1-7082-15624889A3FD}"/>
            </a:ext>
          </a:extLst>
        </cdr:cNvPr>
        <cdr:cNvSpPr/>
      </cdr:nvSpPr>
      <cdr:spPr>
        <a:xfrm xmlns:a="http://schemas.openxmlformats.org/drawingml/2006/main">
          <a:off x="4168694" y="6999720"/>
          <a:ext cx="38434" cy="39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434" h="39754">
              <a:moveTo>
                <a:pt x="30067" y="31099"/>
              </a:moveTo>
              <a:lnTo>
                <a:pt x="0" y="0"/>
              </a:lnTo>
              <a:lnTo>
                <a:pt x="36259" y="0"/>
              </a:lnTo>
              <a:lnTo>
                <a:pt x="37960" y="1760"/>
              </a:lnTo>
              <a:lnTo>
                <a:pt x="38433" y="2249"/>
              </a:lnTo>
              <a:lnTo>
                <a:pt x="38433" y="39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0.59197</cdr:x>
      <cdr:y>0.89665</cdr:y>
    </cdr:from>
    <cdr:to>
      <cdr:x>0.59723</cdr:x>
      <cdr:y>0.90186</cdr:y>
    </cdr:to>
    <cdr:sp macro="" textlink="">
      <cdr:nvSpPr>
        <cdr:cNvPr id="777" name="FracNo 1135 StartRow 7629">
          <a:extLst xmlns:a="http://schemas.openxmlformats.org/drawingml/2006/main">
            <a:ext uri="{FF2B5EF4-FFF2-40B4-BE49-F238E27FC236}">
              <a16:creationId xmlns:a16="http://schemas.microsoft.com/office/drawing/2014/main" id="{EFD1FC89-AFB3-11D8-77A8-4BAB0DF926CE}"/>
            </a:ext>
          </a:extLst>
        </cdr:cNvPr>
        <cdr:cNvSpPr/>
      </cdr:nvSpPr>
      <cdr:spPr>
        <a:xfrm xmlns:a="http://schemas.openxmlformats.org/drawingml/2006/main">
          <a:off x="4330408" y="6832453"/>
          <a:ext cx="38434" cy="39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434" h="39754">
              <a:moveTo>
                <a:pt x="20915" y="21633"/>
              </a:moveTo>
              <a:lnTo>
                <a:pt x="0" y="0"/>
              </a:lnTo>
              <a:lnTo>
                <a:pt x="36258" y="0"/>
              </a:lnTo>
              <a:lnTo>
                <a:pt x="37442" y="1224"/>
              </a:lnTo>
              <a:lnTo>
                <a:pt x="38433" y="2249"/>
              </a:lnTo>
              <a:lnTo>
                <a:pt x="38433" y="39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0.31627</cdr:x>
      <cdr:y>0.52051</cdr:y>
    </cdr:from>
    <cdr:to>
      <cdr:x>0.32147</cdr:x>
      <cdr:y>0.52567</cdr:y>
    </cdr:to>
    <cdr:sp macro="" textlink="">
      <cdr:nvSpPr>
        <cdr:cNvPr id="778" name="FracNo 158 StartRow 7638">
          <a:extLst xmlns:a="http://schemas.openxmlformats.org/drawingml/2006/main">
            <a:ext uri="{FF2B5EF4-FFF2-40B4-BE49-F238E27FC236}">
              <a16:creationId xmlns:a16="http://schemas.microsoft.com/office/drawing/2014/main" id="{1C635779-494A-DB7D-CE0A-EB67DBF32CB3}"/>
            </a:ext>
          </a:extLst>
        </cdr:cNvPr>
        <cdr:cNvSpPr/>
      </cdr:nvSpPr>
      <cdr:spPr>
        <a:xfrm xmlns:a="http://schemas.openxmlformats.org/drawingml/2006/main">
          <a:off x="2313568" y="3966320"/>
          <a:ext cx="38013" cy="393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013" h="39318">
              <a:moveTo>
                <a:pt x="1454" y="39008"/>
              </a:moveTo>
              <a:lnTo>
                <a:pt x="0" y="37504"/>
              </a:lnTo>
              <a:lnTo>
                <a:pt x="0" y="0"/>
              </a:lnTo>
              <a:lnTo>
                <a:pt x="31529" y="32612"/>
              </a:lnTo>
              <a:lnTo>
                <a:pt x="38012" y="39317"/>
              </a:lnTo>
              <a:lnTo>
                <a:pt x="1753" y="393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0.33778</cdr:x>
      <cdr:y>0.49915</cdr:y>
    </cdr:from>
    <cdr:to>
      <cdr:x>0.34298</cdr:x>
      <cdr:y>0.50431</cdr:y>
    </cdr:to>
    <cdr:sp macro="" textlink="">
      <cdr:nvSpPr>
        <cdr:cNvPr id="779" name="FracNo 149 StartRow 7647">
          <a:extLst xmlns:a="http://schemas.openxmlformats.org/drawingml/2006/main">
            <a:ext uri="{FF2B5EF4-FFF2-40B4-BE49-F238E27FC236}">
              <a16:creationId xmlns:a16="http://schemas.microsoft.com/office/drawing/2014/main" id="{4242D743-B832-730A-2F7C-BEF707309690}"/>
            </a:ext>
          </a:extLst>
        </cdr:cNvPr>
        <cdr:cNvSpPr/>
      </cdr:nvSpPr>
      <cdr:spPr>
        <a:xfrm xmlns:a="http://schemas.openxmlformats.org/drawingml/2006/main">
          <a:off x="2470954" y="3803528"/>
          <a:ext cx="38013" cy="393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013" h="39319">
              <a:moveTo>
                <a:pt x="36374" y="120"/>
              </a:moveTo>
              <a:lnTo>
                <a:pt x="36259" y="0"/>
              </a:lnTo>
              <a:lnTo>
                <a:pt x="0" y="0"/>
              </a:lnTo>
              <a:lnTo>
                <a:pt x="2500" y="2586"/>
              </a:lnTo>
              <a:lnTo>
                <a:pt x="38012" y="39318"/>
              </a:lnTo>
              <a:lnTo>
                <a:pt x="38012" y="18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0.21087</cdr:x>
      <cdr:y>0.62517</cdr:y>
    </cdr:from>
    <cdr:to>
      <cdr:x>0.21607</cdr:x>
      <cdr:y>0.63033</cdr:y>
    </cdr:to>
    <cdr:sp macro="" textlink="">
      <cdr:nvSpPr>
        <cdr:cNvPr id="780" name="FracNo 156 StartRow 7656">
          <a:extLst xmlns:a="http://schemas.openxmlformats.org/drawingml/2006/main">
            <a:ext uri="{FF2B5EF4-FFF2-40B4-BE49-F238E27FC236}">
              <a16:creationId xmlns:a16="http://schemas.microsoft.com/office/drawing/2014/main" id="{A923348A-EB91-92A0-21AD-6C152DF7EA3B}"/>
            </a:ext>
          </a:extLst>
        </cdr:cNvPr>
        <cdr:cNvSpPr/>
      </cdr:nvSpPr>
      <cdr:spPr>
        <a:xfrm xmlns:a="http://schemas.openxmlformats.org/drawingml/2006/main">
          <a:off x="1542563" y="4763802"/>
          <a:ext cx="38013" cy="393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013" h="39318">
              <a:moveTo>
                <a:pt x="37852" y="1648"/>
              </a:moveTo>
              <a:lnTo>
                <a:pt x="36259" y="0"/>
              </a:lnTo>
              <a:lnTo>
                <a:pt x="0" y="0"/>
              </a:lnTo>
              <a:lnTo>
                <a:pt x="34539" y="35724"/>
              </a:lnTo>
              <a:lnTo>
                <a:pt x="38012" y="39317"/>
              </a:lnTo>
              <a:lnTo>
                <a:pt x="38012" y="18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0.68019</cdr:x>
      <cdr:y>0.15915</cdr:y>
    </cdr:from>
    <cdr:to>
      <cdr:x>0.68539</cdr:x>
      <cdr:y>0.16431</cdr:y>
    </cdr:to>
    <cdr:sp macro="" textlink="">
      <cdr:nvSpPr>
        <cdr:cNvPr id="781" name="FracNo 1124 StartRow 7665">
          <a:extLst xmlns:a="http://schemas.openxmlformats.org/drawingml/2006/main">
            <a:ext uri="{FF2B5EF4-FFF2-40B4-BE49-F238E27FC236}">
              <a16:creationId xmlns:a16="http://schemas.microsoft.com/office/drawing/2014/main" id="{EA887899-DBD2-AC63-31C3-9B37E73B78ED}"/>
            </a:ext>
          </a:extLst>
        </cdr:cNvPr>
        <cdr:cNvSpPr/>
      </cdr:nvSpPr>
      <cdr:spPr>
        <a:xfrm xmlns:a="http://schemas.openxmlformats.org/drawingml/2006/main">
          <a:off x="4975723" y="1212741"/>
          <a:ext cx="38013" cy="393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013" h="39318">
              <a:moveTo>
                <a:pt x="1079" y="38620"/>
              </a:moveTo>
              <a:lnTo>
                <a:pt x="0" y="37503"/>
              </a:lnTo>
              <a:lnTo>
                <a:pt x="0" y="0"/>
              </a:lnTo>
              <a:lnTo>
                <a:pt x="23399" y="24202"/>
              </a:lnTo>
              <a:lnTo>
                <a:pt x="38012" y="39317"/>
              </a:lnTo>
              <a:lnTo>
                <a:pt x="1753" y="393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0.5798</cdr:x>
      <cdr:y>0.77347</cdr:y>
    </cdr:from>
    <cdr:to>
      <cdr:x>0.58745</cdr:x>
      <cdr:y>0.77615</cdr:y>
    </cdr:to>
    <cdr:sp macro="" textlink="">
      <cdr:nvSpPr>
        <cdr:cNvPr id="782" name="FracNo 701 StartRow 7674">
          <a:extLst xmlns:a="http://schemas.openxmlformats.org/drawingml/2006/main">
            <a:ext uri="{FF2B5EF4-FFF2-40B4-BE49-F238E27FC236}">
              <a16:creationId xmlns:a16="http://schemas.microsoft.com/office/drawing/2014/main" id="{52DF6877-C86D-A809-70B3-FFA5AD976A60}"/>
            </a:ext>
          </a:extLst>
        </cdr:cNvPr>
        <cdr:cNvSpPr/>
      </cdr:nvSpPr>
      <cdr:spPr>
        <a:xfrm xmlns:a="http://schemas.openxmlformats.org/drawingml/2006/main">
          <a:off x="4241371" y="5893862"/>
          <a:ext cx="55953" cy="203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953" h="20371">
              <a:moveTo>
                <a:pt x="46291" y="10377"/>
              </a:moveTo>
              <a:lnTo>
                <a:pt x="36258" y="0"/>
              </a:lnTo>
              <a:lnTo>
                <a:pt x="0" y="0"/>
              </a:lnTo>
              <a:lnTo>
                <a:pt x="10032" y="10377"/>
              </a:lnTo>
              <a:lnTo>
                <a:pt x="19693" y="20370"/>
              </a:lnTo>
              <a:lnTo>
                <a:pt x="55952" y="203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0.69602</cdr:x>
      <cdr:y>0.65807</cdr:y>
    </cdr:from>
    <cdr:to>
      <cdr:x>0.70367</cdr:x>
      <cdr:y>0.66075</cdr:y>
    </cdr:to>
    <cdr:sp macro="" textlink="">
      <cdr:nvSpPr>
        <cdr:cNvPr id="783" name="FracNo 1047 StartRow 7683">
          <a:extLst xmlns:a="http://schemas.openxmlformats.org/drawingml/2006/main">
            <a:ext uri="{FF2B5EF4-FFF2-40B4-BE49-F238E27FC236}">
              <a16:creationId xmlns:a16="http://schemas.microsoft.com/office/drawing/2014/main" id="{D0D04109-0C0A-9128-D1DE-9339DFC59D44}"/>
            </a:ext>
          </a:extLst>
        </cdr:cNvPr>
        <cdr:cNvSpPr/>
      </cdr:nvSpPr>
      <cdr:spPr>
        <a:xfrm xmlns:a="http://schemas.openxmlformats.org/drawingml/2006/main">
          <a:off x="5091527" y="5014510"/>
          <a:ext cx="55952" cy="203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952" h="20370">
              <a:moveTo>
                <a:pt x="55485" y="19887"/>
              </a:moveTo>
              <a:lnTo>
                <a:pt x="36258" y="0"/>
              </a:lnTo>
              <a:lnTo>
                <a:pt x="0" y="0"/>
              </a:lnTo>
              <a:lnTo>
                <a:pt x="19227" y="19887"/>
              </a:lnTo>
              <a:lnTo>
                <a:pt x="19692" y="20369"/>
              </a:lnTo>
              <a:lnTo>
                <a:pt x="55951" y="203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0.37259</cdr:x>
      <cdr:y>0.3038</cdr:y>
    </cdr:from>
    <cdr:to>
      <cdr:x>0.37894</cdr:x>
      <cdr:y>0.30764</cdr:y>
    </cdr:to>
    <cdr:sp macro="" textlink="">
      <cdr:nvSpPr>
        <cdr:cNvPr id="784" name="FracNo 240 StartRow 7692">
          <a:extLst xmlns:a="http://schemas.openxmlformats.org/drawingml/2006/main">
            <a:ext uri="{FF2B5EF4-FFF2-40B4-BE49-F238E27FC236}">
              <a16:creationId xmlns:a16="http://schemas.microsoft.com/office/drawing/2014/main" id="{E31E65F0-8438-228F-152A-9747D775ED1B}"/>
            </a:ext>
          </a:extLst>
        </cdr:cNvPr>
        <cdr:cNvSpPr/>
      </cdr:nvSpPr>
      <cdr:spPr>
        <a:xfrm xmlns:a="http://schemas.openxmlformats.org/drawingml/2006/main">
          <a:off x="2725547" y="2314955"/>
          <a:ext cx="46453" cy="29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453" h="29297">
              <a:moveTo>
                <a:pt x="2175" y="2250"/>
              </a:moveTo>
              <a:lnTo>
                <a:pt x="0" y="0"/>
              </a:lnTo>
              <a:lnTo>
                <a:pt x="22550" y="0"/>
              </a:lnTo>
              <a:lnTo>
                <a:pt x="46452" y="10544"/>
              </a:lnTo>
              <a:lnTo>
                <a:pt x="28322" y="29296"/>
              </a:lnTo>
              <a:lnTo>
                <a:pt x="11275" y="116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0.81565</cdr:x>
      <cdr:y>0.62071</cdr:y>
    </cdr:from>
    <cdr:to>
      <cdr:x>0.82197</cdr:x>
      <cdr:y>0.62453</cdr:y>
    </cdr:to>
    <cdr:sp macro="" textlink="">
      <cdr:nvSpPr>
        <cdr:cNvPr id="785" name="FracNo 632 StartRow 7701">
          <a:extLst xmlns:a="http://schemas.openxmlformats.org/drawingml/2006/main">
            <a:ext uri="{FF2B5EF4-FFF2-40B4-BE49-F238E27FC236}">
              <a16:creationId xmlns:a16="http://schemas.microsoft.com/office/drawing/2014/main" id="{FE719E4B-5DDE-92AB-9F9B-43B9B8044780}"/>
            </a:ext>
          </a:extLst>
        </cdr:cNvPr>
        <cdr:cNvSpPr/>
      </cdr:nvSpPr>
      <cdr:spPr>
        <a:xfrm xmlns:a="http://schemas.openxmlformats.org/drawingml/2006/main">
          <a:off x="5966676" y="4729831"/>
          <a:ext cx="46223" cy="290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223" h="29058">
              <a:moveTo>
                <a:pt x="7320" y="26322"/>
              </a:moveTo>
              <a:lnTo>
                <a:pt x="0" y="18752"/>
              </a:lnTo>
              <a:lnTo>
                <a:pt x="18130" y="0"/>
              </a:lnTo>
              <a:lnTo>
                <a:pt x="38766" y="21345"/>
              </a:lnTo>
              <a:lnTo>
                <a:pt x="46222" y="29057"/>
              </a:lnTo>
              <a:lnTo>
                <a:pt x="9964" y="290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0.24049</cdr:x>
      <cdr:y>0.63158</cdr:y>
    </cdr:from>
    <cdr:to>
      <cdr:x>0.24422</cdr:x>
      <cdr:y>0.63775</cdr:y>
    </cdr:to>
    <cdr:sp macro="" textlink="">
      <cdr:nvSpPr>
        <cdr:cNvPr id="786" name="FracNo 859 StartRow 7710">
          <a:extLst xmlns:a="http://schemas.openxmlformats.org/drawingml/2006/main">
            <a:ext uri="{FF2B5EF4-FFF2-40B4-BE49-F238E27FC236}">
              <a16:creationId xmlns:a16="http://schemas.microsoft.com/office/drawing/2014/main" id="{5357ED89-24CF-0465-4946-27EBF4DEBC25}"/>
            </a:ext>
          </a:extLst>
        </cdr:cNvPr>
        <cdr:cNvSpPr/>
      </cdr:nvSpPr>
      <cdr:spPr>
        <a:xfrm xmlns:a="http://schemas.openxmlformats.org/drawingml/2006/main">
          <a:off x="1759202" y="4812676"/>
          <a:ext cx="27292" cy="469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92" h="46981">
              <a:moveTo>
                <a:pt x="27291" y="28228"/>
              </a:moveTo>
              <a:lnTo>
                <a:pt x="0" y="0"/>
              </a:lnTo>
              <a:lnTo>
                <a:pt x="0" y="37504"/>
              </a:lnTo>
              <a:lnTo>
                <a:pt x="9162" y="4698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0.48807</cdr:x>
      <cdr:y>0.45772</cdr:y>
    </cdr:from>
    <cdr:to>
      <cdr:x>0.49302</cdr:x>
      <cdr:y>0.46263</cdr:y>
    </cdr:to>
    <cdr:sp macro="" textlink="">
      <cdr:nvSpPr>
        <cdr:cNvPr id="787" name="FracNo 964 StartRow 7718">
          <a:extLst xmlns:a="http://schemas.openxmlformats.org/drawingml/2006/main">
            <a:ext uri="{FF2B5EF4-FFF2-40B4-BE49-F238E27FC236}">
              <a16:creationId xmlns:a16="http://schemas.microsoft.com/office/drawing/2014/main" id="{91F62199-8C31-F357-9044-CA0E995E67BB}"/>
            </a:ext>
          </a:extLst>
        </cdr:cNvPr>
        <cdr:cNvSpPr/>
      </cdr:nvSpPr>
      <cdr:spPr>
        <a:xfrm xmlns:a="http://schemas.openxmlformats.org/drawingml/2006/main">
          <a:off x="3570359" y="3487833"/>
          <a:ext cx="36173" cy="374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73" h="37414">
              <a:moveTo>
                <a:pt x="25710" y="26592"/>
              </a:moveTo>
              <a:lnTo>
                <a:pt x="0" y="0"/>
              </a:lnTo>
              <a:lnTo>
                <a:pt x="0" y="37413"/>
              </a:lnTo>
              <a:lnTo>
                <a:pt x="36172" y="374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0.81185</cdr:x>
      <cdr:y>0.62024</cdr:y>
    </cdr:from>
    <cdr:to>
      <cdr:x>0.81771</cdr:x>
      <cdr:y>0.6236</cdr:y>
    </cdr:to>
    <cdr:sp macro="" textlink="">
      <cdr:nvSpPr>
        <cdr:cNvPr id="788" name="FracNo 1071 StartRow 7725">
          <a:extLst xmlns:a="http://schemas.openxmlformats.org/drawingml/2006/main">
            <a:ext uri="{FF2B5EF4-FFF2-40B4-BE49-F238E27FC236}">
              <a16:creationId xmlns:a16="http://schemas.microsoft.com/office/drawing/2014/main" id="{F0D3A276-903B-8879-7108-758926531DF2}"/>
            </a:ext>
          </a:extLst>
        </cdr:cNvPr>
        <cdr:cNvSpPr/>
      </cdr:nvSpPr>
      <cdr:spPr>
        <a:xfrm xmlns:a="http://schemas.openxmlformats.org/drawingml/2006/main">
          <a:off x="5938863" y="4726245"/>
          <a:ext cx="42836" cy="255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36" h="25554">
              <a:moveTo>
                <a:pt x="1481" y="1531"/>
              </a:moveTo>
              <a:lnTo>
                <a:pt x="0" y="0"/>
              </a:lnTo>
              <a:lnTo>
                <a:pt x="36259" y="0"/>
              </a:lnTo>
              <a:lnTo>
                <a:pt x="36653" y="407"/>
              </a:lnTo>
              <a:lnTo>
                <a:pt x="42835" y="6801"/>
              </a:lnTo>
              <a:lnTo>
                <a:pt x="24705" y="255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0.28968</cdr:x>
      <cdr:y>0.52904</cdr:y>
    </cdr:from>
    <cdr:to>
      <cdr:x>0.29216</cdr:x>
      <cdr:y>0.53397</cdr:y>
    </cdr:to>
    <cdr:sp macro="" textlink="">
      <cdr:nvSpPr>
        <cdr:cNvPr id="789" name="FracNo 978 StartRow 7743">
          <a:extLst xmlns:a="http://schemas.openxmlformats.org/drawingml/2006/main">
            <a:ext uri="{FF2B5EF4-FFF2-40B4-BE49-F238E27FC236}">
              <a16:creationId xmlns:a16="http://schemas.microsoft.com/office/drawing/2014/main" id="{17B9942D-21C5-CE37-B01F-6F4CB374BC6B}"/>
            </a:ext>
          </a:extLst>
        </cdr:cNvPr>
        <cdr:cNvSpPr/>
      </cdr:nvSpPr>
      <cdr:spPr>
        <a:xfrm xmlns:a="http://schemas.openxmlformats.org/drawingml/2006/main">
          <a:off x="2119035" y="4031275"/>
          <a:ext cx="18176" cy="375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76" h="37552">
              <a:moveTo>
                <a:pt x="46" y="37551"/>
              </a:moveTo>
              <a:lnTo>
                <a:pt x="0" y="37504"/>
              </a:lnTo>
              <a:lnTo>
                <a:pt x="0" y="0"/>
              </a:lnTo>
              <a:lnTo>
                <a:pt x="18175" y="18799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228"/>
  <sheetViews>
    <sheetView workbookViewId="0">
      <pane xSplit="1" ySplit="2" topLeftCell="BD3" activePane="bottomRight" state="frozen"/>
      <selection pane="topRight" activeCell="B1" sqref="B1"/>
      <selection pane="bottomLeft" activeCell="A3" sqref="A3"/>
      <selection pane="bottomRight" sqref="A1:XFD1048576"/>
    </sheetView>
  </sheetViews>
  <sheetFormatPr defaultRowHeight="15" x14ac:dyDescent="0.25"/>
  <sheetData>
    <row r="1" spans="1:149" x14ac:dyDescent="0.25">
      <c r="A1" t="s">
        <v>0</v>
      </c>
      <c r="B1" t="s">
        <v>65</v>
      </c>
      <c r="C1" t="s">
        <v>66</v>
      </c>
      <c r="D1" t="s">
        <v>44</v>
      </c>
      <c r="E1" t="s">
        <v>45</v>
      </c>
      <c r="F1" t="s">
        <v>46</v>
      </c>
      <c r="G1" t="s">
        <v>47</v>
      </c>
      <c r="H1" t="s">
        <v>68</v>
      </c>
      <c r="V1" t="s">
        <v>69</v>
      </c>
      <c r="AJ1" t="s">
        <v>70</v>
      </c>
      <c r="AX1" t="s">
        <v>71</v>
      </c>
      <c r="BL1" t="s">
        <v>48</v>
      </c>
      <c r="BM1" t="s">
        <v>49</v>
      </c>
      <c r="BN1" t="s">
        <v>50</v>
      </c>
      <c r="BO1" t="s">
        <v>51</v>
      </c>
      <c r="BP1" t="s">
        <v>52</v>
      </c>
      <c r="BQ1" t="s">
        <v>53</v>
      </c>
      <c r="BR1" t="s">
        <v>54</v>
      </c>
      <c r="BS1" t="s">
        <v>55</v>
      </c>
    </row>
    <row r="2" spans="1:149" x14ac:dyDescent="0.25">
      <c r="H2" t="s">
        <v>43</v>
      </c>
      <c r="I2" t="s">
        <v>1</v>
      </c>
      <c r="J2" t="s">
        <v>72</v>
      </c>
      <c r="K2" t="s">
        <v>67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41</v>
      </c>
      <c r="T2" t="s">
        <v>42</v>
      </c>
      <c r="U2" t="s">
        <v>73</v>
      </c>
      <c r="V2" t="s">
        <v>43</v>
      </c>
      <c r="W2" t="s">
        <v>1</v>
      </c>
      <c r="X2" t="s">
        <v>72</v>
      </c>
      <c r="Y2" t="s">
        <v>67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41</v>
      </c>
      <c r="AH2" t="s">
        <v>42</v>
      </c>
      <c r="AI2" t="s">
        <v>73</v>
      </c>
      <c r="AJ2" t="s">
        <v>43</v>
      </c>
      <c r="AK2" t="s">
        <v>1</v>
      </c>
      <c r="AL2" t="s">
        <v>72</v>
      </c>
      <c r="AM2" t="s">
        <v>67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41</v>
      </c>
      <c r="AV2" t="s">
        <v>42</v>
      </c>
      <c r="AW2" t="s">
        <v>73</v>
      </c>
      <c r="AX2" t="s">
        <v>43</v>
      </c>
      <c r="AY2" t="s">
        <v>1</v>
      </c>
      <c r="AZ2" t="s">
        <v>72</v>
      </c>
      <c r="BA2" t="s">
        <v>67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41</v>
      </c>
      <c r="BJ2" t="s">
        <v>42</v>
      </c>
      <c r="BK2" t="s">
        <v>73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t="s">
        <v>74</v>
      </c>
      <c r="I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1</v>
      </c>
      <c r="V3" t="s">
        <v>74</v>
      </c>
      <c r="W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1</v>
      </c>
      <c r="AJ3" t="s">
        <v>74</v>
      </c>
      <c r="AK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 t="s">
        <v>74</v>
      </c>
      <c r="AY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</row>
    <row r="4" spans="1:149" x14ac:dyDescent="0.25">
      <c r="A4">
        <v>1</v>
      </c>
      <c r="B4">
        <v>5.45490904225873E-2</v>
      </c>
      <c r="C4">
        <v>5.45490904225873E-2</v>
      </c>
      <c r="D4" s="1">
        <v>6.7634095774127097E-5</v>
      </c>
      <c r="E4">
        <v>1.7673227661930201E-4</v>
      </c>
      <c r="F4">
        <v>-5.4549090422587303E-4</v>
      </c>
      <c r="G4">
        <v>-4.3639272338069803E-4</v>
      </c>
      <c r="H4" t="s">
        <v>74</v>
      </c>
      <c r="I4">
        <v>0</v>
      </c>
      <c r="J4" t="s">
        <v>75</v>
      </c>
      <c r="K4">
        <v>3.14159265358979</v>
      </c>
      <c r="L4">
        <v>0.99200000000000099</v>
      </c>
      <c r="M4">
        <v>0</v>
      </c>
      <c r="N4">
        <v>5.82453462424753E-2</v>
      </c>
      <c r="O4">
        <v>0</v>
      </c>
      <c r="P4">
        <v>1.6E-2</v>
      </c>
      <c r="Q4">
        <v>0</v>
      </c>
      <c r="R4">
        <v>0</v>
      </c>
      <c r="S4">
        <v>0</v>
      </c>
      <c r="T4">
        <v>0</v>
      </c>
      <c r="U4">
        <v>1</v>
      </c>
      <c r="V4" t="s">
        <v>74</v>
      </c>
      <c r="W4">
        <v>0</v>
      </c>
      <c r="X4" t="s">
        <v>76</v>
      </c>
      <c r="Y4">
        <v>-1.5707963267949001</v>
      </c>
      <c r="Z4">
        <v>0.99200000000000099</v>
      </c>
      <c r="AA4">
        <v>0</v>
      </c>
      <c r="AB4">
        <v>5.82453462424753E-2</v>
      </c>
      <c r="AC4">
        <v>0</v>
      </c>
      <c r="AD4">
        <v>1.6E-2</v>
      </c>
      <c r="AE4">
        <v>0</v>
      </c>
      <c r="AF4">
        <v>0</v>
      </c>
      <c r="AG4">
        <v>0</v>
      </c>
      <c r="AH4">
        <v>0</v>
      </c>
      <c r="AI4">
        <v>1</v>
      </c>
      <c r="AJ4" t="s">
        <v>74</v>
      </c>
      <c r="AK4">
        <v>0</v>
      </c>
      <c r="AL4" t="s">
        <v>77</v>
      </c>
      <c r="AM4">
        <v>0</v>
      </c>
      <c r="AN4">
        <v>0.99200000000000099</v>
      </c>
      <c r="AO4">
        <v>0</v>
      </c>
      <c r="AP4">
        <v>5.82453462424753E-2</v>
      </c>
      <c r="AQ4">
        <v>0</v>
      </c>
      <c r="AR4">
        <v>1.6E-2</v>
      </c>
      <c r="AS4">
        <v>0</v>
      </c>
      <c r="AT4">
        <v>0</v>
      </c>
      <c r="AU4">
        <v>0</v>
      </c>
      <c r="AV4">
        <v>0</v>
      </c>
      <c r="AW4">
        <v>1</v>
      </c>
      <c r="AX4" t="s">
        <v>74</v>
      </c>
      <c r="AY4">
        <v>0</v>
      </c>
      <c r="AZ4" t="s">
        <v>76</v>
      </c>
      <c r="BA4">
        <v>-1.5707963267949001</v>
      </c>
      <c r="BB4">
        <v>0.99200000000000099</v>
      </c>
      <c r="BC4">
        <v>0</v>
      </c>
      <c r="BD4">
        <v>5.82453462424753E-2</v>
      </c>
      <c r="BE4">
        <v>0</v>
      </c>
      <c r="BF4">
        <v>1.6E-2</v>
      </c>
      <c r="BG4">
        <v>0</v>
      </c>
      <c r="BH4">
        <v>0</v>
      </c>
      <c r="BI4">
        <v>0</v>
      </c>
      <c r="BJ4">
        <v>0</v>
      </c>
      <c r="BK4">
        <v>1</v>
      </c>
      <c r="BL4">
        <v>1.16490692484951E-4</v>
      </c>
      <c r="BM4">
        <v>0</v>
      </c>
      <c r="BN4" s="1">
        <v>4.3481320615740699E-7</v>
      </c>
      <c r="BO4">
        <v>0</v>
      </c>
      <c r="BP4">
        <v>0</v>
      </c>
      <c r="BQ4">
        <v>0</v>
      </c>
      <c r="BR4" s="1">
        <v>6.4019917135681105E-5</v>
      </c>
      <c r="BS4">
        <v>0</v>
      </c>
    </row>
    <row r="5" spans="1:149" x14ac:dyDescent="0.25">
      <c r="A5">
        <v>2</v>
      </c>
      <c r="B5">
        <v>1.0715267750291E-2</v>
      </c>
      <c r="C5">
        <v>6.5264358172878303E-2</v>
      </c>
      <c r="D5" s="1">
        <v>-1.02931762581401E-5</v>
      </c>
      <c r="E5">
        <v>1.14390458993488E-4</v>
      </c>
      <c r="F5">
        <v>-6.5264358172878304E-4</v>
      </c>
      <c r="G5">
        <v>-5.2211486538302604E-4</v>
      </c>
      <c r="H5" t="s">
        <v>74</v>
      </c>
      <c r="I5">
        <v>0</v>
      </c>
      <c r="J5" t="s">
        <v>75</v>
      </c>
      <c r="K5">
        <v>3.14159265358979</v>
      </c>
      <c r="L5">
        <v>0.99200000000000099</v>
      </c>
      <c r="M5">
        <v>0</v>
      </c>
      <c r="N5">
        <v>5.82453462424753E-2</v>
      </c>
      <c r="O5">
        <v>0</v>
      </c>
      <c r="P5">
        <v>1.6E-2</v>
      </c>
      <c r="Q5">
        <v>0</v>
      </c>
      <c r="R5">
        <v>0</v>
      </c>
      <c r="S5">
        <v>0</v>
      </c>
      <c r="T5">
        <v>0</v>
      </c>
      <c r="U5">
        <v>1</v>
      </c>
      <c r="V5" t="s">
        <v>78</v>
      </c>
      <c r="W5">
        <v>806969.43871211295</v>
      </c>
      <c r="X5" t="s">
        <v>76</v>
      </c>
      <c r="Y5">
        <v>-1.5707963267949001</v>
      </c>
      <c r="Z5">
        <v>0.99200000000000099</v>
      </c>
      <c r="AA5">
        <v>0</v>
      </c>
      <c r="AB5">
        <v>5.82453462424753E-2</v>
      </c>
      <c r="AC5">
        <v>0</v>
      </c>
      <c r="AD5">
        <v>1.6E-2</v>
      </c>
      <c r="AE5">
        <v>0</v>
      </c>
      <c r="AF5">
        <v>0</v>
      </c>
      <c r="AG5">
        <v>0</v>
      </c>
      <c r="AH5">
        <v>0</v>
      </c>
      <c r="AI5">
        <v>1</v>
      </c>
      <c r="AJ5" t="s">
        <v>74</v>
      </c>
      <c r="AK5">
        <v>0</v>
      </c>
      <c r="AL5" t="s">
        <v>77</v>
      </c>
      <c r="AM5">
        <v>0</v>
      </c>
      <c r="AN5">
        <v>0.99200000000000099</v>
      </c>
      <c r="AO5">
        <v>0</v>
      </c>
      <c r="AP5">
        <v>5.82453462424753E-2</v>
      </c>
      <c r="AQ5">
        <v>0</v>
      </c>
      <c r="AR5">
        <v>1.6E-2</v>
      </c>
      <c r="AS5">
        <v>0</v>
      </c>
      <c r="AT5">
        <v>0</v>
      </c>
      <c r="AU5">
        <v>0</v>
      </c>
      <c r="AV5">
        <v>0</v>
      </c>
      <c r="AW5">
        <v>1</v>
      </c>
      <c r="AX5" t="s">
        <v>74</v>
      </c>
      <c r="AY5">
        <v>0</v>
      </c>
      <c r="AZ5" t="s">
        <v>76</v>
      </c>
      <c r="BA5">
        <v>-1.5707963267949001</v>
      </c>
      <c r="BB5">
        <v>0.99200000000000099</v>
      </c>
      <c r="BC5">
        <v>0</v>
      </c>
      <c r="BD5">
        <v>5.82453462424753E-2</v>
      </c>
      <c r="BE5">
        <v>0</v>
      </c>
      <c r="BF5">
        <v>1.6E-2</v>
      </c>
      <c r="BG5">
        <v>0</v>
      </c>
      <c r="BH5">
        <v>0</v>
      </c>
      <c r="BI5">
        <v>0</v>
      </c>
      <c r="BJ5">
        <v>0</v>
      </c>
      <c r="BK5">
        <v>1</v>
      </c>
      <c r="BL5">
        <v>1.16490692484951E-4</v>
      </c>
      <c r="BM5">
        <v>0</v>
      </c>
      <c r="BN5" s="1">
        <v>4.3481320615740699E-7</v>
      </c>
      <c r="BO5">
        <v>0</v>
      </c>
      <c r="BP5">
        <v>0</v>
      </c>
      <c r="BQ5">
        <v>0</v>
      </c>
      <c r="BR5" s="1">
        <v>6.54266996728435E-5</v>
      </c>
      <c r="BS5">
        <v>0</v>
      </c>
    </row>
    <row r="6" spans="1:149" x14ac:dyDescent="0.25">
      <c r="A6">
        <v>3</v>
      </c>
      <c r="B6">
        <v>3.03905700204001E-2</v>
      </c>
      <c r="C6">
        <v>9.5654928193278393E-2</v>
      </c>
      <c r="D6">
        <v>-2.19468707774325E-4</v>
      </c>
      <c r="E6" s="1">
        <v>-5.2949966219460301E-5</v>
      </c>
      <c r="F6">
        <v>-9.5654928193278398E-4</v>
      </c>
      <c r="G6">
        <v>-7.6523942554622697E-4</v>
      </c>
      <c r="H6" t="s">
        <v>74</v>
      </c>
      <c r="I6">
        <v>0</v>
      </c>
      <c r="J6" t="s">
        <v>75</v>
      </c>
      <c r="K6">
        <v>3.14159265358979</v>
      </c>
      <c r="L6">
        <v>0.98780023235872405</v>
      </c>
      <c r="M6">
        <v>0</v>
      </c>
      <c r="N6">
        <v>5.79987566049711E-2</v>
      </c>
      <c r="O6">
        <v>0</v>
      </c>
      <c r="P6">
        <v>1.6E-2</v>
      </c>
      <c r="Q6">
        <v>0</v>
      </c>
      <c r="R6">
        <v>0</v>
      </c>
      <c r="S6">
        <v>0</v>
      </c>
      <c r="T6">
        <v>0</v>
      </c>
      <c r="U6">
        <v>1</v>
      </c>
      <c r="V6" t="s">
        <v>78</v>
      </c>
      <c r="W6">
        <v>2973069.4042033898</v>
      </c>
      <c r="X6" t="s">
        <v>76</v>
      </c>
      <c r="Y6">
        <v>-1.5707963267949001</v>
      </c>
      <c r="Z6">
        <v>0.98587804860613304</v>
      </c>
      <c r="AA6">
        <v>0</v>
      </c>
      <c r="AB6">
        <v>5.6791588088405301E-2</v>
      </c>
      <c r="AC6" s="1">
        <v>3.15041770907971E-5</v>
      </c>
      <c r="AD6">
        <v>1.9682027515565699E-2</v>
      </c>
      <c r="AE6">
        <v>1.69363686863929E-4</v>
      </c>
      <c r="AF6">
        <v>0</v>
      </c>
      <c r="AG6">
        <v>6.3089216792920804E-3</v>
      </c>
      <c r="AH6" s="1">
        <v>2.7913196219131901E-5</v>
      </c>
      <c r="AI6">
        <v>0.99576636326484202</v>
      </c>
      <c r="AJ6" t="s">
        <v>74</v>
      </c>
      <c r="AK6">
        <v>0</v>
      </c>
      <c r="AL6" t="s">
        <v>77</v>
      </c>
      <c r="AM6">
        <v>0</v>
      </c>
      <c r="AN6">
        <v>0.99200000000000099</v>
      </c>
      <c r="AO6">
        <v>0</v>
      </c>
      <c r="AP6">
        <v>5.82453462424753E-2</v>
      </c>
      <c r="AQ6">
        <v>0</v>
      </c>
      <c r="AR6">
        <v>1.6E-2</v>
      </c>
      <c r="AS6">
        <v>0</v>
      </c>
      <c r="AT6">
        <v>0</v>
      </c>
      <c r="AU6">
        <v>0</v>
      </c>
      <c r="AV6">
        <v>0</v>
      </c>
      <c r="AW6">
        <v>1</v>
      </c>
      <c r="AX6" t="s">
        <v>78</v>
      </c>
      <c r="AY6">
        <v>1895337.46980487</v>
      </c>
      <c r="AZ6" t="s">
        <v>76</v>
      </c>
      <c r="BA6">
        <v>-1.5707963267949001</v>
      </c>
      <c r="BB6">
        <v>0.99200000000000099</v>
      </c>
      <c r="BC6">
        <v>0</v>
      </c>
      <c r="BD6">
        <v>5.82453462424753E-2</v>
      </c>
      <c r="BE6">
        <v>0</v>
      </c>
      <c r="BF6">
        <v>1.6E-2</v>
      </c>
      <c r="BG6">
        <v>0</v>
      </c>
      <c r="BH6">
        <v>0</v>
      </c>
      <c r="BI6">
        <v>0</v>
      </c>
      <c r="BJ6">
        <v>0</v>
      </c>
      <c r="BK6">
        <v>1</v>
      </c>
      <c r="BL6">
        <v>1.15656270677709E-4</v>
      </c>
      <c r="BM6" s="1">
        <v>3.1684174377556102E-6</v>
      </c>
      <c r="BN6" s="1">
        <v>4.2862994276221699E-7</v>
      </c>
      <c r="BO6" s="1">
        <v>4.9769384729794002E-8</v>
      </c>
      <c r="BP6">
        <v>0</v>
      </c>
      <c r="BQ6">
        <v>0</v>
      </c>
      <c r="BR6" s="1">
        <v>6.9468494464063898E-5</v>
      </c>
      <c r="BS6" s="1">
        <v>1.77532394271339E-6</v>
      </c>
    </row>
    <row r="7" spans="1:149" x14ac:dyDescent="0.25">
      <c r="A7">
        <v>4</v>
      </c>
      <c r="B7">
        <v>2.8530795161008901E-4</v>
      </c>
      <c r="C7">
        <v>9.5940236144888405E-2</v>
      </c>
      <c r="D7">
        <v>-2.2113405926398299E-4</v>
      </c>
      <c r="E7" s="1">
        <v>-5.42822474111868E-5</v>
      </c>
      <c r="F7">
        <v>-9.5940236144888497E-4</v>
      </c>
      <c r="G7">
        <v>-7.6752188915910795E-4</v>
      </c>
      <c r="H7" t="s">
        <v>74</v>
      </c>
      <c r="I7">
        <v>0</v>
      </c>
      <c r="J7" t="s">
        <v>75</v>
      </c>
      <c r="K7">
        <v>3.14159265358979</v>
      </c>
      <c r="L7">
        <v>0.98360178484274197</v>
      </c>
      <c r="M7">
        <v>0</v>
      </c>
      <c r="N7">
        <v>5.7752244478711801E-2</v>
      </c>
      <c r="O7">
        <v>0</v>
      </c>
      <c r="P7">
        <v>1.6E-2</v>
      </c>
      <c r="Q7">
        <v>0</v>
      </c>
      <c r="R7">
        <v>0</v>
      </c>
      <c r="S7">
        <v>0</v>
      </c>
      <c r="T7">
        <v>0</v>
      </c>
      <c r="U7">
        <v>0.995762191812401</v>
      </c>
      <c r="V7" t="s">
        <v>78</v>
      </c>
      <c r="W7">
        <v>2990314.8142096801</v>
      </c>
      <c r="X7" t="s">
        <v>76</v>
      </c>
      <c r="Y7">
        <v>-1.5707963267949001</v>
      </c>
      <c r="Z7">
        <v>0.98129041649180404</v>
      </c>
      <c r="AA7">
        <v>0</v>
      </c>
      <c r="AB7">
        <v>5.6310041876835297E-2</v>
      </c>
      <c r="AC7" s="1">
        <v>6.1007592728979797E-5</v>
      </c>
      <c r="AD7">
        <v>2.0275472721871999E-2</v>
      </c>
      <c r="AE7">
        <v>3.7043227432455398E-4</v>
      </c>
      <c r="AF7">
        <v>0</v>
      </c>
      <c r="AG7">
        <v>1.25491162228928E-2</v>
      </c>
      <c r="AH7">
        <v>1.2256165221525401E-4</v>
      </c>
      <c r="AI7">
        <v>0.98733216117099099</v>
      </c>
      <c r="AJ7" t="s">
        <v>74</v>
      </c>
      <c r="AK7">
        <v>0</v>
      </c>
      <c r="AL7" t="s">
        <v>77</v>
      </c>
      <c r="AM7">
        <v>0</v>
      </c>
      <c r="AN7">
        <v>0.99200000000000099</v>
      </c>
      <c r="AO7">
        <v>0</v>
      </c>
      <c r="AP7">
        <v>5.82453462424753E-2</v>
      </c>
      <c r="AQ7">
        <v>0</v>
      </c>
      <c r="AR7">
        <v>1.6E-2</v>
      </c>
      <c r="AS7">
        <v>0</v>
      </c>
      <c r="AT7">
        <v>0</v>
      </c>
      <c r="AU7">
        <v>0</v>
      </c>
      <c r="AV7">
        <v>0</v>
      </c>
      <c r="AW7">
        <v>1</v>
      </c>
      <c r="AX7" t="s">
        <v>78</v>
      </c>
      <c r="AY7">
        <v>1910427.20356037</v>
      </c>
      <c r="AZ7" t="s">
        <v>76</v>
      </c>
      <c r="BA7">
        <v>-1.5707963267949001</v>
      </c>
      <c r="BB7">
        <v>0.99200000000000099</v>
      </c>
      <c r="BC7">
        <v>0</v>
      </c>
      <c r="BD7">
        <v>5.82453462424753E-2</v>
      </c>
      <c r="BE7">
        <v>0</v>
      </c>
      <c r="BF7">
        <v>1.6E-2</v>
      </c>
      <c r="BG7">
        <v>0</v>
      </c>
      <c r="BH7">
        <v>0</v>
      </c>
      <c r="BI7">
        <v>0</v>
      </c>
      <c r="BJ7">
        <v>0</v>
      </c>
      <c r="BK7">
        <v>1</v>
      </c>
      <c r="BL7">
        <v>1.15306993216613E-4</v>
      </c>
      <c r="BM7" s="1">
        <v>6.3358389375540397E-6</v>
      </c>
      <c r="BN7" s="1">
        <v>4.2680688806143798E-7</v>
      </c>
      <c r="BO7" s="1">
        <v>9.9523125302739701E-8</v>
      </c>
      <c r="BP7">
        <v>0</v>
      </c>
      <c r="BQ7">
        <v>0</v>
      </c>
      <c r="BR7" s="1">
        <v>6.9301394705630694E-5</v>
      </c>
      <c r="BS7" s="1">
        <v>3.5515256879039399E-6</v>
      </c>
    </row>
    <row r="8" spans="1:149" x14ac:dyDescent="0.25">
      <c r="A8">
        <v>5</v>
      </c>
      <c r="B8">
        <v>1.76770555341895E-4</v>
      </c>
      <c r="C8">
        <v>9.6117006700230295E-2</v>
      </c>
      <c r="D8">
        <v>-2.2216440263137701E-4</v>
      </c>
      <c r="E8" s="1">
        <v>-5.5106522105101602E-5</v>
      </c>
      <c r="F8">
        <v>-9.61170067002304E-4</v>
      </c>
      <c r="G8">
        <v>-7.6893605360184303E-4</v>
      </c>
      <c r="H8" t="s">
        <v>74</v>
      </c>
      <c r="I8">
        <v>0</v>
      </c>
      <c r="J8" t="s">
        <v>75</v>
      </c>
      <c r="K8">
        <v>3.14159265358979</v>
      </c>
      <c r="L8">
        <v>0.97940365121762296</v>
      </c>
      <c r="M8">
        <v>0</v>
      </c>
      <c r="N8">
        <v>5.7505750782575499E-2</v>
      </c>
      <c r="O8">
        <v>0</v>
      </c>
      <c r="P8">
        <v>1.6E-2</v>
      </c>
      <c r="Q8">
        <v>0</v>
      </c>
      <c r="R8">
        <v>0</v>
      </c>
      <c r="S8">
        <v>0</v>
      </c>
      <c r="T8">
        <v>0</v>
      </c>
      <c r="U8">
        <v>0.99082276542270498</v>
      </c>
      <c r="V8" t="s">
        <v>78</v>
      </c>
      <c r="W8">
        <v>3000984.4499762398</v>
      </c>
      <c r="X8" t="s">
        <v>76</v>
      </c>
      <c r="Y8">
        <v>-1.5707963267949001</v>
      </c>
      <c r="Z8">
        <v>0.97686025271960697</v>
      </c>
      <c r="AA8">
        <v>0</v>
      </c>
      <c r="AB8">
        <v>5.5926731829707498E-2</v>
      </c>
      <c r="AC8" s="1">
        <v>9.0552603545048204E-5</v>
      </c>
      <c r="AD8">
        <v>2.0549363228662701E-2</v>
      </c>
      <c r="AE8">
        <v>5.7804729006436905E-4</v>
      </c>
      <c r="AF8">
        <v>0</v>
      </c>
      <c r="AG8">
        <v>1.8724527024554301E-2</v>
      </c>
      <c r="AH8">
        <v>2.8152023476574097E-4</v>
      </c>
      <c r="AI8">
        <v>0.97823270467161905</v>
      </c>
      <c r="AJ8" t="s">
        <v>74</v>
      </c>
      <c r="AK8">
        <v>0</v>
      </c>
      <c r="AL8" t="s">
        <v>77</v>
      </c>
      <c r="AM8">
        <v>0</v>
      </c>
      <c r="AN8">
        <v>0.99200000000000099</v>
      </c>
      <c r="AO8">
        <v>0</v>
      </c>
      <c r="AP8">
        <v>5.82453462424753E-2</v>
      </c>
      <c r="AQ8">
        <v>0</v>
      </c>
      <c r="AR8">
        <v>1.6E-2</v>
      </c>
      <c r="AS8">
        <v>0</v>
      </c>
      <c r="AT8">
        <v>0</v>
      </c>
      <c r="AU8">
        <v>0</v>
      </c>
      <c r="AV8">
        <v>0</v>
      </c>
      <c r="AW8">
        <v>1</v>
      </c>
      <c r="AX8" t="s">
        <v>78</v>
      </c>
      <c r="AY8">
        <v>1919763.13485611</v>
      </c>
      <c r="AZ8" t="s">
        <v>76</v>
      </c>
      <c r="BA8">
        <v>-1.5707963267949001</v>
      </c>
      <c r="BB8">
        <v>0.99200000000000099</v>
      </c>
      <c r="BC8">
        <v>0</v>
      </c>
      <c r="BD8">
        <v>5.82453462424753E-2</v>
      </c>
      <c r="BE8">
        <v>0</v>
      </c>
      <c r="BF8">
        <v>1.6E-2</v>
      </c>
      <c r="BG8">
        <v>0</v>
      </c>
      <c r="BH8">
        <v>0</v>
      </c>
      <c r="BI8">
        <v>0</v>
      </c>
      <c r="BJ8">
        <v>0</v>
      </c>
      <c r="BK8">
        <v>1</v>
      </c>
      <c r="BL8">
        <v>1.15006863850389E-4</v>
      </c>
      <c r="BM8" s="1">
        <v>9.5030236296600508E-6</v>
      </c>
      <c r="BN8" s="1">
        <v>4.2542323485985998E-7</v>
      </c>
      <c r="BO8" s="1">
        <v>1.4927314610915101E-7</v>
      </c>
      <c r="BP8">
        <v>0</v>
      </c>
      <c r="BQ8">
        <v>0</v>
      </c>
      <c r="BR8" s="1">
        <v>6.9145915379439501E-5</v>
      </c>
      <c r="BS8" s="1">
        <v>5.3282106059367103E-6</v>
      </c>
    </row>
    <row r="9" spans="1:149" x14ac:dyDescent="0.25">
      <c r="A9">
        <v>6</v>
      </c>
      <c r="B9">
        <v>1.2903869495399601E-4</v>
      </c>
      <c r="C9">
        <v>9.6246045395184304E-2</v>
      </c>
      <c r="D9">
        <v>-2.2291586630879501E-4</v>
      </c>
      <c r="E9" s="1">
        <v>-5.5707693047035797E-5</v>
      </c>
      <c r="F9">
        <v>-9.6246045395184405E-4</v>
      </c>
      <c r="G9">
        <v>-7.6996836316147496E-4</v>
      </c>
      <c r="H9" t="s">
        <v>74</v>
      </c>
      <c r="I9">
        <v>0</v>
      </c>
      <c r="J9" t="s">
        <v>75</v>
      </c>
      <c r="K9">
        <v>3.14159265358979</v>
      </c>
      <c r="L9">
        <v>0.97520576718052498</v>
      </c>
      <c r="M9">
        <v>0</v>
      </c>
      <c r="N9">
        <v>5.7259271741016499E-2</v>
      </c>
      <c r="O9">
        <v>0</v>
      </c>
      <c r="P9">
        <v>1.6E-2</v>
      </c>
      <c r="Q9">
        <v>0</v>
      </c>
      <c r="R9">
        <v>0</v>
      </c>
      <c r="S9">
        <v>0</v>
      </c>
      <c r="T9">
        <v>0</v>
      </c>
      <c r="U9">
        <v>0.98588128224965099</v>
      </c>
      <c r="V9" t="s">
        <v>78</v>
      </c>
      <c r="W9">
        <v>3008766.1701130299</v>
      </c>
      <c r="X9" t="s">
        <v>76</v>
      </c>
      <c r="Y9">
        <v>-1.5707963267949001</v>
      </c>
      <c r="Z9">
        <v>0.97249748928426205</v>
      </c>
      <c r="AA9">
        <v>0</v>
      </c>
      <c r="AB9">
        <v>5.5584882202045903E-2</v>
      </c>
      <c r="AC9">
        <v>1.2008096424637401E-4</v>
      </c>
      <c r="AD9">
        <v>2.06858278809821E-2</v>
      </c>
      <c r="AE9">
        <v>7.8970490602236197E-4</v>
      </c>
      <c r="AF9">
        <v>0</v>
      </c>
      <c r="AG9">
        <v>2.48349466515011E-2</v>
      </c>
      <c r="AH9">
        <v>5.05093400226971E-4</v>
      </c>
      <c r="AI9">
        <v>0.96916771231605703</v>
      </c>
      <c r="AJ9" t="s">
        <v>74</v>
      </c>
      <c r="AK9">
        <v>0</v>
      </c>
      <c r="AL9" t="s">
        <v>77</v>
      </c>
      <c r="AM9">
        <v>0</v>
      </c>
      <c r="AN9">
        <v>0.99200000000000099</v>
      </c>
      <c r="AO9">
        <v>0</v>
      </c>
      <c r="AP9">
        <v>5.82453462424753E-2</v>
      </c>
      <c r="AQ9">
        <v>0</v>
      </c>
      <c r="AR9">
        <v>1.6E-2</v>
      </c>
      <c r="AS9">
        <v>0</v>
      </c>
      <c r="AT9">
        <v>0</v>
      </c>
      <c r="AU9">
        <v>0</v>
      </c>
      <c r="AV9">
        <v>0</v>
      </c>
      <c r="AW9">
        <v>1</v>
      </c>
      <c r="AX9" t="s">
        <v>78</v>
      </c>
      <c r="AY9">
        <v>1926572.1399757999</v>
      </c>
      <c r="AZ9" t="s">
        <v>76</v>
      </c>
      <c r="BA9">
        <v>-1.5707963267949001</v>
      </c>
      <c r="BB9">
        <v>0.99200000000000099</v>
      </c>
      <c r="BC9">
        <v>0</v>
      </c>
      <c r="BD9">
        <v>5.82453462424753E-2</v>
      </c>
      <c r="BE9">
        <v>0</v>
      </c>
      <c r="BF9">
        <v>1.6E-2</v>
      </c>
      <c r="BG9">
        <v>0</v>
      </c>
      <c r="BH9">
        <v>0</v>
      </c>
      <c r="BI9">
        <v>0</v>
      </c>
      <c r="BJ9">
        <v>0</v>
      </c>
      <c r="BK9">
        <v>1</v>
      </c>
      <c r="BL9">
        <v>1.1472746369613E-4</v>
      </c>
      <c r="BM9" s="1">
        <v>1.2670020025864001E-5</v>
      </c>
      <c r="BN9" s="1">
        <v>4.2422394525942601E-7</v>
      </c>
      <c r="BO9" s="1">
        <v>1.9902020917045001E-7</v>
      </c>
      <c r="BP9">
        <v>0</v>
      </c>
      <c r="BQ9">
        <v>0</v>
      </c>
      <c r="BR9" s="1">
        <v>6.8995035245466796E-5</v>
      </c>
      <c r="BS9" s="1">
        <v>7.1051986876883796E-6</v>
      </c>
    </row>
    <row r="10" spans="1:149" x14ac:dyDescent="0.25">
      <c r="A10">
        <v>7</v>
      </c>
      <c r="B10">
        <v>1.0200499453052E-4</v>
      </c>
      <c r="C10">
        <v>9.6348050389714904E-2</v>
      </c>
      <c r="D10">
        <v>-2.2350951453412401E-4</v>
      </c>
      <c r="E10" s="1">
        <v>-5.6182611627299397E-5</v>
      </c>
      <c r="F10">
        <v>-9.6348050389714901E-4</v>
      </c>
      <c r="G10">
        <v>-7.7078440311771905E-4</v>
      </c>
      <c r="H10" t="s">
        <v>74</v>
      </c>
      <c r="I10">
        <v>0</v>
      </c>
      <c r="J10" t="s">
        <v>75</v>
      </c>
      <c r="K10">
        <v>3.14159265358979</v>
      </c>
      <c r="L10">
        <v>0.97100809968761104</v>
      </c>
      <c r="M10">
        <v>0</v>
      </c>
      <c r="N10">
        <v>5.70128054138637E-2</v>
      </c>
      <c r="O10">
        <v>0</v>
      </c>
      <c r="P10">
        <v>1.6E-2</v>
      </c>
      <c r="Q10">
        <v>0</v>
      </c>
      <c r="R10">
        <v>0</v>
      </c>
      <c r="S10">
        <v>0</v>
      </c>
      <c r="T10">
        <v>0</v>
      </c>
      <c r="U10">
        <v>0.98107699953928995</v>
      </c>
      <c r="V10" t="s">
        <v>78</v>
      </c>
      <c r="W10">
        <v>3014913.64535107</v>
      </c>
      <c r="X10" t="s">
        <v>76</v>
      </c>
      <c r="Y10">
        <v>-1.5707963267949001</v>
      </c>
      <c r="Z10">
        <v>0.96817274026077405</v>
      </c>
      <c r="AA10">
        <v>0</v>
      </c>
      <c r="AB10">
        <v>5.5266103263146502E-2</v>
      </c>
      <c r="AC10">
        <v>1.4943246628508101E-4</v>
      </c>
      <c r="AD10">
        <v>2.0744626038251598E-2</v>
      </c>
      <c r="AE10">
        <v>1.00427538603121E-3</v>
      </c>
      <c r="AF10">
        <v>0</v>
      </c>
      <c r="AG10">
        <v>3.08800375831969E-2</v>
      </c>
      <c r="AH10">
        <v>7.9366852744854402E-4</v>
      </c>
      <c r="AI10">
        <v>0.96027660620014599</v>
      </c>
      <c r="AJ10" t="s">
        <v>74</v>
      </c>
      <c r="AK10">
        <v>0</v>
      </c>
      <c r="AL10" t="s">
        <v>77</v>
      </c>
      <c r="AM10">
        <v>0</v>
      </c>
      <c r="AN10">
        <v>0.99200000000000099</v>
      </c>
      <c r="AO10">
        <v>0</v>
      </c>
      <c r="AP10">
        <v>5.82453462424753E-2</v>
      </c>
      <c r="AQ10">
        <v>0</v>
      </c>
      <c r="AR10">
        <v>1.6E-2</v>
      </c>
      <c r="AS10">
        <v>0</v>
      </c>
      <c r="AT10">
        <v>0</v>
      </c>
      <c r="AU10">
        <v>0</v>
      </c>
      <c r="AV10">
        <v>0</v>
      </c>
      <c r="AW10">
        <v>1</v>
      </c>
      <c r="AX10" t="s">
        <v>78</v>
      </c>
      <c r="AY10">
        <v>1931951.1808090899</v>
      </c>
      <c r="AZ10" t="s">
        <v>76</v>
      </c>
      <c r="BA10">
        <v>-1.5707963267949001</v>
      </c>
      <c r="BB10">
        <v>0.99200000000000099</v>
      </c>
      <c r="BC10">
        <v>0</v>
      </c>
      <c r="BD10">
        <v>5.82453462424753E-2</v>
      </c>
      <c r="BE10">
        <v>0</v>
      </c>
      <c r="BF10">
        <v>1.6E-2</v>
      </c>
      <c r="BG10">
        <v>0</v>
      </c>
      <c r="BH10">
        <v>0</v>
      </c>
      <c r="BI10">
        <v>0</v>
      </c>
      <c r="BJ10">
        <v>0</v>
      </c>
      <c r="BK10">
        <v>1</v>
      </c>
      <c r="BL10">
        <v>1.14459516814123E-4</v>
      </c>
      <c r="BM10" s="1">
        <v>1.5836853055322699E-5</v>
      </c>
      <c r="BN10" s="1">
        <v>4.2312608897220102E-7</v>
      </c>
      <c r="BO10" s="1">
        <v>2.4876470607291501E-7</v>
      </c>
      <c r="BP10">
        <v>0</v>
      </c>
      <c r="BQ10">
        <v>0</v>
      </c>
      <c r="BR10" s="1">
        <v>6.8846589485361198E-5</v>
      </c>
      <c r="BS10" s="1">
        <v>8.8824040668119895E-6</v>
      </c>
      <c r="ES10" s="1"/>
    </row>
    <row r="11" spans="1:149" x14ac:dyDescent="0.25">
      <c r="A11">
        <v>8</v>
      </c>
      <c r="B11" s="1">
        <v>8.4565226724708995E-5</v>
      </c>
      <c r="C11">
        <v>9.6432615616439593E-2</v>
      </c>
      <c r="D11">
        <v>-2.2400141586433501E-4</v>
      </c>
      <c r="E11" s="1">
        <v>-5.6576132691467997E-5</v>
      </c>
      <c r="F11">
        <v>-9.6432615616439603E-4</v>
      </c>
      <c r="G11">
        <v>-7.7146092493151697E-4</v>
      </c>
      <c r="H11" t="s">
        <v>74</v>
      </c>
      <c r="I11">
        <v>0</v>
      </c>
      <c r="J11" t="s">
        <v>75</v>
      </c>
      <c r="K11">
        <v>3.14159265358979</v>
      </c>
      <c r="L11">
        <v>0.96681063268942902</v>
      </c>
      <c r="M11">
        <v>0</v>
      </c>
      <c r="N11">
        <v>5.6766350858772498E-2</v>
      </c>
      <c r="O11">
        <v>0</v>
      </c>
      <c r="P11">
        <v>1.6E-2</v>
      </c>
      <c r="Q11">
        <v>0</v>
      </c>
      <c r="R11">
        <v>0</v>
      </c>
      <c r="S11">
        <v>0</v>
      </c>
      <c r="T11">
        <v>0</v>
      </c>
      <c r="U11">
        <v>0.97641029700234405</v>
      </c>
      <c r="V11" t="s">
        <v>78</v>
      </c>
      <c r="W11">
        <v>3020007.4890079801</v>
      </c>
      <c r="X11" t="s">
        <v>76</v>
      </c>
      <c r="Y11">
        <v>-1.5707963267949001</v>
      </c>
      <c r="Z11">
        <v>0.96387259403354297</v>
      </c>
      <c r="AA11">
        <v>0</v>
      </c>
      <c r="AB11">
        <v>5.4962063089183701E-2</v>
      </c>
      <c r="AC11">
        <v>1.7867350535426599E-4</v>
      </c>
      <c r="AD11">
        <v>2.07531563092699E-2</v>
      </c>
      <c r="AE11">
        <v>1.2210921722715601E-3</v>
      </c>
      <c r="AF11">
        <v>0</v>
      </c>
      <c r="AG11">
        <v>3.6859427164057101E-2</v>
      </c>
      <c r="AH11">
        <v>1.1476424882904E-3</v>
      </c>
      <c r="AI11">
        <v>0.951559922826405</v>
      </c>
      <c r="AJ11" t="s">
        <v>74</v>
      </c>
      <c r="AK11">
        <v>0</v>
      </c>
      <c r="AL11" t="s">
        <v>77</v>
      </c>
      <c r="AM11">
        <v>0</v>
      </c>
      <c r="AN11">
        <v>0.99200000000000099</v>
      </c>
      <c r="AO11">
        <v>0</v>
      </c>
      <c r="AP11">
        <v>5.82453462424753E-2</v>
      </c>
      <c r="AQ11">
        <v>0</v>
      </c>
      <c r="AR11">
        <v>1.6E-2</v>
      </c>
      <c r="AS11">
        <v>0</v>
      </c>
      <c r="AT11">
        <v>0</v>
      </c>
      <c r="AU11">
        <v>0</v>
      </c>
      <c r="AV11">
        <v>0</v>
      </c>
      <c r="AW11">
        <v>1</v>
      </c>
      <c r="AX11" t="s">
        <v>78</v>
      </c>
      <c r="AY11">
        <v>1936408.2940088799</v>
      </c>
      <c r="AZ11" t="s">
        <v>76</v>
      </c>
      <c r="BA11">
        <v>-1.5707963267949001</v>
      </c>
      <c r="BB11">
        <v>0.99200000000000099</v>
      </c>
      <c r="BC11">
        <v>0</v>
      </c>
      <c r="BD11">
        <v>5.82453462424753E-2</v>
      </c>
      <c r="BE11">
        <v>0</v>
      </c>
      <c r="BF11">
        <v>1.6E-2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1.1419888996913E-4</v>
      </c>
      <c r="BM11" s="1">
        <v>1.9003534826173699E-5</v>
      </c>
      <c r="BN11" s="1">
        <v>4.22092670943033E-7</v>
      </c>
      <c r="BO11" s="1">
        <v>2.98506827010726E-7</v>
      </c>
      <c r="BP11">
        <v>0</v>
      </c>
      <c r="BQ11">
        <v>0</v>
      </c>
      <c r="BR11" s="1">
        <v>6.8699669287903E-5</v>
      </c>
      <c r="BS11" s="1">
        <v>1.0659774345674599E-5</v>
      </c>
    </row>
    <row r="12" spans="1:149" x14ac:dyDescent="0.25">
      <c r="A12">
        <v>9</v>
      </c>
      <c r="B12" s="1">
        <v>7.2370032308337605E-5</v>
      </c>
      <c r="C12">
        <v>9.6504985648747904E-2</v>
      </c>
      <c r="D12">
        <v>-2.2442220185860701E-4</v>
      </c>
      <c r="E12" s="1">
        <v>-5.6912761486885599E-5</v>
      </c>
      <c r="F12">
        <v>-9.6504985648747897E-4</v>
      </c>
      <c r="G12">
        <v>-7.7203988518998303E-4</v>
      </c>
      <c r="H12" t="s">
        <v>74</v>
      </c>
      <c r="I12">
        <v>0</v>
      </c>
      <c r="J12" t="s">
        <v>75</v>
      </c>
      <c r="K12">
        <v>3.14159265358979</v>
      </c>
      <c r="L12">
        <v>0.96261335903082401</v>
      </c>
      <c r="M12">
        <v>0</v>
      </c>
      <c r="N12">
        <v>5.6519907655627498E-2</v>
      </c>
      <c r="O12">
        <v>0</v>
      </c>
      <c r="P12">
        <v>1.6E-2</v>
      </c>
      <c r="Q12">
        <v>0</v>
      </c>
      <c r="R12">
        <v>0</v>
      </c>
      <c r="S12">
        <v>0</v>
      </c>
      <c r="T12">
        <v>0</v>
      </c>
      <c r="U12">
        <v>0.97185192433081402</v>
      </c>
      <c r="V12" t="s">
        <v>78</v>
      </c>
      <c r="W12">
        <v>3024364.9036686001</v>
      </c>
      <c r="X12" t="s">
        <v>76</v>
      </c>
      <c r="Y12">
        <v>-1.5707963267949001</v>
      </c>
      <c r="Z12">
        <v>0.959589768371092</v>
      </c>
      <c r="AA12">
        <v>0</v>
      </c>
      <c r="AB12">
        <v>5.4668269597274201E-2</v>
      </c>
      <c r="AC12">
        <v>2.0768352918594201E-4</v>
      </c>
      <c r="AD12">
        <v>2.0726350437846999E-2</v>
      </c>
      <c r="AE12">
        <v>1.4397126279759699E-3</v>
      </c>
      <c r="AF12">
        <v>0</v>
      </c>
      <c r="AG12">
        <v>4.2772723645937198E-2</v>
      </c>
      <c r="AH12">
        <v>1.56741782698022E-3</v>
      </c>
      <c r="AI12">
        <v>0.942988561760706</v>
      </c>
      <c r="AJ12" t="s">
        <v>74</v>
      </c>
      <c r="AK12">
        <v>0</v>
      </c>
      <c r="AL12" t="s">
        <v>77</v>
      </c>
      <c r="AM12">
        <v>0</v>
      </c>
      <c r="AN12">
        <v>0.99200000000000099</v>
      </c>
      <c r="AO12">
        <v>0</v>
      </c>
      <c r="AP12">
        <v>5.82453462424753E-2</v>
      </c>
      <c r="AQ12">
        <v>0</v>
      </c>
      <c r="AR12">
        <v>1.6E-2</v>
      </c>
      <c r="AS12">
        <v>0</v>
      </c>
      <c r="AT12">
        <v>0</v>
      </c>
      <c r="AU12">
        <v>0</v>
      </c>
      <c r="AV12">
        <v>0</v>
      </c>
      <c r="AW12">
        <v>1</v>
      </c>
      <c r="AX12" t="s">
        <v>78</v>
      </c>
      <c r="AY12">
        <v>1940221.03183693</v>
      </c>
      <c r="AZ12" t="s">
        <v>76</v>
      </c>
      <c r="BA12">
        <v>-1.5707963267949001</v>
      </c>
      <c r="BB12">
        <v>0.99200000000000099</v>
      </c>
      <c r="BC12">
        <v>0</v>
      </c>
      <c r="BD12">
        <v>5.82453462424753E-2</v>
      </c>
      <c r="BE12">
        <v>0</v>
      </c>
      <c r="BF12">
        <v>1.6E-2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1.1394327663351901E-4</v>
      </c>
      <c r="BM12" s="1">
        <v>2.2170070736458699E-5</v>
      </c>
      <c r="BN12" s="1">
        <v>4.2110328465797501E-7</v>
      </c>
      <c r="BO12" s="1">
        <v>3.4824665677612401E-7</v>
      </c>
      <c r="BP12">
        <v>0</v>
      </c>
      <c r="BQ12">
        <v>0</v>
      </c>
      <c r="BR12" s="1">
        <v>6.8553752253940704E-5</v>
      </c>
      <c r="BS12" s="1">
        <v>1.2437273304750801E-5</v>
      </c>
    </row>
    <row r="13" spans="1:149" x14ac:dyDescent="0.25">
      <c r="A13">
        <v>10</v>
      </c>
      <c r="B13" s="1">
        <v>6.3358835512169405E-5</v>
      </c>
      <c r="C13">
        <v>9.6568344484260105E-2</v>
      </c>
      <c r="D13">
        <v>-2.24790460136747E-4</v>
      </c>
      <c r="E13" s="1">
        <v>-5.7207368109398001E-5</v>
      </c>
      <c r="F13">
        <v>-9.6568344484260096E-4</v>
      </c>
      <c r="G13">
        <v>-7.7254675587408103E-4</v>
      </c>
      <c r="H13" t="s">
        <v>74</v>
      </c>
      <c r="I13">
        <v>0</v>
      </c>
      <c r="J13" t="s">
        <v>75</v>
      </c>
      <c r="K13">
        <v>3.14159265358979</v>
      </c>
      <c r="L13">
        <v>0.958416276328376</v>
      </c>
      <c r="M13">
        <v>0</v>
      </c>
      <c r="N13">
        <v>5.62734756644859E-2</v>
      </c>
      <c r="O13">
        <v>0</v>
      </c>
      <c r="P13">
        <v>1.6E-2</v>
      </c>
      <c r="Q13">
        <v>0</v>
      </c>
      <c r="R13">
        <v>0</v>
      </c>
      <c r="S13">
        <v>0</v>
      </c>
      <c r="T13">
        <v>0</v>
      </c>
      <c r="U13">
        <v>0.96737255554163004</v>
      </c>
      <c r="V13" t="s">
        <v>78</v>
      </c>
      <c r="W13">
        <v>3028178.37189689</v>
      </c>
      <c r="X13" t="s">
        <v>76</v>
      </c>
      <c r="Y13">
        <v>-1.5707963267949001</v>
      </c>
      <c r="Z13">
        <v>0.95531985490446902</v>
      </c>
      <c r="AA13">
        <v>0</v>
      </c>
      <c r="AB13">
        <v>5.4382021764917098E-2</v>
      </c>
      <c r="AC13">
        <v>2.3666309709230999E-4</v>
      </c>
      <c r="AD13">
        <v>2.0673275957752101E-2</v>
      </c>
      <c r="AE13">
        <v>1.6598218965722599E-3</v>
      </c>
      <c r="AF13">
        <v>0</v>
      </c>
      <c r="AG13">
        <v>4.8619519117279998E-2</v>
      </c>
      <c r="AH13">
        <v>2.0534060513069802E-3</v>
      </c>
      <c r="AI13">
        <v>0.93453334304385005</v>
      </c>
      <c r="AJ13" t="s">
        <v>74</v>
      </c>
      <c r="AK13">
        <v>0</v>
      </c>
      <c r="AL13" t="s">
        <v>77</v>
      </c>
      <c r="AM13">
        <v>0</v>
      </c>
      <c r="AN13">
        <v>0.99200000000000099</v>
      </c>
      <c r="AO13">
        <v>0</v>
      </c>
      <c r="AP13">
        <v>5.82453462424753E-2</v>
      </c>
      <c r="AQ13">
        <v>0</v>
      </c>
      <c r="AR13">
        <v>1.6E-2</v>
      </c>
      <c r="AS13">
        <v>0</v>
      </c>
      <c r="AT13">
        <v>0</v>
      </c>
      <c r="AU13">
        <v>0</v>
      </c>
      <c r="AV13">
        <v>0</v>
      </c>
      <c r="AW13">
        <v>1</v>
      </c>
      <c r="AX13" t="s">
        <v>78</v>
      </c>
      <c r="AY13">
        <v>1943557.8165366801</v>
      </c>
      <c r="AZ13" t="s">
        <v>76</v>
      </c>
      <c r="BA13">
        <v>-1.5707963267949001</v>
      </c>
      <c r="BB13">
        <v>0.99200000000000099</v>
      </c>
      <c r="BC13">
        <v>0</v>
      </c>
      <c r="BD13">
        <v>5.82453462424753E-2</v>
      </c>
      <c r="BE13">
        <v>0</v>
      </c>
      <c r="BF13">
        <v>1.6E-2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1.13691426505723E-4</v>
      </c>
      <c r="BM13" s="1">
        <v>2.5336462584293501E-5</v>
      </c>
      <c r="BN13" s="1">
        <v>4.2014662934041599E-7</v>
      </c>
      <c r="BO13" s="1">
        <v>3.9798422361384598E-7</v>
      </c>
      <c r="BP13">
        <v>0</v>
      </c>
      <c r="BQ13">
        <v>0</v>
      </c>
      <c r="BR13" s="1">
        <v>6.84086058916107E-5</v>
      </c>
      <c r="BS13" s="1">
        <v>1.4214874004451399E-5</v>
      </c>
    </row>
    <row r="14" spans="1:149" x14ac:dyDescent="0.25">
      <c r="A14">
        <v>11</v>
      </c>
      <c r="B14" s="1">
        <v>5.6427351476310201E-5</v>
      </c>
      <c r="C14">
        <v>9.6624771835736395E-2</v>
      </c>
      <c r="D14">
        <v>-2.25118326900628E-4</v>
      </c>
      <c r="E14" s="1">
        <v>-5.7469661520502203E-5</v>
      </c>
      <c r="F14">
        <v>-9.6624771835736398E-4</v>
      </c>
      <c r="G14">
        <v>-7.7299817468589097E-4</v>
      </c>
      <c r="H14" t="s">
        <v>74</v>
      </c>
      <c r="I14">
        <v>0</v>
      </c>
      <c r="J14" t="s">
        <v>75</v>
      </c>
      <c r="K14">
        <v>3.14159265358979</v>
      </c>
      <c r="L14">
        <v>0.954219384824883</v>
      </c>
      <c r="M14">
        <v>0</v>
      </c>
      <c r="N14">
        <v>5.6027054899603801E-2</v>
      </c>
      <c r="O14">
        <v>0</v>
      </c>
      <c r="P14">
        <v>1.6E-2</v>
      </c>
      <c r="Q14">
        <v>0</v>
      </c>
      <c r="R14">
        <v>0</v>
      </c>
      <c r="S14">
        <v>0</v>
      </c>
      <c r="T14">
        <v>0</v>
      </c>
      <c r="U14">
        <v>0.96294933067305899</v>
      </c>
      <c r="V14" t="s">
        <v>78</v>
      </c>
      <c r="W14">
        <v>3031573.5691304202</v>
      </c>
      <c r="X14" t="s">
        <v>76</v>
      </c>
      <c r="Y14">
        <v>-1.5707963267949001</v>
      </c>
      <c r="Z14">
        <v>0.95105997675905196</v>
      </c>
      <c r="AA14">
        <v>0</v>
      </c>
      <c r="AB14">
        <v>5.4101568078230897E-2</v>
      </c>
      <c r="AC14">
        <v>2.6552162232484498E-4</v>
      </c>
      <c r="AD14">
        <v>2.0599867617930499E-2</v>
      </c>
      <c r="AE14">
        <v>1.8811850187956201E-3</v>
      </c>
      <c r="AF14">
        <v>0</v>
      </c>
      <c r="AG14">
        <v>5.4399390690427901E-2</v>
      </c>
      <c r="AH14">
        <v>2.60602968258019E-3</v>
      </c>
      <c r="AI14">
        <v>0.92617155093083903</v>
      </c>
      <c r="AJ14" t="s">
        <v>74</v>
      </c>
      <c r="AK14">
        <v>0</v>
      </c>
      <c r="AL14" t="s">
        <v>77</v>
      </c>
      <c r="AM14">
        <v>0</v>
      </c>
      <c r="AN14">
        <v>0.99200000000000099</v>
      </c>
      <c r="AO14">
        <v>0</v>
      </c>
      <c r="AP14">
        <v>5.82453462424753E-2</v>
      </c>
      <c r="AQ14">
        <v>0</v>
      </c>
      <c r="AR14">
        <v>1.6E-2</v>
      </c>
      <c r="AS14">
        <v>0</v>
      </c>
      <c r="AT14">
        <v>0</v>
      </c>
      <c r="AU14">
        <v>0</v>
      </c>
      <c r="AV14">
        <v>0</v>
      </c>
      <c r="AW14">
        <v>1</v>
      </c>
      <c r="AX14" t="s">
        <v>78</v>
      </c>
      <c r="AY14">
        <v>1946528.61411602</v>
      </c>
      <c r="AZ14" t="s">
        <v>76</v>
      </c>
      <c r="BA14">
        <v>-1.5707963267949001</v>
      </c>
      <c r="BB14">
        <v>0.99200000000000099</v>
      </c>
      <c r="BC14">
        <v>0</v>
      </c>
      <c r="BD14">
        <v>5.82453462424753E-2</v>
      </c>
      <c r="BE14">
        <v>0</v>
      </c>
      <c r="BF14">
        <v>1.6E-2</v>
      </c>
      <c r="BG14">
        <v>0</v>
      </c>
      <c r="BH14">
        <v>0</v>
      </c>
      <c r="BI14">
        <v>0</v>
      </c>
      <c r="BJ14">
        <v>0</v>
      </c>
      <c r="BK14">
        <v>1</v>
      </c>
      <c r="BL14">
        <v>1.13442418542555E-4</v>
      </c>
      <c r="BM14" s="1">
        <v>2.85027101865041E-5</v>
      </c>
      <c r="BN14" s="1">
        <v>4.1921465776000202E-7</v>
      </c>
      <c r="BO14" s="1">
        <v>4.4771952464660098E-7</v>
      </c>
      <c r="BP14">
        <v>0</v>
      </c>
      <c r="BQ14">
        <v>0</v>
      </c>
      <c r="BR14" s="1">
        <v>6.8264020136794205E-5</v>
      </c>
      <c r="BS14" s="1">
        <v>1.5992555427447899E-5</v>
      </c>
    </row>
    <row r="15" spans="1:149" x14ac:dyDescent="0.25">
      <c r="A15">
        <v>12</v>
      </c>
      <c r="B15" s="1">
        <v>5.0929850108737297E-5</v>
      </c>
      <c r="C15">
        <v>9.6675701685845106E-2</v>
      </c>
      <c r="D15">
        <v>-2.2541416736674699E-4</v>
      </c>
      <c r="E15" s="1">
        <v>-5.7706333893397298E-5</v>
      </c>
      <c r="F15">
        <v>-9.66757016858451E-4</v>
      </c>
      <c r="G15">
        <v>-7.7340561348676097E-4</v>
      </c>
      <c r="H15" t="s">
        <v>74</v>
      </c>
      <c r="I15">
        <v>0</v>
      </c>
      <c r="J15" t="s">
        <v>75</v>
      </c>
      <c r="K15">
        <v>3.14159265358979</v>
      </c>
      <c r="L15">
        <v>0.95002268624220798</v>
      </c>
      <c r="M15">
        <v>0</v>
      </c>
      <c r="N15">
        <v>5.5780645462080398E-2</v>
      </c>
      <c r="O15">
        <v>0</v>
      </c>
      <c r="P15">
        <v>1.6E-2</v>
      </c>
      <c r="Q15">
        <v>0</v>
      </c>
      <c r="R15">
        <v>0</v>
      </c>
      <c r="S15">
        <v>0</v>
      </c>
      <c r="T15">
        <v>0</v>
      </c>
      <c r="U15">
        <v>0.95856587216901201</v>
      </c>
      <c r="V15" t="s">
        <v>78</v>
      </c>
      <c r="W15">
        <v>3034637.1206787601</v>
      </c>
      <c r="X15" t="s">
        <v>76</v>
      </c>
      <c r="Y15">
        <v>-1.5707963267949001</v>
      </c>
      <c r="Z15">
        <v>0.94680814990367601</v>
      </c>
      <c r="AA15">
        <v>0</v>
      </c>
      <c r="AB15">
        <v>5.3825707732641198E-2</v>
      </c>
      <c r="AC15">
        <v>2.9417480144511098E-4</v>
      </c>
      <c r="AD15">
        <v>2.0510230422956601E-2</v>
      </c>
      <c r="AE15">
        <v>2.1036200207392398E-3</v>
      </c>
      <c r="AF15">
        <v>0</v>
      </c>
      <c r="AG15">
        <v>6.0111901795268902E-2</v>
      </c>
      <c r="AH15">
        <v>3.2257226928736299E-3</v>
      </c>
      <c r="AI15">
        <v>0.91788695125263098</v>
      </c>
      <c r="AJ15" t="s">
        <v>74</v>
      </c>
      <c r="AK15">
        <v>0</v>
      </c>
      <c r="AL15" t="s">
        <v>77</v>
      </c>
      <c r="AM15">
        <v>0</v>
      </c>
      <c r="AN15">
        <v>0.99200000000000099</v>
      </c>
      <c r="AO15">
        <v>0</v>
      </c>
      <c r="AP15">
        <v>5.82453462424753E-2</v>
      </c>
      <c r="AQ15">
        <v>0</v>
      </c>
      <c r="AR15">
        <v>1.6E-2</v>
      </c>
      <c r="AS15">
        <v>0</v>
      </c>
      <c r="AT15">
        <v>0</v>
      </c>
      <c r="AU15">
        <v>0</v>
      </c>
      <c r="AV15">
        <v>0</v>
      </c>
      <c r="AW15">
        <v>1</v>
      </c>
      <c r="AX15" t="s">
        <v>78</v>
      </c>
      <c r="AY15">
        <v>1949209.2217208201</v>
      </c>
      <c r="AZ15" t="s">
        <v>76</v>
      </c>
      <c r="BA15">
        <v>-1.5707963267949001</v>
      </c>
      <c r="BB15">
        <v>0.99200000000000099</v>
      </c>
      <c r="BC15">
        <v>0</v>
      </c>
      <c r="BD15">
        <v>5.82453462424753E-2</v>
      </c>
      <c r="BE15">
        <v>0</v>
      </c>
      <c r="BF15">
        <v>1.6E-2</v>
      </c>
      <c r="BG15">
        <v>0</v>
      </c>
      <c r="BH15">
        <v>0</v>
      </c>
      <c r="BI15">
        <v>0</v>
      </c>
      <c r="BJ15">
        <v>0</v>
      </c>
      <c r="BK15">
        <v>1</v>
      </c>
      <c r="BL15">
        <v>1.13195610240559E-4</v>
      </c>
      <c r="BM15" s="1">
        <v>3.1668812244071301E-5</v>
      </c>
      <c r="BN15" s="1">
        <v>4.1830179674053003E-7</v>
      </c>
      <c r="BO15" s="1">
        <v>4.9745253946944397E-7</v>
      </c>
      <c r="BP15">
        <v>0</v>
      </c>
      <c r="BQ15">
        <v>0</v>
      </c>
      <c r="BR15" s="1">
        <v>6.8119846209123799E-5</v>
      </c>
      <c r="BS15" s="1">
        <v>1.77703006108507E-5</v>
      </c>
    </row>
    <row r="16" spans="1:149" x14ac:dyDescent="0.25">
      <c r="A16">
        <v>13</v>
      </c>
      <c r="B16" s="1">
        <v>4.6463267581539797E-5</v>
      </c>
      <c r="C16">
        <v>9.6722164953426698E-2</v>
      </c>
      <c r="D16">
        <v>-2.25683993694007E-4</v>
      </c>
      <c r="E16" s="1">
        <v>-5.79221949552058E-5</v>
      </c>
      <c r="F16">
        <v>-9.6722164953426696E-4</v>
      </c>
      <c r="G16">
        <v>-7.7377731962741299E-4</v>
      </c>
      <c r="H16" t="s">
        <v>74</v>
      </c>
      <c r="I16">
        <v>0</v>
      </c>
      <c r="J16" t="s">
        <v>75</v>
      </c>
      <c r="K16">
        <v>3.14159265358979</v>
      </c>
      <c r="L16">
        <v>0.94582618315518896</v>
      </c>
      <c r="M16">
        <v>0</v>
      </c>
      <c r="N16">
        <v>5.55342475030976E-2</v>
      </c>
      <c r="O16">
        <v>0</v>
      </c>
      <c r="P16">
        <v>1.6E-2</v>
      </c>
      <c r="Q16">
        <v>0</v>
      </c>
      <c r="R16">
        <v>0</v>
      </c>
      <c r="S16">
        <v>0</v>
      </c>
      <c r="T16">
        <v>0</v>
      </c>
      <c r="U16">
        <v>0.95421082332140705</v>
      </c>
      <c r="V16" t="s">
        <v>78</v>
      </c>
      <c r="W16">
        <v>3037431.28495759</v>
      </c>
      <c r="X16" t="s">
        <v>76</v>
      </c>
      <c r="Y16">
        <v>-1.5707963267949001</v>
      </c>
      <c r="Z16">
        <v>0.94256294682092701</v>
      </c>
      <c r="AA16">
        <v>0</v>
      </c>
      <c r="AB16">
        <v>5.3553581451958703E-2</v>
      </c>
      <c r="AC16">
        <v>3.2276553617719301E-4</v>
      </c>
      <c r="AD16">
        <v>2.0407327305638798E-2</v>
      </c>
      <c r="AE16">
        <v>2.3269816164772001E-3</v>
      </c>
      <c r="AF16">
        <v>0</v>
      </c>
      <c r="AG16">
        <v>6.5756603594598506E-2</v>
      </c>
      <c r="AH16">
        <v>3.91293003433771E-3</v>
      </c>
      <c r="AI16">
        <v>0.90966833018330895</v>
      </c>
      <c r="AJ16" t="s">
        <v>74</v>
      </c>
      <c r="AK16">
        <v>0</v>
      </c>
      <c r="AL16" t="s">
        <v>77</v>
      </c>
      <c r="AM16">
        <v>0</v>
      </c>
      <c r="AN16">
        <v>0.99200000000000099</v>
      </c>
      <c r="AO16">
        <v>0</v>
      </c>
      <c r="AP16">
        <v>5.82453462424753E-2</v>
      </c>
      <c r="AQ16">
        <v>0</v>
      </c>
      <c r="AR16">
        <v>1.6E-2</v>
      </c>
      <c r="AS16">
        <v>0</v>
      </c>
      <c r="AT16">
        <v>0</v>
      </c>
      <c r="AU16">
        <v>0</v>
      </c>
      <c r="AV16">
        <v>0</v>
      </c>
      <c r="AW16">
        <v>1</v>
      </c>
      <c r="AX16" t="s">
        <v>78</v>
      </c>
      <c r="AY16">
        <v>1951654.11546479</v>
      </c>
      <c r="AZ16" t="s">
        <v>76</v>
      </c>
      <c r="BA16">
        <v>-1.5707963267949001</v>
      </c>
      <c r="BB16">
        <v>0.99200000000000099</v>
      </c>
      <c r="BC16">
        <v>0</v>
      </c>
      <c r="BD16">
        <v>5.82453462424753E-2</v>
      </c>
      <c r="BE16">
        <v>0</v>
      </c>
      <c r="BF16">
        <v>1.6E-2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1.12950643488092E-4</v>
      </c>
      <c r="BM16" s="1">
        <v>3.4834766814468102E-5</v>
      </c>
      <c r="BN16" s="1">
        <v>4.1740475999716601E-7</v>
      </c>
      <c r="BO16" s="1">
        <v>5.4718323756923303E-7</v>
      </c>
      <c r="BP16">
        <v>0</v>
      </c>
      <c r="BQ16">
        <v>0</v>
      </c>
      <c r="BR16" s="1">
        <v>6.7976035561608306E-5</v>
      </c>
      <c r="BS16" s="1">
        <v>1.95480955048201E-5</v>
      </c>
    </row>
    <row r="17" spans="1:71" x14ac:dyDescent="0.25">
      <c r="A17">
        <v>14</v>
      </c>
      <c r="B17" s="1">
        <v>4.2762890585323602E-5</v>
      </c>
      <c r="C17">
        <v>9.6764927844012E-2</v>
      </c>
      <c r="D17">
        <v>-2.25932273113764E-4</v>
      </c>
      <c r="E17" s="1">
        <v>-5.8120818491011003E-5</v>
      </c>
      <c r="F17">
        <v>-9.6764927844012003E-4</v>
      </c>
      <c r="G17">
        <v>-7.74119422752096E-4</v>
      </c>
      <c r="H17" t="s">
        <v>74</v>
      </c>
      <c r="I17">
        <v>0</v>
      </c>
      <c r="J17" t="s">
        <v>75</v>
      </c>
      <c r="K17">
        <v>3.14159265358979</v>
      </c>
      <c r="L17">
        <v>0.94162987864505299</v>
      </c>
      <c r="M17">
        <v>0</v>
      </c>
      <c r="N17">
        <v>5.5287861203569599E-2</v>
      </c>
      <c r="O17">
        <v>0</v>
      </c>
      <c r="P17">
        <v>1.6E-2</v>
      </c>
      <c r="Q17">
        <v>0</v>
      </c>
      <c r="R17">
        <v>0</v>
      </c>
      <c r="S17">
        <v>0</v>
      </c>
      <c r="T17">
        <v>0</v>
      </c>
      <c r="U17">
        <v>0.94987638289344001</v>
      </c>
      <c r="V17" t="s">
        <v>78</v>
      </c>
      <c r="W17">
        <v>3040002.3220127798</v>
      </c>
      <c r="X17" t="s">
        <v>76</v>
      </c>
      <c r="Y17">
        <v>-1.5707963267949001</v>
      </c>
      <c r="Z17">
        <v>0.93832330534189001</v>
      </c>
      <c r="AA17">
        <v>0</v>
      </c>
      <c r="AB17">
        <v>5.32845530647083E-2</v>
      </c>
      <c r="AC17">
        <v>3.5121455935386398E-4</v>
      </c>
      <c r="AD17">
        <v>2.0293370618775199E-2</v>
      </c>
      <c r="AE17">
        <v>2.55115081876694E-3</v>
      </c>
      <c r="AF17">
        <v>0</v>
      </c>
      <c r="AG17">
        <v>7.1333036323919602E-2</v>
      </c>
      <c r="AH17">
        <v>4.6681068223497499E-3</v>
      </c>
      <c r="AI17">
        <v>0.90150802886530002</v>
      </c>
      <c r="AJ17" t="s">
        <v>74</v>
      </c>
      <c r="AK17">
        <v>0</v>
      </c>
      <c r="AL17" t="s">
        <v>77</v>
      </c>
      <c r="AM17">
        <v>0</v>
      </c>
      <c r="AN17">
        <v>0.99200000000000099</v>
      </c>
      <c r="AO17">
        <v>0</v>
      </c>
      <c r="AP17">
        <v>5.82453462424753E-2</v>
      </c>
      <c r="AQ17">
        <v>0</v>
      </c>
      <c r="AR17">
        <v>1.6E-2</v>
      </c>
      <c r="AS17">
        <v>0</v>
      </c>
      <c r="AT17">
        <v>0</v>
      </c>
      <c r="AU17">
        <v>0</v>
      </c>
      <c r="AV17">
        <v>0</v>
      </c>
      <c r="AW17">
        <v>1</v>
      </c>
      <c r="AX17" t="s">
        <v>78</v>
      </c>
      <c r="AY17">
        <v>1953903.77288809</v>
      </c>
      <c r="AZ17" t="s">
        <v>76</v>
      </c>
      <c r="BA17">
        <v>-1.5707963267949001</v>
      </c>
      <c r="BB17">
        <v>0.99200000000000099</v>
      </c>
      <c r="BC17">
        <v>0</v>
      </c>
      <c r="BD17">
        <v>5.82453462424753E-2</v>
      </c>
      <c r="BE17">
        <v>0</v>
      </c>
      <c r="BF17">
        <v>1.6E-2</v>
      </c>
      <c r="BG17">
        <v>0</v>
      </c>
      <c r="BH17">
        <v>0</v>
      </c>
      <c r="BI17">
        <v>0</v>
      </c>
      <c r="BJ17">
        <v>0</v>
      </c>
      <c r="BK17">
        <v>1</v>
      </c>
      <c r="BL17">
        <v>1.1270716065629099E-4</v>
      </c>
      <c r="BM17" s="1">
        <v>3.8000571573134697E-5</v>
      </c>
      <c r="BN17" s="1">
        <v>4.1652049652712102E-7</v>
      </c>
      <c r="BO17" s="1">
        <v>5.9691158243186497E-7</v>
      </c>
      <c r="BP17">
        <v>0</v>
      </c>
      <c r="BQ17">
        <v>0</v>
      </c>
      <c r="BR17" s="1">
        <v>6.7832500916326603E-5</v>
      </c>
      <c r="BS17" s="1">
        <v>2.13259282263893E-5</v>
      </c>
    </row>
    <row r="18" spans="1:71" x14ac:dyDescent="0.25">
      <c r="A18">
        <v>15</v>
      </c>
      <c r="B18" s="1">
        <v>3.9647632401064202E-5</v>
      </c>
      <c r="C18">
        <v>9.6804575476413093E-2</v>
      </c>
      <c r="D18">
        <v>-2.26162416266135E-4</v>
      </c>
      <c r="E18" s="1">
        <v>-5.8304933012908201E-5</v>
      </c>
      <c r="F18">
        <v>-9.6804575476413103E-4</v>
      </c>
      <c r="G18">
        <v>-7.74436603811304E-4</v>
      </c>
      <c r="H18" t="s">
        <v>74</v>
      </c>
      <c r="I18">
        <v>0</v>
      </c>
      <c r="J18" t="s">
        <v>75</v>
      </c>
      <c r="K18">
        <v>3.14159265358979</v>
      </c>
      <c r="L18">
        <v>0.93743377610591205</v>
      </c>
      <c r="M18">
        <v>0</v>
      </c>
      <c r="N18">
        <v>5.5041486762782102E-2</v>
      </c>
      <c r="O18">
        <v>0</v>
      </c>
      <c r="P18">
        <v>1.6E-2</v>
      </c>
      <c r="Q18">
        <v>0</v>
      </c>
      <c r="R18">
        <v>0</v>
      </c>
      <c r="S18">
        <v>0</v>
      </c>
      <c r="T18">
        <v>0</v>
      </c>
      <c r="U18">
        <v>0.94555717515266802</v>
      </c>
      <c r="V18" t="s">
        <v>78</v>
      </c>
      <c r="W18">
        <v>3042385.5504468</v>
      </c>
      <c r="X18" t="s">
        <v>76</v>
      </c>
      <c r="Y18">
        <v>-1.5707963267949001</v>
      </c>
      <c r="Z18">
        <v>0.93408841331137205</v>
      </c>
      <c r="AA18">
        <v>0</v>
      </c>
      <c r="AB18">
        <v>5.3018138336596597E-2</v>
      </c>
      <c r="AC18">
        <v>3.7951834968793499E-4</v>
      </c>
      <c r="AD18">
        <v>2.0170058616390402E-2</v>
      </c>
      <c r="AE18">
        <v>2.7760280512002301E-3</v>
      </c>
      <c r="AF18">
        <v>0</v>
      </c>
      <c r="AG18">
        <v>7.6840730438446206E-2</v>
      </c>
      <c r="AH18">
        <v>5.4917174804759803E-3</v>
      </c>
      <c r="AI18">
        <v>0.89340081331368404</v>
      </c>
      <c r="AJ18" t="s">
        <v>74</v>
      </c>
      <c r="AK18">
        <v>0</v>
      </c>
      <c r="AL18" t="s">
        <v>77</v>
      </c>
      <c r="AM18">
        <v>0</v>
      </c>
      <c r="AN18">
        <v>0.99200000000000099</v>
      </c>
      <c r="AO18">
        <v>0</v>
      </c>
      <c r="AP18">
        <v>5.82453462424753E-2</v>
      </c>
      <c r="AQ18">
        <v>0</v>
      </c>
      <c r="AR18">
        <v>1.6E-2</v>
      </c>
      <c r="AS18">
        <v>0</v>
      </c>
      <c r="AT18">
        <v>0</v>
      </c>
      <c r="AU18">
        <v>0</v>
      </c>
      <c r="AV18">
        <v>0</v>
      </c>
      <c r="AW18">
        <v>1</v>
      </c>
      <c r="AX18" t="s">
        <v>78</v>
      </c>
      <c r="AY18">
        <v>1955989.0977678499</v>
      </c>
      <c r="AZ18" t="s">
        <v>76</v>
      </c>
      <c r="BA18">
        <v>-1.5707963267949001</v>
      </c>
      <c r="BB18">
        <v>0.99200000000000099</v>
      </c>
      <c r="BC18">
        <v>0</v>
      </c>
      <c r="BD18">
        <v>5.82453462424753E-2</v>
      </c>
      <c r="BE18">
        <v>0</v>
      </c>
      <c r="BF18">
        <v>1.6E-2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1.1246491796700901E-4</v>
      </c>
      <c r="BM18" s="1">
        <v>4.1166223959461103E-5</v>
      </c>
      <c r="BN18" s="1">
        <v>4.1564688312111699E-7</v>
      </c>
      <c r="BO18" s="1">
        <v>6.4663753383537605E-7</v>
      </c>
      <c r="BP18">
        <v>0</v>
      </c>
      <c r="BQ18">
        <v>0</v>
      </c>
      <c r="BR18" s="1">
        <v>6.7689192175994704E-5</v>
      </c>
      <c r="BS18" s="1">
        <v>2.3103788546942799E-5</v>
      </c>
    </row>
    <row r="19" spans="1:71" x14ac:dyDescent="0.25">
      <c r="A19">
        <v>16</v>
      </c>
      <c r="B19" s="1">
        <v>3.6989398211909303E-5</v>
      </c>
      <c r="C19">
        <v>9.6841564874625002E-2</v>
      </c>
      <c r="D19">
        <v>-2.2637708656598199E-4</v>
      </c>
      <c r="E19" s="1">
        <v>-5.84766692527854E-5</v>
      </c>
      <c r="F19">
        <v>-9.6841564874625E-4</v>
      </c>
      <c r="G19">
        <v>-7.7473251899699998E-4</v>
      </c>
      <c r="H19" t="s">
        <v>74</v>
      </c>
      <c r="I19">
        <v>0</v>
      </c>
      <c r="J19" t="s">
        <v>75</v>
      </c>
      <c r="K19">
        <v>3.14159265358979</v>
      </c>
      <c r="L19">
        <v>0.93323787913650502</v>
      </c>
      <c r="M19">
        <v>0</v>
      </c>
      <c r="N19">
        <v>5.4795124392035301E-2</v>
      </c>
      <c r="O19">
        <v>0</v>
      </c>
      <c r="P19">
        <v>1.6E-2</v>
      </c>
      <c r="Q19">
        <v>0</v>
      </c>
      <c r="R19">
        <v>0</v>
      </c>
      <c r="S19">
        <v>0</v>
      </c>
      <c r="T19">
        <v>0</v>
      </c>
      <c r="U19">
        <v>0.94124945626232004</v>
      </c>
      <c r="V19" t="s">
        <v>78</v>
      </c>
      <c r="W19">
        <v>3044608.5510325702</v>
      </c>
      <c r="X19" t="s">
        <v>76</v>
      </c>
      <c r="Y19">
        <v>-1.5707963267949001</v>
      </c>
      <c r="Z19">
        <v>0.92985763558020296</v>
      </c>
      <c r="AA19">
        <v>0</v>
      </c>
      <c r="AB19">
        <v>5.27539600950978E-2</v>
      </c>
      <c r="AC19">
        <v>4.07747122923505E-4</v>
      </c>
      <c r="AD19">
        <v>2.0038725286932801E-2</v>
      </c>
      <c r="AE19">
        <v>3.00152843117432E-3</v>
      </c>
      <c r="AF19">
        <v>0</v>
      </c>
      <c r="AG19">
        <v>8.2279207534794604E-2</v>
      </c>
      <c r="AH19">
        <v>6.38423498212969E-3</v>
      </c>
      <c r="AI19">
        <v>0.88534308064354506</v>
      </c>
      <c r="AJ19" t="s">
        <v>74</v>
      </c>
      <c r="AK19">
        <v>0</v>
      </c>
      <c r="AL19" t="s">
        <v>77</v>
      </c>
      <c r="AM19">
        <v>0</v>
      </c>
      <c r="AN19">
        <v>0.99200000000000099</v>
      </c>
      <c r="AO19">
        <v>0</v>
      </c>
      <c r="AP19">
        <v>5.82453462424753E-2</v>
      </c>
      <c r="AQ19">
        <v>0</v>
      </c>
      <c r="AR19">
        <v>1.6E-2</v>
      </c>
      <c r="AS19">
        <v>0</v>
      </c>
      <c r="AT19">
        <v>0</v>
      </c>
      <c r="AU19">
        <v>0</v>
      </c>
      <c r="AV19">
        <v>0</v>
      </c>
      <c r="AW19">
        <v>1</v>
      </c>
      <c r="AX19" t="s">
        <v>78</v>
      </c>
      <c r="AY19">
        <v>1957934.2232804</v>
      </c>
      <c r="AZ19" t="s">
        <v>76</v>
      </c>
      <c r="BA19">
        <v>-1.5707963267949001</v>
      </c>
      <c r="BB19">
        <v>0.99200000000000099</v>
      </c>
      <c r="BC19">
        <v>0</v>
      </c>
      <c r="BD19">
        <v>5.82453462424753E-2</v>
      </c>
      <c r="BE19">
        <v>0</v>
      </c>
      <c r="BF19">
        <v>1.6E-2</v>
      </c>
      <c r="BG19">
        <v>0</v>
      </c>
      <c r="BH19">
        <v>0</v>
      </c>
      <c r="BI19">
        <v>0</v>
      </c>
      <c r="BJ19">
        <v>0</v>
      </c>
      <c r="BK19">
        <v>1</v>
      </c>
      <c r="BL19">
        <v>1.12223762047504E-4</v>
      </c>
      <c r="BM19" s="1">
        <v>4.4331721258462101E-5</v>
      </c>
      <c r="BN19" s="1">
        <v>4.1478251812136499E-7</v>
      </c>
      <c r="BO19" s="1">
        <v>6.9636104913287603E-7</v>
      </c>
      <c r="BP19">
        <v>0</v>
      </c>
      <c r="BQ19">
        <v>0</v>
      </c>
      <c r="BR19" s="1">
        <v>6.7546091074047806E-5</v>
      </c>
      <c r="BS19" s="1">
        <v>2.4881667526844501E-5</v>
      </c>
    </row>
    <row r="20" spans="1:71" x14ac:dyDescent="0.25">
      <c r="A20">
        <v>17</v>
      </c>
      <c r="B20" s="1">
        <v>3.4695006975803099E-5</v>
      </c>
      <c r="C20">
        <v>9.6876259881600799E-2</v>
      </c>
      <c r="D20">
        <v>-2.2657840398199199E-4</v>
      </c>
      <c r="E20" s="1">
        <v>-5.8637723185593402E-5</v>
      </c>
      <c r="F20">
        <v>-9.6876259881600803E-4</v>
      </c>
      <c r="G20">
        <v>-7.7501007905280599E-4</v>
      </c>
      <c r="H20" t="s">
        <v>74</v>
      </c>
      <c r="I20">
        <v>0</v>
      </c>
      <c r="J20" t="s">
        <v>75</v>
      </c>
      <c r="K20">
        <v>3.14159265358979</v>
      </c>
      <c r="L20">
        <v>0.92904219148002198</v>
      </c>
      <c r="M20">
        <v>0</v>
      </c>
      <c r="N20">
        <v>5.4548774311110701E-2</v>
      </c>
      <c r="O20">
        <v>0</v>
      </c>
      <c r="P20">
        <v>1.6E-2</v>
      </c>
      <c r="Q20">
        <v>0</v>
      </c>
      <c r="R20">
        <v>0</v>
      </c>
      <c r="S20">
        <v>0</v>
      </c>
      <c r="T20">
        <v>0</v>
      </c>
      <c r="U20">
        <v>0.93695057921274005</v>
      </c>
      <c r="V20" t="s">
        <v>78</v>
      </c>
      <c r="W20">
        <v>3046693.2769310102</v>
      </c>
      <c r="X20" t="s">
        <v>76</v>
      </c>
      <c r="Y20">
        <v>-1.5707963267949001</v>
      </c>
      <c r="Z20">
        <v>0.92563046592625298</v>
      </c>
      <c r="AA20">
        <v>0</v>
      </c>
      <c r="AB20">
        <v>5.2491718789081203E-2</v>
      </c>
      <c r="AC20">
        <v>4.3589749137931601E-4</v>
      </c>
      <c r="AD20">
        <v>1.99004391008527E-2</v>
      </c>
      <c r="AE20">
        <v>3.2275784471410699E-3</v>
      </c>
      <c r="AF20">
        <v>0</v>
      </c>
      <c r="AG20">
        <v>8.7647981061956898E-2</v>
      </c>
      <c r="AH20">
        <v>7.34614023039402E-3</v>
      </c>
      <c r="AI20">
        <v>0.87733232384297799</v>
      </c>
      <c r="AJ20" t="s">
        <v>74</v>
      </c>
      <c r="AK20">
        <v>0</v>
      </c>
      <c r="AL20" t="s">
        <v>77</v>
      </c>
      <c r="AM20">
        <v>0</v>
      </c>
      <c r="AN20">
        <v>0.99200000000000099</v>
      </c>
      <c r="AO20">
        <v>0</v>
      </c>
      <c r="AP20">
        <v>5.82453462424753E-2</v>
      </c>
      <c r="AQ20">
        <v>0</v>
      </c>
      <c r="AR20">
        <v>1.6E-2</v>
      </c>
      <c r="AS20">
        <v>0</v>
      </c>
      <c r="AT20">
        <v>0</v>
      </c>
      <c r="AU20">
        <v>0</v>
      </c>
      <c r="AV20">
        <v>0</v>
      </c>
      <c r="AW20">
        <v>1</v>
      </c>
      <c r="AX20" t="s">
        <v>78</v>
      </c>
      <c r="AY20">
        <v>1959758.35844153</v>
      </c>
      <c r="AZ20" t="s">
        <v>76</v>
      </c>
      <c r="BA20">
        <v>-1.5707963267949001</v>
      </c>
      <c r="BB20">
        <v>0.99200000000000099</v>
      </c>
      <c r="BC20">
        <v>0</v>
      </c>
      <c r="BD20">
        <v>5.82453462424753E-2</v>
      </c>
      <c r="BE20">
        <v>0</v>
      </c>
      <c r="BF20">
        <v>1.6E-2</v>
      </c>
      <c r="BG20">
        <v>0</v>
      </c>
      <c r="BH20">
        <v>0</v>
      </c>
      <c r="BI20">
        <v>0</v>
      </c>
      <c r="BJ20">
        <v>0</v>
      </c>
      <c r="BK20">
        <v>1</v>
      </c>
      <c r="BL20">
        <v>1.11983541538261E-4</v>
      </c>
      <c r="BM20" s="1">
        <v>4.7497060646175503E-5</v>
      </c>
      <c r="BN20" s="1">
        <v>4.1392609149978698E-7</v>
      </c>
      <c r="BO20" s="1">
        <v>7.4608208396566897E-7</v>
      </c>
      <c r="BP20">
        <v>0</v>
      </c>
      <c r="BQ20">
        <v>0</v>
      </c>
      <c r="BR20" s="1">
        <v>6.7403166710159801E-5</v>
      </c>
      <c r="BS20" s="1">
        <v>2.66595572473307E-5</v>
      </c>
    </row>
    <row r="21" spans="1:71" x14ac:dyDescent="0.25">
      <c r="A21">
        <v>18</v>
      </c>
      <c r="B21" s="1">
        <v>3.2695046159102702E-5</v>
      </c>
      <c r="C21">
        <v>9.6908954927759902E-2</v>
      </c>
      <c r="D21">
        <v>-2.2676808373581699E-4</v>
      </c>
      <c r="E21" s="1">
        <v>-5.8789466988653601E-5</v>
      </c>
      <c r="F21">
        <v>-9.6908954927759901E-4</v>
      </c>
      <c r="G21">
        <v>-7.7527163942207899E-4</v>
      </c>
      <c r="H21" t="s">
        <v>74</v>
      </c>
      <c r="I21">
        <v>0</v>
      </c>
      <c r="J21" t="s">
        <v>75</v>
      </c>
      <c r="K21">
        <v>3.14159265358979</v>
      </c>
      <c r="L21">
        <v>0.92484671699138599</v>
      </c>
      <c r="M21">
        <v>0</v>
      </c>
      <c r="N21">
        <v>5.4302436746350602E-2</v>
      </c>
      <c r="O21">
        <v>0</v>
      </c>
      <c r="P21">
        <v>1.6E-2</v>
      </c>
      <c r="Q21">
        <v>0</v>
      </c>
      <c r="R21">
        <v>0</v>
      </c>
      <c r="S21">
        <v>0</v>
      </c>
      <c r="T21">
        <v>0</v>
      </c>
      <c r="U21">
        <v>0.93265863922861703</v>
      </c>
      <c r="V21" t="s">
        <v>78</v>
      </c>
      <c r="W21">
        <v>3048657.4899784802</v>
      </c>
      <c r="X21" t="s">
        <v>76</v>
      </c>
      <c r="Y21">
        <v>-1.5707963267949001</v>
      </c>
      <c r="Z21">
        <v>0.92140649432418498</v>
      </c>
      <c r="AA21">
        <v>0</v>
      </c>
      <c r="AB21">
        <v>5.2231172521520597E-2</v>
      </c>
      <c r="AC21">
        <v>4.63894264886019E-4</v>
      </c>
      <c r="AD21">
        <v>1.9756070280376199E-2</v>
      </c>
      <c r="AE21">
        <v>3.45411355845505E-3</v>
      </c>
      <c r="AF21">
        <v>0</v>
      </c>
      <c r="AG21">
        <v>9.2946556854314202E-2</v>
      </c>
      <c r="AH21">
        <v>8.3779215743712693E-3</v>
      </c>
      <c r="AI21">
        <v>0.86936677704089305</v>
      </c>
      <c r="AJ21" t="s">
        <v>74</v>
      </c>
      <c r="AK21">
        <v>0</v>
      </c>
      <c r="AL21" t="s">
        <v>79</v>
      </c>
      <c r="AM21" t="s">
        <v>80</v>
      </c>
      <c r="AN21">
        <v>0.99200000000000099</v>
      </c>
      <c r="AO21">
        <v>0</v>
      </c>
      <c r="AP21">
        <v>5.82453462424753E-2</v>
      </c>
      <c r="AQ21">
        <v>0</v>
      </c>
      <c r="AR21">
        <v>1.6E-2</v>
      </c>
      <c r="AS21">
        <v>0</v>
      </c>
      <c r="AT21">
        <v>0</v>
      </c>
      <c r="AU21">
        <v>0</v>
      </c>
      <c r="AV21">
        <v>0</v>
      </c>
      <c r="AW21">
        <v>1</v>
      </c>
      <c r="AX21" t="s">
        <v>78</v>
      </c>
      <c r="AY21">
        <v>1961477.0448580701</v>
      </c>
      <c r="AZ21" t="s">
        <v>76</v>
      </c>
      <c r="BA21">
        <v>-1.5707963267949001</v>
      </c>
      <c r="BB21">
        <v>0.99200000000000099</v>
      </c>
      <c r="BC21">
        <v>0</v>
      </c>
      <c r="BD21">
        <v>5.82453462424753E-2</v>
      </c>
      <c r="BE21">
        <v>0</v>
      </c>
      <c r="BF21">
        <v>1.6E-2</v>
      </c>
      <c r="BG21">
        <v>0</v>
      </c>
      <c r="BH21">
        <v>0</v>
      </c>
      <c r="BI21">
        <v>0</v>
      </c>
      <c r="BJ21">
        <v>0</v>
      </c>
      <c r="BK21">
        <v>1</v>
      </c>
      <c r="BL21">
        <v>1.11744098008854E-4</v>
      </c>
      <c r="BM21" s="1">
        <v>5.0662239214342701E-5</v>
      </c>
      <c r="BN21" s="1">
        <v>4.1307630262755699E-7</v>
      </c>
      <c r="BO21" s="1">
        <v>7.9580059265093899E-7</v>
      </c>
      <c r="BP21">
        <v>0</v>
      </c>
      <c r="BQ21">
        <v>0</v>
      </c>
      <c r="BR21" s="1">
        <v>6.7260373949955003E-5</v>
      </c>
      <c r="BS21" s="1">
        <v>2.8437450609115999E-5</v>
      </c>
    </row>
    <row r="22" spans="1:71" x14ac:dyDescent="0.25">
      <c r="A22">
        <v>19</v>
      </c>
      <c r="B22" s="1">
        <v>3.0936742281664699E-5</v>
      </c>
      <c r="C22">
        <v>9.6939891670041495E-2</v>
      </c>
      <c r="D22">
        <v>-2.2694753337925501E-4</v>
      </c>
      <c r="E22" s="1">
        <v>-5.8933026703404197E-5</v>
      </c>
      <c r="F22">
        <v>-9.6939891670041502E-4</v>
      </c>
      <c r="G22">
        <v>-7.7551913336033201E-4</v>
      </c>
      <c r="H22" t="s">
        <v>74</v>
      </c>
      <c r="I22">
        <v>0</v>
      </c>
      <c r="J22" t="s">
        <v>75</v>
      </c>
      <c r="K22">
        <v>3.14159265358979</v>
      </c>
      <c r="L22">
        <v>0.920651459620347</v>
      </c>
      <c r="M22">
        <v>0</v>
      </c>
      <c r="N22">
        <v>5.4056111929664599E-2</v>
      </c>
      <c r="O22">
        <v>0</v>
      </c>
      <c r="P22">
        <v>1.6E-2</v>
      </c>
      <c r="Q22">
        <v>0</v>
      </c>
      <c r="R22">
        <v>0</v>
      </c>
      <c r="S22">
        <v>0</v>
      </c>
      <c r="T22">
        <v>0</v>
      </c>
      <c r="U22">
        <v>0.92837223979191796</v>
      </c>
      <c r="V22" t="s">
        <v>78</v>
      </c>
      <c r="W22">
        <v>3050515.7659615302</v>
      </c>
      <c r="X22" t="s">
        <v>76</v>
      </c>
      <c r="Y22">
        <v>-1.5707963267949001</v>
      </c>
      <c r="Z22">
        <v>0.91718538402576</v>
      </c>
      <c r="AA22">
        <v>0</v>
      </c>
      <c r="AB22">
        <v>5.1972123118041301E-2</v>
      </c>
      <c r="AC22">
        <v>4.9187846251453704E-4</v>
      </c>
      <c r="AD22">
        <v>1.9606337937771601E-2</v>
      </c>
      <c r="AE22">
        <v>3.6810764220160802E-3</v>
      </c>
      <c r="AF22">
        <v>0</v>
      </c>
      <c r="AG22">
        <v>9.8174433522100604E-2</v>
      </c>
      <c r="AH22">
        <v>9.4800744442332403E-3</v>
      </c>
      <c r="AI22">
        <v>0.861445181410884</v>
      </c>
      <c r="AJ22" t="s">
        <v>74</v>
      </c>
      <c r="AK22">
        <v>0</v>
      </c>
      <c r="AL22" t="s">
        <v>77</v>
      </c>
      <c r="AM22">
        <v>0</v>
      </c>
      <c r="AN22">
        <v>0.99200000000000099</v>
      </c>
      <c r="AO22">
        <v>0</v>
      </c>
      <c r="AP22">
        <v>5.82453462424753E-2</v>
      </c>
      <c r="AQ22">
        <v>0</v>
      </c>
      <c r="AR22">
        <v>1.6E-2</v>
      </c>
      <c r="AS22">
        <v>0</v>
      </c>
      <c r="AT22">
        <v>0</v>
      </c>
      <c r="AU22">
        <v>0</v>
      </c>
      <c r="AV22">
        <v>0</v>
      </c>
      <c r="AW22">
        <v>1</v>
      </c>
      <c r="AX22" t="s">
        <v>78</v>
      </c>
      <c r="AY22">
        <v>1963103.0363432399</v>
      </c>
      <c r="AZ22" t="s">
        <v>76</v>
      </c>
      <c r="BA22">
        <v>-1.5707963267949001</v>
      </c>
      <c r="BB22">
        <v>0.99200000000000099</v>
      </c>
      <c r="BC22">
        <v>0</v>
      </c>
      <c r="BD22">
        <v>5.82453462424753E-2</v>
      </c>
      <c r="BE22">
        <v>0</v>
      </c>
      <c r="BF22">
        <v>1.6E-2</v>
      </c>
      <c r="BG22">
        <v>0</v>
      </c>
      <c r="BH22">
        <v>0</v>
      </c>
      <c r="BI22">
        <v>0</v>
      </c>
      <c r="BJ22">
        <v>0</v>
      </c>
      <c r="BK22">
        <v>1</v>
      </c>
      <c r="BL22">
        <v>1.1150540299758499E-4</v>
      </c>
      <c r="BM22" s="1">
        <v>5.38272539831669E-5</v>
      </c>
      <c r="BN22" s="1">
        <v>4.1223277476891701E-7</v>
      </c>
      <c r="BO22" s="1">
        <v>8.4551652838214603E-7</v>
      </c>
      <c r="BP22">
        <v>0</v>
      </c>
      <c r="BQ22">
        <v>0</v>
      </c>
      <c r="BR22" s="1">
        <v>6.7117732800996493E-5</v>
      </c>
      <c r="BS22" s="1">
        <v>3.02153411781389E-5</v>
      </c>
    </row>
    <row r="23" spans="1:71" x14ac:dyDescent="0.25">
      <c r="A23">
        <v>20</v>
      </c>
      <c r="B23" s="1">
        <v>2.93792539754789E-5</v>
      </c>
      <c r="C23">
        <v>9.6969270924016998E-2</v>
      </c>
      <c r="D23">
        <v>-2.2711792239742999E-4</v>
      </c>
      <c r="E23" s="1">
        <v>-5.9069337917944101E-5</v>
      </c>
      <c r="F23">
        <v>-9.6969270924017004E-4</v>
      </c>
      <c r="G23">
        <v>-7.7575416739213599E-4</v>
      </c>
      <c r="H23" t="s">
        <v>74</v>
      </c>
      <c r="I23">
        <v>0</v>
      </c>
      <c r="J23" t="s">
        <v>75</v>
      </c>
      <c r="K23">
        <v>3.14159265358979</v>
      </c>
      <c r="L23">
        <v>0.91645642340377398</v>
      </c>
      <c r="M23">
        <v>0</v>
      </c>
      <c r="N23">
        <v>5.3809800098077898E-2</v>
      </c>
      <c r="O23">
        <v>0</v>
      </c>
      <c r="P23">
        <v>1.6E-2</v>
      </c>
      <c r="Q23">
        <v>0</v>
      </c>
      <c r="R23">
        <v>0</v>
      </c>
      <c r="S23">
        <v>0</v>
      </c>
      <c r="T23">
        <v>0</v>
      </c>
      <c r="U23">
        <v>0.92409033769055504</v>
      </c>
      <c r="V23" t="s">
        <v>78</v>
      </c>
      <c r="W23">
        <v>3052280.2153869201</v>
      </c>
      <c r="X23" t="s">
        <v>76</v>
      </c>
      <c r="Y23">
        <v>-1.5707963267949001</v>
      </c>
      <c r="Z23">
        <v>0.91296685511464204</v>
      </c>
      <c r="AA23">
        <v>0</v>
      </c>
      <c r="AB23">
        <v>5.1714406166340099E-2</v>
      </c>
      <c r="AC23">
        <v>5.1970414908873697E-4</v>
      </c>
      <c r="AD23">
        <v>1.9451843921693999E-2</v>
      </c>
      <c r="AE23">
        <v>3.9084155550602601E-3</v>
      </c>
      <c r="AF23">
        <v>0</v>
      </c>
      <c r="AG23">
        <v>0.103331102730549</v>
      </c>
      <c r="AH23">
        <v>1.0653101083703599E-2</v>
      </c>
      <c r="AI23">
        <v>0.85356663011814005</v>
      </c>
      <c r="AJ23" t="s">
        <v>74</v>
      </c>
      <c r="AK23">
        <v>0</v>
      </c>
      <c r="AL23" t="s">
        <v>77</v>
      </c>
      <c r="AM23">
        <v>0</v>
      </c>
      <c r="AN23">
        <v>0.99200000000000099</v>
      </c>
      <c r="AO23">
        <v>0</v>
      </c>
      <c r="AP23">
        <v>5.82453462424753E-2</v>
      </c>
      <c r="AQ23">
        <v>0</v>
      </c>
      <c r="AR23">
        <v>1.6E-2</v>
      </c>
      <c r="AS23">
        <v>0</v>
      </c>
      <c r="AT23">
        <v>0</v>
      </c>
      <c r="AU23">
        <v>0</v>
      </c>
      <c r="AV23">
        <v>0</v>
      </c>
      <c r="AW23">
        <v>1</v>
      </c>
      <c r="AX23" t="s">
        <v>78</v>
      </c>
      <c r="AY23">
        <v>1964646.9295904599</v>
      </c>
      <c r="AZ23" t="s">
        <v>76</v>
      </c>
      <c r="BA23">
        <v>-1.5707963267949001</v>
      </c>
      <c r="BB23">
        <v>0.99200000000000099</v>
      </c>
      <c r="BC23">
        <v>0</v>
      </c>
      <c r="BD23">
        <v>5.82453462424753E-2</v>
      </c>
      <c r="BE23">
        <v>0</v>
      </c>
      <c r="BF23">
        <v>1.6E-2</v>
      </c>
      <c r="BG23">
        <v>0</v>
      </c>
      <c r="BH23">
        <v>0</v>
      </c>
      <c r="BI23">
        <v>0</v>
      </c>
      <c r="BJ23">
        <v>0</v>
      </c>
      <c r="BK23">
        <v>1</v>
      </c>
      <c r="BL23">
        <v>1.11267301449229E-4</v>
      </c>
      <c r="BM23" s="1">
        <v>5.6992101907126102E-5</v>
      </c>
      <c r="BN23" s="1">
        <v>4.1139430604273798E-7</v>
      </c>
      <c r="BO23" s="1">
        <v>8.9522984332034105E-7</v>
      </c>
      <c r="BP23">
        <v>0</v>
      </c>
      <c r="BQ23">
        <v>0</v>
      </c>
      <c r="BR23" s="1">
        <v>6.6975186162850301E-5</v>
      </c>
      <c r="BS23" s="1">
        <v>3.1993223065398303E-5</v>
      </c>
    </row>
    <row r="24" spans="1:71" x14ac:dyDescent="0.25">
      <c r="A24">
        <v>21</v>
      </c>
      <c r="B24" s="1">
        <v>2.7990478249503599E-5</v>
      </c>
      <c r="C24">
        <v>9.6997261402266499E-2</v>
      </c>
      <c r="D24">
        <v>-2.2728023317370699E-4</v>
      </c>
      <c r="E24" s="1">
        <v>-5.9199186538965501E-5</v>
      </c>
      <c r="F24">
        <v>-9.69972614022665E-4</v>
      </c>
      <c r="G24">
        <v>-7.7597809121813198E-4</v>
      </c>
      <c r="H24" t="s">
        <v>74</v>
      </c>
      <c r="I24">
        <v>0</v>
      </c>
      <c r="J24" t="s">
        <v>75</v>
      </c>
      <c r="K24">
        <v>3.14159265358979</v>
      </c>
      <c r="L24">
        <v>0.91226161246334203</v>
      </c>
      <c r="M24">
        <v>0</v>
      </c>
      <c r="N24">
        <v>5.3563501493594901E-2</v>
      </c>
      <c r="O24">
        <v>0</v>
      </c>
      <c r="P24">
        <v>1.6E-2</v>
      </c>
      <c r="Q24">
        <v>0</v>
      </c>
      <c r="R24">
        <v>0</v>
      </c>
      <c r="S24">
        <v>0</v>
      </c>
      <c r="T24">
        <v>0</v>
      </c>
      <c r="U24">
        <v>0.91981213948659601</v>
      </c>
      <c r="V24" t="s">
        <v>78</v>
      </c>
      <c r="W24">
        <v>3053961.0112445601</v>
      </c>
      <c r="X24" t="s">
        <v>76</v>
      </c>
      <c r="Y24">
        <v>-1.5707963267949001</v>
      </c>
      <c r="Z24">
        <v>0.90875067245389496</v>
      </c>
      <c r="AA24">
        <v>0</v>
      </c>
      <c r="AB24">
        <v>5.1457883741348402E-2</v>
      </c>
      <c r="AC24">
        <v>5.4751029752034795E-4</v>
      </c>
      <c r="AD24">
        <v>1.92930976417603E-2</v>
      </c>
      <c r="AE24">
        <v>4.1360843081898E-3</v>
      </c>
      <c r="AF24">
        <v>0</v>
      </c>
      <c r="AG24">
        <v>0.108416049392901</v>
      </c>
      <c r="AH24">
        <v>1.1897510360534099E-2</v>
      </c>
      <c r="AI24">
        <v>0.84573046469913005</v>
      </c>
      <c r="AJ24" t="s">
        <v>74</v>
      </c>
      <c r="AK24">
        <v>0</v>
      </c>
      <c r="AL24" t="s">
        <v>77</v>
      </c>
      <c r="AM24">
        <v>0</v>
      </c>
      <c r="AN24">
        <v>0.99200000000000099</v>
      </c>
      <c r="AO24">
        <v>0</v>
      </c>
      <c r="AP24">
        <v>5.82453462424753E-2</v>
      </c>
      <c r="AQ24">
        <v>0</v>
      </c>
      <c r="AR24">
        <v>1.6E-2</v>
      </c>
      <c r="AS24">
        <v>0</v>
      </c>
      <c r="AT24">
        <v>0</v>
      </c>
      <c r="AU24">
        <v>0</v>
      </c>
      <c r="AV24">
        <v>0</v>
      </c>
      <c r="AW24">
        <v>1</v>
      </c>
      <c r="AX24" t="s">
        <v>78</v>
      </c>
      <c r="AY24">
        <v>1966117.62596589</v>
      </c>
      <c r="AZ24" t="s">
        <v>76</v>
      </c>
      <c r="BA24">
        <v>-1.5707963267949001</v>
      </c>
      <c r="BB24">
        <v>0.99200000000000099</v>
      </c>
      <c r="BC24">
        <v>0</v>
      </c>
      <c r="BD24">
        <v>5.82453462424753E-2</v>
      </c>
      <c r="BE24">
        <v>0</v>
      </c>
      <c r="BF24">
        <v>1.6E-2</v>
      </c>
      <c r="BG24">
        <v>0</v>
      </c>
      <c r="BH24">
        <v>0</v>
      </c>
      <c r="BI24">
        <v>0</v>
      </c>
      <c r="BJ24">
        <v>0</v>
      </c>
      <c r="BK24">
        <v>1</v>
      </c>
      <c r="BL24">
        <v>1.1102979400870701E-4</v>
      </c>
      <c r="BM24" s="1">
        <v>6.0156779876717497E-5</v>
      </c>
      <c r="BN24" s="1">
        <v>4.10560775395408E-7</v>
      </c>
      <c r="BO24" s="1">
        <v>9.4494048862157E-7</v>
      </c>
      <c r="BP24">
        <v>0</v>
      </c>
      <c r="BQ24">
        <v>0</v>
      </c>
      <c r="BR24" s="1">
        <v>6.6832759576416494E-5</v>
      </c>
      <c r="BS24" s="1">
        <v>3.3771090831939401E-5</v>
      </c>
    </row>
    <row r="25" spans="1:71" x14ac:dyDescent="0.25">
      <c r="A25">
        <v>22</v>
      </c>
      <c r="B25" s="1">
        <v>2.6744831022454999E-5</v>
      </c>
      <c r="C25">
        <v>9.7024006233288995E-2</v>
      </c>
      <c r="D25">
        <v>-2.2743529900417299E-4</v>
      </c>
      <c r="E25" s="1">
        <v>-5.9323239203338697E-5</v>
      </c>
      <c r="F25">
        <v>-9.7024006233288997E-4</v>
      </c>
      <c r="G25">
        <v>-7.7619204986631202E-4</v>
      </c>
      <c r="H25" t="s">
        <v>74</v>
      </c>
      <c r="I25">
        <v>0</v>
      </c>
      <c r="J25" t="s">
        <v>75</v>
      </c>
      <c r="K25">
        <v>3.14159265358979</v>
      </c>
      <c r="L25">
        <v>0.90806703100640795</v>
      </c>
      <c r="M25">
        <v>0</v>
      </c>
      <c r="N25">
        <v>5.3317216363250701E-2</v>
      </c>
      <c r="O25">
        <v>0</v>
      </c>
      <c r="P25">
        <v>1.6E-2</v>
      </c>
      <c r="Q25">
        <v>0</v>
      </c>
      <c r="R25">
        <v>0</v>
      </c>
      <c r="S25">
        <v>0</v>
      </c>
      <c r="T25">
        <v>0</v>
      </c>
      <c r="U25">
        <v>0.91553703147754895</v>
      </c>
      <c r="V25" t="s">
        <v>78</v>
      </c>
      <c r="W25">
        <v>3055566.78266337</v>
      </c>
      <c r="X25" t="s">
        <v>76</v>
      </c>
      <c r="Y25">
        <v>-1.5707963267949001</v>
      </c>
      <c r="Z25">
        <v>0.904536636686745</v>
      </c>
      <c r="AA25">
        <v>0</v>
      </c>
      <c r="AB25">
        <v>5.1202438991451597E-2</v>
      </c>
      <c r="AC25">
        <v>5.7529288546515902E-4</v>
      </c>
      <c r="AD25">
        <v>1.91305346198649E-2</v>
      </c>
      <c r="AE25">
        <v>4.3640400635934504E-3</v>
      </c>
      <c r="AF25">
        <v>0</v>
      </c>
      <c r="AG25">
        <v>0.11342875179659399</v>
      </c>
      <c r="AH25">
        <v>1.3213817639002199E-2</v>
      </c>
      <c r="AI25">
        <v>0.83793620494384302</v>
      </c>
      <c r="AJ25" t="s">
        <v>74</v>
      </c>
      <c r="AK25">
        <v>0</v>
      </c>
      <c r="AL25" t="s">
        <v>77</v>
      </c>
      <c r="AM25">
        <v>0</v>
      </c>
      <c r="AN25">
        <v>0.99200000000000099</v>
      </c>
      <c r="AO25">
        <v>0</v>
      </c>
      <c r="AP25">
        <v>5.82453462424753E-2</v>
      </c>
      <c r="AQ25">
        <v>0</v>
      </c>
      <c r="AR25">
        <v>1.6E-2</v>
      </c>
      <c r="AS25">
        <v>0</v>
      </c>
      <c r="AT25">
        <v>0</v>
      </c>
      <c r="AU25">
        <v>0</v>
      </c>
      <c r="AV25">
        <v>0</v>
      </c>
      <c r="AW25">
        <v>1</v>
      </c>
      <c r="AX25" t="s">
        <v>78</v>
      </c>
      <c r="AY25">
        <v>1967522.67595734</v>
      </c>
      <c r="AZ25" t="s">
        <v>76</v>
      </c>
      <c r="BA25">
        <v>-1.5707963267949001</v>
      </c>
      <c r="BB25">
        <v>0.99200000000000099</v>
      </c>
      <c r="BC25">
        <v>0</v>
      </c>
      <c r="BD25">
        <v>5.82453462424753E-2</v>
      </c>
      <c r="BE25">
        <v>0</v>
      </c>
      <c r="BF25">
        <v>1.6E-2</v>
      </c>
      <c r="BG25">
        <v>0</v>
      </c>
      <c r="BH25">
        <v>0</v>
      </c>
      <c r="BI25">
        <v>0</v>
      </c>
      <c r="BJ25">
        <v>0</v>
      </c>
      <c r="BK25">
        <v>1</v>
      </c>
      <c r="BL25">
        <v>1.10792820362559E-4</v>
      </c>
      <c r="BM25" s="1">
        <v>6.3321284717798301E-5</v>
      </c>
      <c r="BN25" s="1">
        <v>4.09731668742646E-7</v>
      </c>
      <c r="BO25" s="1">
        <v>9.9464841442651502E-7</v>
      </c>
      <c r="BP25">
        <v>0</v>
      </c>
      <c r="BQ25">
        <v>0</v>
      </c>
      <c r="BR25" s="1">
        <v>6.66904405699812E-5</v>
      </c>
      <c r="BS25" s="1">
        <v>3.5548939412706898E-5</v>
      </c>
    </row>
    <row r="26" spans="1:71" x14ac:dyDescent="0.25">
      <c r="A26">
        <v>23</v>
      </c>
      <c r="B26" s="1">
        <v>2.5621671811704799E-5</v>
      </c>
      <c r="C26">
        <v>9.7049627905100702E-2</v>
      </c>
      <c r="D26">
        <v>-2.27583832921695E-4</v>
      </c>
      <c r="E26" s="1">
        <v>-5.9442066337356199E-5</v>
      </c>
      <c r="F26">
        <v>-9.7049627905100697E-4</v>
      </c>
      <c r="G26">
        <v>-7.7639702324080605E-4</v>
      </c>
      <c r="H26" t="s">
        <v>74</v>
      </c>
      <c r="I26">
        <v>0</v>
      </c>
      <c r="J26" t="s">
        <v>75</v>
      </c>
      <c r="K26">
        <v>3.14159265358979</v>
      </c>
      <c r="L26">
        <v>0.903872683328799</v>
      </c>
      <c r="M26">
        <v>0</v>
      </c>
      <c r="N26">
        <v>5.30709449592753E-2</v>
      </c>
      <c r="O26">
        <v>0</v>
      </c>
      <c r="P26">
        <v>1.6E-2</v>
      </c>
      <c r="Q26">
        <v>0</v>
      </c>
      <c r="R26">
        <v>0</v>
      </c>
      <c r="S26">
        <v>0</v>
      </c>
      <c r="T26">
        <v>0</v>
      </c>
      <c r="U26">
        <v>0.91126453161444299</v>
      </c>
      <c r="V26" t="s">
        <v>78</v>
      </c>
      <c r="W26">
        <v>3057104.9133963799</v>
      </c>
      <c r="X26" t="s">
        <v>76</v>
      </c>
      <c r="Y26">
        <v>-1.5707963267949001</v>
      </c>
      <c r="Z26">
        <v>0.90032457740530103</v>
      </c>
      <c r="AA26">
        <v>0</v>
      </c>
      <c r="AB26">
        <v>5.09479720421495E-2</v>
      </c>
      <c r="AC26">
        <v>6.0290945689000001E-4</v>
      </c>
      <c r="AD26">
        <v>1.8964530585319599E-2</v>
      </c>
      <c r="AE26">
        <v>4.5922435997909801E-3</v>
      </c>
      <c r="AF26">
        <v>0</v>
      </c>
      <c r="AG26">
        <v>0.11836868167698</v>
      </c>
      <c r="AH26">
        <v>1.46025447019827E-2</v>
      </c>
      <c r="AI26">
        <v>0.83018350074136704</v>
      </c>
      <c r="AJ26" t="s">
        <v>74</v>
      </c>
      <c r="AK26">
        <v>0</v>
      </c>
      <c r="AL26" t="s">
        <v>77</v>
      </c>
      <c r="AM26">
        <v>0</v>
      </c>
      <c r="AN26">
        <v>0.99200000000000099</v>
      </c>
      <c r="AO26">
        <v>0</v>
      </c>
      <c r="AP26">
        <v>5.82453462424753E-2</v>
      </c>
      <c r="AQ26">
        <v>0</v>
      </c>
      <c r="AR26">
        <v>1.6E-2</v>
      </c>
      <c r="AS26">
        <v>0</v>
      </c>
      <c r="AT26">
        <v>0</v>
      </c>
      <c r="AU26">
        <v>0</v>
      </c>
      <c r="AV26">
        <v>0</v>
      </c>
      <c r="AW26">
        <v>1</v>
      </c>
      <c r="AX26" t="s">
        <v>78</v>
      </c>
      <c r="AY26">
        <v>1968868.5403487301</v>
      </c>
      <c r="AZ26" t="s">
        <v>76</v>
      </c>
      <c r="BA26">
        <v>-1.5707963267949001</v>
      </c>
      <c r="BB26">
        <v>0.99200000000000099</v>
      </c>
      <c r="BC26">
        <v>0</v>
      </c>
      <c r="BD26">
        <v>5.82453462424753E-2</v>
      </c>
      <c r="BE26">
        <v>0</v>
      </c>
      <c r="BF26">
        <v>1.6E-2</v>
      </c>
      <c r="BG26">
        <v>0</v>
      </c>
      <c r="BH26">
        <v>0</v>
      </c>
      <c r="BI26">
        <v>0</v>
      </c>
      <c r="BJ26">
        <v>0</v>
      </c>
      <c r="BK26">
        <v>1</v>
      </c>
      <c r="BL26">
        <v>1.10556259471633E-4</v>
      </c>
      <c r="BM26" s="1">
        <v>6.6485613189481204E-5</v>
      </c>
      <c r="BN26" s="1">
        <v>4.0890607645486498E-7</v>
      </c>
      <c r="BO26" s="1">
        <v>1.04435356982743E-6</v>
      </c>
      <c r="BP26">
        <v>0</v>
      </c>
      <c r="BQ26">
        <v>0</v>
      </c>
      <c r="BR26" s="1">
        <v>6.6548179513089398E-5</v>
      </c>
      <c r="BS26" s="1">
        <v>3.7326764054752397E-5</v>
      </c>
    </row>
    <row r="27" spans="1:71" x14ac:dyDescent="0.25">
      <c r="A27">
        <v>24</v>
      </c>
      <c r="B27" s="1">
        <v>2.46041644403163E-5</v>
      </c>
      <c r="C27">
        <v>9.7074232069540994E-2</v>
      </c>
      <c r="D27">
        <v>-2.2772644987424E-4</v>
      </c>
      <c r="E27" s="1">
        <v>-5.9556159899392199E-5</v>
      </c>
      <c r="F27">
        <v>-9.7074232069541003E-4</v>
      </c>
      <c r="G27">
        <v>-7.7659385655632805E-4</v>
      </c>
      <c r="H27" t="s">
        <v>74</v>
      </c>
      <c r="I27">
        <v>0</v>
      </c>
      <c r="J27" t="s">
        <v>75</v>
      </c>
      <c r="K27">
        <v>3.14159265358979</v>
      </c>
      <c r="L27">
        <v>0.89967857381874905</v>
      </c>
      <c r="M27">
        <v>0</v>
      </c>
      <c r="N27">
        <v>5.28246875393239E-2</v>
      </c>
      <c r="O27">
        <v>0</v>
      </c>
      <c r="P27">
        <v>1.6E-2</v>
      </c>
      <c r="Q27">
        <v>0</v>
      </c>
      <c r="R27">
        <v>0</v>
      </c>
      <c r="S27">
        <v>0</v>
      </c>
      <c r="T27">
        <v>0</v>
      </c>
      <c r="U27">
        <v>0.90699425596029903</v>
      </c>
      <c r="V27" t="s">
        <v>78</v>
      </c>
      <c r="W27">
        <v>3058581.7714865501</v>
      </c>
      <c r="X27" t="s">
        <v>76</v>
      </c>
      <c r="Y27">
        <v>-1.5707963267949001</v>
      </c>
      <c r="Z27">
        <v>0.89611434788810795</v>
      </c>
      <c r="AA27">
        <v>0</v>
      </c>
      <c r="AB27">
        <v>5.0694396850211002E-2</v>
      </c>
      <c r="AC27">
        <v>6.3049555726928704E-4</v>
      </c>
      <c r="AD27">
        <v>1.87954123439215E-2</v>
      </c>
      <c r="AE27">
        <v>4.8206585816340103E-3</v>
      </c>
      <c r="AF27">
        <v>0</v>
      </c>
      <c r="AG27">
        <v>0.123235304249143</v>
      </c>
      <c r="AH27">
        <v>1.6064219713187101E-2</v>
      </c>
      <c r="AI27">
        <v>0.822472098470168</v>
      </c>
      <c r="AJ27" t="s">
        <v>74</v>
      </c>
      <c r="AK27">
        <v>0</v>
      </c>
      <c r="AL27" t="s">
        <v>79</v>
      </c>
      <c r="AM27" t="s">
        <v>80</v>
      </c>
      <c r="AN27">
        <v>0.99200000000000099</v>
      </c>
      <c r="AO27">
        <v>0</v>
      </c>
      <c r="AP27">
        <v>5.82453462424753E-2</v>
      </c>
      <c r="AQ27">
        <v>0</v>
      </c>
      <c r="AR27">
        <v>1.6E-2</v>
      </c>
      <c r="AS27">
        <v>0</v>
      </c>
      <c r="AT27">
        <v>0</v>
      </c>
      <c r="AU27">
        <v>0</v>
      </c>
      <c r="AV27">
        <v>0</v>
      </c>
      <c r="AW27">
        <v>1</v>
      </c>
      <c r="AX27" t="s">
        <v>78</v>
      </c>
      <c r="AY27">
        <v>1970160.79117763</v>
      </c>
      <c r="AZ27" t="s">
        <v>76</v>
      </c>
      <c r="BA27">
        <v>-1.5707963267949001</v>
      </c>
      <c r="BB27">
        <v>0.99200000000000099</v>
      </c>
      <c r="BC27">
        <v>0</v>
      </c>
      <c r="BD27">
        <v>5.82453462424753E-2</v>
      </c>
      <c r="BE27">
        <v>0</v>
      </c>
      <c r="BF27">
        <v>1.6E-2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1.10320136215877E-4</v>
      </c>
      <c r="BM27" s="1">
        <v>6.9649761981164997E-5</v>
      </c>
      <c r="BN27" s="1">
        <v>4.0808409088910899E-7</v>
      </c>
      <c r="BO27" s="1">
        <v>1.09405590282153E-6</v>
      </c>
      <c r="BP27">
        <v>0</v>
      </c>
      <c r="BQ27">
        <v>0</v>
      </c>
      <c r="BR27" s="1">
        <v>6.6406006192674602E-5</v>
      </c>
      <c r="BS27" s="1">
        <v>3.9104560266514E-5</v>
      </c>
    </row>
    <row r="28" spans="1:71" x14ac:dyDescent="0.25">
      <c r="A28">
        <v>25</v>
      </c>
      <c r="B28" s="1">
        <v>2.3678439119771499E-5</v>
      </c>
      <c r="C28">
        <v>9.7097910508660804E-2</v>
      </c>
      <c r="D28">
        <v>-2.2786368401611501E-4</v>
      </c>
      <c r="E28" s="1">
        <v>-5.9665947212891902E-5</v>
      </c>
      <c r="F28">
        <v>-9.70979105086608E-4</v>
      </c>
      <c r="G28">
        <v>-7.7678328406928596E-4</v>
      </c>
      <c r="H28" t="s">
        <v>74</v>
      </c>
      <c r="I28">
        <v>0</v>
      </c>
      <c r="J28" t="s">
        <v>75</v>
      </c>
      <c r="K28">
        <v>3.14159265358979</v>
      </c>
      <c r="L28">
        <v>0.89548470696156302</v>
      </c>
      <c r="M28">
        <v>0</v>
      </c>
      <c r="N28">
        <v>5.25784443667517E-2</v>
      </c>
      <c r="O28">
        <v>0</v>
      </c>
      <c r="P28">
        <v>1.6E-2</v>
      </c>
      <c r="Q28">
        <v>0</v>
      </c>
      <c r="R28">
        <v>0</v>
      </c>
      <c r="S28">
        <v>0</v>
      </c>
      <c r="T28">
        <v>0</v>
      </c>
      <c r="U28">
        <v>0.90272589490051003</v>
      </c>
      <c r="V28" t="s">
        <v>78</v>
      </c>
      <c r="W28">
        <v>3060002.8883247599</v>
      </c>
      <c r="X28" t="s">
        <v>76</v>
      </c>
      <c r="Y28">
        <v>-1.5707963267949001</v>
      </c>
      <c r="Z28">
        <v>0.89190582099238103</v>
      </c>
      <c r="AA28">
        <v>0</v>
      </c>
      <c r="AB28">
        <v>5.0441638755333099E-2</v>
      </c>
      <c r="AC28">
        <v>6.5797912362500297E-4</v>
      </c>
      <c r="AD28">
        <v>1.8623466271477498E-2</v>
      </c>
      <c r="AE28">
        <v>5.0492511459941996E-3</v>
      </c>
      <c r="AF28">
        <v>0</v>
      </c>
      <c r="AG28">
        <v>0.12802807820546699</v>
      </c>
      <c r="AH28">
        <v>1.7599377212562502E-2</v>
      </c>
      <c r="AI28">
        <v>0.814801817143046</v>
      </c>
      <c r="AJ28" t="s">
        <v>74</v>
      </c>
      <c r="AK28">
        <v>0</v>
      </c>
      <c r="AL28" t="s">
        <v>79</v>
      </c>
      <c r="AM28" t="s">
        <v>80</v>
      </c>
      <c r="AN28">
        <v>0.99200000000000099</v>
      </c>
      <c r="AO28">
        <v>0</v>
      </c>
      <c r="AP28">
        <v>5.82453462424753E-2</v>
      </c>
      <c r="AQ28">
        <v>0</v>
      </c>
      <c r="AR28">
        <v>1.6E-2</v>
      </c>
      <c r="AS28">
        <v>0</v>
      </c>
      <c r="AT28">
        <v>0</v>
      </c>
      <c r="AU28">
        <v>0</v>
      </c>
      <c r="AV28">
        <v>0</v>
      </c>
      <c r="AW28">
        <v>1</v>
      </c>
      <c r="AX28" t="s">
        <v>78</v>
      </c>
      <c r="AY28">
        <v>1971404.2684110601</v>
      </c>
      <c r="AZ28" t="s">
        <v>76</v>
      </c>
      <c r="BA28">
        <v>-1.5707963267949001</v>
      </c>
      <c r="BB28">
        <v>0.99200000000000099</v>
      </c>
      <c r="BC28">
        <v>0</v>
      </c>
      <c r="BD28">
        <v>5.82453462424753E-2</v>
      </c>
      <c r="BE28">
        <v>0</v>
      </c>
      <c r="BF28">
        <v>1.6E-2</v>
      </c>
      <c r="BG28">
        <v>0</v>
      </c>
      <c r="BH28">
        <v>0</v>
      </c>
      <c r="BI28">
        <v>0</v>
      </c>
      <c r="BJ28">
        <v>0</v>
      </c>
      <c r="BK28">
        <v>1</v>
      </c>
      <c r="BL28">
        <v>1.1008437736533E-4</v>
      </c>
      <c r="BM28" s="1">
        <v>7.2813727709015004E-5</v>
      </c>
      <c r="BN28" s="1">
        <v>4.07265149981688E-7</v>
      </c>
      <c r="BO28" s="1">
        <v>1.14375536025565E-6</v>
      </c>
      <c r="BP28">
        <v>0</v>
      </c>
      <c r="BQ28">
        <v>0</v>
      </c>
      <c r="BR28" s="1">
        <v>6.6263893252319401E-5</v>
      </c>
      <c r="BS28" s="1">
        <v>4.08823237757217E-5</v>
      </c>
    </row>
    <row r="29" spans="1:71" x14ac:dyDescent="0.25">
      <c r="A29">
        <v>26</v>
      </c>
      <c r="B29" s="1">
        <v>2.28329667913306E-5</v>
      </c>
      <c r="C29">
        <v>9.7120743475452104E-2</v>
      </c>
      <c r="D29">
        <v>-2.2799600235055801E-4</v>
      </c>
      <c r="E29" s="1">
        <v>-5.9771801880446397E-5</v>
      </c>
      <c r="F29">
        <v>-9.7120743475452099E-4</v>
      </c>
      <c r="G29">
        <v>-7.7696594780361696E-4</v>
      </c>
      <c r="H29" t="s">
        <v>74</v>
      </c>
      <c r="I29">
        <v>0</v>
      </c>
      <c r="J29" t="s">
        <v>75</v>
      </c>
      <c r="K29">
        <v>3.14159265358979</v>
      </c>
      <c r="L29">
        <v>0.89129108734475604</v>
      </c>
      <c r="M29">
        <v>0</v>
      </c>
      <c r="N29">
        <v>5.2332215710914801E-2</v>
      </c>
      <c r="O29">
        <v>0</v>
      </c>
      <c r="P29">
        <v>1.6E-2</v>
      </c>
      <c r="Q29">
        <v>0</v>
      </c>
      <c r="R29">
        <v>0</v>
      </c>
      <c r="S29">
        <v>0</v>
      </c>
      <c r="T29">
        <v>0</v>
      </c>
      <c r="U29">
        <v>0.89844147756829396</v>
      </c>
      <c r="V29" t="s">
        <v>78</v>
      </c>
      <c r="W29">
        <v>3061373.0999245299</v>
      </c>
      <c r="X29" t="s">
        <v>76</v>
      </c>
      <c r="Y29">
        <v>-1.5707963267949001</v>
      </c>
      <c r="Z29">
        <v>0.887698885909184</v>
      </c>
      <c r="AA29">
        <v>0</v>
      </c>
      <c r="AB29">
        <v>5.0189632551546799E-2</v>
      </c>
      <c r="AC29">
        <v>6.8542466650607203E-4</v>
      </c>
      <c r="AD29">
        <v>1.8448945031117301E-2</v>
      </c>
      <c r="AE29">
        <v>5.2779895615913596E-3</v>
      </c>
      <c r="AF29">
        <v>0</v>
      </c>
      <c r="AG29">
        <v>0.13274645568448701</v>
      </c>
      <c r="AH29">
        <v>1.9208558139686398E-2</v>
      </c>
      <c r="AI29">
        <v>0.80715481276882095</v>
      </c>
      <c r="AJ29" t="s">
        <v>74</v>
      </c>
      <c r="AK29">
        <v>0</v>
      </c>
      <c r="AL29" t="s">
        <v>77</v>
      </c>
      <c r="AM29">
        <v>0</v>
      </c>
      <c r="AN29">
        <v>0.99200000000000099</v>
      </c>
      <c r="AO29">
        <v>0</v>
      </c>
      <c r="AP29">
        <v>5.82453462424753E-2</v>
      </c>
      <c r="AQ29">
        <v>0</v>
      </c>
      <c r="AR29">
        <v>1.6E-2</v>
      </c>
      <c r="AS29">
        <v>0</v>
      </c>
      <c r="AT29">
        <v>0</v>
      </c>
      <c r="AU29">
        <v>0</v>
      </c>
      <c r="AV29">
        <v>0</v>
      </c>
      <c r="AW29">
        <v>1</v>
      </c>
      <c r="AX29" t="s">
        <v>78</v>
      </c>
      <c r="AY29">
        <v>1972603.2035608599</v>
      </c>
      <c r="AZ29" t="s">
        <v>76</v>
      </c>
      <c r="BA29">
        <v>-1.5707963267949001</v>
      </c>
      <c r="BB29">
        <v>0.99200000000000099</v>
      </c>
      <c r="BC29">
        <v>0</v>
      </c>
      <c r="BD29">
        <v>5.82453462424753E-2</v>
      </c>
      <c r="BE29">
        <v>0</v>
      </c>
      <c r="BF29">
        <v>1.6E-2</v>
      </c>
      <c r="BG29">
        <v>0</v>
      </c>
      <c r="BH29">
        <v>0</v>
      </c>
      <c r="BI29">
        <v>0</v>
      </c>
      <c r="BJ29">
        <v>0</v>
      </c>
      <c r="BK29">
        <v>1</v>
      </c>
      <c r="BL29">
        <v>1.09848982706959E-4</v>
      </c>
      <c r="BM29" s="1">
        <v>7.5977506912086804E-5</v>
      </c>
      <c r="BN29" s="1">
        <v>4.0644919528771097E-7</v>
      </c>
      <c r="BO29" s="1">
        <v>1.1934518877654001E-6</v>
      </c>
      <c r="BP29">
        <v>0</v>
      </c>
      <c r="BQ29">
        <v>0</v>
      </c>
      <c r="BR29" s="1">
        <v>6.6121852613964998E-5</v>
      </c>
      <c r="BS29" s="1">
        <v>4.2660050494098101E-5</v>
      </c>
    </row>
    <row r="30" spans="1:71" x14ac:dyDescent="0.25">
      <c r="A30">
        <v>27</v>
      </c>
      <c r="B30" s="1">
        <v>2.2058085514704101E-5</v>
      </c>
      <c r="C30">
        <v>9.7142801560966802E-2</v>
      </c>
      <c r="D30">
        <v>-2.28123815610715E-4</v>
      </c>
      <c r="E30" s="1">
        <v>-5.9874052488571801E-5</v>
      </c>
      <c r="F30">
        <v>-9.7142801560966795E-4</v>
      </c>
      <c r="G30">
        <v>-7.7714241248773405E-4</v>
      </c>
      <c r="H30" t="s">
        <v>74</v>
      </c>
      <c r="I30">
        <v>0</v>
      </c>
      <c r="J30" t="s">
        <v>75</v>
      </c>
      <c r="K30">
        <v>3.14159265358979</v>
      </c>
      <c r="L30">
        <v>0.88709772033315504</v>
      </c>
      <c r="M30">
        <v>0</v>
      </c>
      <c r="N30">
        <v>5.2086001886809501E-2</v>
      </c>
      <c r="O30">
        <v>0</v>
      </c>
      <c r="P30">
        <v>1.6E-2</v>
      </c>
      <c r="Q30">
        <v>0</v>
      </c>
      <c r="R30">
        <v>0</v>
      </c>
      <c r="S30">
        <v>0</v>
      </c>
      <c r="T30">
        <v>0</v>
      </c>
      <c r="U30">
        <v>0.89412455894429599</v>
      </c>
      <c r="V30" t="s">
        <v>78</v>
      </c>
      <c r="W30">
        <v>3062696.6595990602</v>
      </c>
      <c r="X30" t="s">
        <v>76</v>
      </c>
      <c r="Y30">
        <v>-1.5707963267949001</v>
      </c>
      <c r="Z30">
        <v>0.88349344623940196</v>
      </c>
      <c r="AA30">
        <v>0</v>
      </c>
      <c r="AB30">
        <v>4.9938320989010701E-2</v>
      </c>
      <c r="AC30">
        <v>7.1282850865690001E-4</v>
      </c>
      <c r="AD30">
        <v>1.8272067087969201E-2</v>
      </c>
      <c r="AE30">
        <v>5.5068486553499097E-3</v>
      </c>
      <c r="AF30">
        <v>0</v>
      </c>
      <c r="AG30">
        <v>0.137389846512076</v>
      </c>
      <c r="AH30">
        <v>2.08923445739445E-2</v>
      </c>
      <c r="AI30">
        <v>0.79951478466423098</v>
      </c>
      <c r="AJ30" t="s">
        <v>74</v>
      </c>
      <c r="AK30">
        <v>0</v>
      </c>
      <c r="AL30" t="s">
        <v>77</v>
      </c>
      <c r="AM30">
        <v>0</v>
      </c>
      <c r="AN30">
        <v>0.99200000000000099</v>
      </c>
      <c r="AO30">
        <v>0</v>
      </c>
      <c r="AP30">
        <v>5.82453462424753E-2</v>
      </c>
      <c r="AQ30">
        <v>0</v>
      </c>
      <c r="AR30">
        <v>1.6E-2</v>
      </c>
      <c r="AS30">
        <v>0</v>
      </c>
      <c r="AT30">
        <v>0</v>
      </c>
      <c r="AU30">
        <v>0</v>
      </c>
      <c r="AV30">
        <v>0</v>
      </c>
      <c r="AW30">
        <v>1</v>
      </c>
      <c r="AX30" t="s">
        <v>78</v>
      </c>
      <c r="AY30">
        <v>1973761.3182760801</v>
      </c>
      <c r="AZ30" t="s">
        <v>76</v>
      </c>
      <c r="BA30">
        <v>-1.5707963267949001</v>
      </c>
      <c r="BB30">
        <v>0.99200000000000099</v>
      </c>
      <c r="BC30">
        <v>0</v>
      </c>
      <c r="BD30">
        <v>5.82453462424753E-2</v>
      </c>
      <c r="BE30">
        <v>0</v>
      </c>
      <c r="BF30">
        <v>1.6E-2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1.09613921934714E-4</v>
      </c>
      <c r="BM30" s="1">
        <v>7.91410955430104E-5</v>
      </c>
      <c r="BN30" s="1">
        <v>4.05635972203662E-7</v>
      </c>
      <c r="BO30" s="1">
        <v>1.24314542177485E-6</v>
      </c>
      <c r="BP30">
        <v>0</v>
      </c>
      <c r="BQ30">
        <v>0</v>
      </c>
      <c r="BR30" s="1">
        <v>6.5979877866797606E-5</v>
      </c>
      <c r="BS30" s="1">
        <v>4.44377362037964E-5</v>
      </c>
    </row>
    <row r="31" spans="1:71" x14ac:dyDescent="0.25">
      <c r="A31">
        <v>28</v>
      </c>
      <c r="B31" s="1">
        <v>2.13456441499945E-5</v>
      </c>
      <c r="C31">
        <v>9.7164147205116805E-2</v>
      </c>
      <c r="D31">
        <v>-2.2824748706291699E-4</v>
      </c>
      <c r="E31" s="1">
        <v>-5.9972989650333201E-5</v>
      </c>
      <c r="F31">
        <v>-9.7164147205116799E-4</v>
      </c>
      <c r="G31">
        <v>-7.7731317764093404E-4</v>
      </c>
      <c r="H31" t="s">
        <v>74</v>
      </c>
      <c r="I31">
        <v>0</v>
      </c>
      <c r="J31" t="s">
        <v>75</v>
      </c>
      <c r="K31">
        <v>3.14159265358979</v>
      </c>
      <c r="L31">
        <v>0.88290461204348303</v>
      </c>
      <c r="M31">
        <v>0</v>
      </c>
      <c r="N31">
        <v>5.1839803253579599E-2</v>
      </c>
      <c r="O31">
        <v>0</v>
      </c>
      <c r="P31">
        <v>1.6E-2</v>
      </c>
      <c r="Q31">
        <v>0</v>
      </c>
      <c r="R31">
        <v>0</v>
      </c>
      <c r="S31">
        <v>0</v>
      </c>
      <c r="T31">
        <v>0</v>
      </c>
      <c r="U31">
        <v>0.88977618043881201</v>
      </c>
      <c r="V31" t="s">
        <v>78</v>
      </c>
      <c r="W31">
        <v>3063977.3291229098</v>
      </c>
      <c r="X31" t="s">
        <v>76</v>
      </c>
      <c r="Y31">
        <v>-1.5707963267949001</v>
      </c>
      <c r="Z31">
        <v>0.87928941786465697</v>
      </c>
      <c r="AA31">
        <v>0</v>
      </c>
      <c r="AB31">
        <v>4.96876535321744E-2</v>
      </c>
      <c r="AC31">
        <v>7.4018730707919205E-4</v>
      </c>
      <c r="AD31">
        <v>1.8093021611400601E-2</v>
      </c>
      <c r="AE31">
        <v>5.7358092612823097E-3</v>
      </c>
      <c r="AF31">
        <v>0</v>
      </c>
      <c r="AG31">
        <v>0.14195761435072601</v>
      </c>
      <c r="AH31">
        <v>2.26513636236075E-2</v>
      </c>
      <c r="AI31">
        <v>0.791882937873572</v>
      </c>
      <c r="AJ31" t="s">
        <v>74</v>
      </c>
      <c r="AK31">
        <v>0</v>
      </c>
      <c r="AL31" t="s">
        <v>79</v>
      </c>
      <c r="AM31" t="s">
        <v>80</v>
      </c>
      <c r="AN31">
        <v>0.99200000000000099</v>
      </c>
      <c r="AO31">
        <v>0</v>
      </c>
      <c r="AP31">
        <v>5.82453462424753E-2</v>
      </c>
      <c r="AQ31">
        <v>0</v>
      </c>
      <c r="AR31">
        <v>1.6E-2</v>
      </c>
      <c r="AS31">
        <v>0</v>
      </c>
      <c r="AT31">
        <v>0</v>
      </c>
      <c r="AU31">
        <v>0</v>
      </c>
      <c r="AV31">
        <v>0</v>
      </c>
      <c r="AW31">
        <v>1</v>
      </c>
      <c r="AX31" t="s">
        <v>78</v>
      </c>
      <c r="AY31">
        <v>1974881.90410944</v>
      </c>
      <c r="AZ31" t="s">
        <v>76</v>
      </c>
      <c r="BA31">
        <v>-1.5707963267949001</v>
      </c>
      <c r="BB31">
        <v>0.99200000000000099</v>
      </c>
      <c r="BC31">
        <v>0</v>
      </c>
      <c r="BD31">
        <v>5.82453462424753E-2</v>
      </c>
      <c r="BE31">
        <v>0</v>
      </c>
      <c r="BF31">
        <v>1.6E-2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1.09379168288892E-4</v>
      </c>
      <c r="BM31" s="1">
        <v>8.2304488987166503E-5</v>
      </c>
      <c r="BN31" s="1">
        <v>4.04825256665504E-7</v>
      </c>
      <c r="BO31" s="1">
        <v>1.29283588979772E-6</v>
      </c>
      <c r="BP31">
        <v>0</v>
      </c>
      <c r="BQ31">
        <v>0</v>
      </c>
      <c r="BR31" s="1">
        <v>6.5837963377236004E-5</v>
      </c>
      <c r="BS31" s="1">
        <v>4.6215376545417497E-5</v>
      </c>
    </row>
    <row r="32" spans="1:71" x14ac:dyDescent="0.25">
      <c r="A32">
        <v>29</v>
      </c>
      <c r="B32" s="1">
        <v>2.0688719352090199E-5</v>
      </c>
      <c r="C32">
        <v>9.7184835924468901E-2</v>
      </c>
      <c r="D32">
        <v>-2.2836733966015999E-4</v>
      </c>
      <c r="E32" s="1">
        <v>-6.0068871728128303E-5</v>
      </c>
      <c r="F32">
        <v>-9.7184835924468899E-4</v>
      </c>
      <c r="G32">
        <v>-7.7747868739575096E-4</v>
      </c>
      <c r="H32" t="s">
        <v>74</v>
      </c>
      <c r="I32">
        <v>0</v>
      </c>
      <c r="J32" t="s">
        <v>75</v>
      </c>
      <c r="K32">
        <v>3.14159265358979</v>
      </c>
      <c r="L32">
        <v>0.87871176870637202</v>
      </c>
      <c r="M32">
        <v>0</v>
      </c>
      <c r="N32">
        <v>5.1593620177056897E-2</v>
      </c>
      <c r="O32">
        <v>0</v>
      </c>
      <c r="P32">
        <v>1.6E-2</v>
      </c>
      <c r="Q32">
        <v>0</v>
      </c>
      <c r="R32">
        <v>0</v>
      </c>
      <c r="S32">
        <v>0</v>
      </c>
      <c r="T32">
        <v>0</v>
      </c>
      <c r="U32">
        <v>0.88539726419835996</v>
      </c>
      <c r="V32" t="s">
        <v>78</v>
      </c>
      <c r="W32">
        <v>3065218.4528091801</v>
      </c>
      <c r="X32" t="s">
        <v>76</v>
      </c>
      <c r="Y32">
        <v>-1.5707963267949001</v>
      </c>
      <c r="Z32">
        <v>0.87508672659965303</v>
      </c>
      <c r="AA32">
        <v>0</v>
      </c>
      <c r="AB32">
        <v>4.9437585317232302E-2</v>
      </c>
      <c r="AC32">
        <v>7.67366809243868E-4</v>
      </c>
      <c r="AD32">
        <v>1.7911977820090599E-2</v>
      </c>
      <c r="AE32">
        <v>5.9648533895412803E-3</v>
      </c>
      <c r="AF32">
        <v>0</v>
      </c>
      <c r="AG32">
        <v>0.146449108733304</v>
      </c>
      <c r="AH32">
        <v>2.4486256354692801E-2</v>
      </c>
      <c r="AI32">
        <v>0.78426035994353105</v>
      </c>
      <c r="AJ32" t="s">
        <v>74</v>
      </c>
      <c r="AK32">
        <v>0</v>
      </c>
      <c r="AL32" t="s">
        <v>77</v>
      </c>
      <c r="AM32">
        <v>0</v>
      </c>
      <c r="AN32">
        <v>0.99200000000000099</v>
      </c>
      <c r="AO32">
        <v>0</v>
      </c>
      <c r="AP32">
        <v>5.82453462424753E-2</v>
      </c>
      <c r="AQ32">
        <v>0</v>
      </c>
      <c r="AR32">
        <v>1.6E-2</v>
      </c>
      <c r="AS32">
        <v>0</v>
      </c>
      <c r="AT32">
        <v>0</v>
      </c>
      <c r="AU32">
        <v>0</v>
      </c>
      <c r="AV32">
        <v>0</v>
      </c>
      <c r="AW32">
        <v>1</v>
      </c>
      <c r="AX32" t="s">
        <v>78</v>
      </c>
      <c r="AY32">
        <v>1975967.88733494</v>
      </c>
      <c r="AZ32" t="s">
        <v>76</v>
      </c>
      <c r="BA32">
        <v>-1.5707963267949001</v>
      </c>
      <c r="BB32">
        <v>0.99200000000000099</v>
      </c>
      <c r="BC32">
        <v>0</v>
      </c>
      <c r="BD32">
        <v>5.82453462424753E-2</v>
      </c>
      <c r="BE32">
        <v>0</v>
      </c>
      <c r="BF32">
        <v>1.6E-2</v>
      </c>
      <c r="BG32">
        <v>0</v>
      </c>
      <c r="BH32">
        <v>0</v>
      </c>
      <c r="BI32">
        <v>0</v>
      </c>
      <c r="BJ32">
        <v>0</v>
      </c>
      <c r="BK32">
        <v>1</v>
      </c>
      <c r="BL32">
        <v>1.09144632394242E-4</v>
      </c>
      <c r="BM32" s="1">
        <v>8.5467682543998602E-5</v>
      </c>
      <c r="BN32" s="1">
        <v>4.04016405155658E-7</v>
      </c>
      <c r="BO32" s="1">
        <v>1.34252321799785E-6</v>
      </c>
      <c r="BP32">
        <v>0</v>
      </c>
      <c r="BQ32">
        <v>0</v>
      </c>
      <c r="BR32" s="1">
        <v>6.5696067317049507E-5</v>
      </c>
      <c r="BS32" s="1">
        <v>4.79929672691166E-5</v>
      </c>
    </row>
    <row r="33" spans="1:71" x14ac:dyDescent="0.25">
      <c r="A33">
        <v>30</v>
      </c>
      <c r="B33" s="1">
        <v>2.00813881435711E-5</v>
      </c>
      <c r="C33">
        <v>9.7204917312612493E-2</v>
      </c>
      <c r="D33">
        <v>-2.28483661870133E-4</v>
      </c>
      <c r="E33" s="1">
        <v>-6.0161929496106598E-5</v>
      </c>
      <c r="F33">
        <v>-9.7204917312612498E-4</v>
      </c>
      <c r="G33">
        <v>-7.7763933850090005E-4</v>
      </c>
      <c r="H33" t="s">
        <v>74</v>
      </c>
      <c r="I33">
        <v>0</v>
      </c>
      <c r="J33" t="s">
        <v>75</v>
      </c>
      <c r="K33">
        <v>3.14159265358979</v>
      </c>
      <c r="L33">
        <v>0.87451919668244005</v>
      </c>
      <c r="M33">
        <v>0</v>
      </c>
      <c r="N33">
        <v>5.1347453030705703E-2</v>
      </c>
      <c r="O33">
        <v>0</v>
      </c>
      <c r="P33">
        <v>1.6E-2</v>
      </c>
      <c r="Q33">
        <v>0</v>
      </c>
      <c r="R33">
        <v>0</v>
      </c>
      <c r="S33">
        <v>0</v>
      </c>
      <c r="T33">
        <v>0</v>
      </c>
      <c r="U33">
        <v>0.88098863020172702</v>
      </c>
      <c r="V33" t="s">
        <v>78</v>
      </c>
      <c r="W33">
        <v>3066423.0178612298</v>
      </c>
      <c r="X33" t="s">
        <v>76</v>
      </c>
      <c r="Y33">
        <v>-1.5707963267949001</v>
      </c>
      <c r="Z33">
        <v>0.87088530681048704</v>
      </c>
      <c r="AA33">
        <v>0</v>
      </c>
      <c r="AB33">
        <v>4.9188076333142802E-2</v>
      </c>
      <c r="AC33">
        <v>7.9456029717254204E-4</v>
      </c>
      <c r="AD33">
        <v>1.7729087805572401E-2</v>
      </c>
      <c r="AE33">
        <v>6.1939640893413197E-3</v>
      </c>
      <c r="AF33">
        <v>0</v>
      </c>
      <c r="AG33">
        <v>0.15086366475537499</v>
      </c>
      <c r="AH33">
        <v>2.6397678074396701E-2</v>
      </c>
      <c r="AI33">
        <v>0.77664803800484705</v>
      </c>
      <c r="AJ33" t="s">
        <v>74</v>
      </c>
      <c r="AK33">
        <v>0</v>
      </c>
      <c r="AL33" t="s">
        <v>77</v>
      </c>
      <c r="AM33">
        <v>0</v>
      </c>
      <c r="AN33">
        <v>0.99200000000000099</v>
      </c>
      <c r="AO33">
        <v>0</v>
      </c>
      <c r="AP33">
        <v>5.82453462424753E-2</v>
      </c>
      <c r="AQ33">
        <v>0</v>
      </c>
      <c r="AR33">
        <v>1.6E-2</v>
      </c>
      <c r="AS33">
        <v>0</v>
      </c>
      <c r="AT33">
        <v>0</v>
      </c>
      <c r="AU33">
        <v>0</v>
      </c>
      <c r="AV33">
        <v>0</v>
      </c>
      <c r="AW33">
        <v>1</v>
      </c>
      <c r="AX33" t="s">
        <v>78</v>
      </c>
      <c r="AY33">
        <v>1977021.8817554801</v>
      </c>
      <c r="AZ33" t="s">
        <v>76</v>
      </c>
      <c r="BA33">
        <v>-1.5707963267949001</v>
      </c>
      <c r="BB33">
        <v>0.99200000000000099</v>
      </c>
      <c r="BC33">
        <v>0</v>
      </c>
      <c r="BD33">
        <v>5.82453462424753E-2</v>
      </c>
      <c r="BE33">
        <v>0</v>
      </c>
      <c r="BF33">
        <v>1.6E-2</v>
      </c>
      <c r="BG33">
        <v>0</v>
      </c>
      <c r="BH33">
        <v>0</v>
      </c>
      <c r="BI33">
        <v>0</v>
      </c>
      <c r="BJ33">
        <v>0</v>
      </c>
      <c r="BK33">
        <v>1</v>
      </c>
      <c r="BL33">
        <v>1.0891039107298601E-4</v>
      </c>
      <c r="BM33" s="1">
        <v>8.8630671414885898E-5</v>
      </c>
      <c r="BN33" s="1">
        <v>4.0320990477925098E-7</v>
      </c>
      <c r="BO33" s="1">
        <v>1.3922073309986799E-6</v>
      </c>
      <c r="BP33">
        <v>0</v>
      </c>
      <c r="BQ33">
        <v>0</v>
      </c>
      <c r="BR33" s="1">
        <v>6.5554240296616199E-5</v>
      </c>
      <c r="BS33" s="1">
        <v>4.97705042111819E-5</v>
      </c>
    </row>
    <row r="34" spans="1:71" x14ac:dyDescent="0.25">
      <c r="A34">
        <v>31</v>
      </c>
      <c r="B34" s="1">
        <v>1.9518554021374199E-5</v>
      </c>
      <c r="C34">
        <v>9.7224435866633804E-2</v>
      </c>
      <c r="D34">
        <v>-2.2859671248968901E-4</v>
      </c>
      <c r="E34" s="1">
        <v>-6.0252369991751299E-5</v>
      </c>
      <c r="F34">
        <v>-9.7224435866633799E-4</v>
      </c>
      <c r="G34">
        <v>-7.7779548693307097E-4</v>
      </c>
      <c r="H34" t="s">
        <v>74</v>
      </c>
      <c r="I34">
        <v>0</v>
      </c>
      <c r="J34" t="s">
        <v>75</v>
      </c>
      <c r="K34">
        <v>3.14159265358979</v>
      </c>
      <c r="L34">
        <v>0.87032690247733802</v>
      </c>
      <c r="M34">
        <v>0</v>
      </c>
      <c r="N34">
        <v>5.1101302196505598E-2</v>
      </c>
      <c r="O34">
        <v>0</v>
      </c>
      <c r="P34">
        <v>1.6E-2</v>
      </c>
      <c r="Q34">
        <v>0</v>
      </c>
      <c r="R34">
        <v>0</v>
      </c>
      <c r="S34">
        <v>0</v>
      </c>
      <c r="T34">
        <v>0</v>
      </c>
      <c r="U34">
        <v>0.87655101041503203</v>
      </c>
      <c r="V34" t="s">
        <v>78</v>
      </c>
      <c r="W34">
        <v>3067593.7042285302</v>
      </c>
      <c r="X34" t="s">
        <v>76</v>
      </c>
      <c r="Y34">
        <v>-1.5707963267949001</v>
      </c>
      <c r="Z34">
        <v>0.86668510027305401</v>
      </c>
      <c r="AA34">
        <v>0</v>
      </c>
      <c r="AB34">
        <v>4.8939090745893699E-2</v>
      </c>
      <c r="AC34">
        <v>8.2182686214246398E-4</v>
      </c>
      <c r="AD34">
        <v>1.7544488871275601E-2</v>
      </c>
      <c r="AE34">
        <v>6.42312533135959E-3</v>
      </c>
      <c r="AF34">
        <v>0</v>
      </c>
      <c r="AG34">
        <v>0.15520060273932601</v>
      </c>
      <c r="AH34">
        <v>2.83862986442554E-2</v>
      </c>
      <c r="AI34">
        <v>0.76904687291541196</v>
      </c>
      <c r="AJ34" t="s">
        <v>74</v>
      </c>
      <c r="AK34">
        <v>0</v>
      </c>
      <c r="AL34" t="s">
        <v>77</v>
      </c>
      <c r="AM34">
        <v>0</v>
      </c>
      <c r="AN34">
        <v>0.99200000000000099</v>
      </c>
      <c r="AO34">
        <v>0</v>
      </c>
      <c r="AP34">
        <v>5.82453462424753E-2</v>
      </c>
      <c r="AQ34">
        <v>0</v>
      </c>
      <c r="AR34">
        <v>1.6E-2</v>
      </c>
      <c r="AS34">
        <v>0</v>
      </c>
      <c r="AT34">
        <v>0</v>
      </c>
      <c r="AU34">
        <v>0</v>
      </c>
      <c r="AV34">
        <v>0</v>
      </c>
      <c r="AW34">
        <v>1</v>
      </c>
      <c r="AX34" t="s">
        <v>78</v>
      </c>
      <c r="AY34">
        <v>1978046.2323268601</v>
      </c>
      <c r="AZ34" t="s">
        <v>76</v>
      </c>
      <c r="BA34">
        <v>-1.5707963267949001</v>
      </c>
      <c r="BB34">
        <v>0.99200000000000099</v>
      </c>
      <c r="BC34">
        <v>0</v>
      </c>
      <c r="BD34">
        <v>5.82453462424753E-2</v>
      </c>
      <c r="BE34">
        <v>0</v>
      </c>
      <c r="BF34">
        <v>1.6E-2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1.08676456144746E-4</v>
      </c>
      <c r="BM34" s="1">
        <v>9.1793450691790901E-5</v>
      </c>
      <c r="BN34" s="1">
        <v>4.02405805645341E-7</v>
      </c>
      <c r="BO34" s="1">
        <v>1.44188815170494E-6</v>
      </c>
      <c r="BP34">
        <v>0</v>
      </c>
      <c r="BQ34">
        <v>0</v>
      </c>
      <c r="BR34" s="1">
        <v>6.5412495666932794E-5</v>
      </c>
      <c r="BS34" s="1">
        <v>5.1547983273455997E-5</v>
      </c>
    </row>
    <row r="35" spans="1:71" x14ac:dyDescent="0.25">
      <c r="A35">
        <v>32</v>
      </c>
      <c r="B35" s="1">
        <v>1.8995808169056999E-5</v>
      </c>
      <c r="C35">
        <v>9.7243431674802899E-2</v>
      </c>
      <c r="D35">
        <v>-2.2870672465046899E-4</v>
      </c>
      <c r="E35" s="1">
        <v>-6.0340379720374998E-5</v>
      </c>
      <c r="F35">
        <v>-9.7243431674802895E-4</v>
      </c>
      <c r="G35">
        <v>-7.7794745339842305E-4</v>
      </c>
      <c r="H35" t="s">
        <v>74</v>
      </c>
      <c r="I35">
        <v>0</v>
      </c>
      <c r="J35" t="s">
        <v>75</v>
      </c>
      <c r="K35">
        <v>3.14159265358979</v>
      </c>
      <c r="L35">
        <v>0.86613489275609101</v>
      </c>
      <c r="M35">
        <v>0</v>
      </c>
      <c r="N35">
        <v>5.0855168065794001E-2</v>
      </c>
      <c r="O35">
        <v>0</v>
      </c>
      <c r="P35">
        <v>1.6E-2</v>
      </c>
      <c r="Q35">
        <v>0</v>
      </c>
      <c r="R35">
        <v>0</v>
      </c>
      <c r="S35">
        <v>0</v>
      </c>
      <c r="T35">
        <v>0</v>
      </c>
      <c r="U35">
        <v>0.87208506059415103</v>
      </c>
      <c r="V35" t="s">
        <v>78</v>
      </c>
      <c r="W35">
        <v>3068732.9260865599</v>
      </c>
      <c r="X35" t="s">
        <v>76</v>
      </c>
      <c r="Y35">
        <v>-1.5707963267949001</v>
      </c>
      <c r="Z35">
        <v>0.86248605522344002</v>
      </c>
      <c r="AA35">
        <v>0</v>
      </c>
      <c r="AB35">
        <v>4.8690596336953197E-2</v>
      </c>
      <c r="AC35">
        <v>8.4890647986108497E-4</v>
      </c>
      <c r="AD35">
        <v>1.7358305484022601E-2</v>
      </c>
      <c r="AE35">
        <v>6.6523219062230602E-3</v>
      </c>
      <c r="AF35">
        <v>0</v>
      </c>
      <c r="AG35">
        <v>0.159459227870758</v>
      </c>
      <c r="AH35">
        <v>3.0452802822121601E-2</v>
      </c>
      <c r="AI35">
        <v>0.76145769105286198</v>
      </c>
      <c r="AJ35" t="s">
        <v>74</v>
      </c>
      <c r="AK35">
        <v>0</v>
      </c>
      <c r="AL35" t="s">
        <v>77</v>
      </c>
      <c r="AM35">
        <v>0</v>
      </c>
      <c r="AN35">
        <v>0.99200000000000099</v>
      </c>
      <c r="AO35">
        <v>0</v>
      </c>
      <c r="AP35">
        <v>5.82453462424753E-2</v>
      </c>
      <c r="AQ35">
        <v>0</v>
      </c>
      <c r="AR35">
        <v>1.6E-2</v>
      </c>
      <c r="AS35">
        <v>0</v>
      </c>
      <c r="AT35">
        <v>0</v>
      </c>
      <c r="AU35">
        <v>0</v>
      </c>
      <c r="AV35">
        <v>0</v>
      </c>
      <c r="AW35">
        <v>1</v>
      </c>
      <c r="AX35" t="s">
        <v>78</v>
      </c>
      <c r="AY35">
        <v>1979043.05145264</v>
      </c>
      <c r="AZ35" t="s">
        <v>76</v>
      </c>
      <c r="BA35">
        <v>-1.5707963267949001</v>
      </c>
      <c r="BB35">
        <v>0.99200000000000099</v>
      </c>
      <c r="BC35">
        <v>0</v>
      </c>
      <c r="BD35">
        <v>5.82453462424753E-2</v>
      </c>
      <c r="BE35">
        <v>0</v>
      </c>
      <c r="BF35">
        <v>1.6E-2</v>
      </c>
      <c r="BG35">
        <v>0</v>
      </c>
      <c r="BH35">
        <v>0</v>
      </c>
      <c r="BI35">
        <v>0</v>
      </c>
      <c r="BJ35">
        <v>0</v>
      </c>
      <c r="BK35">
        <v>1</v>
      </c>
      <c r="BL35">
        <v>1.0844268168377899E-4</v>
      </c>
      <c r="BM35" s="1">
        <v>9.4956015346439794E-5</v>
      </c>
      <c r="BN35" s="1">
        <v>4.0160309175165401E-7</v>
      </c>
      <c r="BO35" s="1">
        <v>1.49156560113268E-6</v>
      </c>
      <c r="BP35">
        <v>0</v>
      </c>
      <c r="BQ35">
        <v>0</v>
      </c>
      <c r="BR35" s="1">
        <v>6.52707575339553E-5</v>
      </c>
      <c r="BS35" s="1">
        <v>5.3325400405056999E-5</v>
      </c>
    </row>
    <row r="36" spans="1:71" x14ac:dyDescent="0.25">
      <c r="A36">
        <v>33</v>
      </c>
      <c r="B36" s="1">
        <v>1.8509317775452801E-5</v>
      </c>
      <c r="C36">
        <v>9.72619409925784E-2</v>
      </c>
      <c r="D36">
        <v>-2.2881390917369799E-4</v>
      </c>
      <c r="E36" s="1">
        <v>-6.0426127338958599E-5</v>
      </c>
      <c r="F36">
        <v>-9.7261940992578297E-4</v>
      </c>
      <c r="G36">
        <v>-7.78095527940627E-4</v>
      </c>
      <c r="H36" t="s">
        <v>74</v>
      </c>
      <c r="I36">
        <v>0</v>
      </c>
      <c r="J36" t="s">
        <v>75</v>
      </c>
      <c r="K36">
        <v>3.14159265358979</v>
      </c>
      <c r="L36">
        <v>0.86194317435697898</v>
      </c>
      <c r="M36">
        <v>0</v>
      </c>
      <c r="N36">
        <v>5.06090510400811E-2</v>
      </c>
      <c r="O36">
        <v>0</v>
      </c>
      <c r="P36">
        <v>1.6E-2</v>
      </c>
      <c r="Q36">
        <v>0</v>
      </c>
      <c r="R36">
        <v>0</v>
      </c>
      <c r="S36">
        <v>0</v>
      </c>
      <c r="T36">
        <v>0</v>
      </c>
      <c r="U36">
        <v>0.86759137019005805</v>
      </c>
      <c r="V36" t="s">
        <v>78</v>
      </c>
      <c r="W36">
        <v>3069842.8665771401</v>
      </c>
      <c r="X36" t="s">
        <v>76</v>
      </c>
      <c r="Y36">
        <v>-1.5707963267949001</v>
      </c>
      <c r="Z36">
        <v>0.85828812556312395</v>
      </c>
      <c r="AA36">
        <v>0</v>
      </c>
      <c r="AB36">
        <v>4.8442564033503402E-2</v>
      </c>
      <c r="AC36">
        <v>8.7598621938715204E-4</v>
      </c>
      <c r="AD36">
        <v>1.71706509129721E-2</v>
      </c>
      <c r="AE36">
        <v>6.8815393363739E-3</v>
      </c>
      <c r="AF36">
        <v>0</v>
      </c>
      <c r="AG36">
        <v>0.16363882980726499</v>
      </c>
      <c r="AH36">
        <v>3.2597890632434998E-2</v>
      </c>
      <c r="AI36">
        <v>0.75388125421190999</v>
      </c>
      <c r="AJ36" t="s">
        <v>74</v>
      </c>
      <c r="AK36">
        <v>0</v>
      </c>
      <c r="AL36" t="s">
        <v>77</v>
      </c>
      <c r="AM36">
        <v>0</v>
      </c>
      <c r="AN36">
        <v>0.99200000000000099</v>
      </c>
      <c r="AO36">
        <v>0</v>
      </c>
      <c r="AP36">
        <v>5.82453462424753E-2</v>
      </c>
      <c r="AQ36">
        <v>0</v>
      </c>
      <c r="AR36">
        <v>1.6E-2</v>
      </c>
      <c r="AS36">
        <v>0</v>
      </c>
      <c r="AT36">
        <v>0</v>
      </c>
      <c r="AU36">
        <v>0</v>
      </c>
      <c r="AV36">
        <v>0</v>
      </c>
      <c r="AW36">
        <v>1</v>
      </c>
      <c r="AX36" t="s">
        <v>78</v>
      </c>
      <c r="AY36">
        <v>1980014.2493819001</v>
      </c>
      <c r="AZ36" t="s">
        <v>76</v>
      </c>
      <c r="BA36">
        <v>-1.5707963267949001</v>
      </c>
      <c r="BB36">
        <v>0.99200000000000099</v>
      </c>
      <c r="BC36">
        <v>0</v>
      </c>
      <c r="BD36">
        <v>5.82453462424753E-2</v>
      </c>
      <c r="BE36">
        <v>0</v>
      </c>
      <c r="BF36">
        <v>1.6E-2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1.08209146888961E-4</v>
      </c>
      <c r="BM36" s="1">
        <v>9.811836021985E-5</v>
      </c>
      <c r="BN36" s="1">
        <v>4.0080227559855597E-7</v>
      </c>
      <c r="BO36" s="1">
        <v>1.54123959824479E-6</v>
      </c>
      <c r="BP36">
        <v>0</v>
      </c>
      <c r="BQ36">
        <v>0</v>
      </c>
      <c r="BR36" s="1">
        <v>6.51290758502729E-5</v>
      </c>
      <c r="BS36" s="1">
        <v>5.5102751585961397E-5</v>
      </c>
    </row>
    <row r="37" spans="1:71" x14ac:dyDescent="0.25">
      <c r="A37">
        <v>34</v>
      </c>
      <c r="B37" s="1">
        <v>1.8055735478538998E-5</v>
      </c>
      <c r="C37">
        <v>9.72799967280569E-2</v>
      </c>
      <c r="D37">
        <v>-2.2891845739731801E-4</v>
      </c>
      <c r="E37" s="1">
        <v>-6.0509765917854401E-5</v>
      </c>
      <c r="F37">
        <v>-9.72799967280569E-4</v>
      </c>
      <c r="G37">
        <v>-7.7823997382445501E-4</v>
      </c>
      <c r="H37" t="s">
        <v>74</v>
      </c>
      <c r="I37">
        <v>0</v>
      </c>
      <c r="J37" t="s">
        <v>75</v>
      </c>
      <c r="K37">
        <v>3.14159265358979</v>
      </c>
      <c r="L37">
        <v>0.85775175430517903</v>
      </c>
      <c r="M37">
        <v>0</v>
      </c>
      <c r="N37">
        <v>5.0362951531850497E-2</v>
      </c>
      <c r="O37">
        <v>0</v>
      </c>
      <c r="P37">
        <v>1.6E-2</v>
      </c>
      <c r="Q37">
        <v>0</v>
      </c>
      <c r="R37">
        <v>0</v>
      </c>
      <c r="S37">
        <v>0</v>
      </c>
      <c r="T37">
        <v>0</v>
      </c>
      <c r="U37">
        <v>0.86307047071301102</v>
      </c>
      <c r="V37" t="s">
        <v>78</v>
      </c>
      <c r="W37">
        <v>3070925.5070845401</v>
      </c>
      <c r="X37" t="s">
        <v>76</v>
      </c>
      <c r="Y37">
        <v>-1.5707963267949001</v>
      </c>
      <c r="Z37">
        <v>0.85409127019000297</v>
      </c>
      <c r="AA37">
        <v>0</v>
      </c>
      <c r="AB37">
        <v>4.8194967513020097E-2</v>
      </c>
      <c r="AC37">
        <v>9.0293679279960398E-4</v>
      </c>
      <c r="AD37">
        <v>1.6981628614559301E-2</v>
      </c>
      <c r="AE37">
        <v>7.1107637991325396E-3</v>
      </c>
      <c r="AF37">
        <v>0</v>
      </c>
      <c r="AG37">
        <v>0.167738682259501</v>
      </c>
      <c r="AH37">
        <v>3.4822277764579301E-2</v>
      </c>
      <c r="AI37">
        <v>0.74631826796214196</v>
      </c>
      <c r="AJ37" t="s">
        <v>74</v>
      </c>
      <c r="AK37">
        <v>0</v>
      </c>
      <c r="AL37" t="s">
        <v>77</v>
      </c>
      <c r="AM37">
        <v>0</v>
      </c>
      <c r="AN37">
        <v>0.99200000000000099</v>
      </c>
      <c r="AO37">
        <v>0</v>
      </c>
      <c r="AP37">
        <v>5.82453462424753E-2</v>
      </c>
      <c r="AQ37">
        <v>0</v>
      </c>
      <c r="AR37">
        <v>1.6E-2</v>
      </c>
      <c r="AS37">
        <v>0</v>
      </c>
      <c r="AT37">
        <v>0</v>
      </c>
      <c r="AU37">
        <v>0</v>
      </c>
      <c r="AV37">
        <v>0</v>
      </c>
      <c r="AW37">
        <v>1</v>
      </c>
      <c r="AX37" t="s">
        <v>78</v>
      </c>
      <c r="AY37">
        <v>1980961.55982587</v>
      </c>
      <c r="AZ37" t="s">
        <v>76</v>
      </c>
      <c r="BA37">
        <v>-1.5707963267949001</v>
      </c>
      <c r="BB37">
        <v>0.99200000000000099</v>
      </c>
      <c r="BC37">
        <v>0</v>
      </c>
      <c r="BD37">
        <v>5.82453462424753E-2</v>
      </c>
      <c r="BE37">
        <v>0</v>
      </c>
      <c r="BF37">
        <v>1.6E-2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1.0797577416131E-4</v>
      </c>
      <c r="BM37">
        <v>1.0128048001204E-4</v>
      </c>
      <c r="BN37" s="1">
        <v>4.00002809228508E-7</v>
      </c>
      <c r="BO37" s="1">
        <v>1.59091005978937E-6</v>
      </c>
      <c r="BP37">
        <v>0</v>
      </c>
      <c r="BQ37">
        <v>0</v>
      </c>
      <c r="BR37" s="1">
        <v>6.4987412012802896E-5</v>
      </c>
      <c r="BS37" s="1">
        <v>5.6880032812092301E-5</v>
      </c>
    </row>
    <row r="38" spans="1:71" x14ac:dyDescent="0.25">
      <c r="A38">
        <v>35</v>
      </c>
      <c r="B38" s="1">
        <v>1.7632125416204901E-5</v>
      </c>
      <c r="C38">
        <v>9.7297628853473095E-2</v>
      </c>
      <c r="D38">
        <v>-2.29020543572246E-4</v>
      </c>
      <c r="E38" s="1">
        <v>-6.0591434857797201E-5</v>
      </c>
      <c r="F38">
        <v>-9.7297628853473101E-4</v>
      </c>
      <c r="G38">
        <v>-7.7838103082778496E-4</v>
      </c>
      <c r="H38" t="s">
        <v>74</v>
      </c>
      <c r="I38">
        <v>0</v>
      </c>
      <c r="J38" t="s">
        <v>75</v>
      </c>
      <c r="K38">
        <v>3.14159265358979</v>
      </c>
      <c r="L38">
        <v>0.85356063982630903</v>
      </c>
      <c r="M38">
        <v>0</v>
      </c>
      <c r="N38">
        <v>5.0116869965354902E-2</v>
      </c>
      <c r="O38">
        <v>0</v>
      </c>
      <c r="P38">
        <v>1.6E-2</v>
      </c>
      <c r="Q38">
        <v>0</v>
      </c>
      <c r="R38">
        <v>0</v>
      </c>
      <c r="S38">
        <v>0</v>
      </c>
      <c r="T38">
        <v>0</v>
      </c>
      <c r="U38">
        <v>0.85852284283602498</v>
      </c>
      <c r="V38" t="s">
        <v>78</v>
      </c>
      <c r="W38">
        <v>3071982.6520497599</v>
      </c>
      <c r="X38" t="s">
        <v>76</v>
      </c>
      <c r="Y38">
        <v>-1.5707963267949001</v>
      </c>
      <c r="Z38">
        <v>0.84989545243243003</v>
      </c>
      <c r="AA38">
        <v>0</v>
      </c>
      <c r="AB38">
        <v>4.7947782868511701E-2</v>
      </c>
      <c r="AC38">
        <v>9.2993970697418597E-4</v>
      </c>
      <c r="AD38">
        <v>1.6791333409541798E-2</v>
      </c>
      <c r="AE38">
        <v>7.3399820591911599E-3</v>
      </c>
      <c r="AF38">
        <v>0</v>
      </c>
      <c r="AG38">
        <v>0.17175804254420099</v>
      </c>
      <c r="AH38">
        <v>3.7126695999418799E-2</v>
      </c>
      <c r="AI38">
        <v>0.73876938874646403</v>
      </c>
      <c r="AJ38" t="s">
        <v>74</v>
      </c>
      <c r="AK38">
        <v>0</v>
      </c>
      <c r="AL38" t="s">
        <v>77</v>
      </c>
      <c r="AM38">
        <v>0</v>
      </c>
      <c r="AN38">
        <v>0.99200000000000099</v>
      </c>
      <c r="AO38">
        <v>0</v>
      </c>
      <c r="AP38">
        <v>5.82453462424753E-2</v>
      </c>
      <c r="AQ38">
        <v>0</v>
      </c>
      <c r="AR38">
        <v>1.6E-2</v>
      </c>
      <c r="AS38">
        <v>0</v>
      </c>
      <c r="AT38">
        <v>0</v>
      </c>
      <c r="AU38">
        <v>0</v>
      </c>
      <c r="AV38">
        <v>0</v>
      </c>
      <c r="AW38">
        <v>1</v>
      </c>
      <c r="AX38" t="s">
        <v>78</v>
      </c>
      <c r="AY38">
        <v>1981886.56167044</v>
      </c>
      <c r="AZ38" t="s">
        <v>76</v>
      </c>
      <c r="BA38">
        <v>-1.5707963267949001</v>
      </c>
      <c r="BB38">
        <v>0.99200000000000099</v>
      </c>
      <c r="BC38">
        <v>0</v>
      </c>
      <c r="BD38">
        <v>5.82453462424753E-2</v>
      </c>
      <c r="BE38">
        <v>0</v>
      </c>
      <c r="BF38">
        <v>1.6E-2</v>
      </c>
      <c r="BG38">
        <v>0</v>
      </c>
      <c r="BH38">
        <v>0</v>
      </c>
      <c r="BI38">
        <v>0</v>
      </c>
      <c r="BJ38">
        <v>0</v>
      </c>
      <c r="BK38">
        <v>1</v>
      </c>
      <c r="BL38">
        <v>1.07742642512896E-4</v>
      </c>
      <c r="BM38">
        <v>1.0444236927181E-4</v>
      </c>
      <c r="BN38" s="1">
        <v>3.9920520815126698E-7</v>
      </c>
      <c r="BO38" s="1">
        <v>1.64057690013915E-6</v>
      </c>
      <c r="BP38">
        <v>0</v>
      </c>
      <c r="BQ38">
        <v>0</v>
      </c>
      <c r="BR38" s="1">
        <v>6.4845814930377906E-5</v>
      </c>
      <c r="BS38" s="1">
        <v>5.8657240081633601E-5</v>
      </c>
    </row>
    <row r="39" spans="1:71" x14ac:dyDescent="0.25">
      <c r="A39">
        <v>36</v>
      </c>
      <c r="B39" s="1">
        <v>1.7235902437790199E-5</v>
      </c>
      <c r="C39">
        <v>9.7314864755910904E-2</v>
      </c>
      <c r="D39">
        <v>-2.2912032690448699E-4</v>
      </c>
      <c r="E39" s="1">
        <v>-6.0671261523589801E-5</v>
      </c>
      <c r="F39">
        <v>-9.7314864755910905E-4</v>
      </c>
      <c r="G39">
        <v>-7.7851891804728702E-4</v>
      </c>
      <c r="H39" t="s">
        <v>74</v>
      </c>
      <c r="I39">
        <v>0</v>
      </c>
      <c r="J39" t="s">
        <v>75</v>
      </c>
      <c r="K39">
        <v>3.14159265358979</v>
      </c>
      <c r="L39">
        <v>0.84936983836006197</v>
      </c>
      <c r="M39">
        <v>0</v>
      </c>
      <c r="N39">
        <v>4.9870806777416399E-2</v>
      </c>
      <c r="O39">
        <v>0</v>
      </c>
      <c r="P39">
        <v>1.6E-2</v>
      </c>
      <c r="Q39">
        <v>0</v>
      </c>
      <c r="R39">
        <v>0</v>
      </c>
      <c r="S39">
        <v>0</v>
      </c>
      <c r="T39">
        <v>0</v>
      </c>
      <c r="U39">
        <v>0.85394892246042298</v>
      </c>
      <c r="V39" t="s">
        <v>78</v>
      </c>
      <c r="W39">
        <v>3073015.9501174502</v>
      </c>
      <c r="X39" t="s">
        <v>76</v>
      </c>
      <c r="Y39">
        <v>-1.5707963267949001</v>
      </c>
      <c r="Z39">
        <v>0.84570063956819996</v>
      </c>
      <c r="AA39">
        <v>0</v>
      </c>
      <c r="AB39">
        <v>4.7700988323585602E-2</v>
      </c>
      <c r="AC39">
        <v>9.5692759394244004E-4</v>
      </c>
      <c r="AD39">
        <v>1.6599852488755801E-2</v>
      </c>
      <c r="AE39">
        <v>7.5691814090914798E-3</v>
      </c>
      <c r="AF39">
        <v>0</v>
      </c>
      <c r="AG39">
        <v>0.175696151108584</v>
      </c>
      <c r="AH39">
        <v>3.95118936643254E-2</v>
      </c>
      <c r="AI39">
        <v>0.73123522994283496</v>
      </c>
      <c r="AJ39" t="s">
        <v>74</v>
      </c>
      <c r="AK39">
        <v>0</v>
      </c>
      <c r="AL39" t="s">
        <v>77</v>
      </c>
      <c r="AM39">
        <v>0</v>
      </c>
      <c r="AN39">
        <v>0.99200000000000099</v>
      </c>
      <c r="AO39">
        <v>0</v>
      </c>
      <c r="AP39">
        <v>5.82453462424753E-2</v>
      </c>
      <c r="AQ39">
        <v>0</v>
      </c>
      <c r="AR39">
        <v>1.6E-2</v>
      </c>
      <c r="AS39">
        <v>0</v>
      </c>
      <c r="AT39">
        <v>0</v>
      </c>
      <c r="AU39">
        <v>0</v>
      </c>
      <c r="AV39">
        <v>0</v>
      </c>
      <c r="AW39">
        <v>1</v>
      </c>
      <c r="AX39" t="s">
        <v>78</v>
      </c>
      <c r="AY39">
        <v>1982790.6974796599</v>
      </c>
      <c r="AZ39" t="s">
        <v>76</v>
      </c>
      <c r="BA39">
        <v>-1.5707963267949001</v>
      </c>
      <c r="BB39">
        <v>0.99200000000000099</v>
      </c>
      <c r="BC39">
        <v>0</v>
      </c>
      <c r="BD39">
        <v>5.82453462424753E-2</v>
      </c>
      <c r="BE39">
        <v>0</v>
      </c>
      <c r="BF39">
        <v>1.6E-2</v>
      </c>
      <c r="BG39">
        <v>0</v>
      </c>
      <c r="BH39">
        <v>0</v>
      </c>
      <c r="BI39">
        <v>0</v>
      </c>
      <c r="BJ39">
        <v>0</v>
      </c>
      <c r="BK39">
        <v>1</v>
      </c>
      <c r="BL39">
        <v>1.0750970758994699E-4</v>
      </c>
      <c r="BM39">
        <v>1.07604022386455E-4</v>
      </c>
      <c r="BN39" s="1">
        <v>3.9840915346693102E-7</v>
      </c>
      <c r="BO39" s="1">
        <v>1.6902400311299901E-6</v>
      </c>
      <c r="BP39">
        <v>0</v>
      </c>
      <c r="BQ39">
        <v>0</v>
      </c>
      <c r="BR39" s="1">
        <v>6.4704263841584305E-5</v>
      </c>
      <c r="BS39" s="1">
        <v>6.0434369382318702E-5</v>
      </c>
    </row>
    <row r="40" spans="1:71" x14ac:dyDescent="0.25">
      <c r="A40">
        <v>37</v>
      </c>
      <c r="B40" s="1">
        <v>1.6864781824393901E-5</v>
      </c>
      <c r="C40">
        <v>9.7331729537735306E-2</v>
      </c>
      <c r="D40">
        <v>-2.2921795330432701E-4</v>
      </c>
      <c r="E40" s="1">
        <v>-6.0749362643461502E-5</v>
      </c>
      <c r="F40">
        <v>-9.7331729537735302E-4</v>
      </c>
      <c r="G40">
        <v>-7.7865383630188205E-4</v>
      </c>
      <c r="H40" t="s">
        <v>74</v>
      </c>
      <c r="I40">
        <v>0</v>
      </c>
      <c r="J40" t="s">
        <v>75</v>
      </c>
      <c r="K40">
        <v>3.14159265358979</v>
      </c>
      <c r="L40">
        <v>0.84517935757401297</v>
      </c>
      <c r="M40">
        <v>0</v>
      </c>
      <c r="N40">
        <v>4.9624762418237003E-2</v>
      </c>
      <c r="O40">
        <v>0</v>
      </c>
      <c r="P40">
        <v>1.6E-2</v>
      </c>
      <c r="Q40">
        <v>0</v>
      </c>
      <c r="R40">
        <v>0</v>
      </c>
      <c r="S40">
        <v>0</v>
      </c>
      <c r="T40">
        <v>0</v>
      </c>
      <c r="U40">
        <v>0.84934910592166801</v>
      </c>
      <c r="V40" t="s">
        <v>78</v>
      </c>
      <c r="W40">
        <v>3074026.91224954</v>
      </c>
      <c r="X40" t="s">
        <v>76</v>
      </c>
      <c r="Y40">
        <v>-1.5707963267949001</v>
      </c>
      <c r="Z40">
        <v>0.84150680241401099</v>
      </c>
      <c r="AA40">
        <v>0</v>
      </c>
      <c r="AB40">
        <v>4.74545639887013E-2</v>
      </c>
      <c r="AC40">
        <v>9.8377517633744106E-4</v>
      </c>
      <c r="AD40">
        <v>1.6407266276866998E-2</v>
      </c>
      <c r="AE40">
        <v>7.7983496164998603E-3</v>
      </c>
      <c r="AF40">
        <v>0</v>
      </c>
      <c r="AG40">
        <v>0.17955223102543699</v>
      </c>
      <c r="AH40">
        <v>4.1978636117264899E-2</v>
      </c>
      <c r="AI40">
        <v>0.72371636706725795</v>
      </c>
      <c r="AJ40" t="s">
        <v>74</v>
      </c>
      <c r="AK40">
        <v>0</v>
      </c>
      <c r="AL40" t="s">
        <v>77</v>
      </c>
      <c r="AM40">
        <v>0</v>
      </c>
      <c r="AN40">
        <v>0.99200000000000099</v>
      </c>
      <c r="AO40">
        <v>0</v>
      </c>
      <c r="AP40">
        <v>5.82453462424753E-2</v>
      </c>
      <c r="AQ40">
        <v>0</v>
      </c>
      <c r="AR40">
        <v>1.6E-2</v>
      </c>
      <c r="AS40">
        <v>0</v>
      </c>
      <c r="AT40">
        <v>0</v>
      </c>
      <c r="AU40">
        <v>0</v>
      </c>
      <c r="AV40">
        <v>0</v>
      </c>
      <c r="AW40">
        <v>1</v>
      </c>
      <c r="AX40" t="s">
        <v>78</v>
      </c>
      <c r="AY40">
        <v>1983675.28934525</v>
      </c>
      <c r="AZ40" t="s">
        <v>76</v>
      </c>
      <c r="BA40">
        <v>-1.5707963267949001</v>
      </c>
      <c r="BB40">
        <v>0.99200000000000099</v>
      </c>
      <c r="BC40">
        <v>0</v>
      </c>
      <c r="BD40">
        <v>5.82453462424753E-2</v>
      </c>
      <c r="BE40">
        <v>0</v>
      </c>
      <c r="BF40">
        <v>1.6E-2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1.07276897034113E-4</v>
      </c>
      <c r="BM40">
        <v>1.10765433571351E-4</v>
      </c>
      <c r="BN40" s="1">
        <v>3.9761413799838799E-7</v>
      </c>
      <c r="BO40" s="1">
        <v>1.73989936189722E-6</v>
      </c>
      <c r="BP40">
        <v>0</v>
      </c>
      <c r="BQ40">
        <v>0</v>
      </c>
      <c r="BR40" s="1">
        <v>6.4562721910642698E-5</v>
      </c>
      <c r="BS40" s="1">
        <v>6.2211416679509897E-5</v>
      </c>
    </row>
    <row r="41" spans="1:71" x14ac:dyDescent="0.25">
      <c r="A41">
        <v>38</v>
      </c>
      <c r="B41" s="1">
        <v>1.6516737460140899E-5</v>
      </c>
      <c r="C41">
        <v>9.7348246275195394E-2</v>
      </c>
      <c r="D41">
        <v>-2.2931355689187301E-4</v>
      </c>
      <c r="E41" s="1">
        <v>-6.0825845513498098E-5</v>
      </c>
      <c r="F41">
        <v>-9.7348246275195396E-4</v>
      </c>
      <c r="G41">
        <v>-7.7878597020156301E-4</v>
      </c>
      <c r="H41" t="s">
        <v>74</v>
      </c>
      <c r="I41">
        <v>0</v>
      </c>
      <c r="J41" t="s">
        <v>75</v>
      </c>
      <c r="K41">
        <v>3.14159265358979</v>
      </c>
      <c r="L41">
        <v>0.840989205377763</v>
      </c>
      <c r="M41">
        <v>0</v>
      </c>
      <c r="N41">
        <v>4.9378737352229703E-2</v>
      </c>
      <c r="O41">
        <v>0</v>
      </c>
      <c r="P41">
        <v>1.6E-2</v>
      </c>
      <c r="Q41">
        <v>0</v>
      </c>
      <c r="R41">
        <v>0</v>
      </c>
      <c r="S41">
        <v>0</v>
      </c>
      <c r="T41">
        <v>0</v>
      </c>
      <c r="U41">
        <v>0.84472375447913295</v>
      </c>
      <c r="V41" t="s">
        <v>78</v>
      </c>
      <c r="W41">
        <v>3075016.9273157502</v>
      </c>
      <c r="X41" t="s">
        <v>76</v>
      </c>
      <c r="Y41">
        <v>-1.5707963267949001</v>
      </c>
      <c r="Z41">
        <v>0.837313914973838</v>
      </c>
      <c r="AA41">
        <v>0</v>
      </c>
      <c r="AB41">
        <v>4.7208491651674803E-2</v>
      </c>
      <c r="AC41">
        <v>1.0106576053795101E-3</v>
      </c>
      <c r="AD41">
        <v>1.6213649177705399E-2</v>
      </c>
      <c r="AE41">
        <v>8.0274748772934095E-3</v>
      </c>
      <c r="AF41">
        <v>0</v>
      </c>
      <c r="AG41">
        <v>0.18332548745789401</v>
      </c>
      <c r="AH41">
        <v>4.4527706260671603E-2</v>
      </c>
      <c r="AI41">
        <v>0.71621334226158595</v>
      </c>
      <c r="AJ41" t="s">
        <v>74</v>
      </c>
      <c r="AK41">
        <v>0</v>
      </c>
      <c r="AL41" t="s">
        <v>77</v>
      </c>
      <c r="AM41">
        <v>0</v>
      </c>
      <c r="AN41">
        <v>0.99200000000000099</v>
      </c>
      <c r="AO41">
        <v>0</v>
      </c>
      <c r="AP41">
        <v>5.82453462424753E-2</v>
      </c>
      <c r="AQ41">
        <v>0</v>
      </c>
      <c r="AR41">
        <v>1.6E-2</v>
      </c>
      <c r="AS41">
        <v>0</v>
      </c>
      <c r="AT41">
        <v>0</v>
      </c>
      <c r="AU41">
        <v>0</v>
      </c>
      <c r="AV41">
        <v>0</v>
      </c>
      <c r="AW41">
        <v>1</v>
      </c>
      <c r="AX41" t="s">
        <v>78</v>
      </c>
      <c r="AY41">
        <v>1984541.5525281799</v>
      </c>
      <c r="AZ41" t="s">
        <v>76</v>
      </c>
      <c r="BA41">
        <v>-1.5707963267949001</v>
      </c>
      <c r="BB41">
        <v>0.99200000000000099</v>
      </c>
      <c r="BC41">
        <v>0</v>
      </c>
      <c r="BD41">
        <v>5.82453462424753E-2</v>
      </c>
      <c r="BE41">
        <v>0</v>
      </c>
      <c r="BF41">
        <v>1.6E-2</v>
      </c>
      <c r="BG41">
        <v>0</v>
      </c>
      <c r="BH41">
        <v>0</v>
      </c>
      <c r="BI41">
        <v>0</v>
      </c>
      <c r="BJ41">
        <v>0</v>
      </c>
      <c r="BK41">
        <v>1</v>
      </c>
      <c r="BL41">
        <v>1.07044289547117E-4</v>
      </c>
      <c r="BM41">
        <v>1.1392659685928301E-4</v>
      </c>
      <c r="BN41" s="1">
        <v>3.9682067976043802E-7</v>
      </c>
      <c r="BO41" s="1">
        <v>1.78955479870804E-6</v>
      </c>
      <c r="BP41">
        <v>0</v>
      </c>
      <c r="BQ41">
        <v>0</v>
      </c>
      <c r="BR41" s="1">
        <v>6.4421236838251998E-5</v>
      </c>
      <c r="BS41" s="1">
        <v>6.3988377904879398E-5</v>
      </c>
    </row>
    <row r="42" spans="1:71" x14ac:dyDescent="0.25">
      <c r="A42">
        <v>39</v>
      </c>
      <c r="B42" s="1">
        <v>1.6189966844849299E-5</v>
      </c>
      <c r="C42">
        <v>9.7364436242040303E-2</v>
      </c>
      <c r="D42">
        <v>-2.2940726129879699E-4</v>
      </c>
      <c r="E42" s="1">
        <v>-6.0900809039037298E-5</v>
      </c>
      <c r="F42">
        <v>-9.7364436242040301E-4</v>
      </c>
      <c r="G42">
        <v>-7.7891548993632201E-4</v>
      </c>
      <c r="H42" t="s">
        <v>74</v>
      </c>
      <c r="I42">
        <v>0</v>
      </c>
      <c r="J42" t="s">
        <v>75</v>
      </c>
      <c r="K42">
        <v>3.14159265358979</v>
      </c>
      <c r="L42">
        <v>0.83679938993746295</v>
      </c>
      <c r="M42">
        <v>0</v>
      </c>
      <c r="N42">
        <v>4.9132732058870497E-2</v>
      </c>
      <c r="O42">
        <v>0</v>
      </c>
      <c r="P42">
        <v>1.6E-2</v>
      </c>
      <c r="Q42">
        <v>0</v>
      </c>
      <c r="R42">
        <v>0</v>
      </c>
      <c r="S42">
        <v>0</v>
      </c>
      <c r="T42">
        <v>0</v>
      </c>
      <c r="U42">
        <v>0.84007319820621495</v>
      </c>
      <c r="V42" t="s">
        <v>78</v>
      </c>
      <c r="W42">
        <v>3075987.2755736602</v>
      </c>
      <c r="X42" t="s">
        <v>76</v>
      </c>
      <c r="Y42">
        <v>-1.5707963267949001</v>
      </c>
      <c r="Z42">
        <v>0.83312195413674905</v>
      </c>
      <c r="AA42">
        <v>0</v>
      </c>
      <c r="AB42">
        <v>4.6962754596819603E-2</v>
      </c>
      <c r="AC42">
        <v>1.0374509413922199E-3</v>
      </c>
      <c r="AD42">
        <v>1.6019070220313701E-2</v>
      </c>
      <c r="AE42">
        <v>8.2565457736410008E-3</v>
      </c>
      <c r="AF42">
        <v>0</v>
      </c>
      <c r="AG42">
        <v>0.187015107092876</v>
      </c>
      <c r="AH42">
        <v>4.7159905086097603E-2</v>
      </c>
      <c r="AI42">
        <v>0.70872666818233498</v>
      </c>
      <c r="AJ42" t="s">
        <v>74</v>
      </c>
      <c r="AK42">
        <v>0</v>
      </c>
      <c r="AL42" t="s">
        <v>79</v>
      </c>
      <c r="AM42" t="s">
        <v>80</v>
      </c>
      <c r="AN42">
        <v>0.99200000000000099</v>
      </c>
      <c r="AO42">
        <v>0</v>
      </c>
      <c r="AP42">
        <v>5.82453462424753E-2</v>
      </c>
      <c r="AQ42">
        <v>0</v>
      </c>
      <c r="AR42">
        <v>1.6E-2</v>
      </c>
      <c r="AS42">
        <v>0</v>
      </c>
      <c r="AT42">
        <v>0</v>
      </c>
      <c r="AU42">
        <v>0</v>
      </c>
      <c r="AV42">
        <v>0</v>
      </c>
      <c r="AW42">
        <v>1</v>
      </c>
      <c r="AX42" t="s">
        <v>78</v>
      </c>
      <c r="AY42">
        <v>1985390.60725385</v>
      </c>
      <c r="AZ42" t="s">
        <v>76</v>
      </c>
      <c r="BA42">
        <v>-1.5707963267949001</v>
      </c>
      <c r="BB42">
        <v>0.99200000000000099</v>
      </c>
      <c r="BC42">
        <v>0</v>
      </c>
      <c r="BD42">
        <v>5.82453462424753E-2</v>
      </c>
      <c r="BE42">
        <v>0</v>
      </c>
      <c r="BF42">
        <v>1.6E-2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1.0681181504101601E-4</v>
      </c>
      <c r="BM42">
        <v>1.1708750608948699E-4</v>
      </c>
      <c r="BN42" s="1">
        <v>3.9602828948596998E-7</v>
      </c>
      <c r="BO42" s="1">
        <v>1.83920624478941E-6</v>
      </c>
      <c r="BP42">
        <v>0</v>
      </c>
      <c r="BQ42">
        <v>0</v>
      </c>
      <c r="BR42" s="1">
        <v>6.4279772486384998E-5</v>
      </c>
      <c r="BS42" s="1">
        <v>6.5765248945578105E-5</v>
      </c>
    </row>
    <row r="43" spans="1:71" x14ac:dyDescent="0.25">
      <c r="A43">
        <v>40</v>
      </c>
      <c r="B43" s="1">
        <v>1.5882861679867099E-5</v>
      </c>
      <c r="C43">
        <v>9.7380319103720206E-2</v>
      </c>
      <c r="D43">
        <v>-2.2949918079876E-4</v>
      </c>
      <c r="E43" s="1">
        <v>-6.0974344639008103E-5</v>
      </c>
      <c r="F43">
        <v>-9.7380319103720101E-4</v>
      </c>
      <c r="G43">
        <v>-7.79042552829761E-4</v>
      </c>
      <c r="H43" t="s">
        <v>74</v>
      </c>
      <c r="I43">
        <v>0</v>
      </c>
      <c r="J43" t="s">
        <v>75</v>
      </c>
      <c r="K43">
        <v>3.14159265358979</v>
      </c>
      <c r="L43">
        <v>0.83260991969088505</v>
      </c>
      <c r="M43">
        <v>0</v>
      </c>
      <c r="N43">
        <v>4.8886747033583797E-2</v>
      </c>
      <c r="O43">
        <v>0</v>
      </c>
      <c r="P43">
        <v>1.6E-2</v>
      </c>
      <c r="Q43">
        <v>0</v>
      </c>
      <c r="R43">
        <v>0</v>
      </c>
      <c r="S43">
        <v>0</v>
      </c>
      <c r="T43">
        <v>0</v>
      </c>
      <c r="U43">
        <v>0.83539773937592599</v>
      </c>
      <c r="V43" t="s">
        <v>78</v>
      </c>
      <c r="W43">
        <v>3076939.1403747499</v>
      </c>
      <c r="X43" t="s">
        <v>76</v>
      </c>
      <c r="Y43">
        <v>-1.5707963267949001</v>
      </c>
      <c r="Z43">
        <v>0.82893089941659204</v>
      </c>
      <c r="AA43">
        <v>0</v>
      </c>
      <c r="AB43">
        <v>4.6717337448166203E-2</v>
      </c>
      <c r="AC43">
        <v>1.06420896641167E-3</v>
      </c>
      <c r="AD43">
        <v>1.58235936213257E-2</v>
      </c>
      <c r="AE43">
        <v>8.4855512363883195E-3</v>
      </c>
      <c r="AF43">
        <v>0</v>
      </c>
      <c r="AG43">
        <v>0.19062025754183701</v>
      </c>
      <c r="AH43">
        <v>4.9876052250724799E-2</v>
      </c>
      <c r="AI43">
        <v>0.70125683138556105</v>
      </c>
      <c r="AJ43" t="s">
        <v>74</v>
      </c>
      <c r="AK43">
        <v>0</v>
      </c>
      <c r="AL43" t="s">
        <v>77</v>
      </c>
      <c r="AM43">
        <v>0</v>
      </c>
      <c r="AN43">
        <v>0.99200000000000099</v>
      </c>
      <c r="AO43">
        <v>0</v>
      </c>
      <c r="AP43">
        <v>5.82453462424753E-2</v>
      </c>
      <c r="AQ43">
        <v>0</v>
      </c>
      <c r="AR43">
        <v>1.6E-2</v>
      </c>
      <c r="AS43">
        <v>0</v>
      </c>
      <c r="AT43">
        <v>0</v>
      </c>
      <c r="AU43">
        <v>0</v>
      </c>
      <c r="AV43">
        <v>0</v>
      </c>
      <c r="AW43">
        <v>1</v>
      </c>
      <c r="AX43" t="s">
        <v>78</v>
      </c>
      <c r="AY43">
        <v>1986223.48895481</v>
      </c>
      <c r="AZ43" t="s">
        <v>76</v>
      </c>
      <c r="BA43">
        <v>-1.5707963267949001</v>
      </c>
      <c r="BB43">
        <v>0.99200000000000099</v>
      </c>
      <c r="BC43">
        <v>0</v>
      </c>
      <c r="BD43">
        <v>5.82453462424753E-2</v>
      </c>
      <c r="BE43">
        <v>0</v>
      </c>
      <c r="BF43">
        <v>1.6E-2</v>
      </c>
      <c r="BG43">
        <v>0</v>
      </c>
      <c r="BH43">
        <v>0</v>
      </c>
      <c r="BI43">
        <v>0</v>
      </c>
      <c r="BJ43">
        <v>0</v>
      </c>
      <c r="BK43">
        <v>1</v>
      </c>
      <c r="BL43">
        <v>1.06579492966556E-4</v>
      </c>
      <c r="BM43">
        <v>1.20248154896281E-4</v>
      </c>
      <c r="BN43" s="1">
        <v>3.9523708582171502E-7</v>
      </c>
      <c r="BO43" s="1">
        <v>1.8888536001494201E-6</v>
      </c>
      <c r="BP43">
        <v>0</v>
      </c>
      <c r="BQ43">
        <v>0</v>
      </c>
      <c r="BR43" s="1">
        <v>6.4138342764002594E-5</v>
      </c>
      <c r="BS43" s="1">
        <v>6.7542025633731003E-5</v>
      </c>
    </row>
    <row r="44" spans="1:71" x14ac:dyDescent="0.25">
      <c r="A44">
        <v>41</v>
      </c>
      <c r="B44" s="1">
        <v>1.55939830212034E-5</v>
      </c>
      <c r="C44">
        <v>9.7395913086741406E-2</v>
      </c>
      <c r="D44">
        <v>-2.29589421293129E-4</v>
      </c>
      <c r="E44" s="1">
        <v>-6.1046537034503196E-5</v>
      </c>
      <c r="F44">
        <v>-9.7395913086741298E-4</v>
      </c>
      <c r="G44">
        <v>-7.7916730469393099E-4</v>
      </c>
      <c r="H44" t="s">
        <v>74</v>
      </c>
      <c r="I44">
        <v>0</v>
      </c>
      <c r="J44" t="s">
        <v>75</v>
      </c>
      <c r="K44">
        <v>3.14159265358979</v>
      </c>
      <c r="L44">
        <v>0.82842080336307</v>
      </c>
      <c r="M44">
        <v>0</v>
      </c>
      <c r="N44">
        <v>4.8640782788660797E-2</v>
      </c>
      <c r="O44">
        <v>0</v>
      </c>
      <c r="P44">
        <v>1.6E-2</v>
      </c>
      <c r="Q44">
        <v>0</v>
      </c>
      <c r="R44">
        <v>0</v>
      </c>
      <c r="S44">
        <v>0</v>
      </c>
      <c r="T44">
        <v>0</v>
      </c>
      <c r="U44">
        <v>0.83069765541991603</v>
      </c>
      <c r="V44" t="s">
        <v>78</v>
      </c>
      <c r="W44">
        <v>3077873.6183718699</v>
      </c>
      <c r="X44" t="s">
        <v>76</v>
      </c>
      <c r="Y44">
        <v>-1.5707963267949001</v>
      </c>
      <c r="Z44">
        <v>0.82474073272720705</v>
      </c>
      <c r="AA44">
        <v>0</v>
      </c>
      <c r="AB44">
        <v>4.6472226033017601E-2</v>
      </c>
      <c r="AC44">
        <v>1.09098332508446E-3</v>
      </c>
      <c r="AD44">
        <v>1.5627279276487299E-2</v>
      </c>
      <c r="AE44">
        <v>8.7144805111728507E-3</v>
      </c>
      <c r="AF44">
        <v>0</v>
      </c>
      <c r="AG44">
        <v>0.194140086707423</v>
      </c>
      <c r="AH44">
        <v>5.2676986687098699E-2</v>
      </c>
      <c r="AI44">
        <v>0.69380429528556598</v>
      </c>
      <c r="AJ44" t="s">
        <v>74</v>
      </c>
      <c r="AK44">
        <v>0</v>
      </c>
      <c r="AL44" t="s">
        <v>77</v>
      </c>
      <c r="AM44">
        <v>0</v>
      </c>
      <c r="AN44">
        <v>0.99200000000000099</v>
      </c>
      <c r="AO44">
        <v>0</v>
      </c>
      <c r="AP44">
        <v>5.82453462424753E-2</v>
      </c>
      <c r="AQ44">
        <v>0</v>
      </c>
      <c r="AR44">
        <v>1.6E-2</v>
      </c>
      <c r="AS44">
        <v>0</v>
      </c>
      <c r="AT44">
        <v>0</v>
      </c>
      <c r="AU44">
        <v>0</v>
      </c>
      <c r="AV44">
        <v>0</v>
      </c>
      <c r="AW44">
        <v>1</v>
      </c>
      <c r="AX44" t="s">
        <v>78</v>
      </c>
      <c r="AY44">
        <v>1987041.1572022899</v>
      </c>
      <c r="AZ44" t="s">
        <v>76</v>
      </c>
      <c r="BA44">
        <v>-1.5707963267949001</v>
      </c>
      <c r="BB44">
        <v>0.99200000000000099</v>
      </c>
      <c r="BC44">
        <v>0</v>
      </c>
      <c r="BD44">
        <v>5.82453462424753E-2</v>
      </c>
      <c r="BE44">
        <v>0</v>
      </c>
      <c r="BF44">
        <v>1.6E-2</v>
      </c>
      <c r="BG44">
        <v>0</v>
      </c>
      <c r="BH44">
        <v>0</v>
      </c>
      <c r="BI44">
        <v>0</v>
      </c>
      <c r="BJ44">
        <v>0</v>
      </c>
      <c r="BK44">
        <v>1</v>
      </c>
      <c r="BL44">
        <v>1.0634734231585701E-4</v>
      </c>
      <c r="BM44">
        <v>1.23408536697261E-4</v>
      </c>
      <c r="BN44" s="1">
        <v>3.9444718523948098E-7</v>
      </c>
      <c r="BO44" s="1">
        <v>1.9384967613918999E-6</v>
      </c>
      <c r="BP44">
        <v>0</v>
      </c>
      <c r="BQ44">
        <v>0</v>
      </c>
      <c r="BR44" s="1">
        <v>6.3996961106440895E-5</v>
      </c>
      <c r="BS44" s="1">
        <v>6.9318703736183899E-5</v>
      </c>
    </row>
    <row r="45" spans="1:71" x14ac:dyDescent="0.25">
      <c r="A45">
        <v>42</v>
      </c>
      <c r="B45" s="1">
        <v>1.5322040196387898E-5</v>
      </c>
      <c r="C45">
        <v>9.7411235126937806E-2</v>
      </c>
      <c r="D45">
        <v>-2.2967808117390701E-4</v>
      </c>
      <c r="E45" s="1">
        <v>-6.1117464939125805E-5</v>
      </c>
      <c r="F45">
        <v>-9.7411235126937704E-4</v>
      </c>
      <c r="G45">
        <v>-7.7928988101550205E-4</v>
      </c>
      <c r="H45" t="s">
        <v>74</v>
      </c>
      <c r="I45">
        <v>0</v>
      </c>
      <c r="J45" t="s">
        <v>75</v>
      </c>
      <c r="K45">
        <v>3.14159265358979</v>
      </c>
      <c r="L45">
        <v>0.82423204998268995</v>
      </c>
      <c r="M45">
        <v>0</v>
      </c>
      <c r="N45">
        <v>4.8394839854220703E-2</v>
      </c>
      <c r="O45">
        <v>0</v>
      </c>
      <c r="P45">
        <v>1.6E-2</v>
      </c>
      <c r="Q45">
        <v>0</v>
      </c>
      <c r="R45">
        <v>0</v>
      </c>
      <c r="S45">
        <v>0</v>
      </c>
      <c r="T45">
        <v>0</v>
      </c>
      <c r="U45">
        <v>0.82597320152537901</v>
      </c>
      <c r="V45" t="s">
        <v>78</v>
      </c>
      <c r="W45">
        <v>3078791.7284553102</v>
      </c>
      <c r="X45" t="s">
        <v>76</v>
      </c>
      <c r="Y45">
        <v>-1.5707963267949001</v>
      </c>
      <c r="Z45">
        <v>0.82055143818807397</v>
      </c>
      <c r="AA45">
        <v>0</v>
      </c>
      <c r="AB45">
        <v>4.6227407262770401E-2</v>
      </c>
      <c r="AC45">
        <v>1.1176542606778899E-3</v>
      </c>
      <c r="AD45">
        <v>1.54301831919027E-2</v>
      </c>
      <c r="AE45">
        <v>8.9433231277763394E-3</v>
      </c>
      <c r="AF45">
        <v>0</v>
      </c>
      <c r="AG45">
        <v>0.197573722114356</v>
      </c>
      <c r="AH45">
        <v>5.55635672475513E-2</v>
      </c>
      <c r="AI45">
        <v>0.68636950275181396</v>
      </c>
      <c r="AJ45" t="s">
        <v>74</v>
      </c>
      <c r="AK45">
        <v>0</v>
      </c>
      <c r="AL45" t="s">
        <v>77</v>
      </c>
      <c r="AM45">
        <v>0</v>
      </c>
      <c r="AN45">
        <v>0.99200000000000099</v>
      </c>
      <c r="AO45">
        <v>0</v>
      </c>
      <c r="AP45">
        <v>5.82453462424753E-2</v>
      </c>
      <c r="AQ45">
        <v>0</v>
      </c>
      <c r="AR45">
        <v>1.6E-2</v>
      </c>
      <c r="AS45">
        <v>0</v>
      </c>
      <c r="AT45">
        <v>0</v>
      </c>
      <c r="AU45">
        <v>0</v>
      </c>
      <c r="AV45">
        <v>0</v>
      </c>
      <c r="AW45">
        <v>1</v>
      </c>
      <c r="AX45" t="s">
        <v>78</v>
      </c>
      <c r="AY45">
        <v>1987844.5035253</v>
      </c>
      <c r="AZ45" t="s">
        <v>76</v>
      </c>
      <c r="BA45">
        <v>-1.5707963267949001</v>
      </c>
      <c r="BB45">
        <v>0.99200000000000099</v>
      </c>
      <c r="BC45">
        <v>0</v>
      </c>
      <c r="BD45">
        <v>5.82453462424753E-2</v>
      </c>
      <c r="BE45">
        <v>0</v>
      </c>
      <c r="BF45">
        <v>1.6E-2</v>
      </c>
      <c r="BG45">
        <v>0</v>
      </c>
      <c r="BH45">
        <v>0</v>
      </c>
      <c r="BI45">
        <v>0</v>
      </c>
      <c r="BJ45">
        <v>0</v>
      </c>
      <c r="BK45">
        <v>1</v>
      </c>
      <c r="BL45">
        <v>1.0611529693130999E-4</v>
      </c>
      <c r="BM45">
        <v>1.2656864468095299E-4</v>
      </c>
      <c r="BN45" s="1">
        <v>3.9365812790380901E-7</v>
      </c>
      <c r="BO45" s="1">
        <v>1.9881356215224999E-6</v>
      </c>
      <c r="BP45">
        <v>0</v>
      </c>
      <c r="BQ45">
        <v>0</v>
      </c>
      <c r="BR45" s="1">
        <v>6.3855592925356495E-5</v>
      </c>
      <c r="BS45" s="1">
        <v>7.1095278944377602E-5</v>
      </c>
    </row>
    <row r="46" spans="1:71" x14ac:dyDescent="0.25">
      <c r="A46">
        <v>43</v>
      </c>
      <c r="B46" s="1">
        <v>1.5065872839687001E-5</v>
      </c>
      <c r="C46">
        <v>9.7426300999777393E-2</v>
      </c>
      <c r="D46">
        <v>-2.2976525208205501E-4</v>
      </c>
      <c r="E46" s="1">
        <v>-6.1187201665643896E-5</v>
      </c>
      <c r="F46">
        <v>-9.7426300999777404E-4</v>
      </c>
      <c r="G46">
        <v>-7.79410407998219E-4</v>
      </c>
      <c r="H46" t="s">
        <v>74</v>
      </c>
      <c r="I46">
        <v>0</v>
      </c>
      <c r="J46" t="s">
        <v>75</v>
      </c>
      <c r="K46">
        <v>3.14159265358979</v>
      </c>
      <c r="L46">
        <v>0.8200436688992</v>
      </c>
      <c r="M46">
        <v>0</v>
      </c>
      <c r="N46">
        <v>4.8148918779217398E-2</v>
      </c>
      <c r="O46">
        <v>0</v>
      </c>
      <c r="P46">
        <v>1.6E-2</v>
      </c>
      <c r="Q46">
        <v>0</v>
      </c>
      <c r="R46">
        <v>0</v>
      </c>
      <c r="S46">
        <v>0</v>
      </c>
      <c r="T46">
        <v>0</v>
      </c>
      <c r="U46">
        <v>0.82122461292325699</v>
      </c>
      <c r="V46" t="s">
        <v>78</v>
      </c>
      <c r="W46">
        <v>3079694.41960548</v>
      </c>
      <c r="X46" t="s">
        <v>76</v>
      </c>
      <c r="Y46">
        <v>-1.5707963267949001</v>
      </c>
      <c r="Z46">
        <v>0.816363001956111</v>
      </c>
      <c r="AA46">
        <v>0</v>
      </c>
      <c r="AB46">
        <v>4.5982869028456302E-2</v>
      </c>
      <c r="AC46">
        <v>1.1443290752360001E-3</v>
      </c>
      <c r="AD46">
        <v>1.5232357863784801E-2</v>
      </c>
      <c r="AE46">
        <v>9.1720688722995505E-3</v>
      </c>
      <c r="AF46">
        <v>0</v>
      </c>
      <c r="AG46">
        <v>0.200920270202748</v>
      </c>
      <c r="AH46">
        <v>5.8536673385009702E-2</v>
      </c>
      <c r="AI46">
        <v>0.67895287839732099</v>
      </c>
      <c r="AJ46" t="s">
        <v>74</v>
      </c>
      <c r="AK46">
        <v>0</v>
      </c>
      <c r="AL46" t="s">
        <v>77</v>
      </c>
      <c r="AM46">
        <v>0</v>
      </c>
      <c r="AN46">
        <v>0.99200000000000099</v>
      </c>
      <c r="AO46">
        <v>0</v>
      </c>
      <c r="AP46">
        <v>5.82453462424753E-2</v>
      </c>
      <c r="AQ46">
        <v>0</v>
      </c>
      <c r="AR46">
        <v>1.6E-2</v>
      </c>
      <c r="AS46">
        <v>0</v>
      </c>
      <c r="AT46">
        <v>0</v>
      </c>
      <c r="AU46">
        <v>0</v>
      </c>
      <c r="AV46">
        <v>0</v>
      </c>
      <c r="AW46">
        <v>1</v>
      </c>
      <c r="AX46" t="s">
        <v>78</v>
      </c>
      <c r="AY46">
        <v>1988634.3582816899</v>
      </c>
      <c r="AZ46" t="s">
        <v>76</v>
      </c>
      <c r="BA46">
        <v>-1.5707963267949001</v>
      </c>
      <c r="BB46">
        <v>0.99200000000000099</v>
      </c>
      <c r="BC46">
        <v>0</v>
      </c>
      <c r="BD46">
        <v>5.82453462424753E-2</v>
      </c>
      <c r="BE46">
        <v>0</v>
      </c>
      <c r="BF46">
        <v>1.6E-2</v>
      </c>
      <c r="BG46">
        <v>0</v>
      </c>
      <c r="BH46">
        <v>0</v>
      </c>
      <c r="BI46">
        <v>0</v>
      </c>
      <c r="BJ46">
        <v>0</v>
      </c>
      <c r="BK46">
        <v>1</v>
      </c>
      <c r="BL46">
        <v>1.0588340468393001E-4</v>
      </c>
      <c r="BM46">
        <v>1.2972847179387899E-4</v>
      </c>
      <c r="BN46" s="1">
        <v>3.9287022756930601E-7</v>
      </c>
      <c r="BO46" s="1">
        <v>2.0377700697454E-6</v>
      </c>
      <c r="BP46">
        <v>0</v>
      </c>
      <c r="BQ46">
        <v>0</v>
      </c>
      <c r="BR46" s="1">
        <v>6.3714267506548102E-5</v>
      </c>
      <c r="BS46" s="1">
        <v>7.2871746864275002E-5</v>
      </c>
    </row>
    <row r="47" spans="1:71" x14ac:dyDescent="0.25">
      <c r="A47">
        <v>44</v>
      </c>
      <c r="B47" s="1">
        <v>1.4824435524001001E-5</v>
      </c>
      <c r="C47">
        <v>9.7441125435301396E-2</v>
      </c>
      <c r="D47">
        <v>-2.2985101957631601E-4</v>
      </c>
      <c r="E47" s="1">
        <v>-6.1255815661052706E-5</v>
      </c>
      <c r="F47">
        <v>-9.7441125435301403E-4</v>
      </c>
      <c r="G47">
        <v>-7.7952900348241103E-4</v>
      </c>
      <c r="H47" t="s">
        <v>74</v>
      </c>
      <c r="I47">
        <v>0</v>
      </c>
      <c r="J47" t="s">
        <v>75</v>
      </c>
      <c r="K47">
        <v>3.14159265358979</v>
      </c>
      <c r="L47">
        <v>0.81585566980087998</v>
      </c>
      <c r="M47">
        <v>0</v>
      </c>
      <c r="N47">
        <v>4.7903020132498801E-2</v>
      </c>
      <c r="O47">
        <v>0</v>
      </c>
      <c r="P47">
        <v>1.6E-2</v>
      </c>
      <c r="Q47">
        <v>0</v>
      </c>
      <c r="R47">
        <v>0</v>
      </c>
      <c r="S47">
        <v>0</v>
      </c>
      <c r="T47">
        <v>0</v>
      </c>
      <c r="U47">
        <v>0.81645210691234305</v>
      </c>
      <c r="V47" t="s">
        <v>78</v>
      </c>
      <c r="W47">
        <v>3080582.5778188799</v>
      </c>
      <c r="X47" t="s">
        <v>76</v>
      </c>
      <c r="Y47">
        <v>-1.5707963267949001</v>
      </c>
      <c r="Z47">
        <v>0.81217541208009403</v>
      </c>
      <c r="AA47">
        <v>0</v>
      </c>
      <c r="AB47">
        <v>4.5738600108888999E-2</v>
      </c>
      <c r="AC47">
        <v>1.1710008049572E-3</v>
      </c>
      <c r="AD47">
        <v>1.50338526140332E-2</v>
      </c>
      <c r="AE47">
        <v>9.4007077618028009E-3</v>
      </c>
      <c r="AF47">
        <v>0</v>
      </c>
      <c r="AG47">
        <v>0.20417881558182499</v>
      </c>
      <c r="AH47">
        <v>6.15972058720545E-2</v>
      </c>
      <c r="AI47">
        <v>0.67155483060302301</v>
      </c>
      <c r="AJ47" t="s">
        <v>74</v>
      </c>
      <c r="AK47">
        <v>0</v>
      </c>
      <c r="AL47" t="s">
        <v>77</v>
      </c>
      <c r="AM47">
        <v>0</v>
      </c>
      <c r="AN47">
        <v>0.99200000000000099</v>
      </c>
      <c r="AO47">
        <v>0</v>
      </c>
      <c r="AP47">
        <v>5.82453462424753E-2</v>
      </c>
      <c r="AQ47">
        <v>0</v>
      </c>
      <c r="AR47">
        <v>1.6E-2</v>
      </c>
      <c r="AS47">
        <v>0</v>
      </c>
      <c r="AT47">
        <v>0</v>
      </c>
      <c r="AU47">
        <v>0</v>
      </c>
      <c r="AV47">
        <v>0</v>
      </c>
      <c r="AW47">
        <v>1</v>
      </c>
      <c r="AX47" t="s">
        <v>78</v>
      </c>
      <c r="AY47">
        <v>1989411.4967184199</v>
      </c>
      <c r="AZ47" t="s">
        <v>76</v>
      </c>
      <c r="BA47">
        <v>-1.5707963267949001</v>
      </c>
      <c r="BB47">
        <v>0.99200000000000099</v>
      </c>
      <c r="BC47">
        <v>0</v>
      </c>
      <c r="BD47">
        <v>5.82453462424753E-2</v>
      </c>
      <c r="BE47">
        <v>0</v>
      </c>
      <c r="BF47">
        <v>1.6E-2</v>
      </c>
      <c r="BG47">
        <v>0</v>
      </c>
      <c r="BH47">
        <v>0</v>
      </c>
      <c r="BI47">
        <v>0</v>
      </c>
      <c r="BJ47">
        <v>0</v>
      </c>
      <c r="BK47">
        <v>1</v>
      </c>
      <c r="BL47">
        <v>1.0565165676564801E-4</v>
      </c>
      <c r="BM47">
        <v>1.3288801072694001E-4</v>
      </c>
      <c r="BN47" s="1">
        <v>3.9208341448598197E-7</v>
      </c>
      <c r="BO47" s="1">
        <v>2.0873999912495801E-6</v>
      </c>
      <c r="BP47">
        <v>0</v>
      </c>
      <c r="BQ47">
        <v>0</v>
      </c>
      <c r="BR47" s="1">
        <v>6.3572982141142997E-5</v>
      </c>
      <c r="BS47" s="1">
        <v>7.4648103006251106E-5</v>
      </c>
    </row>
    <row r="48" spans="1:71" x14ac:dyDescent="0.25">
      <c r="A48">
        <v>45</v>
      </c>
      <c r="B48" s="1">
        <v>1.45967845656032E-5</v>
      </c>
      <c r="C48">
        <v>9.7455722219866994E-2</v>
      </c>
      <c r="D48">
        <v>-2.29935463725213E-4</v>
      </c>
      <c r="E48" s="1">
        <v>-6.1323370980170597E-5</v>
      </c>
      <c r="F48">
        <v>-9.7455722219866997E-4</v>
      </c>
      <c r="G48">
        <v>-7.7964577775893596E-4</v>
      </c>
      <c r="H48" t="s">
        <v>74</v>
      </c>
      <c r="I48">
        <v>0</v>
      </c>
      <c r="J48" t="s">
        <v>75</v>
      </c>
      <c r="K48">
        <v>3.14159265358979</v>
      </c>
      <c r="L48">
        <v>0.81166806273384995</v>
      </c>
      <c r="M48">
        <v>0</v>
      </c>
      <c r="N48">
        <v>4.7657144503923603E-2</v>
      </c>
      <c r="O48">
        <v>0</v>
      </c>
      <c r="P48">
        <v>1.6E-2</v>
      </c>
      <c r="Q48">
        <v>0</v>
      </c>
      <c r="R48">
        <v>0</v>
      </c>
      <c r="S48">
        <v>0</v>
      </c>
      <c r="T48">
        <v>0</v>
      </c>
      <c r="U48">
        <v>0.81165588465662197</v>
      </c>
      <c r="V48" t="s">
        <v>78</v>
      </c>
      <c r="W48">
        <v>3081457.03223851</v>
      </c>
      <c r="X48" t="s">
        <v>76</v>
      </c>
      <c r="Y48">
        <v>-1.5707963267949001</v>
      </c>
      <c r="Z48">
        <v>0.80798865837476197</v>
      </c>
      <c r="AA48">
        <v>0</v>
      </c>
      <c r="AB48">
        <v>4.5494590089648498E-2</v>
      </c>
      <c r="AC48">
        <v>1.1975539577347199E-3</v>
      </c>
      <c r="AD48">
        <v>1.48347138877761E-2</v>
      </c>
      <c r="AE48">
        <v>9.6292300211069E-3</v>
      </c>
      <c r="AF48">
        <v>0</v>
      </c>
      <c r="AG48">
        <v>0.20734842024184</v>
      </c>
      <c r="AH48">
        <v>6.4746087560303103E-2</v>
      </c>
      <c r="AI48">
        <v>0.66417575331533596</v>
      </c>
      <c r="AJ48" t="s">
        <v>74</v>
      </c>
      <c r="AK48">
        <v>0</v>
      </c>
      <c r="AL48" t="s">
        <v>77</v>
      </c>
      <c r="AM48">
        <v>0</v>
      </c>
      <c r="AN48">
        <v>0.99200000000000099</v>
      </c>
      <c r="AO48">
        <v>0</v>
      </c>
      <c r="AP48">
        <v>5.82453462424753E-2</v>
      </c>
      <c r="AQ48">
        <v>0</v>
      </c>
      <c r="AR48">
        <v>1.6E-2</v>
      </c>
      <c r="AS48">
        <v>0</v>
      </c>
      <c r="AT48">
        <v>0</v>
      </c>
      <c r="AU48">
        <v>0</v>
      </c>
      <c r="AV48">
        <v>0</v>
      </c>
      <c r="AW48">
        <v>1</v>
      </c>
      <c r="AX48" t="s">
        <v>78</v>
      </c>
      <c r="AY48">
        <v>1990176.6443356001</v>
      </c>
      <c r="AZ48" t="s">
        <v>76</v>
      </c>
      <c r="BA48">
        <v>-1.5707963267949001</v>
      </c>
      <c r="BB48">
        <v>0.99200000000000099</v>
      </c>
      <c r="BC48">
        <v>0</v>
      </c>
      <c r="BD48">
        <v>5.82453462424753E-2</v>
      </c>
      <c r="BE48">
        <v>0</v>
      </c>
      <c r="BF48">
        <v>1.6E-2</v>
      </c>
      <c r="BG48">
        <v>0</v>
      </c>
      <c r="BH48">
        <v>0</v>
      </c>
      <c r="BI48" s="1">
        <v>3.41607084500048E-20</v>
      </c>
      <c r="BJ48">
        <v>0</v>
      </c>
      <c r="BK48">
        <v>1</v>
      </c>
      <c r="BL48">
        <v>1.05419990518129E-4</v>
      </c>
      <c r="BM48">
        <v>1.3604725390107199E-4</v>
      </c>
      <c r="BN48" s="1">
        <v>3.9129725449006003E-7</v>
      </c>
      <c r="BO48" s="1">
        <v>2.1370252669833599E-6</v>
      </c>
      <c r="BP48">
        <v>0</v>
      </c>
      <c r="BQ48">
        <v>0</v>
      </c>
      <c r="BR48" s="1">
        <v>6.3431703726516496E-5</v>
      </c>
      <c r="BS48" s="1">
        <v>7.6424342774875499E-5</v>
      </c>
    </row>
    <row r="49" spans="1:71" x14ac:dyDescent="0.25">
      <c r="A49">
        <v>46</v>
      </c>
      <c r="B49" s="1">
        <v>1.4382066655443399E-5</v>
      </c>
      <c r="C49">
        <v>9.7470104286522502E-2</v>
      </c>
      <c r="D49">
        <v>-2.3001865963284801E-4</v>
      </c>
      <c r="E49" s="1">
        <v>-6.1389927706278705E-5</v>
      </c>
      <c r="F49">
        <v>-9.7470104286522398E-4</v>
      </c>
      <c r="G49">
        <v>-7.7976083429217896E-4</v>
      </c>
      <c r="H49" t="s">
        <v>74</v>
      </c>
      <c r="I49">
        <v>0</v>
      </c>
      <c r="J49" t="s">
        <v>75</v>
      </c>
      <c r="K49">
        <v>3.14159265358979</v>
      </c>
      <c r="L49">
        <v>0.80748085812217896</v>
      </c>
      <c r="M49">
        <v>0</v>
      </c>
      <c r="N49">
        <v>4.7411292505541699E-2</v>
      </c>
      <c r="O49">
        <v>0</v>
      </c>
      <c r="P49">
        <v>1.6E-2</v>
      </c>
      <c r="Q49">
        <v>0</v>
      </c>
      <c r="R49">
        <v>0</v>
      </c>
      <c r="S49">
        <v>0</v>
      </c>
      <c r="T49">
        <v>0</v>
      </c>
      <c r="U49">
        <v>0.80683613278730004</v>
      </c>
      <c r="V49" t="s">
        <v>78</v>
      </c>
      <c r="W49">
        <v>3082318.5605986901</v>
      </c>
      <c r="X49" t="s">
        <v>76</v>
      </c>
      <c r="Y49">
        <v>-1.5707963267949001</v>
      </c>
      <c r="Z49">
        <v>0.80380273231214106</v>
      </c>
      <c r="AA49">
        <v>0</v>
      </c>
      <c r="AB49">
        <v>4.5250829291420998E-2</v>
      </c>
      <c r="AC49">
        <v>1.22414503373665E-3</v>
      </c>
      <c r="AD49">
        <v>1.4634985518041901E-2</v>
      </c>
      <c r="AE49">
        <v>9.8576260614905604E-3</v>
      </c>
      <c r="AF49">
        <v>0</v>
      </c>
      <c r="AG49">
        <v>0.210428122721767</v>
      </c>
      <c r="AH49">
        <v>6.7984264182390397E-2</v>
      </c>
      <c r="AI49">
        <v>0.65681602764826497</v>
      </c>
      <c r="AJ49" t="s">
        <v>74</v>
      </c>
      <c r="AK49">
        <v>0</v>
      </c>
      <c r="AL49" t="s">
        <v>77</v>
      </c>
      <c r="AM49">
        <v>0</v>
      </c>
      <c r="AN49">
        <v>0.99200000000000099</v>
      </c>
      <c r="AO49">
        <v>0</v>
      </c>
      <c r="AP49">
        <v>5.82453462424753E-2</v>
      </c>
      <c r="AQ49">
        <v>0</v>
      </c>
      <c r="AR49">
        <v>1.6E-2</v>
      </c>
      <c r="AS49">
        <v>0</v>
      </c>
      <c r="AT49">
        <v>0</v>
      </c>
      <c r="AU49">
        <v>0</v>
      </c>
      <c r="AV49">
        <v>0</v>
      </c>
      <c r="AW49">
        <v>1</v>
      </c>
      <c r="AX49" t="s">
        <v>78</v>
      </c>
      <c r="AY49">
        <v>1990930.4816507499</v>
      </c>
      <c r="AZ49" t="s">
        <v>76</v>
      </c>
      <c r="BA49">
        <v>-1.5707963267949001</v>
      </c>
      <c r="BB49">
        <v>0.99200000000000099</v>
      </c>
      <c r="BC49">
        <v>0</v>
      </c>
      <c r="BD49">
        <v>5.82453462424753E-2</v>
      </c>
      <c r="BE49">
        <v>0</v>
      </c>
      <c r="BF49">
        <v>1.6E-2</v>
      </c>
      <c r="BG49">
        <v>0</v>
      </c>
      <c r="BH49">
        <v>0</v>
      </c>
      <c r="BI49" s="1">
        <v>3.41607084500048E-20</v>
      </c>
      <c r="BJ49">
        <v>0</v>
      </c>
      <c r="BK49">
        <v>1</v>
      </c>
      <c r="BL49">
        <v>1.05188479657825E-4</v>
      </c>
      <c r="BM49">
        <v>1.3920619345207899E-4</v>
      </c>
      <c r="BN49" s="1">
        <v>3.9051223826291298E-7</v>
      </c>
      <c r="BO49" s="1">
        <v>2.1866457734162501E-6</v>
      </c>
      <c r="BP49">
        <v>0</v>
      </c>
      <c r="BQ49">
        <v>0</v>
      </c>
      <c r="BR49" s="1">
        <v>6.3290475637559895E-5</v>
      </c>
      <c r="BS49" s="1">
        <v>7.8200461458511705E-5</v>
      </c>
    </row>
    <row r="50" spans="1:71" x14ac:dyDescent="0.25">
      <c r="A50">
        <v>47</v>
      </c>
      <c r="B50" s="1">
        <v>1.4179509032935501E-5</v>
      </c>
      <c r="C50">
        <v>9.7484283795555404E-2</v>
      </c>
      <c r="D50">
        <v>-2.30100677907489E-4</v>
      </c>
      <c r="E50" s="1">
        <v>-6.1455542325990906E-5</v>
      </c>
      <c r="F50">
        <v>-9.7484283795555397E-4</v>
      </c>
      <c r="G50">
        <v>-7.7987427036444303E-4</v>
      </c>
      <c r="H50" t="s">
        <v>74</v>
      </c>
      <c r="I50">
        <v>0</v>
      </c>
      <c r="J50" t="s">
        <v>75</v>
      </c>
      <c r="K50">
        <v>3.14159265358979</v>
      </c>
      <c r="L50">
        <v>0.80329406678919502</v>
      </c>
      <c r="M50">
        <v>0</v>
      </c>
      <c r="N50">
        <v>4.7165464772845403E-2</v>
      </c>
      <c r="O50">
        <v>0</v>
      </c>
      <c r="P50">
        <v>1.6E-2</v>
      </c>
      <c r="Q50">
        <v>0</v>
      </c>
      <c r="R50">
        <v>0</v>
      </c>
      <c r="S50">
        <v>0</v>
      </c>
      <c r="T50">
        <v>0</v>
      </c>
      <c r="U50">
        <v>0.80199302483617196</v>
      </c>
      <c r="V50" t="s">
        <v>78</v>
      </c>
      <c r="W50">
        <v>3083167.8940775199</v>
      </c>
      <c r="X50" t="s">
        <v>76</v>
      </c>
      <c r="Y50">
        <v>-1.5707963267949001</v>
      </c>
      <c r="Z50">
        <v>0.79961762692808103</v>
      </c>
      <c r="AA50">
        <v>0</v>
      </c>
      <c r="AB50">
        <v>4.5007308706446203E-2</v>
      </c>
      <c r="AC50">
        <v>1.2507127789412101E-3</v>
      </c>
      <c r="AD50">
        <v>1.44347089619309E-2</v>
      </c>
      <c r="AE50">
        <v>1.00858864610544E-2</v>
      </c>
      <c r="AF50">
        <v>0</v>
      </c>
      <c r="AG50">
        <v>0.21341693723007699</v>
      </c>
      <c r="AH50">
        <v>7.1312705199025897E-2</v>
      </c>
      <c r="AI50">
        <v>0.64947602331659704</v>
      </c>
      <c r="AJ50" t="s">
        <v>74</v>
      </c>
      <c r="AK50">
        <v>0</v>
      </c>
      <c r="AL50" t="s">
        <v>77</v>
      </c>
      <c r="AM50">
        <v>0</v>
      </c>
      <c r="AN50">
        <v>0.99200000000000099</v>
      </c>
      <c r="AO50">
        <v>0</v>
      </c>
      <c r="AP50">
        <v>5.82453462424753E-2</v>
      </c>
      <c r="AQ50">
        <v>0</v>
      </c>
      <c r="AR50">
        <v>1.6E-2</v>
      </c>
      <c r="AS50">
        <v>0</v>
      </c>
      <c r="AT50">
        <v>0</v>
      </c>
      <c r="AU50">
        <v>0</v>
      </c>
      <c r="AV50">
        <v>0</v>
      </c>
      <c r="AW50">
        <v>1</v>
      </c>
      <c r="AX50" t="s">
        <v>78</v>
      </c>
      <c r="AY50">
        <v>1991673.6484447301</v>
      </c>
      <c r="AZ50" t="s">
        <v>76</v>
      </c>
      <c r="BA50">
        <v>-1.5707963267949001</v>
      </c>
      <c r="BB50">
        <v>0.99200000000000099</v>
      </c>
      <c r="BC50">
        <v>0</v>
      </c>
      <c r="BD50">
        <v>5.82453462424753E-2</v>
      </c>
      <c r="BE50">
        <v>0</v>
      </c>
      <c r="BF50">
        <v>1.6E-2</v>
      </c>
      <c r="BG50">
        <v>0</v>
      </c>
      <c r="BH50">
        <v>0</v>
      </c>
      <c r="BI50" s="1">
        <v>3.41607084500048E-20</v>
      </c>
      <c r="BJ50" s="1">
        <v>6.01853107621011E-36</v>
      </c>
      <c r="BK50">
        <v>1</v>
      </c>
      <c r="BL50">
        <v>1.04957089371592E-4</v>
      </c>
      <c r="BM50">
        <v>1.42364821214551E-4</v>
      </c>
      <c r="BN50" s="1">
        <v>3.8972812134322399E-7</v>
      </c>
      <c r="BO50" s="1">
        <v>2.2362613822863001E-6</v>
      </c>
      <c r="BP50">
        <v>0</v>
      </c>
      <c r="BQ50">
        <v>0</v>
      </c>
      <c r="BR50" s="1">
        <v>6.3149280166279893E-5</v>
      </c>
      <c r="BS50" s="1">
        <v>7.99764542186538E-5</v>
      </c>
    </row>
    <row r="51" spans="1:71" x14ac:dyDescent="0.25">
      <c r="A51">
        <v>48</v>
      </c>
      <c r="B51" s="1">
        <v>1.3988410967967801E-5</v>
      </c>
      <c r="C51">
        <v>9.7498272206523406E-2</v>
      </c>
      <c r="D51">
        <v>-2.30181585080562E-4</v>
      </c>
      <c r="E51" s="1">
        <v>-6.1520268064449402E-5</v>
      </c>
      <c r="F51">
        <v>-9.7498272206523301E-4</v>
      </c>
      <c r="G51">
        <v>-7.79986177652187E-4</v>
      </c>
      <c r="H51" t="s">
        <v>74</v>
      </c>
      <c r="I51">
        <v>0</v>
      </c>
      <c r="J51" t="s">
        <v>75</v>
      </c>
      <c r="K51">
        <v>3.14159265358979</v>
      </c>
      <c r="L51">
        <v>0.79910769998007203</v>
      </c>
      <c r="M51">
        <v>0</v>
      </c>
      <c r="N51">
        <v>4.69196619660961E-2</v>
      </c>
      <c r="O51">
        <v>0</v>
      </c>
      <c r="P51">
        <v>1.6E-2</v>
      </c>
      <c r="Q51">
        <v>0</v>
      </c>
      <c r="R51">
        <v>0</v>
      </c>
      <c r="S51">
        <v>0</v>
      </c>
      <c r="T51">
        <v>0</v>
      </c>
      <c r="U51">
        <v>0.79712672252285499</v>
      </c>
      <c r="V51" t="s">
        <v>78</v>
      </c>
      <c r="W51">
        <v>3084005.7216357002</v>
      </c>
      <c r="X51" t="s">
        <v>76</v>
      </c>
      <c r="Y51">
        <v>-1.5707963267949001</v>
      </c>
      <c r="Z51">
        <v>0.79543333674220396</v>
      </c>
      <c r="AA51">
        <v>0</v>
      </c>
      <c r="AB51">
        <v>4.4764019942010798E-2</v>
      </c>
      <c r="AC51">
        <v>1.2772502045454901E-3</v>
      </c>
      <c r="AD51">
        <v>1.42339235119912E-2</v>
      </c>
      <c r="AE51">
        <v>1.0314001946555299E-2</v>
      </c>
      <c r="AF51">
        <v>0</v>
      </c>
      <c r="AG51">
        <v>0.216313852715766</v>
      </c>
      <c r="AH51">
        <v>7.4732404693889795E-2</v>
      </c>
      <c r="AI51">
        <v>0.64215609992257905</v>
      </c>
      <c r="AJ51" t="s">
        <v>74</v>
      </c>
      <c r="AK51">
        <v>0</v>
      </c>
      <c r="AL51" t="s">
        <v>77</v>
      </c>
      <c r="AM51">
        <v>0</v>
      </c>
      <c r="AN51">
        <v>0.99200000000000099</v>
      </c>
      <c r="AO51">
        <v>0</v>
      </c>
      <c r="AP51">
        <v>5.82453462424753E-2</v>
      </c>
      <c r="AQ51">
        <v>0</v>
      </c>
      <c r="AR51">
        <v>1.6E-2</v>
      </c>
      <c r="AS51">
        <v>0</v>
      </c>
      <c r="AT51">
        <v>0</v>
      </c>
      <c r="AU51">
        <v>0</v>
      </c>
      <c r="AV51">
        <v>0</v>
      </c>
      <c r="AW51">
        <v>1</v>
      </c>
      <c r="AX51" t="s">
        <v>78</v>
      </c>
      <c r="AY51">
        <v>1992406.74755814</v>
      </c>
      <c r="AZ51" t="s">
        <v>76</v>
      </c>
      <c r="BA51">
        <v>-1.5707963267949001</v>
      </c>
      <c r="BB51">
        <v>0.99200000000000099</v>
      </c>
      <c r="BC51">
        <v>0</v>
      </c>
      <c r="BD51">
        <v>5.82453462424753E-2</v>
      </c>
      <c r="BE51">
        <v>0</v>
      </c>
      <c r="BF51">
        <v>1.6E-2</v>
      </c>
      <c r="BG51">
        <v>0</v>
      </c>
      <c r="BH51">
        <v>0</v>
      </c>
      <c r="BI51" s="1">
        <v>3.41607084500048E-20</v>
      </c>
      <c r="BJ51" s="1">
        <v>6.01853107621011E-36</v>
      </c>
      <c r="BK51">
        <v>1</v>
      </c>
      <c r="BL51">
        <v>1.04725812298801E-4</v>
      </c>
      <c r="BM51">
        <v>1.4552312870482799E-4</v>
      </c>
      <c r="BN51" s="1">
        <v>3.8894484575662403E-7</v>
      </c>
      <c r="BO51" s="1">
        <v>2.28587196033244E-6</v>
      </c>
      <c r="BP51">
        <v>0</v>
      </c>
      <c r="BQ51">
        <v>0</v>
      </c>
      <c r="BR51" s="1">
        <v>6.3008114918779805E-5</v>
      </c>
      <c r="BS51" s="1">
        <v>8.1752316078951206E-5</v>
      </c>
    </row>
    <row r="52" spans="1:71" x14ac:dyDescent="0.25">
      <c r="A52">
        <v>49</v>
      </c>
      <c r="B52" s="1">
        <v>1.3808136356900599E-5</v>
      </c>
      <c r="C52">
        <v>9.7512080342880295E-2</v>
      </c>
      <c r="D52">
        <v>-2.30261443982543E-4</v>
      </c>
      <c r="E52" s="1">
        <v>-6.1584155186034703E-5</v>
      </c>
      <c r="F52">
        <v>-9.75120803428802E-4</v>
      </c>
      <c r="G52">
        <v>-7.8009664274304204E-4</v>
      </c>
      <c r="H52" t="s">
        <v>74</v>
      </c>
      <c r="I52">
        <v>0</v>
      </c>
      <c r="J52" t="s">
        <v>75</v>
      </c>
      <c r="K52">
        <v>3.14159265358979</v>
      </c>
      <c r="L52">
        <v>0.79492176938591597</v>
      </c>
      <c r="M52">
        <v>0</v>
      </c>
      <c r="N52">
        <v>4.6673884771737603E-2</v>
      </c>
      <c r="O52">
        <v>0</v>
      </c>
      <c r="P52">
        <v>1.6E-2</v>
      </c>
      <c r="Q52">
        <v>0</v>
      </c>
      <c r="R52">
        <v>0</v>
      </c>
      <c r="S52">
        <v>0</v>
      </c>
      <c r="T52">
        <v>0</v>
      </c>
      <c r="U52">
        <v>0.79223737691530405</v>
      </c>
      <c r="V52" t="s">
        <v>78</v>
      </c>
      <c r="W52">
        <v>3084832.69390905</v>
      </c>
      <c r="X52" t="s">
        <v>76</v>
      </c>
      <c r="Y52">
        <v>-1.5707963267949001</v>
      </c>
      <c r="Z52">
        <v>0.79124985768994405</v>
      </c>
      <c r="AA52">
        <v>0</v>
      </c>
      <c r="AB52">
        <v>4.4520955170098499E-2</v>
      </c>
      <c r="AC52">
        <v>1.30369896681707E-3</v>
      </c>
      <c r="AD52">
        <v>1.4032666485966599E-2</v>
      </c>
      <c r="AE52">
        <v>1.0541963376532E-2</v>
      </c>
      <c r="AF52">
        <v>0</v>
      </c>
      <c r="AG52">
        <v>0.21911783188637701</v>
      </c>
      <c r="AH52">
        <v>7.8244382319272401E-2</v>
      </c>
      <c r="AI52">
        <v>0.63485660811542199</v>
      </c>
      <c r="AJ52" t="s">
        <v>74</v>
      </c>
      <c r="AK52">
        <v>0</v>
      </c>
      <c r="AL52" t="s">
        <v>77</v>
      </c>
      <c r="AM52">
        <v>0</v>
      </c>
      <c r="AN52">
        <v>0.99200000000000099</v>
      </c>
      <c r="AO52">
        <v>0</v>
      </c>
      <c r="AP52">
        <v>5.82453462424753E-2</v>
      </c>
      <c r="AQ52">
        <v>0</v>
      </c>
      <c r="AR52">
        <v>1.6E-2</v>
      </c>
      <c r="AS52">
        <v>0</v>
      </c>
      <c r="AT52">
        <v>0</v>
      </c>
      <c r="AU52">
        <v>0</v>
      </c>
      <c r="AV52">
        <v>0</v>
      </c>
      <c r="AW52">
        <v>1</v>
      </c>
      <c r="AX52" t="s">
        <v>78</v>
      </c>
      <c r="AY52">
        <v>1993130.3482973201</v>
      </c>
      <c r="AZ52" t="s">
        <v>76</v>
      </c>
      <c r="BA52">
        <v>-1.5707963267949001</v>
      </c>
      <c r="BB52">
        <v>0.99200000000000099</v>
      </c>
      <c r="BC52">
        <v>0</v>
      </c>
      <c r="BD52">
        <v>5.82453462424753E-2</v>
      </c>
      <c r="BE52">
        <v>0</v>
      </c>
      <c r="BF52">
        <v>1.6E-2</v>
      </c>
      <c r="BG52">
        <v>0</v>
      </c>
      <c r="BH52">
        <v>0</v>
      </c>
      <c r="BI52" s="1">
        <v>3.41607084500048E-20</v>
      </c>
      <c r="BJ52" s="1">
        <v>6.01853107621011E-36</v>
      </c>
      <c r="BK52">
        <v>1</v>
      </c>
      <c r="BL52">
        <v>1.0449461569680201E-4</v>
      </c>
      <c r="BM52">
        <v>1.4868110710282499E-4</v>
      </c>
      <c r="BN52" s="1">
        <v>3.8816218184787598E-7</v>
      </c>
      <c r="BO52" s="1">
        <v>2.3354773690091601E-6</v>
      </c>
      <c r="BP52">
        <v>0</v>
      </c>
      <c r="BQ52">
        <v>0</v>
      </c>
      <c r="BR52" s="1">
        <v>6.2866963144401098E-5</v>
      </c>
      <c r="BS52" s="1">
        <v>8.3528041913812702E-5</v>
      </c>
    </row>
    <row r="53" spans="1:71" x14ac:dyDescent="0.25">
      <c r="A53">
        <v>50</v>
      </c>
      <c r="B53" s="1">
        <v>1.3638107271699901E-5</v>
      </c>
      <c r="C53">
        <v>9.7525718450151996E-2</v>
      </c>
      <c r="D53">
        <v>-2.3034031408128799E-4</v>
      </c>
      <c r="E53" s="1">
        <v>-6.16472512650302E-5</v>
      </c>
      <c r="F53">
        <v>-9.7525718450151995E-4</v>
      </c>
      <c r="G53">
        <v>-7.8020574760121505E-4</v>
      </c>
      <c r="H53" t="s">
        <v>74</v>
      </c>
      <c r="I53">
        <v>0</v>
      </c>
      <c r="J53" t="s">
        <v>75</v>
      </c>
      <c r="K53">
        <v>3.14159265358979</v>
      </c>
      <c r="L53">
        <v>0.79073628716931399</v>
      </c>
      <c r="M53">
        <v>0</v>
      </c>
      <c r="N53">
        <v>4.6428133903897197E-2</v>
      </c>
      <c r="O53">
        <v>0</v>
      </c>
      <c r="P53">
        <v>1.6E-2</v>
      </c>
      <c r="Q53">
        <v>0</v>
      </c>
      <c r="R53">
        <v>0</v>
      </c>
      <c r="S53">
        <v>0</v>
      </c>
      <c r="T53">
        <v>0</v>
      </c>
      <c r="U53">
        <v>0.78732512947995503</v>
      </c>
      <c r="V53" t="s">
        <v>78</v>
      </c>
      <c r="W53">
        <v>3085649.4267120198</v>
      </c>
      <c r="X53" t="s">
        <v>76</v>
      </c>
      <c r="Y53">
        <v>-1.5707963267949001</v>
      </c>
      <c r="Z53">
        <v>0.78706718706532297</v>
      </c>
      <c r="AA53">
        <v>0</v>
      </c>
      <c r="AB53">
        <v>4.4278107082421102E-2</v>
      </c>
      <c r="AC53">
        <v>1.3301547585627899E-3</v>
      </c>
      <c r="AD53">
        <v>1.38309733976134E-2</v>
      </c>
      <c r="AE53">
        <v>1.0769761725576799E-2</v>
      </c>
      <c r="AF53">
        <v>0</v>
      </c>
      <c r="AG53">
        <v>0.22182781016969899</v>
      </c>
      <c r="AH53">
        <v>8.1849684295819097E-2</v>
      </c>
      <c r="AI53">
        <v>0.62757789063979796</v>
      </c>
      <c r="AJ53" t="s">
        <v>74</v>
      </c>
      <c r="AK53">
        <v>0</v>
      </c>
      <c r="AL53" t="s">
        <v>77</v>
      </c>
      <c r="AM53">
        <v>0</v>
      </c>
      <c r="AN53">
        <v>0.99200000000000099</v>
      </c>
      <c r="AO53">
        <v>0</v>
      </c>
      <c r="AP53">
        <v>5.82453462424753E-2</v>
      </c>
      <c r="AQ53">
        <v>0</v>
      </c>
      <c r="AR53">
        <v>1.6E-2</v>
      </c>
      <c r="AS53">
        <v>0</v>
      </c>
      <c r="AT53">
        <v>0</v>
      </c>
      <c r="AU53">
        <v>0</v>
      </c>
      <c r="AV53">
        <v>0</v>
      </c>
      <c r="AW53">
        <v>1</v>
      </c>
      <c r="AX53" t="s">
        <v>78</v>
      </c>
      <c r="AY53">
        <v>1993844.98949992</v>
      </c>
      <c r="AZ53" t="s">
        <v>76</v>
      </c>
      <c r="BA53">
        <v>-1.5707963267949001</v>
      </c>
      <c r="BB53">
        <v>0.99200000000000099</v>
      </c>
      <c r="BC53">
        <v>0</v>
      </c>
      <c r="BD53">
        <v>5.82453462424753E-2</v>
      </c>
      <c r="BE53">
        <v>0</v>
      </c>
      <c r="BF53">
        <v>1.6E-2</v>
      </c>
      <c r="BG53">
        <v>0</v>
      </c>
      <c r="BH53">
        <v>0</v>
      </c>
      <c r="BI53" s="1">
        <v>3.41607084500048E-20</v>
      </c>
      <c r="BJ53" s="1">
        <v>1.8055593228630299E-35</v>
      </c>
      <c r="BK53">
        <v>1</v>
      </c>
      <c r="BL53">
        <v>1.0426354411491599E-4</v>
      </c>
      <c r="BM53">
        <v>1.5183874723275899E-4</v>
      </c>
      <c r="BN53" s="1">
        <v>3.8738042415454102E-7</v>
      </c>
      <c r="BO53" s="1">
        <v>2.3850774641835599E-6</v>
      </c>
      <c r="BP53">
        <v>0</v>
      </c>
      <c r="BQ53">
        <v>0</v>
      </c>
      <c r="BR53" s="1">
        <v>6.2725851425740804E-5</v>
      </c>
      <c r="BS53" s="1">
        <v>8.5303626436578696E-5</v>
      </c>
    </row>
    <row r="54" spans="1:71" x14ac:dyDescent="0.25">
      <c r="A54">
        <v>51</v>
      </c>
      <c r="B54" s="1">
        <v>1.3477798326858701E-5</v>
      </c>
      <c r="C54">
        <v>9.7539196248478802E-2</v>
      </c>
      <c r="D54">
        <v>-2.3041825178756199E-4</v>
      </c>
      <c r="E54" s="1">
        <v>-6.1709601430049495E-5</v>
      </c>
      <c r="F54">
        <v>-9.7539196248478798E-4</v>
      </c>
      <c r="G54">
        <v>-7.8031356998782997E-4</v>
      </c>
      <c r="H54" t="s">
        <v>74</v>
      </c>
      <c r="I54">
        <v>0</v>
      </c>
      <c r="J54" t="s">
        <v>75</v>
      </c>
      <c r="K54">
        <v>3.14159265358979</v>
      </c>
      <c r="L54">
        <v>0.7865512659917</v>
      </c>
      <c r="M54">
        <v>0</v>
      </c>
      <c r="N54">
        <v>4.6182410105991702E-2</v>
      </c>
      <c r="O54">
        <v>0</v>
      </c>
      <c r="P54">
        <v>1.6E-2</v>
      </c>
      <c r="Q54">
        <v>0</v>
      </c>
      <c r="R54">
        <v>0</v>
      </c>
      <c r="S54">
        <v>0</v>
      </c>
      <c r="T54">
        <v>0</v>
      </c>
      <c r="U54">
        <v>0.78239011303594297</v>
      </c>
      <c r="V54" t="s">
        <v>78</v>
      </c>
      <c r="W54">
        <v>3086456.5042016599</v>
      </c>
      <c r="X54" t="s">
        <v>76</v>
      </c>
      <c r="Y54">
        <v>-1.5707963267949001</v>
      </c>
      <c r="Z54">
        <v>0.78288532347363005</v>
      </c>
      <c r="AA54">
        <v>0</v>
      </c>
      <c r="AB54">
        <v>4.4035468850189101E-2</v>
      </c>
      <c r="AC54">
        <v>1.3566091387567801E-3</v>
      </c>
      <c r="AD54">
        <v>1.36288781109187E-2</v>
      </c>
      <c r="AE54">
        <v>1.09973880696083E-2</v>
      </c>
      <c r="AF54">
        <v>0</v>
      </c>
      <c r="AG54">
        <v>0.22444269461524499</v>
      </c>
      <c r="AH54">
        <v>8.5549384469767398E-2</v>
      </c>
      <c r="AI54">
        <v>0.62032028328774202</v>
      </c>
      <c r="AJ54" t="s">
        <v>74</v>
      </c>
      <c r="AK54">
        <v>0</v>
      </c>
      <c r="AL54" t="s">
        <v>77</v>
      </c>
      <c r="AM54">
        <v>0</v>
      </c>
      <c r="AN54">
        <v>0.99200000000000099</v>
      </c>
      <c r="AO54">
        <v>0</v>
      </c>
      <c r="AP54">
        <v>5.82453462424753E-2</v>
      </c>
      <c r="AQ54">
        <v>0</v>
      </c>
      <c r="AR54">
        <v>1.6E-2</v>
      </c>
      <c r="AS54">
        <v>0</v>
      </c>
      <c r="AT54">
        <v>0</v>
      </c>
      <c r="AU54">
        <v>0</v>
      </c>
      <c r="AV54">
        <v>0</v>
      </c>
      <c r="AW54">
        <v>1</v>
      </c>
      <c r="AX54" t="s">
        <v>78</v>
      </c>
      <c r="AY54">
        <v>1994551.18230335</v>
      </c>
      <c r="AZ54" t="s">
        <v>76</v>
      </c>
      <c r="BA54">
        <v>-1.5707963267949001</v>
      </c>
      <c r="BB54">
        <v>0.99200000000000099</v>
      </c>
      <c r="BC54">
        <v>0</v>
      </c>
      <c r="BD54">
        <v>5.82453462424753E-2</v>
      </c>
      <c r="BE54">
        <v>0</v>
      </c>
      <c r="BF54">
        <v>1.6E-2</v>
      </c>
      <c r="BG54">
        <v>0</v>
      </c>
      <c r="BH54">
        <v>0</v>
      </c>
      <c r="BI54" s="1">
        <v>3.41607084500048E-20</v>
      </c>
      <c r="BJ54" s="1">
        <v>1.8055593228630299E-35</v>
      </c>
      <c r="BK54">
        <v>1</v>
      </c>
      <c r="BL54">
        <v>1.04032590289944E-4</v>
      </c>
      <c r="BM54">
        <v>1.5499603954250601E-4</v>
      </c>
      <c r="BN54" s="1">
        <v>3.8659951633125698E-7</v>
      </c>
      <c r="BO54" s="1">
        <v>2.4346720958112601E-6</v>
      </c>
      <c r="BP54">
        <v>0</v>
      </c>
      <c r="BQ54">
        <v>0</v>
      </c>
      <c r="BR54" s="1">
        <v>6.2584777157882098E-5</v>
      </c>
      <c r="BS54" s="1">
        <v>8.7079064187113304E-5</v>
      </c>
    </row>
    <row r="55" spans="1:71" x14ac:dyDescent="0.25">
      <c r="A55">
        <v>52</v>
      </c>
      <c r="B55" s="1">
        <v>1.33267317521556E-5</v>
      </c>
      <c r="C55">
        <v>9.7552522980230996E-2</v>
      </c>
      <c r="D55">
        <v>-2.3049531073189401E-4</v>
      </c>
      <c r="E55" s="1">
        <v>-6.1771248585515103E-5</v>
      </c>
      <c r="F55">
        <v>-9.7552522980230998E-4</v>
      </c>
      <c r="G55">
        <v>-7.8042018384184798E-4</v>
      </c>
      <c r="H55" t="s">
        <v>74</v>
      </c>
      <c r="I55">
        <v>0</v>
      </c>
      <c r="J55" t="s">
        <v>75</v>
      </c>
      <c r="K55">
        <v>3.14159265358979</v>
      </c>
      <c r="L55">
        <v>0.78236671904249899</v>
      </c>
      <c r="M55">
        <v>0</v>
      </c>
      <c r="N55">
        <v>4.5936714152439197E-2</v>
      </c>
      <c r="O55">
        <v>0</v>
      </c>
      <c r="P55">
        <v>1.6E-2</v>
      </c>
      <c r="Q55">
        <v>0</v>
      </c>
      <c r="R55">
        <v>0</v>
      </c>
      <c r="S55">
        <v>0</v>
      </c>
      <c r="T55">
        <v>0</v>
      </c>
      <c r="U55">
        <v>0.77743245262549499</v>
      </c>
      <c r="V55" t="s">
        <v>78</v>
      </c>
      <c r="W55">
        <v>3087254.4817444901</v>
      </c>
      <c r="X55" t="s">
        <v>76</v>
      </c>
      <c r="Y55">
        <v>-1.5707963267949001</v>
      </c>
      <c r="Z55">
        <v>0.77870426679302196</v>
      </c>
      <c r="AA55">
        <v>0</v>
      </c>
      <c r="AB55">
        <v>4.3793034088050402E-2</v>
      </c>
      <c r="AC55">
        <v>1.3830536558584201E-3</v>
      </c>
      <c r="AD55">
        <v>1.34264129797154E-2</v>
      </c>
      <c r="AE55">
        <v>1.12248335720354E-2</v>
      </c>
      <c r="AF55">
        <v>0</v>
      </c>
      <c r="AG55">
        <v>0.22696136273155401</v>
      </c>
      <c r="AH55">
        <v>8.9344585431665E-2</v>
      </c>
      <c r="AI55">
        <v>0.61308411576584199</v>
      </c>
      <c r="AJ55" t="s">
        <v>74</v>
      </c>
      <c r="AK55">
        <v>0</v>
      </c>
      <c r="AL55" t="s">
        <v>77</v>
      </c>
      <c r="AM55">
        <v>0</v>
      </c>
      <c r="AN55">
        <v>0.99200000000000099</v>
      </c>
      <c r="AO55">
        <v>0</v>
      </c>
      <c r="AP55">
        <v>5.82453462424753E-2</v>
      </c>
      <c r="AQ55">
        <v>0</v>
      </c>
      <c r="AR55">
        <v>1.6E-2</v>
      </c>
      <c r="AS55">
        <v>0</v>
      </c>
      <c r="AT55">
        <v>0</v>
      </c>
      <c r="AU55">
        <v>0</v>
      </c>
      <c r="AV55">
        <v>0</v>
      </c>
      <c r="AW55">
        <v>1</v>
      </c>
      <c r="AX55" t="s">
        <v>78</v>
      </c>
      <c r="AY55">
        <v>1995249.41265332</v>
      </c>
      <c r="AZ55" t="s">
        <v>76</v>
      </c>
      <c r="BA55">
        <v>-1.5707963267949001</v>
      </c>
      <c r="BB55">
        <v>0.99200000000000099</v>
      </c>
      <c r="BC55">
        <v>0</v>
      </c>
      <c r="BD55">
        <v>5.82453462424753E-2</v>
      </c>
      <c r="BE55">
        <v>0</v>
      </c>
      <c r="BF55">
        <v>1.6E-2</v>
      </c>
      <c r="BG55">
        <v>0</v>
      </c>
      <c r="BH55">
        <v>0</v>
      </c>
      <c r="BI55" s="1">
        <v>3.41607084500048E-20</v>
      </c>
      <c r="BJ55" s="1">
        <v>1.8055593228630299E-35</v>
      </c>
      <c r="BK55">
        <v>1</v>
      </c>
      <c r="BL55">
        <v>1.03801747190649E-4</v>
      </c>
      <c r="BM55">
        <v>1.5815297408160899E-4</v>
      </c>
      <c r="BN55" s="1">
        <v>3.8581940384193498E-7</v>
      </c>
      <c r="BO55" s="1">
        <v>2.4842611075908001E-6</v>
      </c>
      <c r="BP55">
        <v>0</v>
      </c>
      <c r="BQ55">
        <v>0</v>
      </c>
      <c r="BR55" s="1">
        <v>6.2443737792640402E-5</v>
      </c>
      <c r="BS55" s="1">
        <v>8.8854349518805798E-5</v>
      </c>
    </row>
    <row r="56" spans="1:71" x14ac:dyDescent="0.25">
      <c r="A56">
        <v>53</v>
      </c>
      <c r="B56" s="1">
        <v>1.31844730759301E-5</v>
      </c>
      <c r="C56">
        <v>9.7565707453306894E-2</v>
      </c>
      <c r="D56">
        <v>-2.3057154201628699E-4</v>
      </c>
      <c r="E56" s="1">
        <v>-6.1832233613029895E-5</v>
      </c>
      <c r="F56">
        <v>-9.7565707453306895E-4</v>
      </c>
      <c r="G56">
        <v>-7.8052565962645503E-4</v>
      </c>
      <c r="H56" t="s">
        <v>74</v>
      </c>
      <c r="I56">
        <v>0</v>
      </c>
      <c r="J56" t="s">
        <v>75</v>
      </c>
      <c r="K56">
        <v>3.14159265358979</v>
      </c>
      <c r="L56">
        <v>0.77818266007035297</v>
      </c>
      <c r="M56">
        <v>0</v>
      </c>
      <c r="N56">
        <v>4.5691046850492099E-2</v>
      </c>
      <c r="O56">
        <v>0</v>
      </c>
      <c r="P56">
        <v>1.6E-2</v>
      </c>
      <c r="Q56">
        <v>0</v>
      </c>
      <c r="R56">
        <v>0</v>
      </c>
      <c r="S56">
        <v>0</v>
      </c>
      <c r="T56">
        <v>0</v>
      </c>
      <c r="U56">
        <v>0.78378452496582196</v>
      </c>
      <c r="V56" t="s">
        <v>78</v>
      </c>
      <c r="W56">
        <v>3088043.8885230799</v>
      </c>
      <c r="X56" t="s">
        <v>76</v>
      </c>
      <c r="Y56">
        <v>-1.5707963267949001</v>
      </c>
      <c r="Z56">
        <v>0.77452401814445104</v>
      </c>
      <c r="AA56">
        <v>0</v>
      </c>
      <c r="AB56">
        <v>4.3550796821722901E-2</v>
      </c>
      <c r="AC56">
        <v>1.4093830606793599E-3</v>
      </c>
      <c r="AD56">
        <v>1.3223608974432101E-2</v>
      </c>
      <c r="AE56">
        <v>1.14520894706986E-2</v>
      </c>
      <c r="AF56">
        <v>0</v>
      </c>
      <c r="AG56">
        <v>0.229382661254769</v>
      </c>
      <c r="AH56">
        <v>9.3236419700678294E-2</v>
      </c>
      <c r="AI56">
        <v>0.605869712488458</v>
      </c>
      <c r="AJ56" t="s">
        <v>74</v>
      </c>
      <c r="AK56">
        <v>0</v>
      </c>
      <c r="AL56" t="s">
        <v>77</v>
      </c>
      <c r="AM56">
        <v>0</v>
      </c>
      <c r="AN56">
        <v>0.99200000000000099</v>
      </c>
      <c r="AO56">
        <v>0</v>
      </c>
      <c r="AP56">
        <v>5.82453462424753E-2</v>
      </c>
      <c r="AQ56">
        <v>0</v>
      </c>
      <c r="AR56">
        <v>1.6E-2</v>
      </c>
      <c r="AS56">
        <v>0</v>
      </c>
      <c r="AT56">
        <v>0</v>
      </c>
      <c r="AU56">
        <v>0</v>
      </c>
      <c r="AV56">
        <v>0</v>
      </c>
      <c r="AW56">
        <v>1</v>
      </c>
      <c r="AX56" t="s">
        <v>78</v>
      </c>
      <c r="AY56">
        <v>1995940.1435845899</v>
      </c>
      <c r="AZ56" t="s">
        <v>76</v>
      </c>
      <c r="BA56">
        <v>-1.5707963267949001</v>
      </c>
      <c r="BB56">
        <v>0.99200000000000099</v>
      </c>
      <c r="BC56">
        <v>0</v>
      </c>
      <c r="BD56">
        <v>5.82453462424753E-2</v>
      </c>
      <c r="BE56">
        <v>0</v>
      </c>
      <c r="BF56">
        <v>1.6E-2</v>
      </c>
      <c r="BG56">
        <v>0</v>
      </c>
      <c r="BH56">
        <v>0</v>
      </c>
      <c r="BI56" s="1">
        <v>3.41607084500048E-20</v>
      </c>
      <c r="BJ56" s="1">
        <v>2.40741243048404E-35</v>
      </c>
      <c r="BK56">
        <v>1</v>
      </c>
      <c r="BL56">
        <v>1.03570959608922E-4</v>
      </c>
      <c r="BM56">
        <v>1.6130954047772399E-4</v>
      </c>
      <c r="BN56" s="1">
        <v>3.85039705840194E-7</v>
      </c>
      <c r="BO56" s="1">
        <v>2.53384433659381E-6</v>
      </c>
      <c r="BP56">
        <v>0</v>
      </c>
      <c r="BQ56">
        <v>0</v>
      </c>
      <c r="BR56" s="1">
        <v>6.2302703647253095E-5</v>
      </c>
      <c r="BS56" s="1">
        <v>9.0629476584861598E-5</v>
      </c>
    </row>
    <row r="57" spans="1:71" x14ac:dyDescent="0.25">
      <c r="A57">
        <v>54</v>
      </c>
      <c r="B57" s="1">
        <v>1.30506273392935E-5</v>
      </c>
      <c r="C57">
        <v>9.75787580806462E-2</v>
      </c>
      <c r="D57">
        <v>-2.30646994443894E-4</v>
      </c>
      <c r="E57" s="1">
        <v>-6.1892595555114999E-5</v>
      </c>
      <c r="F57">
        <v>-9.7578758080646205E-4</v>
      </c>
      <c r="G57">
        <v>-7.8063006464516903E-4</v>
      </c>
      <c r="H57" t="s">
        <v>74</v>
      </c>
      <c r="I57">
        <v>0</v>
      </c>
      <c r="J57" t="s">
        <v>75</v>
      </c>
      <c r="K57">
        <v>3.14159265358979</v>
      </c>
      <c r="L57">
        <v>0.77399910341656897</v>
      </c>
      <c r="M57">
        <v>0</v>
      </c>
      <c r="N57">
        <v>4.5445409042201103E-2</v>
      </c>
      <c r="O57">
        <v>0</v>
      </c>
      <c r="P57">
        <v>1.6E-2</v>
      </c>
      <c r="Q57">
        <v>0</v>
      </c>
      <c r="R57">
        <v>0</v>
      </c>
      <c r="S57">
        <v>0</v>
      </c>
      <c r="T57">
        <v>0</v>
      </c>
      <c r="U57">
        <v>0.77856860503513603</v>
      </c>
      <c r="V57" t="s">
        <v>78</v>
      </c>
      <c r="W57">
        <v>3088825.2299144398</v>
      </c>
      <c r="X57" t="s">
        <v>76</v>
      </c>
      <c r="Y57">
        <v>-1.5707963267949001</v>
      </c>
      <c r="Z57">
        <v>0.77034457986935101</v>
      </c>
      <c r="AA57">
        <v>0</v>
      </c>
      <c r="AB57">
        <v>4.33087514589022E-2</v>
      </c>
      <c r="AC57">
        <v>1.43578255799124E-3</v>
      </c>
      <c r="AD57">
        <v>1.30204957974807E-2</v>
      </c>
      <c r="AE57">
        <v>1.1679147065494999E-2</v>
      </c>
      <c r="AF57">
        <v>0</v>
      </c>
      <c r="AG57">
        <v>0.23170540484369001</v>
      </c>
      <c r="AH57">
        <v>9.7226050979076994E-2</v>
      </c>
      <c r="AI57">
        <v>0.59867739330608505</v>
      </c>
      <c r="AJ57" t="s">
        <v>74</v>
      </c>
      <c r="AK57">
        <v>0</v>
      </c>
      <c r="AL57" t="s">
        <v>77</v>
      </c>
      <c r="AM57">
        <v>0</v>
      </c>
      <c r="AN57">
        <v>0.99200000000000099</v>
      </c>
      <c r="AO57">
        <v>0</v>
      </c>
      <c r="AP57">
        <v>5.82453462424753E-2</v>
      </c>
      <c r="AQ57">
        <v>0</v>
      </c>
      <c r="AR57">
        <v>1.6E-2</v>
      </c>
      <c r="AS57">
        <v>0</v>
      </c>
      <c r="AT57">
        <v>0</v>
      </c>
      <c r="AU57">
        <v>0</v>
      </c>
      <c r="AV57">
        <v>0</v>
      </c>
      <c r="AW57">
        <v>1</v>
      </c>
      <c r="AX57" t="s">
        <v>78</v>
      </c>
      <c r="AY57">
        <v>1996623.8173020401</v>
      </c>
      <c r="AZ57" t="s">
        <v>76</v>
      </c>
      <c r="BA57">
        <v>-1.5707963267949001</v>
      </c>
      <c r="BB57">
        <v>0.99200000000000099</v>
      </c>
      <c r="BC57">
        <v>0</v>
      </c>
      <c r="BD57">
        <v>5.82453462424753E-2</v>
      </c>
      <c r="BE57">
        <v>0</v>
      </c>
      <c r="BF57">
        <v>1.6E-2</v>
      </c>
      <c r="BG57">
        <v>0</v>
      </c>
      <c r="BH57">
        <v>0</v>
      </c>
      <c r="BI57" s="1">
        <v>3.41607084500048E-20</v>
      </c>
      <c r="BJ57" s="1">
        <v>2.40741243048404E-35</v>
      </c>
      <c r="BK57">
        <v>1</v>
      </c>
      <c r="BL57">
        <v>1.0334031777202301E-4</v>
      </c>
      <c r="BM57">
        <v>1.64465727911383E-4</v>
      </c>
      <c r="BN57" s="1">
        <v>3.8426102739928301E-7</v>
      </c>
      <c r="BO57" s="1">
        <v>2.5834216128684999E-6</v>
      </c>
      <c r="BP57">
        <v>0</v>
      </c>
      <c r="BQ57">
        <v>0</v>
      </c>
      <c r="BR57" s="1">
        <v>6.2161726688106597E-5</v>
      </c>
      <c r="BS57" s="1">
        <v>9.2404439323801206E-5</v>
      </c>
    </row>
    <row r="58" spans="1:71" x14ac:dyDescent="0.25">
      <c r="A58">
        <v>55</v>
      </c>
      <c r="B58" s="1">
        <v>1.2924835774127E-5</v>
      </c>
      <c r="C58">
        <v>9.7591682916420397E-2</v>
      </c>
      <c r="D58">
        <v>-2.3072171472934E-4</v>
      </c>
      <c r="E58" s="1">
        <v>-6.1952371783472097E-5</v>
      </c>
      <c r="F58">
        <v>-9.7591682916420297E-4</v>
      </c>
      <c r="G58">
        <v>-7.8073346333136203E-4</v>
      </c>
      <c r="H58" t="s">
        <v>74</v>
      </c>
      <c r="I58">
        <v>0</v>
      </c>
      <c r="J58" t="s">
        <v>75</v>
      </c>
      <c r="K58">
        <v>3.14159265358979</v>
      </c>
      <c r="L58">
        <v>0.76981606405096104</v>
      </c>
      <c r="M58">
        <v>0</v>
      </c>
      <c r="N58">
        <v>4.5199801606519797E-2</v>
      </c>
      <c r="O58">
        <v>0</v>
      </c>
      <c r="P58">
        <v>1.6E-2</v>
      </c>
      <c r="Q58">
        <v>0</v>
      </c>
      <c r="R58">
        <v>0</v>
      </c>
      <c r="S58">
        <v>0</v>
      </c>
      <c r="T58">
        <v>0</v>
      </c>
      <c r="U58">
        <v>0.77572902051737602</v>
      </c>
      <c r="V58" t="s">
        <v>78</v>
      </c>
      <c r="W58">
        <v>3089598.9896680498</v>
      </c>
      <c r="X58" t="s">
        <v>76</v>
      </c>
      <c r="Y58">
        <v>-1.5707963267949001</v>
      </c>
      <c r="Z58">
        <v>0.766165955514581</v>
      </c>
      <c r="AA58">
        <v>0</v>
      </c>
      <c r="AB58">
        <v>4.3066892763084598E-2</v>
      </c>
      <c r="AC58">
        <v>1.4621000043897E-3</v>
      </c>
      <c r="AD58">
        <v>1.28171019885904E-2</v>
      </c>
      <c r="AE58">
        <v>1.19059977066036E-2</v>
      </c>
      <c r="AF58">
        <v>0</v>
      </c>
      <c r="AG58">
        <v>0.23392837469599401</v>
      </c>
      <c r="AH58">
        <v>0.10131467548192299</v>
      </c>
      <c r="AI58">
        <v>0.59150747417680605</v>
      </c>
      <c r="AJ58" t="s">
        <v>74</v>
      </c>
      <c r="AK58">
        <v>0</v>
      </c>
      <c r="AL58" t="s">
        <v>77</v>
      </c>
      <c r="AM58">
        <v>0</v>
      </c>
      <c r="AN58">
        <v>0.99200000000000099</v>
      </c>
      <c r="AO58">
        <v>0</v>
      </c>
      <c r="AP58">
        <v>5.82453462424753E-2</v>
      </c>
      <c r="AQ58">
        <v>0</v>
      </c>
      <c r="AR58">
        <v>1.6E-2</v>
      </c>
      <c r="AS58">
        <v>0</v>
      </c>
      <c r="AT58">
        <v>0</v>
      </c>
      <c r="AU58">
        <v>0</v>
      </c>
      <c r="AV58">
        <v>0</v>
      </c>
      <c r="AW58">
        <v>1</v>
      </c>
      <c r="AX58" t="s">
        <v>78</v>
      </c>
      <c r="AY58">
        <v>1997300.8570864401</v>
      </c>
      <c r="AZ58" t="s">
        <v>76</v>
      </c>
      <c r="BA58">
        <v>-1.5707963267949001</v>
      </c>
      <c r="BB58">
        <v>0.99200000000000099</v>
      </c>
      <c r="BC58">
        <v>0</v>
      </c>
      <c r="BD58">
        <v>5.82453462424753E-2</v>
      </c>
      <c r="BE58">
        <v>0</v>
      </c>
      <c r="BF58">
        <v>1.6E-2</v>
      </c>
      <c r="BG58">
        <v>0</v>
      </c>
      <c r="BH58">
        <v>0</v>
      </c>
      <c r="BI58" s="1">
        <v>3.41607084500048E-20</v>
      </c>
      <c r="BJ58" s="1">
        <v>3.0092655381050598E-35</v>
      </c>
      <c r="BK58">
        <v>1</v>
      </c>
      <c r="BL58">
        <v>1.03109743429472E-4</v>
      </c>
      <c r="BM58">
        <v>1.67621525088958E-4</v>
      </c>
      <c r="BN58" s="1">
        <v>3.8348283185187601E-7</v>
      </c>
      <c r="BO58" s="1">
        <v>2.6329927590149401E-6</v>
      </c>
      <c r="BP58">
        <v>0</v>
      </c>
      <c r="BQ58">
        <v>0</v>
      </c>
      <c r="BR58" s="1">
        <v>6.2020764169575795E-5</v>
      </c>
      <c r="BS58" s="1">
        <v>9.4179231444098906E-5</v>
      </c>
    </row>
    <row r="59" spans="1:71" x14ac:dyDescent="0.25">
      <c r="A59">
        <v>56</v>
      </c>
      <c r="B59" s="1">
        <v>1.28067728874411E-5</v>
      </c>
      <c r="C59">
        <v>9.7604489689307794E-2</v>
      </c>
      <c r="D59">
        <v>-2.3079574769207801E-4</v>
      </c>
      <c r="E59" s="1">
        <v>-6.2011598153662194E-5</v>
      </c>
      <c r="F59">
        <v>-9.7604489689307795E-4</v>
      </c>
      <c r="G59">
        <v>-7.8083591751446199E-4</v>
      </c>
      <c r="H59" t="s">
        <v>74</v>
      </c>
      <c r="I59">
        <v>0</v>
      </c>
      <c r="J59" t="s">
        <v>75</v>
      </c>
      <c r="K59">
        <v>3.14159265358979</v>
      </c>
      <c r="L59">
        <v>0.76563355761038099</v>
      </c>
      <c r="M59">
        <v>0</v>
      </c>
      <c r="N59">
        <v>4.4954225461567299E-2</v>
      </c>
      <c r="O59">
        <v>0</v>
      </c>
      <c r="P59">
        <v>1.6E-2</v>
      </c>
      <c r="Q59">
        <v>0</v>
      </c>
      <c r="R59">
        <v>0</v>
      </c>
      <c r="S59">
        <v>0</v>
      </c>
      <c r="T59">
        <v>0</v>
      </c>
      <c r="U59">
        <v>0.77135162075217401</v>
      </c>
      <c r="V59" t="s">
        <v>78</v>
      </c>
      <c r="W59">
        <v>3090365.6319080298</v>
      </c>
      <c r="X59" t="s">
        <v>76</v>
      </c>
      <c r="Y59">
        <v>-1.5707963267949001</v>
      </c>
      <c r="Z59">
        <v>0.76198814982437801</v>
      </c>
      <c r="AA59">
        <v>0</v>
      </c>
      <c r="AB59">
        <v>4.2825215829997397E-2</v>
      </c>
      <c r="AC59">
        <v>1.4884670506628999E-3</v>
      </c>
      <c r="AD59">
        <v>1.26134550212375E-2</v>
      </c>
      <c r="AE59">
        <v>1.21326327832271E-2</v>
      </c>
      <c r="AF59">
        <v>0</v>
      </c>
      <c r="AG59">
        <v>0.236050317079847</v>
      </c>
      <c r="AH59">
        <v>0.105503523347327</v>
      </c>
      <c r="AI59">
        <v>0.584360267787981</v>
      </c>
      <c r="AJ59" t="s">
        <v>74</v>
      </c>
      <c r="AK59">
        <v>0</v>
      </c>
      <c r="AL59" t="s">
        <v>77</v>
      </c>
      <c r="AM59">
        <v>0</v>
      </c>
      <c r="AN59">
        <v>0.99200000000000099</v>
      </c>
      <c r="AO59">
        <v>0</v>
      </c>
      <c r="AP59">
        <v>5.82453462424753E-2</v>
      </c>
      <c r="AQ59">
        <v>0</v>
      </c>
      <c r="AR59">
        <v>1.6E-2</v>
      </c>
      <c r="AS59">
        <v>0</v>
      </c>
      <c r="AT59">
        <v>0</v>
      </c>
      <c r="AU59">
        <v>0</v>
      </c>
      <c r="AV59">
        <v>0</v>
      </c>
      <c r="AW59">
        <v>1</v>
      </c>
      <c r="AX59" t="s">
        <v>78</v>
      </c>
      <c r="AY59">
        <v>1997971.6690464299</v>
      </c>
      <c r="AZ59" t="s">
        <v>76</v>
      </c>
      <c r="BA59">
        <v>-1.5707963267949001</v>
      </c>
      <c r="BB59">
        <v>0.99200000000000099</v>
      </c>
      <c r="BC59">
        <v>0</v>
      </c>
      <c r="BD59">
        <v>5.82453462424753E-2</v>
      </c>
      <c r="BE59">
        <v>0</v>
      </c>
      <c r="BF59">
        <v>1.6E-2</v>
      </c>
      <c r="BG59">
        <v>0</v>
      </c>
      <c r="BH59">
        <v>0</v>
      </c>
      <c r="BI59" s="1">
        <v>3.41607084500048E-20</v>
      </c>
      <c r="BJ59" s="1">
        <v>3.6111186457260699E-35</v>
      </c>
      <c r="BK59">
        <v>1</v>
      </c>
      <c r="BL59">
        <v>1.02879300413589E-4</v>
      </c>
      <c r="BM59">
        <v>1.70776920213587E-4</v>
      </c>
      <c r="BN59" s="1">
        <v>3.8270554565610601E-7</v>
      </c>
      <c r="BO59" s="1">
        <v>2.6825575897284798E-6</v>
      </c>
      <c r="BP59">
        <v>0</v>
      </c>
      <c r="BQ59">
        <v>0</v>
      </c>
      <c r="BR59" s="1">
        <v>6.1879853123944097E-5</v>
      </c>
      <c r="BS59" s="1">
        <v>9.5953846407828694E-5</v>
      </c>
    </row>
    <row r="60" spans="1:71" x14ac:dyDescent="0.25">
      <c r="A60">
        <v>57</v>
      </c>
      <c r="B60" s="1">
        <v>1.26961439041567E-5</v>
      </c>
      <c r="C60">
        <v>9.7617185833211995E-2</v>
      </c>
      <c r="D60">
        <v>-2.3086913643483701E-4</v>
      </c>
      <c r="E60" s="1">
        <v>-6.20703091478698E-5</v>
      </c>
      <c r="F60">
        <v>-9.7617185833211899E-4</v>
      </c>
      <c r="G60">
        <v>-7.8093748666569504E-4</v>
      </c>
      <c r="H60" t="s">
        <v>74</v>
      </c>
      <c r="I60">
        <v>0</v>
      </c>
      <c r="J60" t="s">
        <v>75</v>
      </c>
      <c r="K60">
        <v>3.14159265358979</v>
      </c>
      <c r="L60">
        <v>0.76145160044013604</v>
      </c>
      <c r="M60">
        <v>0</v>
      </c>
      <c r="N60">
        <v>4.4708681567059101E-2</v>
      </c>
      <c r="O60">
        <v>0</v>
      </c>
      <c r="P60">
        <v>1.6E-2</v>
      </c>
      <c r="Q60">
        <v>0</v>
      </c>
      <c r="R60">
        <v>0</v>
      </c>
      <c r="S60">
        <v>0</v>
      </c>
      <c r="T60">
        <v>0</v>
      </c>
      <c r="U60">
        <v>0.76737956469022595</v>
      </c>
      <c r="V60" t="s">
        <v>78</v>
      </c>
      <c r="W60">
        <v>3091125.6029811599</v>
      </c>
      <c r="X60" t="s">
        <v>76</v>
      </c>
      <c r="Y60">
        <v>-1.5707963267949001</v>
      </c>
      <c r="Z60">
        <v>0.75781116873898402</v>
      </c>
      <c r="AA60">
        <v>0</v>
      </c>
      <c r="AB60">
        <v>4.2583716066365303E-2</v>
      </c>
      <c r="AC60">
        <v>1.51473603067489E-3</v>
      </c>
      <c r="AD60">
        <v>1.24095813911744E-2</v>
      </c>
      <c r="AE60">
        <v>1.23590437127826E-2</v>
      </c>
      <c r="AF60">
        <v>0</v>
      </c>
      <c r="AG60">
        <v>0.238069941774606</v>
      </c>
      <c r="AH60">
        <v>0.109793860133256</v>
      </c>
      <c r="AI60">
        <v>0.57723608413428695</v>
      </c>
      <c r="AJ60" t="s">
        <v>74</v>
      </c>
      <c r="AK60">
        <v>0</v>
      </c>
      <c r="AL60" t="s">
        <v>77</v>
      </c>
      <c r="AM60">
        <v>0</v>
      </c>
      <c r="AN60">
        <v>0.99200000000000099</v>
      </c>
      <c r="AO60">
        <v>0</v>
      </c>
      <c r="AP60">
        <v>5.82453462424753E-2</v>
      </c>
      <c r="AQ60">
        <v>0</v>
      </c>
      <c r="AR60">
        <v>1.6E-2</v>
      </c>
      <c r="AS60">
        <v>0</v>
      </c>
      <c r="AT60">
        <v>0</v>
      </c>
      <c r="AU60">
        <v>0</v>
      </c>
      <c r="AV60">
        <v>0</v>
      </c>
      <c r="AW60">
        <v>1</v>
      </c>
      <c r="AX60" t="s">
        <v>78</v>
      </c>
      <c r="AY60">
        <v>1998636.64373542</v>
      </c>
      <c r="AZ60" t="s">
        <v>76</v>
      </c>
      <c r="BA60">
        <v>-1.5707963267949001</v>
      </c>
      <c r="BB60">
        <v>0.99200000000000099</v>
      </c>
      <c r="BC60">
        <v>0</v>
      </c>
      <c r="BD60">
        <v>5.82453462424753E-2</v>
      </c>
      <c r="BE60">
        <v>0</v>
      </c>
      <c r="BF60">
        <v>1.6E-2</v>
      </c>
      <c r="BG60">
        <v>0</v>
      </c>
      <c r="BH60">
        <v>0</v>
      </c>
      <c r="BI60" s="1">
        <v>3.41607084500048E-20</v>
      </c>
      <c r="BJ60" s="1">
        <v>3.6111186457260699E-35</v>
      </c>
      <c r="BK60">
        <v>1</v>
      </c>
      <c r="BL60">
        <v>1.02648913074525E-4</v>
      </c>
      <c r="BM60">
        <v>1.7393190095393101E-4</v>
      </c>
      <c r="BN60" s="1">
        <v>3.8192865002174699E-7</v>
      </c>
      <c r="BO60" s="1">
        <v>2.7321159113088899E-6</v>
      </c>
      <c r="BP60">
        <v>0</v>
      </c>
      <c r="BQ60">
        <v>0</v>
      </c>
      <c r="BR60" s="1">
        <v>6.1738952168449701E-5</v>
      </c>
      <c r="BS60" s="1">
        <v>9.7728277413233807E-5</v>
      </c>
    </row>
    <row r="61" spans="1:71" x14ac:dyDescent="0.25">
      <c r="A61">
        <v>58</v>
      </c>
      <c r="B61" s="1">
        <v>1.25926825273099E-5</v>
      </c>
      <c r="C61">
        <v>9.7629778515739299E-2</v>
      </c>
      <c r="D61">
        <v>-2.3094192250903501E-4</v>
      </c>
      <c r="E61" s="1">
        <v>-6.2128538007228095E-5</v>
      </c>
      <c r="F61">
        <v>-9.76297785157392E-4</v>
      </c>
      <c r="G61">
        <v>-7.8103822812591395E-4</v>
      </c>
      <c r="H61" t="s">
        <v>74</v>
      </c>
      <c r="I61">
        <v>0</v>
      </c>
      <c r="J61" t="s">
        <v>75</v>
      </c>
      <c r="K61">
        <v>3.14159265358979</v>
      </c>
      <c r="L61">
        <v>0.75727020963861003</v>
      </c>
      <c r="M61">
        <v>0</v>
      </c>
      <c r="N61">
        <v>4.44631709269281E-2</v>
      </c>
      <c r="O61">
        <v>0</v>
      </c>
      <c r="P61">
        <v>1.6E-2</v>
      </c>
      <c r="Q61">
        <v>0</v>
      </c>
      <c r="R61">
        <v>0</v>
      </c>
      <c r="S61">
        <v>0</v>
      </c>
      <c r="T61">
        <v>0</v>
      </c>
      <c r="U61">
        <v>0.76321801975194103</v>
      </c>
      <c r="V61" t="s">
        <v>78</v>
      </c>
      <c r="W61">
        <v>3091879.3331697099</v>
      </c>
      <c r="X61" t="s">
        <v>76</v>
      </c>
      <c r="Y61">
        <v>-1.5707963267949001</v>
      </c>
      <c r="Z61">
        <v>0.75363501939986999</v>
      </c>
      <c r="AA61">
        <v>0</v>
      </c>
      <c r="AB61">
        <v>4.2342389170781203E-2</v>
      </c>
      <c r="AC61">
        <v>3.8200167477689998E-3</v>
      </c>
      <c r="AD61">
        <v>1.22055066979435E-2</v>
      </c>
      <c r="AE61">
        <v>1.2585221930472901E-2</v>
      </c>
      <c r="AF61">
        <v>0</v>
      </c>
      <c r="AG61">
        <v>0.23998592041371899</v>
      </c>
      <c r="AH61">
        <v>0.114186988407305</v>
      </c>
      <c r="AI61">
        <v>0.57013523105766295</v>
      </c>
      <c r="AJ61" t="s">
        <v>74</v>
      </c>
      <c r="AK61">
        <v>0</v>
      </c>
      <c r="AL61" t="s">
        <v>77</v>
      </c>
      <c r="AM61">
        <v>0</v>
      </c>
      <c r="AN61">
        <v>0.99200000000000099</v>
      </c>
      <c r="AO61">
        <v>0</v>
      </c>
      <c r="AP61">
        <v>5.82453462424753E-2</v>
      </c>
      <c r="AQ61">
        <v>0</v>
      </c>
      <c r="AR61">
        <v>1.6E-2</v>
      </c>
      <c r="AS61">
        <v>0</v>
      </c>
      <c r="AT61">
        <v>0</v>
      </c>
      <c r="AU61">
        <v>0</v>
      </c>
      <c r="AV61">
        <v>0</v>
      </c>
      <c r="AW61">
        <v>1</v>
      </c>
      <c r="AX61" t="s">
        <v>78</v>
      </c>
      <c r="AY61">
        <v>1999296.1576503899</v>
      </c>
      <c r="AZ61" t="s">
        <v>76</v>
      </c>
      <c r="BA61">
        <v>-1.5707963267949001</v>
      </c>
      <c r="BB61">
        <v>0.99200000000000099</v>
      </c>
      <c r="BC61">
        <v>0</v>
      </c>
      <c r="BD61">
        <v>5.82453462424753E-2</v>
      </c>
      <c r="BE61">
        <v>0</v>
      </c>
      <c r="BF61">
        <v>1.6E-2</v>
      </c>
      <c r="BG61">
        <v>0</v>
      </c>
      <c r="BH61">
        <v>0</v>
      </c>
      <c r="BI61" s="1">
        <v>3.41607084500048E-20</v>
      </c>
      <c r="BJ61" s="1">
        <v>3.6111186457260699E-35</v>
      </c>
      <c r="BK61">
        <v>1</v>
      </c>
      <c r="BL61">
        <v>1.03558134665214E-4</v>
      </c>
      <c r="BM61">
        <v>1.77086454410512E-4</v>
      </c>
      <c r="BN61" s="1">
        <v>3.8717558436314401E-7</v>
      </c>
      <c r="BO61" s="1">
        <v>2.7816675211316402E-6</v>
      </c>
      <c r="BP61">
        <v>0</v>
      </c>
      <c r="BQ61">
        <v>0</v>
      </c>
      <c r="BR61" s="1">
        <v>6.2238362159796601E-5</v>
      </c>
      <c r="BS61" s="1">
        <v>9.9502517376083799E-5</v>
      </c>
    </row>
    <row r="62" spans="1:71" x14ac:dyDescent="0.25">
      <c r="A62">
        <v>59</v>
      </c>
      <c r="B62" s="1">
        <v>1.24961489810453E-5</v>
      </c>
      <c r="C62">
        <v>9.7642274664720294E-2</v>
      </c>
      <c r="D62">
        <v>-2.3101414606877701E-4</v>
      </c>
      <c r="E62" s="1">
        <v>-6.2186316855021906E-5</v>
      </c>
      <c r="F62">
        <v>-9.7642274664720295E-4</v>
      </c>
      <c r="G62">
        <v>-7.8113819731776197E-4</v>
      </c>
      <c r="H62" t="s">
        <v>74</v>
      </c>
      <c r="I62">
        <v>0</v>
      </c>
      <c r="J62" t="s">
        <v>75</v>
      </c>
      <c r="K62">
        <v>3.14159265358979</v>
      </c>
      <c r="L62">
        <v>0.75308940310531902</v>
      </c>
      <c r="M62">
        <v>0</v>
      </c>
      <c r="N62">
        <v>4.4217694592145397E-2</v>
      </c>
      <c r="O62">
        <v>0</v>
      </c>
      <c r="P62">
        <v>1.6E-2</v>
      </c>
      <c r="Q62">
        <v>0</v>
      </c>
      <c r="R62">
        <v>0</v>
      </c>
      <c r="S62">
        <v>0</v>
      </c>
      <c r="T62">
        <v>0</v>
      </c>
      <c r="U62">
        <v>0.75906043943244905</v>
      </c>
      <c r="V62" t="s">
        <v>78</v>
      </c>
      <c r="W62">
        <v>3092627.2382862</v>
      </c>
      <c r="X62" t="s">
        <v>76</v>
      </c>
      <c r="Y62">
        <v>-1.5707963267949001</v>
      </c>
      <c r="Z62">
        <v>0.74945971016135704</v>
      </c>
      <c r="AA62">
        <v>0</v>
      </c>
      <c r="AB62">
        <v>4.2101231116473799E-2</v>
      </c>
      <c r="AC62">
        <v>3.84624491042794E-3</v>
      </c>
      <c r="AD62">
        <v>1.20012557201575E-2</v>
      </c>
      <c r="AE62">
        <v>1.2811158879178899E-2</v>
      </c>
      <c r="AF62">
        <v>0</v>
      </c>
      <c r="AG62">
        <v>0.24179688472229999</v>
      </c>
      <c r="AH62">
        <v>0.11868424943660701</v>
      </c>
      <c r="AI62">
        <v>0.56305801475394601</v>
      </c>
      <c r="AJ62" t="s">
        <v>74</v>
      </c>
      <c r="AK62">
        <v>0</v>
      </c>
      <c r="AL62" t="s">
        <v>77</v>
      </c>
      <c r="AM62">
        <v>0</v>
      </c>
      <c r="AN62">
        <v>0.99200000000000099</v>
      </c>
      <c r="AO62">
        <v>0</v>
      </c>
      <c r="AP62">
        <v>5.82453462424753E-2</v>
      </c>
      <c r="AQ62">
        <v>0</v>
      </c>
      <c r="AR62">
        <v>1.6E-2</v>
      </c>
      <c r="AS62">
        <v>0</v>
      </c>
      <c r="AT62">
        <v>0</v>
      </c>
      <c r="AU62">
        <v>0</v>
      </c>
      <c r="AV62">
        <v>0</v>
      </c>
      <c r="AW62">
        <v>1</v>
      </c>
      <c r="AX62" t="s">
        <v>78</v>
      </c>
      <c r="AY62">
        <v>1999950.57462732</v>
      </c>
      <c r="AZ62" t="s">
        <v>76</v>
      </c>
      <c r="BA62">
        <v>-1.5707963267949001</v>
      </c>
      <c r="BB62">
        <v>0.99200000000000099</v>
      </c>
      <c r="BC62">
        <v>0</v>
      </c>
      <c r="BD62">
        <v>5.82453462424753E-2</v>
      </c>
      <c r="BE62">
        <v>0</v>
      </c>
      <c r="BF62">
        <v>1.6E-2</v>
      </c>
      <c r="BG62">
        <v>0</v>
      </c>
      <c r="BH62">
        <v>0</v>
      </c>
      <c r="BI62" s="1">
        <v>3.41607084500048E-20</v>
      </c>
      <c r="BJ62" s="1">
        <v>4.8148248609680896E-35</v>
      </c>
      <c r="BK62">
        <v>1</v>
      </c>
      <c r="BL62">
        <v>1.03327931551999E-4</v>
      </c>
      <c r="BM62">
        <v>1.80240567079453E-4</v>
      </c>
      <c r="BN62" s="1">
        <v>3.8639994589768698E-7</v>
      </c>
      <c r="BO62" s="1">
        <v>2.83121220707834E-6</v>
      </c>
      <c r="BP62">
        <v>0</v>
      </c>
      <c r="BQ62">
        <v>0</v>
      </c>
      <c r="BR62" s="1">
        <v>6.2097536833780295E-5</v>
      </c>
      <c r="BS62">
        <v>1.01276558909719E-4</v>
      </c>
    </row>
    <row r="63" spans="1:71" x14ac:dyDescent="0.25">
      <c r="A63">
        <v>60</v>
      </c>
      <c r="B63" s="1">
        <v>1.24063283070339E-5</v>
      </c>
      <c r="C63">
        <v>9.7654680993027307E-2</v>
      </c>
      <c r="D63">
        <v>-2.3108584601493301E-4</v>
      </c>
      <c r="E63" s="1">
        <v>-6.2243676811946406E-5</v>
      </c>
      <c r="F63">
        <v>-9.7654680993027303E-4</v>
      </c>
      <c r="G63">
        <v>-7.8123744794421802E-4</v>
      </c>
      <c r="H63" t="s">
        <v>74</v>
      </c>
      <c r="I63">
        <v>0</v>
      </c>
      <c r="J63" t="s">
        <v>75</v>
      </c>
      <c r="K63">
        <v>3.14159265358979</v>
      </c>
      <c r="L63">
        <v>0.74890919959285795</v>
      </c>
      <c r="M63">
        <v>0</v>
      </c>
      <c r="N63">
        <v>4.3972253663771103E-2</v>
      </c>
      <c r="O63">
        <v>0</v>
      </c>
      <c r="P63">
        <v>1.6E-2</v>
      </c>
      <c r="Q63">
        <v>0</v>
      </c>
      <c r="R63">
        <v>0</v>
      </c>
      <c r="S63">
        <v>0</v>
      </c>
      <c r="T63">
        <v>0</v>
      </c>
      <c r="U63">
        <v>0.75488060971162696</v>
      </c>
      <c r="V63" t="s">
        <v>78</v>
      </c>
      <c r="W63">
        <v>3093369.7211653702</v>
      </c>
      <c r="X63" t="s">
        <v>76</v>
      </c>
      <c r="Y63">
        <v>-1.5707963267949001</v>
      </c>
      <c r="Z63">
        <v>0.74528525060877304</v>
      </c>
      <c r="AA63">
        <v>0</v>
      </c>
      <c r="AB63">
        <v>4.1860238135802398E-2</v>
      </c>
      <c r="AC63">
        <v>3.8724812313519902E-3</v>
      </c>
      <c r="AD63">
        <v>1.17968524852433E-2</v>
      </c>
      <c r="AE63">
        <v>1.3036845999612899E-2</v>
      </c>
      <c r="AF63">
        <v>0</v>
      </c>
      <c r="AG63">
        <v>0.243501424641106</v>
      </c>
      <c r="AH63">
        <v>0.123287024985483</v>
      </c>
      <c r="AI63">
        <v>0.55600474025073798</v>
      </c>
      <c r="AJ63" t="s">
        <v>74</v>
      </c>
      <c r="AK63">
        <v>0</v>
      </c>
      <c r="AL63" t="s">
        <v>77</v>
      </c>
      <c r="AM63">
        <v>0</v>
      </c>
      <c r="AN63">
        <v>0.99200000000000099</v>
      </c>
      <c r="AO63">
        <v>0</v>
      </c>
      <c r="AP63">
        <v>5.82453462424753E-2</v>
      </c>
      <c r="AQ63">
        <v>0</v>
      </c>
      <c r="AR63">
        <v>1.6E-2</v>
      </c>
      <c r="AS63">
        <v>0</v>
      </c>
      <c r="AT63">
        <v>0</v>
      </c>
      <c r="AU63">
        <v>0</v>
      </c>
      <c r="AV63">
        <v>0</v>
      </c>
      <c r="AW63">
        <v>1</v>
      </c>
      <c r="AX63" t="s">
        <v>78</v>
      </c>
      <c r="AY63">
        <v>2000600.2471465999</v>
      </c>
      <c r="AZ63" t="s">
        <v>76</v>
      </c>
      <c r="BA63">
        <v>-1.5707963267949001</v>
      </c>
      <c r="BB63">
        <v>0.99200000000000099</v>
      </c>
      <c r="BC63">
        <v>0</v>
      </c>
      <c r="BD63">
        <v>5.82453462424753E-2</v>
      </c>
      <c r="BE63">
        <v>0</v>
      </c>
      <c r="BF63">
        <v>1.6E-2</v>
      </c>
      <c r="BG63">
        <v>0</v>
      </c>
      <c r="BH63">
        <v>0</v>
      </c>
      <c r="BI63" s="1">
        <v>3.41607084500048E-20</v>
      </c>
      <c r="BJ63" s="1">
        <v>4.8148248609680896E-35</v>
      </c>
      <c r="BK63">
        <v>1</v>
      </c>
      <c r="BL63">
        <v>1.03097832757938E-4</v>
      </c>
      <c r="BM63">
        <v>1.8339422481329499E-4</v>
      </c>
      <c r="BN63" s="1">
        <v>3.8562500993173502E-7</v>
      </c>
      <c r="BO63" s="1">
        <v>2.8807497469212102E-6</v>
      </c>
      <c r="BP63">
        <v>0</v>
      </c>
      <c r="BQ63">
        <v>0</v>
      </c>
      <c r="BR63" s="1">
        <v>6.1956751979116496E-5</v>
      </c>
      <c r="BS63">
        <v>1.0305039430359901E-4</v>
      </c>
    </row>
    <row r="64" spans="1:71" x14ac:dyDescent="0.25">
      <c r="A64">
        <v>61</v>
      </c>
      <c r="B64" s="1">
        <v>1.23230288897638E-5</v>
      </c>
      <c r="C64">
        <v>9.7667004021917095E-2</v>
      </c>
      <c r="D64">
        <v>-2.3115706013060799E-4</v>
      </c>
      <c r="E64" s="1">
        <v>-6.2300648104486605E-5</v>
      </c>
      <c r="F64">
        <v>-9.7667004021917002E-4</v>
      </c>
      <c r="G64">
        <v>-7.8133603217533595E-4</v>
      </c>
      <c r="H64" t="s">
        <v>74</v>
      </c>
      <c r="I64">
        <v>0</v>
      </c>
      <c r="J64" t="s">
        <v>75</v>
      </c>
      <c r="K64">
        <v>3.14159265358979</v>
      </c>
      <c r="L64">
        <v>0.74472961876300203</v>
      </c>
      <c r="M64">
        <v>0</v>
      </c>
      <c r="N64">
        <v>4.3726849296247601E-2</v>
      </c>
      <c r="O64">
        <v>0</v>
      </c>
      <c r="P64">
        <v>1.6E-2</v>
      </c>
      <c r="Q64">
        <v>0</v>
      </c>
      <c r="R64">
        <v>0</v>
      </c>
      <c r="S64">
        <v>0</v>
      </c>
      <c r="T64">
        <v>0</v>
      </c>
      <c r="U64">
        <v>0.750690212993402</v>
      </c>
      <c r="V64" t="s">
        <v>78</v>
      </c>
      <c r="W64">
        <v>3094107.1730670799</v>
      </c>
      <c r="X64" t="s">
        <v>76</v>
      </c>
      <c r="Y64">
        <v>-1.5707963267949001</v>
      </c>
      <c r="Z64">
        <v>0.74111165158307302</v>
      </c>
      <c r="AA64">
        <v>0</v>
      </c>
      <c r="AB64">
        <v>4.1619406706320201E-2</v>
      </c>
      <c r="AC64">
        <v>3.8987144908011399E-3</v>
      </c>
      <c r="AD64">
        <v>1.15923203342654E-2</v>
      </c>
      <c r="AE64">
        <v>1.32622747206804E-2</v>
      </c>
      <c r="AF64">
        <v>0</v>
      </c>
      <c r="AG64">
        <v>0.24509808632789901</v>
      </c>
      <c r="AH64">
        <v>0.12799673922943</v>
      </c>
      <c r="AI64">
        <v>0.54897571186031002</v>
      </c>
      <c r="AJ64" t="s">
        <v>74</v>
      </c>
      <c r="AK64">
        <v>0</v>
      </c>
      <c r="AL64" t="s">
        <v>77</v>
      </c>
      <c r="AM64">
        <v>0</v>
      </c>
      <c r="AN64">
        <v>0.99200000000000099</v>
      </c>
      <c r="AO64">
        <v>0</v>
      </c>
      <c r="AP64">
        <v>5.82453462424753E-2</v>
      </c>
      <c r="AQ64">
        <v>0</v>
      </c>
      <c r="AR64">
        <v>1.6E-2</v>
      </c>
      <c r="AS64">
        <v>0</v>
      </c>
      <c r="AT64">
        <v>0</v>
      </c>
      <c r="AU64">
        <v>0</v>
      </c>
      <c r="AV64">
        <v>0</v>
      </c>
      <c r="AW64">
        <v>1</v>
      </c>
      <c r="AX64" t="s">
        <v>78</v>
      </c>
      <c r="AY64">
        <v>2001245.5175605901</v>
      </c>
      <c r="AZ64" t="s">
        <v>76</v>
      </c>
      <c r="BA64">
        <v>-1.5707963267949001</v>
      </c>
      <c r="BB64">
        <v>0.99200000000000099</v>
      </c>
      <c r="BC64">
        <v>0</v>
      </c>
      <c r="BD64">
        <v>5.82453462424753E-2</v>
      </c>
      <c r="BE64">
        <v>0</v>
      </c>
      <c r="BF64">
        <v>1.6E-2</v>
      </c>
      <c r="BG64">
        <v>0</v>
      </c>
      <c r="BH64">
        <v>0</v>
      </c>
      <c r="BI64" s="1">
        <v>3.41607084500048E-20</v>
      </c>
      <c r="BJ64" s="1">
        <v>5.4166779685890998E-35</v>
      </c>
      <c r="BK64">
        <v>1</v>
      </c>
      <c r="BL64">
        <v>1.0286783148916E-4</v>
      </c>
      <c r="BM64">
        <v>1.8654741277866399E-4</v>
      </c>
      <c r="BN64" s="1">
        <v>3.8485072457473E-7</v>
      </c>
      <c r="BO64" s="1">
        <v>2.9302799076581702E-6</v>
      </c>
      <c r="BP64">
        <v>0</v>
      </c>
      <c r="BQ64">
        <v>0</v>
      </c>
      <c r="BR64" s="1">
        <v>6.1816004762830503E-5</v>
      </c>
      <c r="BS64">
        <v>1.04824015500238E-4</v>
      </c>
    </row>
    <row r="65" spans="1:71" x14ac:dyDescent="0.25">
      <c r="A65">
        <v>62</v>
      </c>
      <c r="B65" s="1">
        <v>1.2246081189925299E-5</v>
      </c>
      <c r="C65">
        <v>9.7679250103107004E-2</v>
      </c>
      <c r="D65">
        <v>-2.3122782520923E-4</v>
      </c>
      <c r="E65" s="1">
        <v>-6.2357260167383703E-5</v>
      </c>
      <c r="F65">
        <v>-9.7679250103106991E-4</v>
      </c>
      <c r="G65">
        <v>-7.8143400082485604E-4</v>
      </c>
      <c r="H65" t="s">
        <v>74</v>
      </c>
      <c r="I65">
        <v>0</v>
      </c>
      <c r="J65" t="s">
        <v>75</v>
      </c>
      <c r="K65">
        <v>3.14159265358979</v>
      </c>
      <c r="L65">
        <v>0.74055068124746803</v>
      </c>
      <c r="M65">
        <v>0</v>
      </c>
      <c r="N65">
        <v>4.3481482700967397E-2</v>
      </c>
      <c r="O65">
        <v>0</v>
      </c>
      <c r="P65">
        <v>1.6E-2</v>
      </c>
      <c r="Q65">
        <v>0</v>
      </c>
      <c r="R65">
        <v>0</v>
      </c>
      <c r="S65">
        <v>0</v>
      </c>
      <c r="T65">
        <v>0</v>
      </c>
      <c r="U65">
        <v>0.74649267222647797</v>
      </c>
      <c r="V65" t="s">
        <v>78</v>
      </c>
      <c r="W65">
        <v>3094839.9750025999</v>
      </c>
      <c r="X65" t="s">
        <v>76</v>
      </c>
      <c r="Y65">
        <v>-1.5707963267949001</v>
      </c>
      <c r="Z65">
        <v>0.73693892521217497</v>
      </c>
      <c r="AA65">
        <v>0</v>
      </c>
      <c r="AB65">
        <v>4.1378733538278201E-2</v>
      </c>
      <c r="AC65">
        <v>3.9248917678762702E-3</v>
      </c>
      <c r="AD65">
        <v>1.1387681982385101E-2</v>
      </c>
      <c r="AE65">
        <v>1.3487436449996001E-2</v>
      </c>
      <c r="AF65">
        <v>0</v>
      </c>
      <c r="AG65">
        <v>0.24658537002623701</v>
      </c>
      <c r="AH65">
        <v>0.13281486079464599</v>
      </c>
      <c r="AI65">
        <v>0.541971233611245</v>
      </c>
      <c r="AJ65" t="s">
        <v>74</v>
      </c>
      <c r="AK65">
        <v>0</v>
      </c>
      <c r="AL65" t="s">
        <v>77</v>
      </c>
      <c r="AM65">
        <v>0</v>
      </c>
      <c r="AN65">
        <v>0.99200000000000099</v>
      </c>
      <c r="AO65">
        <v>0</v>
      </c>
      <c r="AP65">
        <v>5.82453462424753E-2</v>
      </c>
      <c r="AQ65">
        <v>0</v>
      </c>
      <c r="AR65">
        <v>1.6E-2</v>
      </c>
      <c r="AS65">
        <v>0</v>
      </c>
      <c r="AT65">
        <v>0</v>
      </c>
      <c r="AU65">
        <v>0</v>
      </c>
      <c r="AV65">
        <v>0</v>
      </c>
      <c r="AW65">
        <v>1</v>
      </c>
      <c r="AX65" t="s">
        <v>78</v>
      </c>
      <c r="AY65">
        <v>2001886.7192541801</v>
      </c>
      <c r="AZ65" t="s">
        <v>76</v>
      </c>
      <c r="BA65">
        <v>-1.5707963267949001</v>
      </c>
      <c r="BB65">
        <v>0.99200000000000099</v>
      </c>
      <c r="BC65">
        <v>0</v>
      </c>
      <c r="BD65">
        <v>5.82453462424753E-2</v>
      </c>
      <c r="BE65">
        <v>0</v>
      </c>
      <c r="BF65">
        <v>1.6E-2</v>
      </c>
      <c r="BG65">
        <v>0</v>
      </c>
      <c r="BH65">
        <v>0</v>
      </c>
      <c r="BI65" s="1">
        <v>3.41607084500048E-20</v>
      </c>
      <c r="BJ65" s="1">
        <v>5.4166779685890998E-35</v>
      </c>
      <c r="BK65">
        <v>1</v>
      </c>
      <c r="BL65">
        <v>1.02637900246036E-4</v>
      </c>
      <c r="BM65">
        <v>1.89700115410441E-4</v>
      </c>
      <c r="BN65" s="1">
        <v>3.8407689760195302E-7</v>
      </c>
      <c r="BO65" s="1">
        <v>2.97980244479289E-6</v>
      </c>
      <c r="BP65">
        <v>0</v>
      </c>
      <c r="BQ65">
        <v>0</v>
      </c>
      <c r="BR65" s="1">
        <v>6.16752806892845E-5</v>
      </c>
      <c r="BS65">
        <v>1.06597414070328E-4</v>
      </c>
    </row>
    <row r="66" spans="1:71" x14ac:dyDescent="0.25">
      <c r="A66">
        <v>63</v>
      </c>
      <c r="B66" s="1">
        <v>1.21753366687529E-5</v>
      </c>
      <c r="C66">
        <v>9.7691425439775798E-2</v>
      </c>
      <c r="D66">
        <v>-2.3129817717634701E-4</v>
      </c>
      <c r="E66" s="1">
        <v>-6.2413541741077196E-5</v>
      </c>
      <c r="F66">
        <v>-9.7691425439775693E-4</v>
      </c>
      <c r="G66">
        <v>-7.8153140351820596E-4</v>
      </c>
      <c r="H66" t="s">
        <v>74</v>
      </c>
      <c r="I66">
        <v>0</v>
      </c>
      <c r="J66" t="s">
        <v>75</v>
      </c>
      <c r="K66">
        <v>3.14159265358979</v>
      </c>
      <c r="L66">
        <v>0.73637240871374399</v>
      </c>
      <c r="M66">
        <v>0</v>
      </c>
      <c r="N66">
        <v>4.3236155150138601E-2</v>
      </c>
      <c r="O66">
        <v>0</v>
      </c>
      <c r="P66">
        <v>1.6E-2</v>
      </c>
      <c r="Q66">
        <v>0</v>
      </c>
      <c r="R66">
        <v>0</v>
      </c>
      <c r="S66">
        <v>0</v>
      </c>
      <c r="T66">
        <v>0</v>
      </c>
      <c r="U66">
        <v>0.74229070753978599</v>
      </c>
      <c r="V66" t="s">
        <v>78</v>
      </c>
      <c r="W66">
        <v>3095568.4989960101</v>
      </c>
      <c r="X66" t="s">
        <v>76</v>
      </c>
      <c r="Y66">
        <v>-1.5707963267949001</v>
      </c>
      <c r="Z66">
        <v>0.732767084949144</v>
      </c>
      <c r="AA66">
        <v>0</v>
      </c>
      <c r="AB66">
        <v>4.1138215563451701E-2</v>
      </c>
      <c r="AC66">
        <v>3.9510854089149497E-3</v>
      </c>
      <c r="AD66">
        <v>1.11829595754532E-2</v>
      </c>
      <c r="AE66">
        <v>1.3712322564505001E-2</v>
      </c>
      <c r="AF66">
        <v>0</v>
      </c>
      <c r="AG66">
        <v>0.24796172779083001</v>
      </c>
      <c r="AH66">
        <v>0.137742904933356</v>
      </c>
      <c r="AI66">
        <v>0.53499160966201698</v>
      </c>
      <c r="AJ66" t="s">
        <v>74</v>
      </c>
      <c r="AK66">
        <v>0</v>
      </c>
      <c r="AL66" t="s">
        <v>79</v>
      </c>
      <c r="AM66" t="s">
        <v>80</v>
      </c>
      <c r="AN66">
        <v>0.99200000000000099</v>
      </c>
      <c r="AO66">
        <v>0</v>
      </c>
      <c r="AP66">
        <v>5.82453462424753E-2</v>
      </c>
      <c r="AQ66">
        <v>0</v>
      </c>
      <c r="AR66">
        <v>1.6E-2</v>
      </c>
      <c r="AS66">
        <v>0</v>
      </c>
      <c r="AT66">
        <v>0</v>
      </c>
      <c r="AU66">
        <v>0</v>
      </c>
      <c r="AV66">
        <v>0</v>
      </c>
      <c r="AW66">
        <v>1</v>
      </c>
      <c r="AX66" t="s">
        <v>78</v>
      </c>
      <c r="AY66">
        <v>2002524.17774841</v>
      </c>
      <c r="AZ66" t="s">
        <v>76</v>
      </c>
      <c r="BA66">
        <v>-1.5707963267949001</v>
      </c>
      <c r="BB66">
        <v>0.99200000000000099</v>
      </c>
      <c r="BC66">
        <v>0</v>
      </c>
      <c r="BD66">
        <v>5.82453462424753E-2</v>
      </c>
      <c r="BE66">
        <v>0</v>
      </c>
      <c r="BF66">
        <v>1.6E-2</v>
      </c>
      <c r="BG66">
        <v>0</v>
      </c>
      <c r="BH66">
        <v>0</v>
      </c>
      <c r="BI66" s="1">
        <v>3.41607084500048E-20</v>
      </c>
      <c r="BJ66" s="1">
        <v>5.4166779685890998E-35</v>
      </c>
      <c r="BK66">
        <v>1</v>
      </c>
      <c r="BL66">
        <v>1.0240807430372801E-4</v>
      </c>
      <c r="BM66">
        <v>1.9285231636209299E-4</v>
      </c>
      <c r="BN66" s="1">
        <v>3.8330376224933398E-7</v>
      </c>
      <c r="BO66" s="1">
        <v>3.02931710155463E-6</v>
      </c>
      <c r="BP66">
        <v>0</v>
      </c>
      <c r="BQ66">
        <v>0</v>
      </c>
      <c r="BR66" s="1">
        <v>6.1534600513020004E-5</v>
      </c>
      <c r="BS66">
        <v>1.0837058118587201E-4</v>
      </c>
    </row>
    <row r="67" spans="1:71" x14ac:dyDescent="0.25">
      <c r="A67">
        <v>64</v>
      </c>
      <c r="B67" s="1">
        <v>1.2110666889337199E-5</v>
      </c>
      <c r="C67">
        <v>9.7703536106665101E-2</v>
      </c>
      <c r="D67">
        <v>-2.31368151206178E-4</v>
      </c>
      <c r="E67" s="1">
        <v>-6.2469520964942302E-5</v>
      </c>
      <c r="F67">
        <v>-9.7703536106665098E-4</v>
      </c>
      <c r="G67">
        <v>-7.8162828885331998E-4</v>
      </c>
      <c r="H67" t="s">
        <v>74</v>
      </c>
      <c r="I67">
        <v>0</v>
      </c>
      <c r="J67" t="s">
        <v>75</v>
      </c>
      <c r="K67">
        <v>3.14159265358979</v>
      </c>
      <c r="L67">
        <v>0.73219482393657198</v>
      </c>
      <c r="M67">
        <v>0</v>
      </c>
      <c r="N67">
        <v>4.2990867980981701E-2</v>
      </c>
      <c r="O67">
        <v>0</v>
      </c>
      <c r="P67">
        <v>1.6E-2</v>
      </c>
      <c r="Q67">
        <v>0</v>
      </c>
      <c r="R67">
        <v>0</v>
      </c>
      <c r="S67">
        <v>0</v>
      </c>
      <c r="T67">
        <v>0</v>
      </c>
      <c r="U67">
        <v>0.73808607720404895</v>
      </c>
      <c r="V67" t="s">
        <v>78</v>
      </c>
      <c r="W67">
        <v>3096293.1092910301</v>
      </c>
      <c r="X67" t="s">
        <v>76</v>
      </c>
      <c r="Y67">
        <v>-1.5707963267949001</v>
      </c>
      <c r="Z67">
        <v>0.728596145617596</v>
      </c>
      <c r="AA67">
        <v>0</v>
      </c>
      <c r="AB67">
        <v>4.08978499251949E-2</v>
      </c>
      <c r="AC67">
        <v>3.9772425795834001E-3</v>
      </c>
      <c r="AD67">
        <v>1.09781747431887E-2</v>
      </c>
      <c r="AE67">
        <v>1.3936924401157199E-2</v>
      </c>
      <c r="AF67">
        <v>0</v>
      </c>
      <c r="AG67">
        <v>0.24922556105742799</v>
      </c>
      <c r="AH67">
        <v>0.14278243584605299</v>
      </c>
      <c r="AI67">
        <v>0.52803714469967999</v>
      </c>
      <c r="AJ67" t="s">
        <v>74</v>
      </c>
      <c r="AK67">
        <v>0</v>
      </c>
      <c r="AL67" t="s">
        <v>77</v>
      </c>
      <c r="AM67">
        <v>0</v>
      </c>
      <c r="AN67">
        <v>0.99200000000000099</v>
      </c>
      <c r="AO67">
        <v>0</v>
      </c>
      <c r="AP67">
        <v>5.82453462424753E-2</v>
      </c>
      <c r="AQ67">
        <v>0</v>
      </c>
      <c r="AR67">
        <v>1.6E-2</v>
      </c>
      <c r="AS67">
        <v>0</v>
      </c>
      <c r="AT67">
        <v>0</v>
      </c>
      <c r="AU67">
        <v>0</v>
      </c>
      <c r="AV67">
        <v>0</v>
      </c>
      <c r="AW67">
        <v>1</v>
      </c>
      <c r="AX67" t="s">
        <v>78</v>
      </c>
      <c r="AY67">
        <v>2003158.21175655</v>
      </c>
      <c r="AZ67" t="s">
        <v>76</v>
      </c>
      <c r="BA67">
        <v>-1.5707963267949001</v>
      </c>
      <c r="BB67">
        <v>0.99200000000000099</v>
      </c>
      <c r="BC67">
        <v>0</v>
      </c>
      <c r="BD67">
        <v>5.82453462424753E-2</v>
      </c>
      <c r="BE67">
        <v>0</v>
      </c>
      <c r="BF67">
        <v>1.6E-2</v>
      </c>
      <c r="BG67">
        <v>0</v>
      </c>
      <c r="BH67">
        <v>0</v>
      </c>
      <c r="BI67" s="1">
        <v>3.41607084500048E-20</v>
      </c>
      <c r="BJ67" s="1">
        <v>6.0185310762101099E-35</v>
      </c>
      <c r="BK67">
        <v>1</v>
      </c>
      <c r="BL67">
        <v>1.02178326485355E-4</v>
      </c>
      <c r="BM67">
        <v>1.9600399845174E-4</v>
      </c>
      <c r="BN67" s="1">
        <v>3.82531128425156E-7</v>
      </c>
      <c r="BO67" s="1">
        <v>3.0788236080510601E-6</v>
      </c>
      <c r="BP67">
        <v>0</v>
      </c>
      <c r="BQ67">
        <v>0</v>
      </c>
      <c r="BR67" s="1">
        <v>6.1393949874185601E-5</v>
      </c>
      <c r="BS67">
        <v>1.1014350759109199E-4</v>
      </c>
    </row>
    <row r="68" spans="1:71" x14ac:dyDescent="0.25">
      <c r="A68">
        <v>65</v>
      </c>
      <c r="B68" s="1">
        <v>1.20519627836028E-5</v>
      </c>
      <c r="C68">
        <v>9.7715588069448703E-2</v>
      </c>
      <c r="D68">
        <v>-2.3143778183386699E-4</v>
      </c>
      <c r="E68" s="1">
        <v>-6.25252254670937E-5</v>
      </c>
      <c r="F68">
        <v>-9.7715588069448691E-4</v>
      </c>
      <c r="G68">
        <v>-7.8172470455558903E-4</v>
      </c>
      <c r="H68" t="s">
        <v>74</v>
      </c>
      <c r="I68">
        <v>0</v>
      </c>
      <c r="J68" t="s">
        <v>75</v>
      </c>
      <c r="K68">
        <v>3.14159265358979</v>
      </c>
      <c r="L68">
        <v>0.72801795087563703</v>
      </c>
      <c r="M68">
        <v>0</v>
      </c>
      <c r="N68">
        <v>4.2745622600291099E-2</v>
      </c>
      <c r="O68">
        <v>0</v>
      </c>
      <c r="P68">
        <v>1.6E-2</v>
      </c>
      <c r="Q68">
        <v>0</v>
      </c>
      <c r="R68">
        <v>0</v>
      </c>
      <c r="S68">
        <v>0</v>
      </c>
      <c r="T68">
        <v>0</v>
      </c>
      <c r="U68">
        <v>0.73387994733888295</v>
      </c>
      <c r="V68" t="s">
        <v>78</v>
      </c>
      <c r="W68">
        <v>3097014.16351349</v>
      </c>
      <c r="X68" t="s">
        <v>76</v>
      </c>
      <c r="Y68">
        <v>-1.5707963267949001</v>
      </c>
      <c r="Z68">
        <v>0.72442612346463797</v>
      </c>
      <c r="AA68">
        <v>0</v>
      </c>
      <c r="AB68">
        <v>4.0657633969638902E-2</v>
      </c>
      <c r="AC68">
        <v>4.0033917320771899E-3</v>
      </c>
      <c r="AD68">
        <v>1.07733486493537E-2</v>
      </c>
      <c r="AE68">
        <v>1.4161233247587101E-2</v>
      </c>
      <c r="AF68">
        <v>0</v>
      </c>
      <c r="AG68">
        <v>0.25037521804406099</v>
      </c>
      <c r="AH68">
        <v>0.14793506916304899</v>
      </c>
      <c r="AI68">
        <v>0.52110814432637698</v>
      </c>
      <c r="AJ68" t="s">
        <v>74</v>
      </c>
      <c r="AK68">
        <v>0</v>
      </c>
      <c r="AL68" t="s">
        <v>77</v>
      </c>
      <c r="AM68">
        <v>0</v>
      </c>
      <c r="AN68">
        <v>0.99200000000000099</v>
      </c>
      <c r="AO68">
        <v>0</v>
      </c>
      <c r="AP68">
        <v>5.82453462424753E-2</v>
      </c>
      <c r="AQ68">
        <v>0</v>
      </c>
      <c r="AR68">
        <v>1.6E-2</v>
      </c>
      <c r="AS68">
        <v>0</v>
      </c>
      <c r="AT68">
        <v>0</v>
      </c>
      <c r="AU68">
        <v>0</v>
      </c>
      <c r="AV68">
        <v>0</v>
      </c>
      <c r="AW68">
        <v>1</v>
      </c>
      <c r="AX68" t="s">
        <v>78</v>
      </c>
      <c r="AY68">
        <v>2003789.13420121</v>
      </c>
      <c r="AZ68" t="s">
        <v>76</v>
      </c>
      <c r="BA68">
        <v>-1.5707963267949001</v>
      </c>
      <c r="BB68">
        <v>0.99200000000000099</v>
      </c>
      <c r="BC68">
        <v>0</v>
      </c>
      <c r="BD68">
        <v>5.82453462424753E-2</v>
      </c>
      <c r="BE68">
        <v>0</v>
      </c>
      <c r="BF68">
        <v>1.6E-2</v>
      </c>
      <c r="BG68">
        <v>0</v>
      </c>
      <c r="BH68">
        <v>0</v>
      </c>
      <c r="BI68" s="1">
        <v>3.41607084500048E-20</v>
      </c>
      <c r="BJ68" s="1">
        <v>6.0185310762101099E-35</v>
      </c>
      <c r="BK68">
        <v>1</v>
      </c>
      <c r="BL68">
        <v>1.01948670393479E-4</v>
      </c>
      <c r="BM68">
        <v>1.99155143603555E-4</v>
      </c>
      <c r="BN68" s="1">
        <v>3.81759082364467E-7</v>
      </c>
      <c r="BO68" s="1">
        <v>3.1283216803477401E-6</v>
      </c>
      <c r="BP68">
        <v>0</v>
      </c>
      <c r="BQ68">
        <v>0</v>
      </c>
      <c r="BR68" s="1">
        <v>6.1253337309853502E-5</v>
      </c>
      <c r="BS68">
        <v>1.11916183570897E-4</v>
      </c>
    </row>
    <row r="69" spans="1:71" x14ac:dyDescent="0.25">
      <c r="A69">
        <v>66</v>
      </c>
      <c r="B69" s="1">
        <v>1.19991340763864E-5</v>
      </c>
      <c r="C69">
        <v>9.7727587203525104E-2</v>
      </c>
      <c r="D69">
        <v>-2.31507103064355E-4</v>
      </c>
      <c r="E69" s="1">
        <v>-6.25806824514842E-5</v>
      </c>
      <c r="F69">
        <v>-9.7727587203525097E-4</v>
      </c>
      <c r="G69">
        <v>-7.8182069762820002E-4</v>
      </c>
      <c r="H69" t="s">
        <v>74</v>
      </c>
      <c r="I69">
        <v>0</v>
      </c>
      <c r="J69" t="s">
        <v>75</v>
      </c>
      <c r="K69">
        <v>3.14159265358979</v>
      </c>
      <c r="L69">
        <v>0.723841814760113</v>
      </c>
      <c r="M69">
        <v>0</v>
      </c>
      <c r="N69">
        <v>4.2500420489399601E-2</v>
      </c>
      <c r="O69">
        <v>0</v>
      </c>
      <c r="P69">
        <v>1.6E-2</v>
      </c>
      <c r="Q69">
        <v>0</v>
      </c>
      <c r="R69">
        <v>0</v>
      </c>
      <c r="S69">
        <v>0</v>
      </c>
      <c r="T69">
        <v>0</v>
      </c>
      <c r="U69">
        <v>0.729673093394414</v>
      </c>
      <c r="V69" t="s">
        <v>78</v>
      </c>
      <c r="W69">
        <v>3097732.01379875</v>
      </c>
      <c r="X69" t="s">
        <v>76</v>
      </c>
      <c r="Y69">
        <v>-1.5707963267949001</v>
      </c>
      <c r="Z69">
        <v>0.72025703622182402</v>
      </c>
      <c r="AA69">
        <v>0</v>
      </c>
      <c r="AB69">
        <v>4.0417565237960897E-2</v>
      </c>
      <c r="AC69">
        <v>4.0295591658433202E-3</v>
      </c>
      <c r="AD69">
        <v>1.0568502039301301E-2</v>
      </c>
      <c r="AE69">
        <v>1.43852403327475E-2</v>
      </c>
      <c r="AF69">
        <v>0</v>
      </c>
      <c r="AG69">
        <v>0.251408990969056</v>
      </c>
      <c r="AH69">
        <v>0.153202474598885</v>
      </c>
      <c r="AI69">
        <v>0.51420491543642699</v>
      </c>
      <c r="AJ69" t="s">
        <v>74</v>
      </c>
      <c r="AK69">
        <v>0</v>
      </c>
      <c r="AL69" t="s">
        <v>77</v>
      </c>
      <c r="AM69">
        <v>0</v>
      </c>
      <c r="AN69">
        <v>0.99200000000000099</v>
      </c>
      <c r="AO69">
        <v>0</v>
      </c>
      <c r="AP69">
        <v>5.82453462424753E-2</v>
      </c>
      <c r="AQ69">
        <v>0</v>
      </c>
      <c r="AR69">
        <v>1.6E-2</v>
      </c>
      <c r="AS69">
        <v>0</v>
      </c>
      <c r="AT69">
        <v>0</v>
      </c>
      <c r="AU69">
        <v>0</v>
      </c>
      <c r="AV69">
        <v>0</v>
      </c>
      <c r="AW69">
        <v>1</v>
      </c>
      <c r="AX69" t="s">
        <v>78</v>
      </c>
      <c r="AY69">
        <v>2004417.2532008099</v>
      </c>
      <c r="AZ69" t="s">
        <v>76</v>
      </c>
      <c r="BA69">
        <v>-1.5707963267949001</v>
      </c>
      <c r="BB69">
        <v>0.99200000000000099</v>
      </c>
      <c r="BC69">
        <v>0</v>
      </c>
      <c r="BD69">
        <v>5.82453462424753E-2</v>
      </c>
      <c r="BE69">
        <v>0</v>
      </c>
      <c r="BF69">
        <v>1.6E-2</v>
      </c>
      <c r="BG69">
        <v>0</v>
      </c>
      <c r="BH69">
        <v>0</v>
      </c>
      <c r="BI69" s="1">
        <v>3.41607084500048E-20</v>
      </c>
      <c r="BJ69" s="1">
        <v>6.0185310762101099E-35</v>
      </c>
      <c r="BK69">
        <v>1</v>
      </c>
      <c r="BL69">
        <v>1.0171911868907701E-4</v>
      </c>
      <c r="BM69">
        <v>2.0230573278396999E-4</v>
      </c>
      <c r="BN69" s="1">
        <v>3.8098770386036398E-7</v>
      </c>
      <c r="BO69" s="1">
        <v>3.1778110194661101E-6</v>
      </c>
      <c r="BP69">
        <v>0</v>
      </c>
      <c r="BQ69">
        <v>0</v>
      </c>
      <c r="BR69" s="1">
        <v>6.1112770813057297E-5</v>
      </c>
      <c r="BS69">
        <v>1.1368859891662999E-4</v>
      </c>
    </row>
    <row r="70" spans="1:71" x14ac:dyDescent="0.25">
      <c r="A70">
        <v>67</v>
      </c>
      <c r="B70" s="1">
        <v>1.1952108860191999E-5</v>
      </c>
      <c r="C70">
        <v>9.7739539312385298E-2</v>
      </c>
      <c r="D70">
        <v>-2.31576148478744E-4</v>
      </c>
      <c r="E70" s="1">
        <v>-6.26359187829952E-5</v>
      </c>
      <c r="F70">
        <v>-9.7739539312385209E-4</v>
      </c>
      <c r="G70">
        <v>-7.8191631449908195E-4</v>
      </c>
      <c r="H70" t="s">
        <v>74</v>
      </c>
      <c r="I70">
        <v>0</v>
      </c>
      <c r="J70" t="s">
        <v>75</v>
      </c>
      <c r="K70">
        <v>3.14159265358979</v>
      </c>
      <c r="L70">
        <v>0.71966644218088205</v>
      </c>
      <c r="M70">
        <v>0</v>
      </c>
      <c r="N70">
        <v>4.2255263209592497E-2</v>
      </c>
      <c r="O70">
        <v>0</v>
      </c>
      <c r="P70">
        <v>1.6E-2</v>
      </c>
      <c r="Q70">
        <v>0</v>
      </c>
      <c r="R70">
        <v>0</v>
      </c>
      <c r="S70">
        <v>0</v>
      </c>
      <c r="T70">
        <v>0</v>
      </c>
      <c r="U70">
        <v>0.72546603540999699</v>
      </c>
      <c r="V70" t="s">
        <v>78</v>
      </c>
      <c r="W70">
        <v>3098447.00789314</v>
      </c>
      <c r="X70" t="s">
        <v>76</v>
      </c>
      <c r="Y70">
        <v>-1.5707963267949001</v>
      </c>
      <c r="Z70">
        <v>0.71608890317474005</v>
      </c>
      <c r="AA70">
        <v>0</v>
      </c>
      <c r="AB70">
        <v>4.01776414596723E-2</v>
      </c>
      <c r="AC70">
        <v>4.0556549220336201E-3</v>
      </c>
      <c r="AD70">
        <v>1.0363655285248199E-2</v>
      </c>
      <c r="AE70">
        <v>1.46089368174458E-2</v>
      </c>
      <c r="AF70">
        <v>0</v>
      </c>
      <c r="AG70">
        <v>0.25232511306972699</v>
      </c>
      <c r="AH70">
        <v>0.158586378794497</v>
      </c>
      <c r="AI70">
        <v>0.50732776658661305</v>
      </c>
      <c r="AJ70" t="s">
        <v>74</v>
      </c>
      <c r="AK70">
        <v>0</v>
      </c>
      <c r="AL70" t="s">
        <v>77</v>
      </c>
      <c r="AM70">
        <v>0</v>
      </c>
      <c r="AN70">
        <v>0.99200000000000099</v>
      </c>
      <c r="AO70">
        <v>0</v>
      </c>
      <c r="AP70">
        <v>5.82453462424753E-2</v>
      </c>
      <c r="AQ70">
        <v>0</v>
      </c>
      <c r="AR70">
        <v>1.6E-2</v>
      </c>
      <c r="AS70">
        <v>0</v>
      </c>
      <c r="AT70">
        <v>0</v>
      </c>
      <c r="AU70">
        <v>0</v>
      </c>
      <c r="AV70">
        <v>0</v>
      </c>
      <c r="AW70">
        <v>1</v>
      </c>
      <c r="AX70" t="s">
        <v>78</v>
      </c>
      <c r="AY70">
        <v>2005042.8730333999</v>
      </c>
      <c r="AZ70" t="s">
        <v>76</v>
      </c>
      <c r="BA70">
        <v>-1.5707963267949001</v>
      </c>
      <c r="BB70">
        <v>0.99200000000000099</v>
      </c>
      <c r="BC70">
        <v>0</v>
      </c>
      <c r="BD70">
        <v>5.82453462424753E-2</v>
      </c>
      <c r="BE70">
        <v>0</v>
      </c>
      <c r="BF70">
        <v>1.6E-2</v>
      </c>
      <c r="BG70">
        <v>0</v>
      </c>
      <c r="BH70">
        <v>0</v>
      </c>
      <c r="BI70" s="1">
        <v>3.41607084500048E-20</v>
      </c>
      <c r="BJ70" s="1">
        <v>6.0185310762101099E-35</v>
      </c>
      <c r="BK70">
        <v>1</v>
      </c>
      <c r="BL70">
        <v>1.01489626038124E-4</v>
      </c>
      <c r="BM70">
        <v>2.0545574593211201E-4</v>
      </c>
      <c r="BN70" s="1">
        <v>3.8021667951089398E-7</v>
      </c>
      <c r="BO70" s="1">
        <v>3.22729131029067E-6</v>
      </c>
      <c r="BP70">
        <v>0</v>
      </c>
      <c r="BQ70">
        <v>0</v>
      </c>
      <c r="BR70" s="1">
        <v>6.09722257729564E-5</v>
      </c>
      <c r="BS70">
        <v>1.15460742888775E-4</v>
      </c>
    </row>
    <row r="71" spans="1:71" x14ac:dyDescent="0.25">
      <c r="A71">
        <v>68</v>
      </c>
      <c r="B71" s="1">
        <v>1.1910833316856701E-5</v>
      </c>
      <c r="C71">
        <v>9.7751450145702204E-2</v>
      </c>
      <c r="D71">
        <v>-2.3164495133900199E-4</v>
      </c>
      <c r="E71" s="1">
        <v>-6.2690961071201705E-5</v>
      </c>
      <c r="F71">
        <v>-9.7751450145702095E-4</v>
      </c>
      <c r="G71">
        <v>-7.8201160116561695E-4</v>
      </c>
      <c r="H71" t="s">
        <v>74</v>
      </c>
      <c r="I71">
        <v>0</v>
      </c>
      <c r="J71" t="s">
        <v>75</v>
      </c>
      <c r="K71">
        <v>3.14159265358979</v>
      </c>
      <c r="L71">
        <v>0.71549186119120101</v>
      </c>
      <c r="M71">
        <v>0</v>
      </c>
      <c r="N71">
        <v>4.20101524080186E-2</v>
      </c>
      <c r="O71">
        <v>0</v>
      </c>
      <c r="P71">
        <v>1.6E-2</v>
      </c>
      <c r="Q71">
        <v>0</v>
      </c>
      <c r="R71">
        <v>0</v>
      </c>
      <c r="S71">
        <v>0</v>
      </c>
      <c r="T71">
        <v>0</v>
      </c>
      <c r="U71">
        <v>0.72125912673119397</v>
      </c>
      <c r="V71" t="s">
        <v>78</v>
      </c>
      <c r="W71">
        <v>3099159.4902382302</v>
      </c>
      <c r="X71" t="s">
        <v>76</v>
      </c>
      <c r="Y71">
        <v>-1.5707963267949001</v>
      </c>
      <c r="Z71">
        <v>0.71192174524181795</v>
      </c>
      <c r="AA71">
        <v>0</v>
      </c>
      <c r="AB71">
        <v>3.9937860546873503E-2</v>
      </c>
      <c r="AC71">
        <v>4.0817799606593704E-3</v>
      </c>
      <c r="AD71">
        <v>1.01588284295941E-2</v>
      </c>
      <c r="AE71">
        <v>1.4832313784729999E-2</v>
      </c>
      <c r="AF71">
        <v>0</v>
      </c>
      <c r="AG71">
        <v>0.25312175540395498</v>
      </c>
      <c r="AH71">
        <v>0.164088568363745</v>
      </c>
      <c r="AI71">
        <v>0.50047700836208797</v>
      </c>
      <c r="AJ71" t="s">
        <v>74</v>
      </c>
      <c r="AK71">
        <v>0</v>
      </c>
      <c r="AL71" t="s">
        <v>77</v>
      </c>
      <c r="AM71">
        <v>0</v>
      </c>
      <c r="AN71">
        <v>0.99200000000000099</v>
      </c>
      <c r="AO71">
        <v>0</v>
      </c>
      <c r="AP71">
        <v>5.82453462424753E-2</v>
      </c>
      <c r="AQ71">
        <v>0</v>
      </c>
      <c r="AR71">
        <v>1.6E-2</v>
      </c>
      <c r="AS71">
        <v>0</v>
      </c>
      <c r="AT71">
        <v>0</v>
      </c>
      <c r="AU71">
        <v>0</v>
      </c>
      <c r="AV71">
        <v>0</v>
      </c>
      <c r="AW71">
        <v>1</v>
      </c>
      <c r="AX71" t="s">
        <v>78</v>
      </c>
      <c r="AY71">
        <v>2005666.2950853601</v>
      </c>
      <c r="AZ71" t="s">
        <v>76</v>
      </c>
      <c r="BA71">
        <v>-1.5707963267949001</v>
      </c>
      <c r="BB71">
        <v>0.99200000000000099</v>
      </c>
      <c r="BC71">
        <v>0</v>
      </c>
      <c r="BD71">
        <v>5.82453462424753E-2</v>
      </c>
      <c r="BE71">
        <v>0</v>
      </c>
      <c r="BF71">
        <v>1.6E-2</v>
      </c>
      <c r="BG71">
        <v>0</v>
      </c>
      <c r="BH71">
        <v>0</v>
      </c>
      <c r="BI71" s="1">
        <v>3.41607084500048E-20</v>
      </c>
      <c r="BJ71" s="1">
        <v>6.0185310762101099E-35</v>
      </c>
      <c r="BK71">
        <v>1</v>
      </c>
      <c r="BL71">
        <v>1.01260242700251E-4</v>
      </c>
      <c r="BM71">
        <v>2.0860516188384999E-4</v>
      </c>
      <c r="BN71" s="1">
        <v>3.7944634370966998E-7</v>
      </c>
      <c r="BO71" s="1">
        <v>3.2767622203760601E-6</v>
      </c>
      <c r="BP71">
        <v>0</v>
      </c>
      <c r="BQ71">
        <v>0</v>
      </c>
      <c r="BR71" s="1">
        <v>6.0831731289039199E-5</v>
      </c>
      <c r="BS71">
        <v>1.17232604176304E-4</v>
      </c>
    </row>
    <row r="72" spans="1:71" x14ac:dyDescent="0.25">
      <c r="A72">
        <v>69</v>
      </c>
      <c r="B72" s="1">
        <v>1.1875271584216E-5</v>
      </c>
      <c r="C72">
        <v>9.7763325417286398E-2</v>
      </c>
      <c r="D72">
        <v>-2.3171354469185299E-4</v>
      </c>
      <c r="E72" s="1">
        <v>-6.2745835753482096E-5</v>
      </c>
      <c r="F72">
        <v>-9.7763325417286298E-4</v>
      </c>
      <c r="G72">
        <v>-7.8210660333829E-4</v>
      </c>
      <c r="H72" t="s">
        <v>74</v>
      </c>
      <c r="I72">
        <v>0</v>
      </c>
      <c r="J72" t="s">
        <v>75</v>
      </c>
      <c r="K72">
        <v>3.14159265358979</v>
      </c>
      <c r="L72">
        <v>0.71131810141677898</v>
      </c>
      <c r="M72">
        <v>0</v>
      </c>
      <c r="N72">
        <v>4.1765089824153598E-2</v>
      </c>
      <c r="O72">
        <v>0</v>
      </c>
      <c r="P72">
        <v>1.6E-2</v>
      </c>
      <c r="Q72">
        <v>0</v>
      </c>
      <c r="R72">
        <v>0</v>
      </c>
      <c r="S72">
        <v>0</v>
      </c>
      <c r="T72">
        <v>0</v>
      </c>
      <c r="U72">
        <v>0.71705261210071303</v>
      </c>
      <c r="V72" t="s">
        <v>78</v>
      </c>
      <c r="W72">
        <v>3099869.8030466498</v>
      </c>
      <c r="X72" t="s">
        <v>76</v>
      </c>
      <c r="Y72">
        <v>-1.5707963267949001</v>
      </c>
      <c r="Z72">
        <v>0.70775558506317404</v>
      </c>
      <c r="AA72">
        <v>0</v>
      </c>
      <c r="AB72">
        <v>3.9698220589442598E-2</v>
      </c>
      <c r="AC72">
        <v>4.10788248741347E-3</v>
      </c>
      <c r="AD72">
        <v>9.9540412265966393E-3</v>
      </c>
      <c r="AE72">
        <v>1.50553622300707E-2</v>
      </c>
      <c r="AF72">
        <v>0</v>
      </c>
      <c r="AG72">
        <v>0.25379702341495203</v>
      </c>
      <c r="AH72">
        <v>0.169710893162554</v>
      </c>
      <c r="AI72">
        <v>0.49365295374037099</v>
      </c>
      <c r="AJ72" t="s">
        <v>74</v>
      </c>
      <c r="AK72">
        <v>0</v>
      </c>
      <c r="AL72" t="s">
        <v>77</v>
      </c>
      <c r="AM72">
        <v>0</v>
      </c>
      <c r="AN72">
        <v>0.99200000000000099</v>
      </c>
      <c r="AO72">
        <v>0</v>
      </c>
      <c r="AP72">
        <v>5.82453462424753E-2</v>
      </c>
      <c r="AQ72">
        <v>0</v>
      </c>
      <c r="AR72">
        <v>1.6E-2</v>
      </c>
      <c r="AS72">
        <v>0</v>
      </c>
      <c r="AT72">
        <v>0</v>
      </c>
      <c r="AU72">
        <v>0</v>
      </c>
      <c r="AV72">
        <v>0</v>
      </c>
      <c r="AW72">
        <v>1</v>
      </c>
      <c r="AX72" t="s">
        <v>78</v>
      </c>
      <c r="AY72">
        <v>2006287.8187927201</v>
      </c>
      <c r="AZ72" t="s">
        <v>76</v>
      </c>
      <c r="BA72">
        <v>-1.5707963267949001</v>
      </c>
      <c r="BB72">
        <v>0.99200000000000099</v>
      </c>
      <c r="BC72">
        <v>0</v>
      </c>
      <c r="BD72">
        <v>5.82453462424753E-2</v>
      </c>
      <c r="BE72">
        <v>0</v>
      </c>
      <c r="BF72">
        <v>1.6E-2</v>
      </c>
      <c r="BG72">
        <v>0</v>
      </c>
      <c r="BH72">
        <v>0</v>
      </c>
      <c r="BI72" s="1">
        <v>3.41607084500048E-20</v>
      </c>
      <c r="BJ72" s="1">
        <v>6.62038418383112E-35</v>
      </c>
      <c r="BK72">
        <v>1</v>
      </c>
      <c r="BL72">
        <v>1.0103094269298001E-4</v>
      </c>
      <c r="BM72">
        <v>2.11753958288753E-4</v>
      </c>
      <c r="BN72" s="1">
        <v>3.7867651395388002E-7</v>
      </c>
      <c r="BO72" s="1">
        <v>3.32622339864253E-6</v>
      </c>
      <c r="BP72">
        <v>0</v>
      </c>
      <c r="BQ72">
        <v>0</v>
      </c>
      <c r="BR72" s="1">
        <v>6.0691273607876798E-5</v>
      </c>
      <c r="BS72">
        <v>1.19004170852281E-4</v>
      </c>
    </row>
    <row r="73" spans="1:71" x14ac:dyDescent="0.25">
      <c r="A73">
        <v>70</v>
      </c>
      <c r="B73" s="1">
        <v>1.1845405768257699E-5</v>
      </c>
      <c r="C73">
        <v>9.7775170823054605E-2</v>
      </c>
      <c r="D73">
        <v>-2.3178196147268201E-4</v>
      </c>
      <c r="E73" s="1">
        <v>-6.2800569178146003E-5</v>
      </c>
      <c r="F73">
        <v>-9.7775170823054605E-4</v>
      </c>
      <c r="G73">
        <v>-7.8220136658443604E-4</v>
      </c>
      <c r="H73" t="s">
        <v>74</v>
      </c>
      <c r="I73">
        <v>0</v>
      </c>
      <c r="J73" t="s">
        <v>75</v>
      </c>
      <c r="K73">
        <v>3.14159265358979</v>
      </c>
      <c r="L73">
        <v>0.70714519417640198</v>
      </c>
      <c r="M73">
        <v>0</v>
      </c>
      <c r="N73">
        <v>4.1520077296882001E-2</v>
      </c>
      <c r="O73">
        <v>0</v>
      </c>
      <c r="P73">
        <v>1.6E-2</v>
      </c>
      <c r="Q73">
        <v>0</v>
      </c>
      <c r="R73">
        <v>0</v>
      </c>
      <c r="S73">
        <v>0</v>
      </c>
      <c r="T73">
        <v>0</v>
      </c>
      <c r="U73">
        <v>0.71284666564285104</v>
      </c>
      <c r="V73" t="s">
        <v>78</v>
      </c>
      <c r="W73">
        <v>3100578.2873780602</v>
      </c>
      <c r="X73" t="s">
        <v>76</v>
      </c>
      <c r="Y73">
        <v>-1.5707963267949001</v>
      </c>
      <c r="Z73">
        <v>0.70359044710044205</v>
      </c>
      <c r="AA73">
        <v>0</v>
      </c>
      <c r="AB73">
        <v>3.9458719851133597E-2</v>
      </c>
      <c r="AC73">
        <v>4.1339845969653698E-3</v>
      </c>
      <c r="AD73">
        <v>9.7493131826956198E-3</v>
      </c>
      <c r="AE73">
        <v>1.5278073051274699E-2</v>
      </c>
      <c r="AF73">
        <v>0</v>
      </c>
      <c r="AG73">
        <v>0.25434895323731699</v>
      </c>
      <c r="AH73">
        <v>0.17545526980085999</v>
      </c>
      <c r="AI73">
        <v>0.48685591845597198</v>
      </c>
      <c r="AJ73" t="s">
        <v>74</v>
      </c>
      <c r="AK73">
        <v>0</v>
      </c>
      <c r="AL73" t="s">
        <v>77</v>
      </c>
      <c r="AM73">
        <v>0</v>
      </c>
      <c r="AN73">
        <v>0.99200000000000099</v>
      </c>
      <c r="AO73">
        <v>0</v>
      </c>
      <c r="AP73">
        <v>5.82453462424753E-2</v>
      </c>
      <c r="AQ73">
        <v>0</v>
      </c>
      <c r="AR73">
        <v>1.6E-2</v>
      </c>
      <c r="AS73">
        <v>0</v>
      </c>
      <c r="AT73">
        <v>0</v>
      </c>
      <c r="AU73">
        <v>0</v>
      </c>
      <c r="AV73">
        <v>0</v>
      </c>
      <c r="AW73">
        <v>1</v>
      </c>
      <c r="AX73" t="s">
        <v>78</v>
      </c>
      <c r="AY73">
        <v>2006907.7425827</v>
      </c>
      <c r="AZ73" t="s">
        <v>76</v>
      </c>
      <c r="BA73">
        <v>-1.5707963267949001</v>
      </c>
      <c r="BB73">
        <v>0.99200000000000099</v>
      </c>
      <c r="BC73">
        <v>0</v>
      </c>
      <c r="BD73">
        <v>5.82453462424753E-2</v>
      </c>
      <c r="BE73">
        <v>0</v>
      </c>
      <c r="BF73">
        <v>1.6E-2</v>
      </c>
      <c r="BG73">
        <v>0</v>
      </c>
      <c r="BH73">
        <v>0</v>
      </c>
      <c r="BI73" s="1">
        <v>3.41607084500048E-20</v>
      </c>
      <c r="BJ73" s="1">
        <v>6.62038418383112E-35</v>
      </c>
      <c r="BK73">
        <v>1</v>
      </c>
      <c r="BL73">
        <v>1.00801737114966E-4</v>
      </c>
      <c r="BM73">
        <v>2.1490211151908899E-4</v>
      </c>
      <c r="BN73" s="1">
        <v>3.7790725890096701E-7</v>
      </c>
      <c r="BO73" s="1">
        <v>3.3756744739465201E-6</v>
      </c>
      <c r="BP73">
        <v>0</v>
      </c>
      <c r="BQ73">
        <v>0</v>
      </c>
      <c r="BR73" s="1">
        <v>6.0550859810090897E-5</v>
      </c>
      <c r="BS73">
        <v>1.20775430325256E-4</v>
      </c>
    </row>
    <row r="74" spans="1:71" x14ac:dyDescent="0.25">
      <c r="A74">
        <v>71</v>
      </c>
      <c r="B74" s="1">
        <v>1.18212361034636E-5</v>
      </c>
      <c r="C74">
        <v>9.7786992059158098E-2</v>
      </c>
      <c r="D74">
        <v>-2.31850234610332E-4</v>
      </c>
      <c r="E74" s="1">
        <v>-6.2855187688265598E-5</v>
      </c>
      <c r="F74">
        <v>-9.778699205915801E-4</v>
      </c>
      <c r="G74">
        <v>-7.8229593647326397E-4</v>
      </c>
      <c r="H74" t="s">
        <v>74</v>
      </c>
      <c r="I74">
        <v>0</v>
      </c>
      <c r="J74" t="s">
        <v>75</v>
      </c>
      <c r="K74">
        <v>3.14159265358979</v>
      </c>
      <c r="L74">
        <v>0.70297317261426295</v>
      </c>
      <c r="M74">
        <v>0</v>
      </c>
      <c r="N74">
        <v>4.1275116772267202E-2</v>
      </c>
      <c r="O74">
        <v>0</v>
      </c>
      <c r="P74">
        <v>1.6E-2</v>
      </c>
      <c r="Q74">
        <v>0</v>
      </c>
      <c r="R74">
        <v>0</v>
      </c>
      <c r="S74">
        <v>0</v>
      </c>
      <c r="T74">
        <v>0</v>
      </c>
      <c r="U74">
        <v>0.70864141571760397</v>
      </c>
      <c r="V74" t="s">
        <v>78</v>
      </c>
      <c r="W74">
        <v>3101285.28422437</v>
      </c>
      <c r="X74" t="s">
        <v>76</v>
      </c>
      <c r="Y74">
        <v>-1.5707963267949001</v>
      </c>
      <c r="Z74">
        <v>0.69942635774859296</v>
      </c>
      <c r="AA74">
        <v>0</v>
      </c>
      <c r="AB74">
        <v>3.9219356766567202E-2</v>
      </c>
      <c r="AC74">
        <v>4.1600711759928301E-3</v>
      </c>
      <c r="AD74">
        <v>9.5446635957677599E-3</v>
      </c>
      <c r="AE74">
        <v>1.5500437038072599E-2</v>
      </c>
      <c r="AF74">
        <v>0</v>
      </c>
      <c r="AG74">
        <v>0.25477550772010898</v>
      </c>
      <c r="AH74">
        <v>0.18132368541986801</v>
      </c>
      <c r="AI74">
        <v>0.48008622136804602</v>
      </c>
      <c r="AJ74" t="s">
        <v>74</v>
      </c>
      <c r="AK74">
        <v>0</v>
      </c>
      <c r="AL74" t="s">
        <v>77</v>
      </c>
      <c r="AM74">
        <v>0</v>
      </c>
      <c r="AN74">
        <v>0.99200000000000099</v>
      </c>
      <c r="AO74">
        <v>0</v>
      </c>
      <c r="AP74">
        <v>5.82453462424753E-2</v>
      </c>
      <c r="AQ74">
        <v>0</v>
      </c>
      <c r="AR74">
        <v>1.6E-2</v>
      </c>
      <c r="AS74">
        <v>0</v>
      </c>
      <c r="AT74">
        <v>0</v>
      </c>
      <c r="AU74">
        <v>0</v>
      </c>
      <c r="AV74">
        <v>0</v>
      </c>
      <c r="AW74">
        <v>1</v>
      </c>
      <c r="AX74" t="s">
        <v>78</v>
      </c>
      <c r="AY74">
        <v>2007526.3648232201</v>
      </c>
      <c r="AZ74" t="s">
        <v>76</v>
      </c>
      <c r="BA74">
        <v>-1.5707963267949001</v>
      </c>
      <c r="BB74">
        <v>0.99200000000000099</v>
      </c>
      <c r="BC74">
        <v>0</v>
      </c>
      <c r="BD74">
        <v>5.82453462424753E-2</v>
      </c>
      <c r="BE74">
        <v>0</v>
      </c>
      <c r="BF74">
        <v>1.6E-2</v>
      </c>
      <c r="BG74">
        <v>0</v>
      </c>
      <c r="BH74">
        <v>0</v>
      </c>
      <c r="BI74" s="1">
        <v>3.41607084500048E-20</v>
      </c>
      <c r="BJ74" s="1">
        <v>7.8240903990731499E-35</v>
      </c>
      <c r="BK74">
        <v>1</v>
      </c>
      <c r="BL74">
        <v>1.00572618599889E-4</v>
      </c>
      <c r="BM74">
        <v>2.1804959656998899E-4</v>
      </c>
      <c r="BN74" s="1">
        <v>3.77138521850022E-7</v>
      </c>
      <c r="BO74" s="1">
        <v>3.4251150535124701E-6</v>
      </c>
      <c r="BP74">
        <v>0</v>
      </c>
      <c r="BQ74">
        <v>0</v>
      </c>
      <c r="BR74" s="1">
        <v>6.0410486597245102E-5</v>
      </c>
      <c r="BS74">
        <v>1.22546369285994E-4</v>
      </c>
    </row>
    <row r="75" spans="1:71" x14ac:dyDescent="0.25">
      <c r="A75">
        <v>72</v>
      </c>
      <c r="B75" s="1">
        <v>1.1802781266570199E-5</v>
      </c>
      <c r="C75">
        <v>9.7798794840424697E-2</v>
      </c>
      <c r="D75">
        <v>-2.31918397133649E-4</v>
      </c>
      <c r="E75" s="1">
        <v>-6.29097177069191E-5</v>
      </c>
      <c r="F75">
        <v>-9.7798794840424602E-4</v>
      </c>
      <c r="G75">
        <v>-7.8239035872339701E-4</v>
      </c>
      <c r="H75" t="s">
        <v>74</v>
      </c>
      <c r="I75">
        <v>0</v>
      </c>
      <c r="J75" t="s">
        <v>75</v>
      </c>
      <c r="K75">
        <v>3.14159265358979</v>
      </c>
      <c r="L75">
        <v>0.69880207184543996</v>
      </c>
      <c r="M75">
        <v>0</v>
      </c>
      <c r="N75">
        <v>4.1030210312093397E-2</v>
      </c>
      <c r="O75">
        <v>0</v>
      </c>
      <c r="P75">
        <v>1.6E-2</v>
      </c>
      <c r="Q75">
        <v>0</v>
      </c>
      <c r="R75">
        <v>0</v>
      </c>
      <c r="S75">
        <v>0</v>
      </c>
      <c r="T75">
        <v>0</v>
      </c>
      <c r="U75">
        <v>0.70443696122821897</v>
      </c>
      <c r="V75" t="s">
        <v>78</v>
      </c>
      <c r="W75">
        <v>3101991.1356130801</v>
      </c>
      <c r="X75" t="s">
        <v>76</v>
      </c>
      <c r="Y75">
        <v>-1.5707963267949001</v>
      </c>
      <c r="Z75">
        <v>0.69526334546102697</v>
      </c>
      <c r="AA75">
        <v>0</v>
      </c>
      <c r="AB75">
        <v>3.8980129939111E-2</v>
      </c>
      <c r="AC75">
        <v>4.1861615107580902E-3</v>
      </c>
      <c r="AD75">
        <v>9.3401115935904007E-3</v>
      </c>
      <c r="AE75">
        <v>1.5722444861306899E-2</v>
      </c>
      <c r="AF75">
        <v>0</v>
      </c>
      <c r="AG75">
        <v>0.255074572139876</v>
      </c>
      <c r="AH75">
        <v>0.187318201759515</v>
      </c>
      <c r="AI75">
        <v>0.47334418483370999</v>
      </c>
      <c r="AJ75" t="s">
        <v>74</v>
      </c>
      <c r="AK75">
        <v>0</v>
      </c>
      <c r="AL75" t="s">
        <v>77</v>
      </c>
      <c r="AM75">
        <v>0</v>
      </c>
      <c r="AN75">
        <v>0.99200000000000099</v>
      </c>
      <c r="AO75">
        <v>0</v>
      </c>
      <c r="AP75">
        <v>5.82453462424753E-2</v>
      </c>
      <c r="AQ75">
        <v>0</v>
      </c>
      <c r="AR75">
        <v>1.6E-2</v>
      </c>
      <c r="AS75">
        <v>0</v>
      </c>
      <c r="AT75">
        <v>0</v>
      </c>
      <c r="AU75">
        <v>0</v>
      </c>
      <c r="AV75">
        <v>0</v>
      </c>
      <c r="AW75">
        <v>1</v>
      </c>
      <c r="AX75" t="s">
        <v>78</v>
      </c>
      <c r="AY75">
        <v>2008143.9847883401</v>
      </c>
      <c r="AZ75" t="s">
        <v>76</v>
      </c>
      <c r="BA75">
        <v>-1.5707963267949001</v>
      </c>
      <c r="BB75">
        <v>0.99200000000000099</v>
      </c>
      <c r="BC75">
        <v>0</v>
      </c>
      <c r="BD75">
        <v>5.82453462424753E-2</v>
      </c>
      <c r="BE75">
        <v>0</v>
      </c>
      <c r="BF75">
        <v>1.6E-2</v>
      </c>
      <c r="BG75">
        <v>0</v>
      </c>
      <c r="BH75">
        <v>0</v>
      </c>
      <c r="BI75" s="1">
        <v>3.41607084500048E-20</v>
      </c>
      <c r="BJ75" s="1">
        <v>7.8240903990731499E-35</v>
      </c>
      <c r="BK75">
        <v>1</v>
      </c>
      <c r="BL75">
        <v>1.00343597123457E-4</v>
      </c>
      <c r="BM75">
        <v>2.21196386949696E-4</v>
      </c>
      <c r="BN75" s="1">
        <v>3.76370363423016E-7</v>
      </c>
      <c r="BO75" s="1">
        <v>3.4745447212088498E-6</v>
      </c>
      <c r="BP75">
        <v>0</v>
      </c>
      <c r="BQ75">
        <v>0</v>
      </c>
      <c r="BR75" s="1">
        <v>6.0270160417992201E-5</v>
      </c>
      <c r="BS75">
        <v>1.2431697364893699E-4</v>
      </c>
    </row>
    <row r="76" spans="1:71" x14ac:dyDescent="0.25">
      <c r="A76">
        <v>73</v>
      </c>
      <c r="B76" s="1">
        <v>1.17900788511145E-5</v>
      </c>
      <c r="C76">
        <v>9.78105849192758E-2</v>
      </c>
      <c r="D76">
        <v>-2.3198648228073599E-4</v>
      </c>
      <c r="E76" s="1">
        <v>-6.2964185824588697E-5</v>
      </c>
      <c r="F76">
        <v>-9.7810584919275708E-4</v>
      </c>
      <c r="G76">
        <v>-7.8248467935420599E-4</v>
      </c>
      <c r="H76" t="s">
        <v>74</v>
      </c>
      <c r="I76">
        <v>0</v>
      </c>
      <c r="J76" t="s">
        <v>75</v>
      </c>
      <c r="K76">
        <v>3.14159265358979</v>
      </c>
      <c r="L76">
        <v>0.69463192911609395</v>
      </c>
      <c r="M76">
        <v>0</v>
      </c>
      <c r="N76">
        <v>4.0785360103271599E-2</v>
      </c>
      <c r="O76">
        <v>0</v>
      </c>
      <c r="P76">
        <v>1.6E-2</v>
      </c>
      <c r="Q76">
        <v>0</v>
      </c>
      <c r="R76">
        <v>0</v>
      </c>
      <c r="S76">
        <v>0</v>
      </c>
      <c r="T76">
        <v>0</v>
      </c>
      <c r="U76">
        <v>0.700233382373877</v>
      </c>
      <c r="V76" t="s">
        <v>78</v>
      </c>
      <c r="W76">
        <v>3102696.1857386199</v>
      </c>
      <c r="X76" t="s">
        <v>76</v>
      </c>
      <c r="Y76">
        <v>-1.5707963267949001</v>
      </c>
      <c r="Z76">
        <v>0.69110144088932202</v>
      </c>
      <c r="AA76">
        <v>0</v>
      </c>
      <c r="AB76">
        <v>3.8741038139653801E-2</v>
      </c>
      <c r="AC76">
        <v>4.2122392051573898E-3</v>
      </c>
      <c r="AD76">
        <v>9.1356761717886498E-3</v>
      </c>
      <c r="AE76">
        <v>1.5944087061646201E-2</v>
      </c>
      <c r="AF76">
        <v>0</v>
      </c>
      <c r="AG76">
        <v>0.255243949573499</v>
      </c>
      <c r="AH76">
        <v>0.19344095954391199</v>
      </c>
      <c r="AI76">
        <v>0.46663013508968498</v>
      </c>
      <c r="AJ76" t="s">
        <v>74</v>
      </c>
      <c r="AK76">
        <v>0</v>
      </c>
      <c r="AL76" t="s">
        <v>77</v>
      </c>
      <c r="AM76">
        <v>0</v>
      </c>
      <c r="AN76">
        <v>0.99200000000000099</v>
      </c>
      <c r="AO76">
        <v>0</v>
      </c>
      <c r="AP76">
        <v>5.82453462424753E-2</v>
      </c>
      <c r="AQ76">
        <v>0</v>
      </c>
      <c r="AR76">
        <v>1.6E-2</v>
      </c>
      <c r="AS76">
        <v>0</v>
      </c>
      <c r="AT76">
        <v>0</v>
      </c>
      <c r="AU76">
        <v>0</v>
      </c>
      <c r="AV76">
        <v>0</v>
      </c>
      <c r="AW76">
        <v>1</v>
      </c>
      <c r="AX76" t="s">
        <v>78</v>
      </c>
      <c r="AY76">
        <v>2008760.90364819</v>
      </c>
      <c r="AZ76" t="s">
        <v>76</v>
      </c>
      <c r="BA76">
        <v>-1.5707963267949001</v>
      </c>
      <c r="BB76">
        <v>0.99200000000000099</v>
      </c>
      <c r="BC76">
        <v>0</v>
      </c>
      <c r="BD76">
        <v>5.82453462424753E-2</v>
      </c>
      <c r="BE76">
        <v>0</v>
      </c>
      <c r="BF76">
        <v>1.6E-2</v>
      </c>
      <c r="BG76">
        <v>0</v>
      </c>
      <c r="BH76">
        <v>0</v>
      </c>
      <c r="BI76" s="1">
        <v>3.41607084500048E-20</v>
      </c>
      <c r="BJ76" s="1">
        <v>7.8240903990731499E-35</v>
      </c>
      <c r="BK76">
        <v>1</v>
      </c>
      <c r="BL76">
        <v>1.00114664966517E-4</v>
      </c>
      <c r="BM76">
        <v>2.2434245455870601E-4</v>
      </c>
      <c r="BN76" s="1">
        <v>3.75602724063259E-7</v>
      </c>
      <c r="BO76" s="1">
        <v>3.5239630356496602E-6</v>
      </c>
      <c r="BP76">
        <v>0</v>
      </c>
      <c r="BQ76">
        <v>0</v>
      </c>
      <c r="BR76" s="1">
        <v>6.0129877779903898E-5</v>
      </c>
      <c r="BS76">
        <v>1.26087228487787E-4</v>
      </c>
    </row>
    <row r="77" spans="1:71" x14ac:dyDescent="0.25">
      <c r="A77">
        <v>74</v>
      </c>
      <c r="B77" s="1">
        <v>1.1783186013504999E-5</v>
      </c>
      <c r="C77">
        <v>9.7822368105289298E-2</v>
      </c>
      <c r="D77">
        <v>-2.32054523611882E-4</v>
      </c>
      <c r="E77" s="1">
        <v>-6.3018618889505303E-5</v>
      </c>
      <c r="F77">
        <v>-9.782236810528921E-4</v>
      </c>
      <c r="G77">
        <v>-7.8257894484231401E-4</v>
      </c>
      <c r="H77" t="s">
        <v>74</v>
      </c>
      <c r="I77">
        <v>0</v>
      </c>
      <c r="J77" t="s">
        <v>75</v>
      </c>
      <c r="K77">
        <v>3.14159265358979</v>
      </c>
      <c r="L77">
        <v>0.69046278398024097</v>
      </c>
      <c r="M77">
        <v>0</v>
      </c>
      <c r="N77">
        <v>4.0540568468218199E-2</v>
      </c>
      <c r="O77">
        <v>0</v>
      </c>
      <c r="P77">
        <v>1.6E-2</v>
      </c>
      <c r="Q77">
        <v>0</v>
      </c>
      <c r="R77">
        <v>0</v>
      </c>
      <c r="S77">
        <v>0</v>
      </c>
      <c r="T77">
        <v>0</v>
      </c>
      <c r="U77">
        <v>0.69603074779221497</v>
      </c>
      <c r="V77" t="s">
        <v>78</v>
      </c>
      <c r="W77">
        <v>3103400.7821317902</v>
      </c>
      <c r="X77" t="s">
        <v>76</v>
      </c>
      <c r="Y77">
        <v>-1.5707963267949001</v>
      </c>
      <c r="Z77">
        <v>0.68694067703933603</v>
      </c>
      <c r="AA77">
        <v>0</v>
      </c>
      <c r="AB77">
        <v>3.8502080306293499E-2</v>
      </c>
      <c r="AC77">
        <v>4.2382879521319101E-3</v>
      </c>
      <c r="AD77">
        <v>8.9313762315456104E-3</v>
      </c>
      <c r="AE77">
        <v>1.6165354037741501E-2</v>
      </c>
      <c r="AF77">
        <v>0</v>
      </c>
      <c r="AG77">
        <v>0.25528135589717099</v>
      </c>
      <c r="AH77">
        <v>0.199694183215644</v>
      </c>
      <c r="AI77">
        <v>0.45994440264515002</v>
      </c>
      <c r="AJ77" t="s">
        <v>74</v>
      </c>
      <c r="AK77">
        <v>0</v>
      </c>
      <c r="AL77" t="s">
        <v>77</v>
      </c>
      <c r="AM77">
        <v>0</v>
      </c>
      <c r="AN77">
        <v>0.99200000000000099</v>
      </c>
      <c r="AO77">
        <v>0</v>
      </c>
      <c r="AP77">
        <v>5.82453462424753E-2</v>
      </c>
      <c r="AQ77">
        <v>0</v>
      </c>
      <c r="AR77">
        <v>1.6E-2</v>
      </c>
      <c r="AS77">
        <v>0</v>
      </c>
      <c r="AT77">
        <v>0</v>
      </c>
      <c r="AU77">
        <v>0</v>
      </c>
      <c r="AV77">
        <v>0</v>
      </c>
      <c r="AW77">
        <v>1</v>
      </c>
      <c r="AX77" t="s">
        <v>78</v>
      </c>
      <c r="AY77">
        <v>2009377.4254922201</v>
      </c>
      <c r="AZ77" t="s">
        <v>76</v>
      </c>
      <c r="BA77">
        <v>-1.5707963267949001</v>
      </c>
      <c r="BB77">
        <v>0.99200000000000099</v>
      </c>
      <c r="BC77">
        <v>0</v>
      </c>
      <c r="BD77">
        <v>5.82453462424753E-2</v>
      </c>
      <c r="BE77">
        <v>0</v>
      </c>
      <c r="BF77">
        <v>1.6E-2</v>
      </c>
      <c r="BG77">
        <v>0</v>
      </c>
      <c r="BH77">
        <v>0</v>
      </c>
      <c r="BI77" s="1">
        <v>3.41607084500048E-20</v>
      </c>
      <c r="BJ77" s="1">
        <v>7.8240903990731499E-35</v>
      </c>
      <c r="BK77">
        <v>1</v>
      </c>
      <c r="BL77" s="1">
        <v>9.9885814605797107E-5</v>
      </c>
      <c r="BM77">
        <v>2.27487769556408E-4</v>
      </c>
      <c r="BN77" s="1">
        <v>3.7483554524437703E-7</v>
      </c>
      <c r="BO77" s="1">
        <v>3.5733695280996898E-6</v>
      </c>
      <c r="BP77">
        <v>0</v>
      </c>
      <c r="BQ77">
        <v>0</v>
      </c>
      <c r="BR77" s="1">
        <v>5.9989635306840899E-5</v>
      </c>
      <c r="BS77">
        <v>1.2785711796444899E-4</v>
      </c>
    </row>
    <row r="78" spans="1:71" x14ac:dyDescent="0.25">
      <c r="A78">
        <v>75</v>
      </c>
      <c r="B78" s="1">
        <v>1.17821803039464E-5</v>
      </c>
      <c r="C78">
        <v>9.7834150285593197E-2</v>
      </c>
      <c r="D78">
        <v>-2.3212255512723899E-4</v>
      </c>
      <c r="E78" s="1">
        <v>-6.3073044101791294E-5</v>
      </c>
      <c r="F78">
        <v>-9.78341502855932E-4</v>
      </c>
      <c r="G78">
        <v>-7.8267320228474495E-4</v>
      </c>
      <c r="H78" t="s">
        <v>74</v>
      </c>
      <c r="I78">
        <v>0</v>
      </c>
      <c r="J78" t="s">
        <v>75</v>
      </c>
      <c r="K78">
        <v>3.14159265358979</v>
      </c>
      <c r="L78">
        <v>0.68629467849515002</v>
      </c>
      <c r="M78">
        <v>0</v>
      </c>
      <c r="N78">
        <v>4.0295837876328899E-2</v>
      </c>
      <c r="O78">
        <v>0</v>
      </c>
      <c r="P78">
        <v>1.6E-2</v>
      </c>
      <c r="Q78">
        <v>0</v>
      </c>
      <c r="R78">
        <v>0</v>
      </c>
      <c r="S78">
        <v>0</v>
      </c>
      <c r="T78">
        <v>0</v>
      </c>
      <c r="U78">
        <v>0.69182911935390401</v>
      </c>
      <c r="V78" t="s">
        <v>78</v>
      </c>
      <c r="W78">
        <v>3104105.2768783802</v>
      </c>
      <c r="X78" t="s">
        <v>76</v>
      </c>
      <c r="Y78">
        <v>-1.5707963267949001</v>
      </c>
      <c r="Z78">
        <v>0.68278108944552995</v>
      </c>
      <c r="AA78">
        <v>0</v>
      </c>
      <c r="AB78">
        <v>3.8263255544963397E-2</v>
      </c>
      <c r="AC78">
        <v>4.2643236527855604E-3</v>
      </c>
      <c r="AD78">
        <v>8.7272306173587309E-3</v>
      </c>
      <c r="AE78">
        <v>1.6386236033730201E-2</v>
      </c>
      <c r="AF78">
        <v>0</v>
      </c>
      <c r="AG78">
        <v>0.25518441437384398</v>
      </c>
      <c r="AH78">
        <v>0.20608018605349199</v>
      </c>
      <c r="AI78">
        <v>0.45328732268884497</v>
      </c>
      <c r="AJ78" t="s">
        <v>74</v>
      </c>
      <c r="AK78">
        <v>0</v>
      </c>
      <c r="AL78" t="s">
        <v>77</v>
      </c>
      <c r="AM78">
        <v>0</v>
      </c>
      <c r="AN78">
        <v>0.99200000000000099</v>
      </c>
      <c r="AO78">
        <v>0</v>
      </c>
      <c r="AP78">
        <v>5.82453462424753E-2</v>
      </c>
      <c r="AQ78">
        <v>0</v>
      </c>
      <c r="AR78">
        <v>1.6E-2</v>
      </c>
      <c r="AS78">
        <v>0</v>
      </c>
      <c r="AT78">
        <v>0</v>
      </c>
      <c r="AU78">
        <v>0</v>
      </c>
      <c r="AV78">
        <v>0</v>
      </c>
      <c r="AW78">
        <v>1</v>
      </c>
      <c r="AX78" t="s">
        <v>78</v>
      </c>
      <c r="AY78">
        <v>2009993.8583954901</v>
      </c>
      <c r="AZ78" t="s">
        <v>76</v>
      </c>
      <c r="BA78">
        <v>-1.5707963267949001</v>
      </c>
      <c r="BB78">
        <v>0.99200000000000099</v>
      </c>
      <c r="BC78">
        <v>0</v>
      </c>
      <c r="BD78">
        <v>5.82453462424753E-2</v>
      </c>
      <c r="BE78">
        <v>0</v>
      </c>
      <c r="BF78">
        <v>1.6E-2</v>
      </c>
      <c r="BG78">
        <v>0</v>
      </c>
      <c r="BH78">
        <v>0</v>
      </c>
      <c r="BI78" s="1">
        <v>3.41607084500048E-20</v>
      </c>
      <c r="BJ78" s="1">
        <v>9.0277966143151702E-35</v>
      </c>
      <c r="BK78">
        <v>1</v>
      </c>
      <c r="BL78" s="1">
        <v>9.9657054779514202E-5</v>
      </c>
      <c r="BM78">
        <v>2.3063230021366801E-4</v>
      </c>
      <c r="BN78" s="1">
        <v>3.7406887835209198E-7</v>
      </c>
      <c r="BO78" s="1">
        <v>3.6227637001588698E-6</v>
      </c>
      <c r="BP78">
        <v>0</v>
      </c>
      <c r="BQ78">
        <v>0</v>
      </c>
      <c r="BR78" s="1">
        <v>5.9849438771637901E-5</v>
      </c>
      <c r="BS78">
        <v>1.2962662525051001E-4</v>
      </c>
    </row>
    <row r="79" spans="1:71" x14ac:dyDescent="0.25">
      <c r="A79">
        <v>76</v>
      </c>
      <c r="B79" s="1">
        <v>1.17871606993055E-5</v>
      </c>
      <c r="C79">
        <v>9.7845937446292497E-2</v>
      </c>
      <c r="D79">
        <v>-2.3219061139041701E-4</v>
      </c>
      <c r="E79" s="1">
        <v>-6.3127489112333799E-5</v>
      </c>
      <c r="F79">
        <v>-9.7845937446292496E-4</v>
      </c>
      <c r="G79">
        <v>-7.8276749957034003E-4</v>
      </c>
      <c r="H79" t="s">
        <v>74</v>
      </c>
      <c r="I79">
        <v>0</v>
      </c>
      <c r="J79" t="s">
        <v>75</v>
      </c>
      <c r="K79">
        <v>3.14159265358979</v>
      </c>
      <c r="L79">
        <v>0.682127657437823</v>
      </c>
      <c r="M79">
        <v>0</v>
      </c>
      <c r="N79">
        <v>4.0051170956687997E-2</v>
      </c>
      <c r="O79">
        <v>0</v>
      </c>
      <c r="P79">
        <v>1.6E-2</v>
      </c>
      <c r="Q79">
        <v>0</v>
      </c>
      <c r="R79">
        <v>0</v>
      </c>
      <c r="S79">
        <v>0</v>
      </c>
      <c r="T79">
        <v>0</v>
      </c>
      <c r="U79">
        <v>0.68762855542918599</v>
      </c>
      <c r="V79" t="s">
        <v>78</v>
      </c>
      <c r="W79">
        <v>3104810.0278989901</v>
      </c>
      <c r="X79" t="s">
        <v>76</v>
      </c>
      <c r="Y79">
        <v>-1.5707963267949001</v>
      </c>
      <c r="Z79">
        <v>0.678622716365747</v>
      </c>
      <c r="AA79">
        <v>0</v>
      </c>
      <c r="AB79">
        <v>3.8024563131041203E-2</v>
      </c>
      <c r="AC79">
        <v>4.2903600913880803E-3</v>
      </c>
      <c r="AD79">
        <v>8.5232581551418305E-3</v>
      </c>
      <c r="AE79">
        <v>1.6606723125981299E-2</v>
      </c>
      <c r="AF79">
        <v>0</v>
      </c>
      <c r="AG79">
        <v>0.254950649786923</v>
      </c>
      <c r="AH79">
        <v>0.21260137571210799</v>
      </c>
      <c r="AI79">
        <v>0.44665923551381298</v>
      </c>
      <c r="AJ79" t="s">
        <v>74</v>
      </c>
      <c r="AK79">
        <v>0</v>
      </c>
      <c r="AL79" t="s">
        <v>77</v>
      </c>
      <c r="AM79">
        <v>0</v>
      </c>
      <c r="AN79">
        <v>0.99200000000000099</v>
      </c>
      <c r="AO79">
        <v>0</v>
      </c>
      <c r="AP79">
        <v>5.82453462424753E-2</v>
      </c>
      <c r="AQ79">
        <v>0</v>
      </c>
      <c r="AR79">
        <v>1.6E-2</v>
      </c>
      <c r="AS79">
        <v>0</v>
      </c>
      <c r="AT79">
        <v>0</v>
      </c>
      <c r="AU79">
        <v>0</v>
      </c>
      <c r="AV79">
        <v>0</v>
      </c>
      <c r="AW79">
        <v>1</v>
      </c>
      <c r="AX79" t="s">
        <v>78</v>
      </c>
      <c r="AY79">
        <v>2010610.5155385199</v>
      </c>
      <c r="AZ79" t="s">
        <v>76</v>
      </c>
      <c r="BA79">
        <v>-1.5707963267949001</v>
      </c>
      <c r="BB79">
        <v>0.99200000000000099</v>
      </c>
      <c r="BC79">
        <v>0</v>
      </c>
      <c r="BD79">
        <v>5.82453462424753E-2</v>
      </c>
      <c r="BE79">
        <v>0</v>
      </c>
      <c r="BF79">
        <v>1.6E-2</v>
      </c>
      <c r="BG79">
        <v>0</v>
      </c>
      <c r="BH79">
        <v>0</v>
      </c>
      <c r="BI79" s="1">
        <v>3.41607084500048E-20</v>
      </c>
      <c r="BJ79" s="1">
        <v>9.6296497219361793E-35</v>
      </c>
      <c r="BK79">
        <v>1</v>
      </c>
      <c r="BL79" s="1">
        <v>9.9428393332033906E-5</v>
      </c>
      <c r="BM79">
        <v>2.3377601274951601E-4</v>
      </c>
      <c r="BN79" s="1">
        <v>3.73302768345274E-7</v>
      </c>
      <c r="BO79" s="1">
        <v>3.6721450211969598E-6</v>
      </c>
      <c r="BP79">
        <v>0</v>
      </c>
      <c r="BQ79">
        <v>0</v>
      </c>
      <c r="BR79" s="1">
        <v>5.9709293457733598E-5</v>
      </c>
      <c r="BS79">
        <v>1.3139573244026799E-4</v>
      </c>
    </row>
    <row r="80" spans="1:71" x14ac:dyDescent="0.25">
      <c r="A80">
        <v>77</v>
      </c>
      <c r="B80" s="1">
        <v>1.17982488592722E-5</v>
      </c>
      <c r="C80">
        <v>9.7857735695151798E-2</v>
      </c>
      <c r="D80">
        <v>-2.32258727659271E-4</v>
      </c>
      <c r="E80" s="1">
        <v>-6.3181982127416805E-5</v>
      </c>
      <c r="F80">
        <v>-9.7857735695151696E-4</v>
      </c>
      <c r="G80">
        <v>-7.8286188556121402E-4</v>
      </c>
      <c r="H80" t="s">
        <v>74</v>
      </c>
      <c r="I80">
        <v>0</v>
      </c>
      <c r="J80" t="s">
        <v>75</v>
      </c>
      <c r="K80">
        <v>3.14159265358979</v>
      </c>
      <c r="L80">
        <v>0.67796176854527801</v>
      </c>
      <c r="M80">
        <v>0</v>
      </c>
      <c r="N80">
        <v>3.9806570512178001E-2</v>
      </c>
      <c r="O80">
        <v>0</v>
      </c>
      <c r="P80">
        <v>1.6E-2</v>
      </c>
      <c r="Q80">
        <v>0</v>
      </c>
      <c r="R80">
        <v>0</v>
      </c>
      <c r="S80">
        <v>0</v>
      </c>
      <c r="T80">
        <v>0</v>
      </c>
      <c r="U80">
        <v>0.68342911316035204</v>
      </c>
      <c r="V80" t="s">
        <v>78</v>
      </c>
      <c r="W80">
        <v>3105515.4003034201</v>
      </c>
      <c r="X80" t="s">
        <v>76</v>
      </c>
      <c r="Y80">
        <v>-1.5707963267949001</v>
      </c>
      <c r="Z80">
        <v>0.67446559899899505</v>
      </c>
      <c r="AA80">
        <v>0</v>
      </c>
      <c r="AB80">
        <v>3.7786002511994599E-2</v>
      </c>
      <c r="AC80">
        <v>4.3164395711233804E-3</v>
      </c>
      <c r="AD80">
        <v>8.3194776909851099E-3</v>
      </c>
      <c r="AE80">
        <v>1.6826805208963899E-2</v>
      </c>
      <c r="AF80">
        <v>0</v>
      </c>
      <c r="AG80">
        <v>0.25457748207278103</v>
      </c>
      <c r="AH80">
        <v>0.219260260226944</v>
      </c>
      <c r="AI80">
        <v>0.44006048696344202</v>
      </c>
      <c r="AJ80" t="s">
        <v>74</v>
      </c>
      <c r="AK80">
        <v>0</v>
      </c>
      <c r="AL80" t="s">
        <v>77</v>
      </c>
      <c r="AM80">
        <v>0</v>
      </c>
      <c r="AN80">
        <v>0.99200000000000099</v>
      </c>
      <c r="AO80">
        <v>0</v>
      </c>
      <c r="AP80">
        <v>5.82453462424753E-2</v>
      </c>
      <c r="AQ80">
        <v>0</v>
      </c>
      <c r="AR80">
        <v>1.6E-2</v>
      </c>
      <c r="AS80">
        <v>0</v>
      </c>
      <c r="AT80">
        <v>0</v>
      </c>
      <c r="AU80">
        <v>0</v>
      </c>
      <c r="AV80">
        <v>0</v>
      </c>
      <c r="AW80">
        <v>1</v>
      </c>
      <c r="AX80" t="s">
        <v>78</v>
      </c>
      <c r="AY80">
        <v>2011227.71639239</v>
      </c>
      <c r="AZ80" t="s">
        <v>76</v>
      </c>
      <c r="BA80">
        <v>-1.5707963267949001</v>
      </c>
      <c r="BB80">
        <v>0.99200000000000099</v>
      </c>
      <c r="BC80">
        <v>0</v>
      </c>
      <c r="BD80">
        <v>5.82453462424753E-2</v>
      </c>
      <c r="BE80">
        <v>0</v>
      </c>
      <c r="BF80">
        <v>1.6E-2</v>
      </c>
      <c r="BG80">
        <v>0</v>
      </c>
      <c r="BH80">
        <v>0</v>
      </c>
      <c r="BI80" s="1">
        <v>3.41607084500048E-20</v>
      </c>
      <c r="BJ80" s="1">
        <v>9.6296497219361793E-35</v>
      </c>
      <c r="BK80">
        <v>1</v>
      </c>
      <c r="BL80" s="1">
        <v>9.9199852540123306E-5</v>
      </c>
      <c r="BM80">
        <v>2.3691887114986199E-4</v>
      </c>
      <c r="BN80" s="1">
        <v>3.7253735761503303E-7</v>
      </c>
      <c r="BO80" s="1">
        <v>3.7215129255059701E-6</v>
      </c>
      <c r="BP80">
        <v>0</v>
      </c>
      <c r="BQ80">
        <v>0</v>
      </c>
      <c r="BR80" s="1">
        <v>5.9569212776871797E-5</v>
      </c>
      <c r="BS80">
        <v>1.3316442045420299E-4</v>
      </c>
    </row>
    <row r="81" spans="1:71" x14ac:dyDescent="0.25">
      <c r="A81">
        <v>78</v>
      </c>
      <c r="B81" s="1">
        <v>1.1815590631318801E-5</v>
      </c>
      <c r="C81">
        <v>9.7869551285783105E-2</v>
      </c>
      <c r="D81">
        <v>-2.32326940025322E-4</v>
      </c>
      <c r="E81" s="1">
        <v>-6.32365520202577E-5</v>
      </c>
      <c r="F81">
        <v>-9.7869551285783099E-4</v>
      </c>
      <c r="G81">
        <v>-7.8295641028626396E-4</v>
      </c>
      <c r="H81" t="s">
        <v>74</v>
      </c>
      <c r="I81">
        <v>0</v>
      </c>
      <c r="J81" t="s">
        <v>75</v>
      </c>
      <c r="K81">
        <v>3.14159265358979</v>
      </c>
      <c r="L81">
        <v>0.67379706278192197</v>
      </c>
      <c r="M81">
        <v>0</v>
      </c>
      <c r="N81">
        <v>3.9562039535177299E-2</v>
      </c>
      <c r="O81">
        <v>0</v>
      </c>
      <c r="P81">
        <v>1.6E-2</v>
      </c>
      <c r="Q81">
        <v>0</v>
      </c>
      <c r="R81">
        <v>0</v>
      </c>
      <c r="S81">
        <v>0</v>
      </c>
      <c r="T81">
        <v>0</v>
      </c>
      <c r="U81">
        <v>0.67923085008964501</v>
      </c>
      <c r="V81" t="s">
        <v>78</v>
      </c>
      <c r="W81">
        <v>3106221.7678344501</v>
      </c>
      <c r="X81" t="s">
        <v>76</v>
      </c>
      <c r="Y81">
        <v>-1.5707963267949001</v>
      </c>
      <c r="Z81">
        <v>0.67030978172923195</v>
      </c>
      <c r="AA81">
        <v>0</v>
      </c>
      <c r="AB81">
        <v>3.7547573311135597E-2</v>
      </c>
      <c r="AC81">
        <v>4.3424806919274903E-3</v>
      </c>
      <c r="AD81">
        <v>8.1159081309138004E-3</v>
      </c>
      <c r="AE81">
        <v>1.7046471980098499E-2</v>
      </c>
      <c r="AF81">
        <v>0</v>
      </c>
      <c r="AG81">
        <v>0.25406221939874302</v>
      </c>
      <c r="AH81">
        <v>0.22605945453284099</v>
      </c>
      <c r="AI81">
        <v>0.43349142890297698</v>
      </c>
      <c r="AJ81" t="s">
        <v>74</v>
      </c>
      <c r="AK81">
        <v>0</v>
      </c>
      <c r="AL81" t="s">
        <v>77</v>
      </c>
      <c r="AM81">
        <v>0</v>
      </c>
      <c r="AN81">
        <v>0.99200000000000099</v>
      </c>
      <c r="AO81">
        <v>0</v>
      </c>
      <c r="AP81">
        <v>5.82453462424753E-2</v>
      </c>
      <c r="AQ81">
        <v>0</v>
      </c>
      <c r="AR81">
        <v>1.6E-2</v>
      </c>
      <c r="AS81">
        <v>0</v>
      </c>
      <c r="AT81">
        <v>0</v>
      </c>
      <c r="AU81">
        <v>0</v>
      </c>
      <c r="AV81">
        <v>0</v>
      </c>
      <c r="AW81">
        <v>1</v>
      </c>
      <c r="AX81" t="s">
        <v>78</v>
      </c>
      <c r="AY81">
        <v>2011845.7879820401</v>
      </c>
      <c r="AZ81" t="s">
        <v>76</v>
      </c>
      <c r="BA81">
        <v>-1.5707963267949001</v>
      </c>
      <c r="BB81">
        <v>0.99200000000000099</v>
      </c>
      <c r="BC81">
        <v>0</v>
      </c>
      <c r="BD81">
        <v>5.82453462424753E-2</v>
      </c>
      <c r="BE81">
        <v>0</v>
      </c>
      <c r="BF81">
        <v>1.6E-2</v>
      </c>
      <c r="BG81">
        <v>0</v>
      </c>
      <c r="BH81">
        <v>0</v>
      </c>
      <c r="BI81" s="1">
        <v>6.8321416900009599E-20</v>
      </c>
      <c r="BJ81" s="1">
        <v>9.6296497219361793E-35</v>
      </c>
      <c r="BK81">
        <v>1</v>
      </c>
      <c r="BL81" s="1">
        <v>9.8971393011595407E-5</v>
      </c>
      <c r="BM81">
        <v>2.40060836965792E-4</v>
      </c>
      <c r="BN81" s="1">
        <v>3.7177237013171899E-7</v>
      </c>
      <c r="BO81" s="1">
        <v>3.7708668091317398E-6</v>
      </c>
      <c r="BP81">
        <v>0</v>
      </c>
      <c r="BQ81">
        <v>0</v>
      </c>
      <c r="BR81" s="1">
        <v>5.9429175498536998E-5</v>
      </c>
      <c r="BS81">
        <v>1.34932668931585E-4</v>
      </c>
    </row>
    <row r="82" spans="1:71" x14ac:dyDescent="0.25">
      <c r="A82">
        <v>79</v>
      </c>
      <c r="B82" s="1">
        <v>1.18393578362751E-5</v>
      </c>
      <c r="C82">
        <v>9.7881390643619406E-2</v>
      </c>
      <c r="D82">
        <v>-2.3239528556342801E-4</v>
      </c>
      <c r="E82" s="1">
        <v>-6.3291228450742604E-5</v>
      </c>
      <c r="F82">
        <v>-9.7881390643619307E-4</v>
      </c>
      <c r="G82">
        <v>-7.8305112514895402E-4</v>
      </c>
      <c r="H82" t="s">
        <v>74</v>
      </c>
      <c r="I82">
        <v>0</v>
      </c>
      <c r="J82" t="s">
        <v>75</v>
      </c>
      <c r="K82">
        <v>3.14159265358979</v>
      </c>
      <c r="L82">
        <v>0.66963359463765804</v>
      </c>
      <c r="M82">
        <v>0</v>
      </c>
      <c r="N82">
        <v>3.9317581225064201E-2</v>
      </c>
      <c r="O82">
        <v>0</v>
      </c>
      <c r="P82">
        <v>1.6E-2</v>
      </c>
      <c r="Q82">
        <v>0</v>
      </c>
      <c r="R82">
        <v>0</v>
      </c>
      <c r="S82">
        <v>0</v>
      </c>
      <c r="T82">
        <v>0</v>
      </c>
      <c r="U82">
        <v>0.67503382537273404</v>
      </c>
      <c r="V82" t="s">
        <v>78</v>
      </c>
      <c r="W82">
        <v>3106929.51441772</v>
      </c>
      <c r="X82" t="s">
        <v>76</v>
      </c>
      <c r="Y82">
        <v>-1.5707963267949001</v>
      </c>
      <c r="Z82">
        <v>0.66615531239859604</v>
      </c>
      <c r="AA82">
        <v>0</v>
      </c>
      <c r="AB82">
        <v>3.7309275332569697E-2</v>
      </c>
      <c r="AC82">
        <v>4.3685231097984698E-3</v>
      </c>
      <c r="AD82">
        <v>7.9125684820115505E-3</v>
      </c>
      <c r="AE82">
        <v>1.7265712923435799E-2</v>
      </c>
      <c r="AF82">
        <v>0</v>
      </c>
      <c r="AG82">
        <v>0.25340205062640198</v>
      </c>
      <c r="AH82">
        <v>0.23300168755091399</v>
      </c>
      <c r="AI82">
        <v>0.426952419721081</v>
      </c>
      <c r="AJ82" t="s">
        <v>74</v>
      </c>
      <c r="AK82">
        <v>0</v>
      </c>
      <c r="AL82" t="s">
        <v>77</v>
      </c>
      <c r="AM82">
        <v>0</v>
      </c>
      <c r="AN82">
        <v>0.99200000000000099</v>
      </c>
      <c r="AO82">
        <v>0</v>
      </c>
      <c r="AP82">
        <v>5.82453462424753E-2</v>
      </c>
      <c r="AQ82">
        <v>0</v>
      </c>
      <c r="AR82">
        <v>1.6E-2</v>
      </c>
      <c r="AS82">
        <v>0</v>
      </c>
      <c r="AT82">
        <v>0</v>
      </c>
      <c r="AU82">
        <v>0</v>
      </c>
      <c r="AV82">
        <v>0</v>
      </c>
      <c r="AW82">
        <v>1</v>
      </c>
      <c r="AX82" t="s">
        <v>78</v>
      </c>
      <c r="AY82">
        <v>2012465.0662424001</v>
      </c>
      <c r="AZ82" t="s">
        <v>76</v>
      </c>
      <c r="BA82">
        <v>-1.5707963267949001</v>
      </c>
      <c r="BB82">
        <v>0.99200000000000099</v>
      </c>
      <c r="BC82">
        <v>0</v>
      </c>
      <c r="BD82">
        <v>5.82453462424753E-2</v>
      </c>
      <c r="BE82">
        <v>0</v>
      </c>
      <c r="BF82">
        <v>1.6E-2</v>
      </c>
      <c r="BG82">
        <v>0</v>
      </c>
      <c r="BH82">
        <v>0</v>
      </c>
      <c r="BI82" s="1">
        <v>6.8321416900009599E-20</v>
      </c>
      <c r="BJ82" s="1">
        <v>1.08333559371782E-34</v>
      </c>
      <c r="BK82">
        <v>1</v>
      </c>
      <c r="BL82" s="1">
        <v>9.8743036076191405E-5</v>
      </c>
      <c r="BM82">
        <v>2.4320186908865799E-4</v>
      </c>
      <c r="BN82" s="1">
        <v>3.7100794093561002E-7</v>
      </c>
      <c r="BO82" s="1">
        <v>3.8202060263411704E-6</v>
      </c>
      <c r="BP82">
        <v>0</v>
      </c>
      <c r="BQ82">
        <v>0</v>
      </c>
      <c r="BR82" s="1">
        <v>5.9289194545148099E-5</v>
      </c>
      <c r="BS82">
        <v>1.36700456110725E-4</v>
      </c>
    </row>
    <row r="83" spans="1:71" x14ac:dyDescent="0.25">
      <c r="A83">
        <v>80</v>
      </c>
      <c r="B83" s="1">
        <v>1.18697503724428E-5</v>
      </c>
      <c r="C83">
        <v>9.7893260393991793E-2</v>
      </c>
      <c r="D83">
        <v>-2.3246380249352999E-4</v>
      </c>
      <c r="E83" s="1">
        <v>-6.3346041994824203E-5</v>
      </c>
      <c r="F83">
        <v>-9.7893260393991811E-4</v>
      </c>
      <c r="G83">
        <v>-7.8314608315193399E-4</v>
      </c>
      <c r="H83" t="s">
        <v>74</v>
      </c>
      <c r="I83">
        <v>0</v>
      </c>
      <c r="J83" t="s">
        <v>75</v>
      </c>
      <c r="K83">
        <v>3.14159265358979</v>
      </c>
      <c r="L83">
        <v>0.665471422461136</v>
      </c>
      <c r="M83">
        <v>0</v>
      </c>
      <c r="N83">
        <v>3.9073199007783603E-2</v>
      </c>
      <c r="O83">
        <v>0</v>
      </c>
      <c r="P83">
        <v>1.6E-2</v>
      </c>
      <c r="Q83">
        <v>0</v>
      </c>
      <c r="R83">
        <v>0</v>
      </c>
      <c r="S83">
        <v>0</v>
      </c>
      <c r="T83">
        <v>0</v>
      </c>
      <c r="U83">
        <v>0.67083810073092298</v>
      </c>
      <c r="V83" t="s">
        <v>78</v>
      </c>
      <c r="W83">
        <v>3107639.0358366598</v>
      </c>
      <c r="X83" t="s">
        <v>76</v>
      </c>
      <c r="Y83">
        <v>-1.5707963267949001</v>
      </c>
      <c r="Z83">
        <v>0.66200224261413898</v>
      </c>
      <c r="AA83">
        <v>0</v>
      </c>
      <c r="AB83">
        <v>3.7071108567452403E-2</v>
      </c>
      <c r="AC83">
        <v>4.3945738466756598E-3</v>
      </c>
      <c r="AD83">
        <v>7.7094778953175902E-3</v>
      </c>
      <c r="AE83">
        <v>1.7484517291981399E-2</v>
      </c>
      <c r="AF83">
        <v>0</v>
      </c>
      <c r="AG83">
        <v>0.252594037092292</v>
      </c>
      <c r="AH83">
        <v>0.24008980990505499</v>
      </c>
      <c r="AI83">
        <v>0.42044382486676402</v>
      </c>
      <c r="AJ83" t="s">
        <v>74</v>
      </c>
      <c r="AK83">
        <v>0</v>
      </c>
      <c r="AL83" t="s">
        <v>77</v>
      </c>
      <c r="AM83">
        <v>0</v>
      </c>
      <c r="AN83">
        <v>0.99200000000000099</v>
      </c>
      <c r="AO83">
        <v>0</v>
      </c>
      <c r="AP83">
        <v>5.82453462424753E-2</v>
      </c>
      <c r="AQ83">
        <v>0</v>
      </c>
      <c r="AR83">
        <v>1.6E-2</v>
      </c>
      <c r="AS83">
        <v>0</v>
      </c>
      <c r="AT83">
        <v>0</v>
      </c>
      <c r="AU83">
        <v>0</v>
      </c>
      <c r="AV83">
        <v>0</v>
      </c>
      <c r="AW83">
        <v>1</v>
      </c>
      <c r="AX83" t="s">
        <v>78</v>
      </c>
      <c r="AY83">
        <v>2013085.8974839801</v>
      </c>
      <c r="AZ83" t="s">
        <v>76</v>
      </c>
      <c r="BA83">
        <v>-1.5707963267949001</v>
      </c>
      <c r="BB83">
        <v>0.99200000000000099</v>
      </c>
      <c r="BC83">
        <v>0</v>
      </c>
      <c r="BD83">
        <v>5.82453462424753E-2</v>
      </c>
      <c r="BE83">
        <v>0</v>
      </c>
      <c r="BF83">
        <v>1.6E-2</v>
      </c>
      <c r="BG83">
        <v>0</v>
      </c>
      <c r="BH83">
        <v>0</v>
      </c>
      <c r="BI83" s="1">
        <v>6.8321416900009599E-20</v>
      </c>
      <c r="BJ83" s="1">
        <v>1.08333559371782E-34</v>
      </c>
      <c r="BK83">
        <v>1</v>
      </c>
      <c r="BL83" s="1">
        <v>9.8514786953431103E-5</v>
      </c>
      <c r="BM83">
        <v>2.4634192349867398E-4</v>
      </c>
      <c r="BN83" s="1">
        <v>3.7024409532801398E-7</v>
      </c>
      <c r="BO83" s="1">
        <v>3.8695298856730599E-6</v>
      </c>
      <c r="BP83">
        <v>0</v>
      </c>
      <c r="BQ83">
        <v>0</v>
      </c>
      <c r="BR83" s="1">
        <v>5.9149273812036899E-5</v>
      </c>
      <c r="BS83">
        <v>1.3846775869511601E-4</v>
      </c>
    </row>
    <row r="84" spans="1:71" x14ac:dyDescent="0.25">
      <c r="A84">
        <v>81</v>
      </c>
      <c r="B84" s="1">
        <v>1.19069986842721E-5</v>
      </c>
      <c r="C84">
        <v>9.7905167392676101E-2</v>
      </c>
      <c r="D84">
        <v>-2.32532530356579E-4</v>
      </c>
      <c r="E84" s="1">
        <v>-6.3401024285263496E-5</v>
      </c>
      <c r="F84">
        <v>-9.7905167392675998E-4</v>
      </c>
      <c r="G84">
        <v>-7.8324133914140805E-4</v>
      </c>
      <c r="H84" t="s">
        <v>74</v>
      </c>
      <c r="I84">
        <v>0</v>
      </c>
      <c r="J84" t="s">
        <v>75</v>
      </c>
      <c r="K84">
        <v>3.14159265358979</v>
      </c>
      <c r="L84">
        <v>0.66131060883318005</v>
      </c>
      <c r="M84">
        <v>0</v>
      </c>
      <c r="N84">
        <v>3.8828896557772899E-2</v>
      </c>
      <c r="O84">
        <v>0</v>
      </c>
      <c r="P84">
        <v>1.6E-2</v>
      </c>
      <c r="Q84">
        <v>0</v>
      </c>
      <c r="R84">
        <v>0</v>
      </c>
      <c r="S84">
        <v>0</v>
      </c>
      <c r="T84">
        <v>0</v>
      </c>
      <c r="U84">
        <v>0.66664374124534398</v>
      </c>
      <c r="V84" t="s">
        <v>78</v>
      </c>
      <c r="W84">
        <v>3108350.7415543399</v>
      </c>
      <c r="X84" t="s">
        <v>76</v>
      </c>
      <c r="Y84">
        <v>-1.5707963267949001</v>
      </c>
      <c r="Z84">
        <v>0.65785062809280703</v>
      </c>
      <c r="AA84">
        <v>0</v>
      </c>
      <c r="AB84">
        <v>3.6833073201684198E-2</v>
      </c>
      <c r="AC84">
        <v>4.4206379085573004E-3</v>
      </c>
      <c r="AD84">
        <v>7.5066557109532599E-3</v>
      </c>
      <c r="AE84">
        <v>1.77028740884509E-2</v>
      </c>
      <c r="AF84">
        <v>0</v>
      </c>
      <c r="AG84">
        <v>0.25163510362900399</v>
      </c>
      <c r="AH84">
        <v>0.24732680233736601</v>
      </c>
      <c r="AI84">
        <v>0.413966017427704</v>
      </c>
      <c r="AJ84" t="s">
        <v>74</v>
      </c>
      <c r="AK84">
        <v>0</v>
      </c>
      <c r="AL84" t="s">
        <v>77</v>
      </c>
      <c r="AM84">
        <v>0</v>
      </c>
      <c r="AN84">
        <v>0.99200000000000099</v>
      </c>
      <c r="AO84">
        <v>0</v>
      </c>
      <c r="AP84">
        <v>5.82453462424753E-2</v>
      </c>
      <c r="AQ84">
        <v>0</v>
      </c>
      <c r="AR84">
        <v>1.6E-2</v>
      </c>
      <c r="AS84">
        <v>0</v>
      </c>
      <c r="AT84">
        <v>0</v>
      </c>
      <c r="AU84">
        <v>0</v>
      </c>
      <c r="AV84">
        <v>0</v>
      </c>
      <c r="AW84">
        <v>1</v>
      </c>
      <c r="AX84" t="s">
        <v>78</v>
      </c>
      <c r="AY84">
        <v>2013708.63998695</v>
      </c>
      <c r="AZ84" t="s">
        <v>76</v>
      </c>
      <c r="BA84">
        <v>-1.5707963267949001</v>
      </c>
      <c r="BB84">
        <v>0.99200000000000099</v>
      </c>
      <c r="BC84">
        <v>0</v>
      </c>
      <c r="BD84">
        <v>5.82453462424753E-2</v>
      </c>
      <c r="BE84">
        <v>0</v>
      </c>
      <c r="BF84">
        <v>1.6E-2</v>
      </c>
      <c r="BG84">
        <v>0</v>
      </c>
      <c r="BH84">
        <v>0</v>
      </c>
      <c r="BI84" s="1">
        <v>6.8321416900009599E-20</v>
      </c>
      <c r="BJ84" s="1">
        <v>1.08333559371782E-34</v>
      </c>
      <c r="BK84">
        <v>1</v>
      </c>
      <c r="BL84" s="1">
        <v>9.8286650076482405E-5</v>
      </c>
      <c r="BM84">
        <v>2.4948095298318499E-4</v>
      </c>
      <c r="BN84" s="1">
        <v>3.6948085267635498E-7</v>
      </c>
      <c r="BO84" s="1">
        <v>3.9188376455127698E-6</v>
      </c>
      <c r="BP84">
        <v>0</v>
      </c>
      <c r="BQ84">
        <v>0</v>
      </c>
      <c r="BR84" s="1">
        <v>5.9009416784840598E-5</v>
      </c>
      <c r="BS84">
        <v>1.40234551703413E-4</v>
      </c>
    </row>
    <row r="85" spans="1:71" x14ac:dyDescent="0.25">
      <c r="A85">
        <v>82</v>
      </c>
      <c r="B85" s="1">
        <v>1.1951366651427901E-5</v>
      </c>
      <c r="C85">
        <v>9.7917118759327501E-2</v>
      </c>
      <c r="D85">
        <v>-2.3260151020705901E-4</v>
      </c>
      <c r="E85" s="1">
        <v>-6.3456208165647599E-5</v>
      </c>
      <c r="F85">
        <v>-9.7917118759327493E-4</v>
      </c>
      <c r="G85">
        <v>-7.8333695007462003E-4</v>
      </c>
      <c r="H85" t="s">
        <v>74</v>
      </c>
      <c r="I85">
        <v>0</v>
      </c>
      <c r="J85" t="s">
        <v>75</v>
      </c>
      <c r="K85">
        <v>3.14159265358979</v>
      </c>
      <c r="L85">
        <v>0.65715122098633105</v>
      </c>
      <c r="M85">
        <v>0</v>
      </c>
      <c r="N85">
        <v>3.8584677822594997E-2</v>
      </c>
      <c r="O85">
        <v>0</v>
      </c>
      <c r="P85">
        <v>1.6E-2</v>
      </c>
      <c r="Q85">
        <v>0</v>
      </c>
      <c r="R85">
        <v>0</v>
      </c>
      <c r="S85">
        <v>0</v>
      </c>
      <c r="T85">
        <v>0</v>
      </c>
      <c r="U85">
        <v>0.66245081606416001</v>
      </c>
      <c r="V85" t="s">
        <v>78</v>
      </c>
      <c r="W85">
        <v>3109065.05670708</v>
      </c>
      <c r="X85" t="s">
        <v>76</v>
      </c>
      <c r="Y85">
        <v>-1.5707963267949001</v>
      </c>
      <c r="Z85">
        <v>0.65370052905019205</v>
      </c>
      <c r="AA85">
        <v>0</v>
      </c>
      <c r="AB85">
        <v>3.6595169625203899E-2</v>
      </c>
      <c r="AC85">
        <v>4.4466645092689598E-3</v>
      </c>
      <c r="AD85">
        <v>7.3041215059917704E-3</v>
      </c>
      <c r="AE85">
        <v>1.79207720442136E-2</v>
      </c>
      <c r="AF85">
        <v>0</v>
      </c>
      <c r="AG85">
        <v>0.25052202873943702</v>
      </c>
      <c r="AH85">
        <v>0.25471578490088198</v>
      </c>
      <c r="AI85">
        <v>0.40751937875689598</v>
      </c>
      <c r="AJ85" t="s">
        <v>74</v>
      </c>
      <c r="AK85">
        <v>0</v>
      </c>
      <c r="AL85" t="s">
        <v>77</v>
      </c>
      <c r="AM85">
        <v>0</v>
      </c>
      <c r="AN85">
        <v>0.99200000000000099</v>
      </c>
      <c r="AO85">
        <v>0</v>
      </c>
      <c r="AP85">
        <v>5.82453462424753E-2</v>
      </c>
      <c r="AQ85">
        <v>0</v>
      </c>
      <c r="AR85">
        <v>1.6E-2</v>
      </c>
      <c r="AS85">
        <v>0</v>
      </c>
      <c r="AT85">
        <v>0</v>
      </c>
      <c r="AU85">
        <v>0</v>
      </c>
      <c r="AV85">
        <v>0</v>
      </c>
      <c r="AW85">
        <v>1</v>
      </c>
      <c r="AX85" t="s">
        <v>78</v>
      </c>
      <c r="AY85">
        <v>2014333.6657455901</v>
      </c>
      <c r="AZ85" t="s">
        <v>76</v>
      </c>
      <c r="BA85">
        <v>-1.5707963267949001</v>
      </c>
      <c r="BB85">
        <v>0.99200000000000099</v>
      </c>
      <c r="BC85">
        <v>0</v>
      </c>
      <c r="BD85">
        <v>5.82453462424753E-2</v>
      </c>
      <c r="BE85">
        <v>0</v>
      </c>
      <c r="BF85">
        <v>1.6E-2</v>
      </c>
      <c r="BG85">
        <v>0</v>
      </c>
      <c r="BH85">
        <v>0</v>
      </c>
      <c r="BI85" s="1">
        <v>6.8321416900009599E-20</v>
      </c>
      <c r="BJ85" s="1">
        <v>1.08333559371782E-34</v>
      </c>
      <c r="BK85">
        <v>1</v>
      </c>
      <c r="BL85" s="1">
        <v>9.8058602221009201E-5</v>
      </c>
      <c r="BM85">
        <v>2.5261890682016E-4</v>
      </c>
      <c r="BN85" s="1">
        <v>3.6871804422393998E-7</v>
      </c>
      <c r="BO85" s="1">
        <v>3.9681285091204897E-6</v>
      </c>
      <c r="BP85">
        <v>0</v>
      </c>
      <c r="BQ85">
        <v>0</v>
      </c>
      <c r="BR85" s="1">
        <v>5.8869611439748003E-5</v>
      </c>
      <c r="BS85">
        <v>1.4200080830088199E-4</v>
      </c>
    </row>
    <row r="86" spans="1:71" x14ac:dyDescent="0.25">
      <c r="A86">
        <v>83</v>
      </c>
      <c r="B86" s="1">
        <v>1.20031549653916E-5</v>
      </c>
      <c r="C86">
        <v>9.7929121914292899E-2</v>
      </c>
      <c r="D86">
        <v>-2.3267078482491199E-4</v>
      </c>
      <c r="E86" s="1">
        <v>-6.3511627859929299E-5</v>
      </c>
      <c r="F86">
        <v>-9.7929121914292904E-4</v>
      </c>
      <c r="G86">
        <v>-7.8343297531434299E-4</v>
      </c>
      <c r="H86" t="s">
        <v>74</v>
      </c>
      <c r="I86">
        <v>0</v>
      </c>
      <c r="J86" t="s">
        <v>75</v>
      </c>
      <c r="K86">
        <v>3.14159265358979</v>
      </c>
      <c r="L86">
        <v>0.65299333127750603</v>
      </c>
      <c r="M86">
        <v>0</v>
      </c>
      <c r="N86">
        <v>3.8340547050691197E-2</v>
      </c>
      <c r="O86">
        <v>0</v>
      </c>
      <c r="P86">
        <v>1.6E-2</v>
      </c>
      <c r="Q86">
        <v>0</v>
      </c>
      <c r="R86">
        <v>0</v>
      </c>
      <c r="S86">
        <v>0</v>
      </c>
      <c r="T86">
        <v>0</v>
      </c>
      <c r="U86">
        <v>0.65825939907320197</v>
      </c>
      <c r="V86" t="s">
        <v>78</v>
      </c>
      <c r="W86">
        <v>3109782.4242990301</v>
      </c>
      <c r="X86" t="s">
        <v>76</v>
      </c>
      <c r="Y86">
        <v>-1.5707963267949001</v>
      </c>
      <c r="Z86">
        <v>0.64955201063964296</v>
      </c>
      <c r="AA86">
        <v>0</v>
      </c>
      <c r="AB86">
        <v>3.6357398443077102E-2</v>
      </c>
      <c r="AC86">
        <v>4.4727361358775104E-3</v>
      </c>
      <c r="AD86">
        <v>7.1018951456628598E-3</v>
      </c>
      <c r="AE86">
        <v>1.81381995961283E-2</v>
      </c>
      <c r="AF86">
        <v>0</v>
      </c>
      <c r="AG86">
        <v>0.24925143382495801</v>
      </c>
      <c r="AH86">
        <v>0.26226002701823398</v>
      </c>
      <c r="AI86">
        <v>0.40110429915575802</v>
      </c>
      <c r="AJ86" t="s">
        <v>74</v>
      </c>
      <c r="AK86">
        <v>0</v>
      </c>
      <c r="AL86" t="s">
        <v>77</v>
      </c>
      <c r="AM86">
        <v>0</v>
      </c>
      <c r="AN86">
        <v>0.99200000000000099</v>
      </c>
      <c r="AO86">
        <v>0</v>
      </c>
      <c r="AP86">
        <v>5.82453462424753E-2</v>
      </c>
      <c r="AQ86">
        <v>0</v>
      </c>
      <c r="AR86">
        <v>1.6E-2</v>
      </c>
      <c r="AS86">
        <v>0</v>
      </c>
      <c r="AT86">
        <v>0</v>
      </c>
      <c r="AU86">
        <v>0</v>
      </c>
      <c r="AV86">
        <v>0</v>
      </c>
      <c r="AW86">
        <v>1</v>
      </c>
      <c r="AX86" t="s">
        <v>78</v>
      </c>
      <c r="AY86">
        <v>2014961.3623885501</v>
      </c>
      <c r="AZ86" t="s">
        <v>76</v>
      </c>
      <c r="BA86">
        <v>-1.5707963267949001</v>
      </c>
      <c r="BB86">
        <v>0.99200000000000099</v>
      </c>
      <c r="BC86">
        <v>0</v>
      </c>
      <c r="BD86">
        <v>5.82453462424753E-2</v>
      </c>
      <c r="BE86">
        <v>0</v>
      </c>
      <c r="BF86">
        <v>1.6E-2</v>
      </c>
      <c r="BG86">
        <v>0</v>
      </c>
      <c r="BH86">
        <v>0</v>
      </c>
      <c r="BI86" s="1">
        <v>6.8321416900009599E-20</v>
      </c>
      <c r="BJ86" s="1">
        <v>1.3240768367662199E-34</v>
      </c>
      <c r="BK86">
        <v>1</v>
      </c>
      <c r="BL86" s="1">
        <v>9.7830687057298197E-5</v>
      </c>
      <c r="BM86">
        <v>2.5575573042159602E-4</v>
      </c>
      <c r="BN86" s="1">
        <v>3.6795595386143701E-7</v>
      </c>
      <c r="BO86" s="1">
        <v>4.0174016190298798E-6</v>
      </c>
      <c r="BP86">
        <v>0</v>
      </c>
      <c r="BQ86">
        <v>0</v>
      </c>
      <c r="BR86" s="1">
        <v>5.8729883397685697E-5</v>
      </c>
      <c r="BS86">
        <v>1.4376649960946399E-4</v>
      </c>
    </row>
    <row r="87" spans="1:71" x14ac:dyDescent="0.25">
      <c r="A87">
        <v>84</v>
      </c>
      <c r="B87" s="1">
        <v>1.20627050754353E-5</v>
      </c>
      <c r="C87">
        <v>9.7941184619368404E-2</v>
      </c>
      <c r="D87">
        <v>-2.3274039895013399E-4</v>
      </c>
      <c r="E87" s="1">
        <v>-6.3567319160107193E-5</v>
      </c>
      <c r="F87">
        <v>-9.7941184619368296E-4</v>
      </c>
      <c r="G87">
        <v>-7.8352947695494596E-4</v>
      </c>
      <c r="H87" t="s">
        <v>74</v>
      </c>
      <c r="I87">
        <v>0</v>
      </c>
      <c r="J87" t="s">
        <v>75</v>
      </c>
      <c r="K87">
        <v>3.14159265358979</v>
      </c>
      <c r="L87">
        <v>0.64883701772199898</v>
      </c>
      <c r="M87">
        <v>0</v>
      </c>
      <c r="N87">
        <v>3.8096508822734701E-2</v>
      </c>
      <c r="O87">
        <v>0</v>
      </c>
      <c r="P87">
        <v>1.6E-2</v>
      </c>
      <c r="Q87">
        <v>0</v>
      </c>
      <c r="R87">
        <v>0</v>
      </c>
      <c r="S87">
        <v>0</v>
      </c>
      <c r="T87">
        <v>0</v>
      </c>
      <c r="U87">
        <v>0.65406956956731799</v>
      </c>
      <c r="V87" t="s">
        <v>78</v>
      </c>
      <c r="W87">
        <v>3110503.3076315601</v>
      </c>
      <c r="X87" t="s">
        <v>76</v>
      </c>
      <c r="Y87">
        <v>-1.5707963267949001</v>
      </c>
      <c r="Z87">
        <v>0.64540514344942101</v>
      </c>
      <c r="AA87">
        <v>0</v>
      </c>
      <c r="AB87">
        <v>3.6119760488608599E-2</v>
      </c>
      <c r="AC87">
        <v>4.4987995489433903E-3</v>
      </c>
      <c r="AD87">
        <v>6.8999968385697998E-3</v>
      </c>
      <c r="AE87">
        <v>1.8355144860933301E-2</v>
      </c>
      <c r="AF87">
        <v>0</v>
      </c>
      <c r="AG87">
        <v>0.24781977135432601</v>
      </c>
      <c r="AH87">
        <v>0.26996295850699897</v>
      </c>
      <c r="AI87">
        <v>0.39472117862309902</v>
      </c>
      <c r="AJ87" t="s">
        <v>74</v>
      </c>
      <c r="AK87">
        <v>0</v>
      </c>
      <c r="AL87" t="s">
        <v>77</v>
      </c>
      <c r="AM87">
        <v>0</v>
      </c>
      <c r="AN87">
        <v>0.99200000000000099</v>
      </c>
      <c r="AO87">
        <v>0</v>
      </c>
      <c r="AP87">
        <v>5.82453462424753E-2</v>
      </c>
      <c r="AQ87">
        <v>0</v>
      </c>
      <c r="AR87">
        <v>1.6E-2</v>
      </c>
      <c r="AS87">
        <v>0</v>
      </c>
      <c r="AT87">
        <v>0</v>
      </c>
      <c r="AU87">
        <v>0</v>
      </c>
      <c r="AV87">
        <v>0</v>
      </c>
      <c r="AW87">
        <v>1</v>
      </c>
      <c r="AX87" t="s">
        <v>78</v>
      </c>
      <c r="AY87">
        <v>2015592.1353045099</v>
      </c>
      <c r="AZ87" t="s">
        <v>76</v>
      </c>
      <c r="BA87">
        <v>-1.5707963267949001</v>
      </c>
      <c r="BB87">
        <v>0.99200000000000099</v>
      </c>
      <c r="BC87">
        <v>0</v>
      </c>
      <c r="BD87">
        <v>5.82453462424753E-2</v>
      </c>
      <c r="BE87">
        <v>0</v>
      </c>
      <c r="BF87">
        <v>1.6E-2</v>
      </c>
      <c r="BG87">
        <v>0</v>
      </c>
      <c r="BH87">
        <v>0</v>
      </c>
      <c r="BI87" s="1">
        <v>6.8321416900009599E-20</v>
      </c>
      <c r="BJ87" s="1">
        <v>1.3240768367662199E-34</v>
      </c>
      <c r="BK87">
        <v>1</v>
      </c>
      <c r="BL87" s="1">
        <v>9.7602880672618603E-5</v>
      </c>
      <c r="BM87">
        <v>2.58891364930662E-4</v>
      </c>
      <c r="BN87" s="1">
        <v>3.67194406578557E-7</v>
      </c>
      <c r="BO87" s="1">
        <v>4.0666560507200102E-6</v>
      </c>
      <c r="BP87">
        <v>0</v>
      </c>
      <c r="BQ87">
        <v>0</v>
      </c>
      <c r="BR87" s="1">
        <v>5.8590220339126501E-5</v>
      </c>
      <c r="BS87">
        <v>1.45531594493165E-4</v>
      </c>
    </row>
    <row r="88" spans="1:71" x14ac:dyDescent="0.25">
      <c r="A88">
        <v>85</v>
      </c>
      <c r="B88" s="1">
        <v>1.2130403803022801E-5</v>
      </c>
      <c r="C88">
        <v>9.7953315023171394E-2</v>
      </c>
      <c r="D88">
        <v>-2.32810399543903E-4</v>
      </c>
      <c r="E88" s="1">
        <v>-6.3623319635122295E-5</v>
      </c>
      <c r="F88">
        <v>-9.7953315023171302E-4</v>
      </c>
      <c r="G88">
        <v>-7.8362652018536998E-4</v>
      </c>
      <c r="H88" t="s">
        <v>74</v>
      </c>
      <c r="I88">
        <v>0</v>
      </c>
      <c r="J88" t="s">
        <v>75</v>
      </c>
      <c r="K88">
        <v>3.14159265358979</v>
      </c>
      <c r="L88">
        <v>0.64468236459859596</v>
      </c>
      <c r="M88">
        <v>0</v>
      </c>
      <c r="N88">
        <v>3.7852568087160199E-2</v>
      </c>
      <c r="O88">
        <v>0</v>
      </c>
      <c r="P88">
        <v>1.6E-2</v>
      </c>
      <c r="Q88">
        <v>0</v>
      </c>
      <c r="R88">
        <v>0</v>
      </c>
      <c r="S88">
        <v>0</v>
      </c>
      <c r="T88">
        <v>0</v>
      </c>
      <c r="U88">
        <v>0.64988141295181301</v>
      </c>
      <c r="V88" t="s">
        <v>78</v>
      </c>
      <c r="W88">
        <v>3111228.1930072401</v>
      </c>
      <c r="X88" t="s">
        <v>76</v>
      </c>
      <c r="Y88">
        <v>-1.5707963267949001</v>
      </c>
      <c r="Z88">
        <v>0.64126000406709205</v>
      </c>
      <c r="AA88">
        <v>0</v>
      </c>
      <c r="AB88">
        <v>3.5882256838761797E-2</v>
      </c>
      <c r="AC88">
        <v>4.5248781091494703E-3</v>
      </c>
      <c r="AD88">
        <v>6.6984471967112798E-3</v>
      </c>
      <c r="AE88">
        <v>1.8571595606780501E-2</v>
      </c>
      <c r="AF88">
        <v>0</v>
      </c>
      <c r="AG88">
        <v>0.24622331184419</v>
      </c>
      <c r="AH88">
        <v>0.27782818168617102</v>
      </c>
      <c r="AI88">
        <v>0.38837042768108898</v>
      </c>
      <c r="AJ88" t="s">
        <v>74</v>
      </c>
      <c r="AK88">
        <v>0</v>
      </c>
      <c r="AL88" t="s">
        <v>77</v>
      </c>
      <c r="AM88">
        <v>0</v>
      </c>
      <c r="AN88">
        <v>0.99200000000000099</v>
      </c>
      <c r="AO88">
        <v>0</v>
      </c>
      <c r="AP88">
        <v>5.82453462424753E-2</v>
      </c>
      <c r="AQ88">
        <v>0</v>
      </c>
      <c r="AR88">
        <v>1.6E-2</v>
      </c>
      <c r="AS88">
        <v>0</v>
      </c>
      <c r="AT88">
        <v>0</v>
      </c>
      <c r="AU88">
        <v>0</v>
      </c>
      <c r="AV88">
        <v>0</v>
      </c>
      <c r="AW88">
        <v>1</v>
      </c>
      <c r="AX88" t="s">
        <v>78</v>
      </c>
      <c r="AY88">
        <v>2016226.41000824</v>
      </c>
      <c r="AZ88" t="s">
        <v>76</v>
      </c>
      <c r="BA88">
        <v>-1.5707963267949001</v>
      </c>
      <c r="BB88">
        <v>0.99200000000000099</v>
      </c>
      <c r="BC88">
        <v>0</v>
      </c>
      <c r="BD88">
        <v>5.82453462424753E-2</v>
      </c>
      <c r="BE88">
        <v>0</v>
      </c>
      <c r="BF88">
        <v>1.6E-2</v>
      </c>
      <c r="BG88">
        <v>0</v>
      </c>
      <c r="BH88">
        <v>0</v>
      </c>
      <c r="BI88" s="1">
        <v>6.8321416900009599E-20</v>
      </c>
      <c r="BJ88" s="1">
        <v>1.3240768367662199E-34</v>
      </c>
      <c r="BK88">
        <v>1</v>
      </c>
      <c r="BL88" s="1">
        <v>9.7375197760010999E-5</v>
      </c>
      <c r="BM88">
        <v>2.6202574676518001E-4</v>
      </c>
      <c r="BN88" s="1">
        <v>3.6643348810647001E-7</v>
      </c>
      <c r="BO88" s="1">
        <v>4.1158908054443504E-6</v>
      </c>
      <c r="BP88">
        <v>0</v>
      </c>
      <c r="BQ88">
        <v>0</v>
      </c>
      <c r="BR88" s="1">
        <v>5.8450631700931301E-5</v>
      </c>
      <c r="BS88">
        <v>1.47296059314818E-4</v>
      </c>
    </row>
    <row r="89" spans="1:71" x14ac:dyDescent="0.25">
      <c r="A89">
        <v>86</v>
      </c>
      <c r="B89" s="1">
        <v>1.22066887458254E-5</v>
      </c>
      <c r="C89">
        <v>9.7965521711917206E-2</v>
      </c>
      <c r="D89">
        <v>-2.3288083608075501E-4</v>
      </c>
      <c r="E89" s="1">
        <v>-6.3679668864603702E-5</v>
      </c>
      <c r="F89">
        <v>-9.7965521711917102E-4</v>
      </c>
      <c r="G89">
        <v>-7.8372417369533705E-4</v>
      </c>
      <c r="H89" t="s">
        <v>74</v>
      </c>
      <c r="I89">
        <v>0</v>
      </c>
      <c r="J89" t="s">
        <v>75</v>
      </c>
      <c r="K89">
        <v>3.14159265358979</v>
      </c>
      <c r="L89">
        <v>0.64052946313746495</v>
      </c>
      <c r="M89">
        <v>0</v>
      </c>
      <c r="N89">
        <v>3.7608730200552803E-2</v>
      </c>
      <c r="O89">
        <v>0</v>
      </c>
      <c r="P89">
        <v>1.6E-2</v>
      </c>
      <c r="Q89">
        <v>0</v>
      </c>
      <c r="R89">
        <v>0</v>
      </c>
      <c r="S89">
        <v>0</v>
      </c>
      <c r="T89">
        <v>0</v>
      </c>
      <c r="U89">
        <v>0.64569502149887703</v>
      </c>
      <c r="V89" t="s">
        <v>78</v>
      </c>
      <c r="W89">
        <v>3111957.5927555701</v>
      </c>
      <c r="X89" t="s">
        <v>76</v>
      </c>
      <c r="Y89">
        <v>-1.5707963267949001</v>
      </c>
      <c r="Z89">
        <v>0.63711667572208996</v>
      </c>
      <c r="AA89">
        <v>0</v>
      </c>
      <c r="AB89">
        <v>3.5644888832221902E-2</v>
      </c>
      <c r="AC89">
        <v>4.5509910892135496E-3</v>
      </c>
      <c r="AD89">
        <v>6.4972673012375004E-3</v>
      </c>
      <c r="AE89">
        <v>1.8787539221428E-2</v>
      </c>
      <c r="AF89">
        <v>0</v>
      </c>
      <c r="AG89">
        <v>0.244458129503213</v>
      </c>
      <c r="AH89">
        <v>0.28585948469411299</v>
      </c>
      <c r="AI89">
        <v>0.38205246829142703</v>
      </c>
      <c r="AJ89" t="s">
        <v>74</v>
      </c>
      <c r="AK89">
        <v>0</v>
      </c>
      <c r="AL89" t="s">
        <v>77</v>
      </c>
      <c r="AM89">
        <v>0</v>
      </c>
      <c r="AN89">
        <v>0.99200000000000099</v>
      </c>
      <c r="AO89">
        <v>0</v>
      </c>
      <c r="AP89">
        <v>5.82453462424753E-2</v>
      </c>
      <c r="AQ89">
        <v>0</v>
      </c>
      <c r="AR89">
        <v>1.6E-2</v>
      </c>
      <c r="AS89">
        <v>0</v>
      </c>
      <c r="AT89">
        <v>0</v>
      </c>
      <c r="AU89">
        <v>0</v>
      </c>
      <c r="AV89">
        <v>0</v>
      </c>
      <c r="AW89">
        <v>1</v>
      </c>
      <c r="AX89" t="s">
        <v>78</v>
      </c>
      <c r="AY89">
        <v>2016864.63478802</v>
      </c>
      <c r="AZ89" t="s">
        <v>76</v>
      </c>
      <c r="BA89">
        <v>-1.5707963267949001</v>
      </c>
      <c r="BB89">
        <v>0.99200000000000099</v>
      </c>
      <c r="BC89">
        <v>0</v>
      </c>
      <c r="BD89">
        <v>5.82453462424753E-2</v>
      </c>
      <c r="BE89">
        <v>0</v>
      </c>
      <c r="BF89">
        <v>1.6E-2</v>
      </c>
      <c r="BG89">
        <v>0</v>
      </c>
      <c r="BH89">
        <v>0</v>
      </c>
      <c r="BI89" s="1">
        <v>6.8321416900009599E-20</v>
      </c>
      <c r="BJ89" s="1">
        <v>1.4444474582904301E-34</v>
      </c>
      <c r="BK89">
        <v>1</v>
      </c>
      <c r="BL89" s="1">
        <v>9.7147651303469405E-5</v>
      </c>
      <c r="BM89">
        <v>2.6515880709866301E-4</v>
      </c>
      <c r="BN89" s="1">
        <v>3.6567327154710798E-7</v>
      </c>
      <c r="BO89" s="1">
        <v>4.16510480207896E-6</v>
      </c>
      <c r="BP89">
        <v>0</v>
      </c>
      <c r="BQ89">
        <v>0</v>
      </c>
      <c r="BR89" s="1">
        <v>5.8311126022656501E-5</v>
      </c>
      <c r="BS89">
        <v>1.4905985765950201E-4</v>
      </c>
    </row>
    <row r="90" spans="1:71" x14ac:dyDescent="0.25">
      <c r="A90">
        <v>87</v>
      </c>
      <c r="B90" s="1">
        <v>1.2292054619445701E-5</v>
      </c>
      <c r="C90">
        <v>9.7977813766536706E-2</v>
      </c>
      <c r="D90">
        <v>-2.32951760877222E-4</v>
      </c>
      <c r="E90" s="1">
        <v>-6.3736408701777297E-5</v>
      </c>
      <c r="F90">
        <v>-9.7977813766536603E-4</v>
      </c>
      <c r="G90">
        <v>-7.8382251013229295E-4</v>
      </c>
      <c r="H90" t="s">
        <v>74</v>
      </c>
      <c r="I90">
        <v>0</v>
      </c>
      <c r="J90" t="s">
        <v>75</v>
      </c>
      <c r="K90">
        <v>3.14159265358979</v>
      </c>
      <c r="L90">
        <v>0.63637841230466696</v>
      </c>
      <c r="M90">
        <v>0</v>
      </c>
      <c r="N90">
        <v>3.7365000973711697E-2</v>
      </c>
      <c r="O90">
        <v>0</v>
      </c>
      <c r="P90">
        <v>1.6E-2</v>
      </c>
      <c r="Q90">
        <v>0</v>
      </c>
      <c r="R90">
        <v>0</v>
      </c>
      <c r="S90">
        <v>0</v>
      </c>
      <c r="T90">
        <v>0</v>
      </c>
      <c r="U90">
        <v>0.64151049518193504</v>
      </c>
      <c r="V90" t="s">
        <v>78</v>
      </c>
      <c r="W90">
        <v>3112692.04863607</v>
      </c>
      <c r="X90" t="s">
        <v>76</v>
      </c>
      <c r="Y90">
        <v>-1.5707963267949001</v>
      </c>
      <c r="Z90">
        <v>0.63297524901947499</v>
      </c>
      <c r="AA90">
        <v>0</v>
      </c>
      <c r="AB90">
        <v>3.54076580905065E-2</v>
      </c>
      <c r="AC90">
        <v>4.5770840206547899E-3</v>
      </c>
      <c r="AD90">
        <v>6.2964787750361398E-3</v>
      </c>
      <c r="AE90">
        <v>1.9002962676511401E-2</v>
      </c>
      <c r="AF90">
        <v>0</v>
      </c>
      <c r="AG90">
        <v>0.24252008637002301</v>
      </c>
      <c r="AH90">
        <v>0.29406085616688998</v>
      </c>
      <c r="AI90">
        <v>0.37576773487729098</v>
      </c>
      <c r="AJ90" t="s">
        <v>74</v>
      </c>
      <c r="AK90">
        <v>0</v>
      </c>
      <c r="AL90" t="s">
        <v>77</v>
      </c>
      <c r="AM90">
        <v>0</v>
      </c>
      <c r="AN90">
        <v>0.99200000000000099</v>
      </c>
      <c r="AO90">
        <v>0</v>
      </c>
      <c r="AP90">
        <v>5.82453462424753E-2</v>
      </c>
      <c r="AQ90">
        <v>0</v>
      </c>
      <c r="AR90">
        <v>1.6E-2</v>
      </c>
      <c r="AS90">
        <v>0</v>
      </c>
      <c r="AT90">
        <v>0</v>
      </c>
      <c r="AU90">
        <v>0</v>
      </c>
      <c r="AV90">
        <v>0</v>
      </c>
      <c r="AW90">
        <v>1</v>
      </c>
      <c r="AX90" t="s">
        <v>78</v>
      </c>
      <c r="AY90">
        <v>2017507.28368346</v>
      </c>
      <c r="AZ90" t="s">
        <v>76</v>
      </c>
      <c r="BA90">
        <v>-1.5707963267949001</v>
      </c>
      <c r="BB90">
        <v>0.99200000000000099</v>
      </c>
      <c r="BC90">
        <v>0</v>
      </c>
      <c r="BD90">
        <v>5.82453462424753E-2</v>
      </c>
      <c r="BE90">
        <v>0</v>
      </c>
      <c r="BF90">
        <v>1.6E-2</v>
      </c>
      <c r="BG90">
        <v>0</v>
      </c>
      <c r="BH90">
        <v>0</v>
      </c>
      <c r="BI90" s="1">
        <v>6.8321416900009599E-20</v>
      </c>
      <c r="BJ90" s="1">
        <v>1.4444474582904301E-34</v>
      </c>
      <c r="BK90">
        <v>1</v>
      </c>
      <c r="BL90" s="1">
        <v>9.6920217784911701E-5</v>
      </c>
      <c r="BM90">
        <v>2.6829047126845701E-4</v>
      </c>
      <c r="BN90" s="1">
        <v>3.6491358144252799E-7</v>
      </c>
      <c r="BO90" s="1">
        <v>4.2142968678256396E-6</v>
      </c>
      <c r="BP90">
        <v>0</v>
      </c>
      <c r="BQ90">
        <v>0</v>
      </c>
      <c r="BR90" s="1">
        <v>5.8171691395636499E-5</v>
      </c>
      <c r="BS90">
        <v>1.5082295001905599E-4</v>
      </c>
    </row>
    <row r="91" spans="1:71" x14ac:dyDescent="0.25">
      <c r="A91">
        <v>88</v>
      </c>
      <c r="B91" s="1">
        <v>1.23870607193538E-5</v>
      </c>
      <c r="C91">
        <v>9.7990200827255999E-2</v>
      </c>
      <c r="D91">
        <v>-2.3302322946336401E-4</v>
      </c>
      <c r="E91" s="1">
        <v>-6.37935835706913E-5</v>
      </c>
      <c r="F91">
        <v>-9.7990200827255901E-4</v>
      </c>
      <c r="G91">
        <v>-7.8392160661804695E-4</v>
      </c>
      <c r="H91" t="s">
        <v>74</v>
      </c>
      <c r="I91">
        <v>0</v>
      </c>
      <c r="J91" t="s">
        <v>75</v>
      </c>
      <c r="K91">
        <v>3.14159265358979</v>
      </c>
      <c r="L91">
        <v>0.63222931969998697</v>
      </c>
      <c r="M91">
        <v>0</v>
      </c>
      <c r="N91">
        <v>3.7121386724365199E-2</v>
      </c>
      <c r="O91">
        <v>0</v>
      </c>
      <c r="P91">
        <v>1.6E-2</v>
      </c>
      <c r="Q91">
        <v>0</v>
      </c>
      <c r="R91">
        <v>0</v>
      </c>
      <c r="S91">
        <v>0</v>
      </c>
      <c r="T91">
        <v>0</v>
      </c>
      <c r="U91">
        <v>0.63732794261079195</v>
      </c>
      <c r="V91" t="s">
        <v>78</v>
      </c>
      <c r="W91">
        <v>3113432.1356857098</v>
      </c>
      <c r="X91" t="s">
        <v>76</v>
      </c>
      <c r="Y91">
        <v>-1.5707963267949001</v>
      </c>
      <c r="Z91">
        <v>0.62883582278055405</v>
      </c>
      <c r="AA91">
        <v>0</v>
      </c>
      <c r="AB91">
        <v>3.5170566542614697E-2</v>
      </c>
      <c r="AC91">
        <v>4.60324006486665E-3</v>
      </c>
      <c r="AD91">
        <v>6.0961038634550699E-3</v>
      </c>
      <c r="AE91">
        <v>1.9217852487191898E-2</v>
      </c>
      <c r="AF91">
        <v>0</v>
      </c>
      <c r="AG91">
        <v>0.240404814749648</v>
      </c>
      <c r="AH91">
        <v>0.30243650144714401</v>
      </c>
      <c r="AI91">
        <v>0.36951667546983302</v>
      </c>
      <c r="AJ91" t="s">
        <v>74</v>
      </c>
      <c r="AK91">
        <v>0</v>
      </c>
      <c r="AL91" t="s">
        <v>79</v>
      </c>
      <c r="AM91" t="s">
        <v>80</v>
      </c>
      <c r="AN91">
        <v>0.99200000000000099</v>
      </c>
      <c r="AO91">
        <v>0</v>
      </c>
      <c r="AP91">
        <v>5.82453462424753E-2</v>
      </c>
      <c r="AQ91">
        <v>0</v>
      </c>
      <c r="AR91">
        <v>1.6E-2</v>
      </c>
      <c r="AS91">
        <v>0</v>
      </c>
      <c r="AT91">
        <v>0</v>
      </c>
      <c r="AU91">
        <v>0</v>
      </c>
      <c r="AV91">
        <v>0</v>
      </c>
      <c r="AW91">
        <v>1</v>
      </c>
      <c r="AX91" t="s">
        <v>78</v>
      </c>
      <c r="AY91">
        <v>2018154.8598519</v>
      </c>
      <c r="AZ91" t="s">
        <v>76</v>
      </c>
      <c r="BA91">
        <v>-1.5707963267949001</v>
      </c>
      <c r="BB91">
        <v>0.99200000000000099</v>
      </c>
      <c r="BC91">
        <v>0</v>
      </c>
      <c r="BD91">
        <v>5.82453462424753E-2</v>
      </c>
      <c r="BE91">
        <v>0</v>
      </c>
      <c r="BF91">
        <v>1.6E-2</v>
      </c>
      <c r="BG91">
        <v>0</v>
      </c>
      <c r="BH91">
        <v>0</v>
      </c>
      <c r="BI91" s="1">
        <v>6.8321416900009599E-20</v>
      </c>
      <c r="BJ91" s="1">
        <v>1.80555932286303E-34</v>
      </c>
      <c r="BK91">
        <v>1</v>
      </c>
      <c r="BL91" s="1">
        <v>9.6692942908398606E-5</v>
      </c>
      <c r="BM91">
        <v>2.7142065809839601E-4</v>
      </c>
      <c r="BN91" s="1">
        <v>3.6415471020126601E-7</v>
      </c>
      <c r="BO91" s="1">
        <v>4.2634657275721401E-6</v>
      </c>
      <c r="BP91">
        <v>0</v>
      </c>
      <c r="BQ91">
        <v>0</v>
      </c>
      <c r="BR91" s="1">
        <v>5.8032354906102698E-5</v>
      </c>
      <c r="BS91">
        <v>1.5258529343092401E-4</v>
      </c>
    </row>
    <row r="92" spans="1:71" x14ac:dyDescent="0.25">
      <c r="A92">
        <v>89</v>
      </c>
      <c r="B92" s="1">
        <v>1.2492339727935499E-5</v>
      </c>
      <c r="C92">
        <v>9.8002693166983901E-2</v>
      </c>
      <c r="D92">
        <v>-2.3309530100493E-4</v>
      </c>
      <c r="E92" s="1">
        <v>-6.3851240803944204E-5</v>
      </c>
      <c r="F92">
        <v>-9.8002693166983909E-4</v>
      </c>
      <c r="G92">
        <v>-7.8402154533587095E-4</v>
      </c>
      <c r="H92" t="s">
        <v>74</v>
      </c>
      <c r="I92">
        <v>0</v>
      </c>
      <c r="J92" t="s">
        <v>75</v>
      </c>
      <c r="K92">
        <v>3.14159265358979</v>
      </c>
      <c r="L92">
        <v>0.62808230258826603</v>
      </c>
      <c r="M92">
        <v>0</v>
      </c>
      <c r="N92">
        <v>3.6877894337726501E-2</v>
      </c>
      <c r="O92">
        <v>0</v>
      </c>
      <c r="P92">
        <v>1.6E-2</v>
      </c>
      <c r="Q92">
        <v>0</v>
      </c>
      <c r="R92">
        <v>0</v>
      </c>
      <c r="S92">
        <v>0</v>
      </c>
      <c r="T92">
        <v>0</v>
      </c>
      <c r="U92">
        <v>0.63314748209212302</v>
      </c>
      <c r="V92" t="s">
        <v>78</v>
      </c>
      <c r="W92">
        <v>3114178.46659052</v>
      </c>
      <c r="X92" t="s">
        <v>76</v>
      </c>
      <c r="Y92">
        <v>-1.5707963267949001</v>
      </c>
      <c r="Z92">
        <v>0.62469850500935897</v>
      </c>
      <c r="AA92">
        <v>0</v>
      </c>
      <c r="AB92">
        <v>3.4933616453813099E-2</v>
      </c>
      <c r="AC92">
        <v>4.6293794265656503E-3</v>
      </c>
      <c r="AD92">
        <v>5.8961655247311302E-3</v>
      </c>
      <c r="AE92">
        <v>1.9432194666329301E-2</v>
      </c>
      <c r="AF92">
        <v>0</v>
      </c>
      <c r="AG92">
        <v>0.23810769772320001</v>
      </c>
      <c r="AH92">
        <v>0.31099086051827501</v>
      </c>
      <c r="AI92">
        <v>0.36329975300185302</v>
      </c>
      <c r="AJ92" t="s">
        <v>74</v>
      </c>
      <c r="AK92">
        <v>0</v>
      </c>
      <c r="AL92" t="s">
        <v>77</v>
      </c>
      <c r="AM92">
        <v>0</v>
      </c>
      <c r="AN92">
        <v>0.99200000000000099</v>
      </c>
      <c r="AO92">
        <v>0</v>
      </c>
      <c r="AP92">
        <v>5.82453462424753E-2</v>
      </c>
      <c r="AQ92">
        <v>0</v>
      </c>
      <c r="AR92">
        <v>1.6E-2</v>
      </c>
      <c r="AS92">
        <v>0</v>
      </c>
      <c r="AT92">
        <v>0</v>
      </c>
      <c r="AU92">
        <v>0</v>
      </c>
      <c r="AV92">
        <v>0</v>
      </c>
      <c r="AW92">
        <v>1</v>
      </c>
      <c r="AX92" t="s">
        <v>78</v>
      </c>
      <c r="AY92">
        <v>2018807.8993935999</v>
      </c>
      <c r="AZ92" t="s">
        <v>76</v>
      </c>
      <c r="BA92">
        <v>-1.5707963267949001</v>
      </c>
      <c r="BB92">
        <v>0.99200000000000099</v>
      </c>
      <c r="BC92">
        <v>0</v>
      </c>
      <c r="BD92">
        <v>5.82453462424753E-2</v>
      </c>
      <c r="BE92">
        <v>0</v>
      </c>
      <c r="BF92">
        <v>1.6E-2</v>
      </c>
      <c r="BG92">
        <v>0</v>
      </c>
      <c r="BH92">
        <v>0</v>
      </c>
      <c r="BI92" s="1">
        <v>6.8321416900009599E-20</v>
      </c>
      <c r="BJ92" s="1">
        <v>1.80555932286303E-34</v>
      </c>
      <c r="BK92">
        <v>1</v>
      </c>
      <c r="BL92" s="1">
        <v>9.6465791351527905E-5</v>
      </c>
      <c r="BM92">
        <v>2.7454927912073701E-4</v>
      </c>
      <c r="BN92" s="1">
        <v>3.6339639959198598E-7</v>
      </c>
      <c r="BO92" s="1">
        <v>4.31260999167041E-6</v>
      </c>
      <c r="BP92">
        <v>0</v>
      </c>
      <c r="BQ92">
        <v>0</v>
      </c>
      <c r="BR92" s="1">
        <v>5.78930981823985E-5</v>
      </c>
      <c r="BS92">
        <v>1.5434684106319801E-4</v>
      </c>
    </row>
    <row r="93" spans="1:71" x14ac:dyDescent="0.25">
      <c r="A93">
        <v>90</v>
      </c>
      <c r="B93" s="1">
        <v>1.2608608147159899E-5</v>
      </c>
      <c r="C93">
        <v>9.8015301775131097E-2</v>
      </c>
      <c r="D93">
        <v>-2.3316803878549401E-4</v>
      </c>
      <c r="E93" s="1">
        <v>-6.3909431028395295E-5</v>
      </c>
      <c r="F93">
        <v>-9.8015301775131007E-4</v>
      </c>
      <c r="G93">
        <v>-7.8412241420104797E-4</v>
      </c>
      <c r="H93" t="s">
        <v>74</v>
      </c>
      <c r="I93">
        <v>0</v>
      </c>
      <c r="J93" t="s">
        <v>75</v>
      </c>
      <c r="K93">
        <v>3.14159265358979</v>
      </c>
      <c r="L93">
        <v>0.62393748908853797</v>
      </c>
      <c r="M93">
        <v>0</v>
      </c>
      <c r="N93">
        <v>3.6634531336313003E-2</v>
      </c>
      <c r="O93">
        <v>0</v>
      </c>
      <c r="P93">
        <v>1.6E-2</v>
      </c>
      <c r="Q93">
        <v>0</v>
      </c>
      <c r="R93">
        <v>0</v>
      </c>
      <c r="S93">
        <v>0</v>
      </c>
      <c r="T93">
        <v>0</v>
      </c>
      <c r="U93">
        <v>0.62896924284262401</v>
      </c>
      <c r="V93" t="s">
        <v>78</v>
      </c>
      <c r="W93">
        <v>3114931.6966783102</v>
      </c>
      <c r="X93" t="s">
        <v>76</v>
      </c>
      <c r="Y93">
        <v>-1.5707963267949001</v>
      </c>
      <c r="Z93">
        <v>0.620563414007819</v>
      </c>
      <c r="AA93">
        <v>0</v>
      </c>
      <c r="AB93">
        <v>3.4696810459274398E-2</v>
      </c>
      <c r="AC93">
        <v>4.6555324304996303E-3</v>
      </c>
      <c r="AD93">
        <v>5.6966875320105196E-3</v>
      </c>
      <c r="AE93">
        <v>1.9645974672148299E-2</v>
      </c>
      <c r="AF93">
        <v>0</v>
      </c>
      <c r="AG93">
        <v>0.23562384747036599</v>
      </c>
      <c r="AH93">
        <v>0.319728627887718</v>
      </c>
      <c r="AI93">
        <v>0.35711744677583901</v>
      </c>
      <c r="AJ93" t="s">
        <v>74</v>
      </c>
      <c r="AK93">
        <v>0</v>
      </c>
      <c r="AL93" t="s">
        <v>77</v>
      </c>
      <c r="AM93">
        <v>0</v>
      </c>
      <c r="AN93">
        <v>0.99200000000000099</v>
      </c>
      <c r="AO93">
        <v>0</v>
      </c>
      <c r="AP93">
        <v>5.82453462424753E-2</v>
      </c>
      <c r="AQ93">
        <v>0</v>
      </c>
      <c r="AR93">
        <v>1.6E-2</v>
      </c>
      <c r="AS93">
        <v>0</v>
      </c>
      <c r="AT93">
        <v>0</v>
      </c>
      <c r="AU93">
        <v>0</v>
      </c>
      <c r="AV93">
        <v>0</v>
      </c>
      <c r="AW93">
        <v>1</v>
      </c>
      <c r="AX93" t="s">
        <v>78</v>
      </c>
      <c r="AY93">
        <v>2019466.97572042</v>
      </c>
      <c r="AZ93" t="s">
        <v>76</v>
      </c>
      <c r="BA93">
        <v>-1.5707963267949001</v>
      </c>
      <c r="BB93">
        <v>0.99200000000000099</v>
      </c>
      <c r="BC93">
        <v>0</v>
      </c>
      <c r="BD93">
        <v>5.82453462424753E-2</v>
      </c>
      <c r="BE93">
        <v>0</v>
      </c>
      <c r="BF93">
        <v>1.6E-2</v>
      </c>
      <c r="BG93">
        <v>0</v>
      </c>
      <c r="BH93">
        <v>0</v>
      </c>
      <c r="BI93" s="1">
        <v>6.8321416900009599E-20</v>
      </c>
      <c r="BJ93" s="1">
        <v>1.80555932286303E-34</v>
      </c>
      <c r="BK93">
        <v>1</v>
      </c>
      <c r="BL93" s="1">
        <v>9.6238783355518794E-5</v>
      </c>
      <c r="BM93">
        <v>2.77676237679042E-4</v>
      </c>
      <c r="BN93" s="1">
        <v>3.6263876632463199E-7</v>
      </c>
      <c r="BO93" s="1">
        <v>4.36172814184466E-6</v>
      </c>
      <c r="BP93">
        <v>0</v>
      </c>
      <c r="BQ93">
        <v>0</v>
      </c>
      <c r="BR93" s="1">
        <v>5.7753934193444303E-5</v>
      </c>
      <c r="BS93">
        <v>1.56107541736046E-4</v>
      </c>
    </row>
    <row r="94" spans="1:71" x14ac:dyDescent="0.25">
      <c r="A94">
        <v>91</v>
      </c>
      <c r="B94" s="1">
        <v>1.2736678706169301E-5</v>
      </c>
      <c r="C94">
        <v>9.8028038453837299E-2</v>
      </c>
      <c r="D94">
        <v>-2.3324151075992399E-4</v>
      </c>
      <c r="E94" s="1">
        <v>-6.3968208607939497E-5</v>
      </c>
      <c r="F94">
        <v>-9.8028038453837211E-4</v>
      </c>
      <c r="G94">
        <v>-7.8422430763069797E-4</v>
      </c>
      <c r="H94" t="s">
        <v>74</v>
      </c>
      <c r="I94">
        <v>0</v>
      </c>
      <c r="J94" t="s">
        <v>75</v>
      </c>
      <c r="K94">
        <v>3.14159265358979</v>
      </c>
      <c r="L94">
        <v>0.61979501955079797</v>
      </c>
      <c r="M94">
        <v>0</v>
      </c>
      <c r="N94">
        <v>3.6391305960784201E-2</v>
      </c>
      <c r="O94">
        <v>0</v>
      </c>
      <c r="P94">
        <v>1.6E-2</v>
      </c>
      <c r="Q94">
        <v>0</v>
      </c>
      <c r="R94">
        <v>0</v>
      </c>
      <c r="S94">
        <v>0</v>
      </c>
      <c r="T94">
        <v>0</v>
      </c>
      <c r="U94">
        <v>0.62479336638688399</v>
      </c>
      <c r="V94" t="s">
        <v>78</v>
      </c>
      <c r="W94">
        <v>3115692.5296501401</v>
      </c>
      <c r="X94" t="s">
        <v>76</v>
      </c>
      <c r="Y94">
        <v>-1.5707963267949001</v>
      </c>
      <c r="Z94">
        <v>0.61643067966765797</v>
      </c>
      <c r="AA94">
        <v>0</v>
      </c>
      <c r="AB94">
        <v>3.4460151603458798E-2</v>
      </c>
      <c r="AC94">
        <v>4.6817234156199504E-3</v>
      </c>
      <c r="AD94">
        <v>5.4976945892615398E-3</v>
      </c>
      <c r="AE94">
        <v>1.9859177348128899E-2</v>
      </c>
      <c r="AF94">
        <v>0</v>
      </c>
      <c r="AG94">
        <v>0.23294808110304899</v>
      </c>
      <c r="AH94">
        <v>0.32865477467596599</v>
      </c>
      <c r="AI94">
        <v>0.35097025413973798</v>
      </c>
      <c r="AJ94" t="s">
        <v>74</v>
      </c>
      <c r="AK94">
        <v>0</v>
      </c>
      <c r="AL94" t="s">
        <v>77</v>
      </c>
      <c r="AM94">
        <v>0</v>
      </c>
      <c r="AN94">
        <v>0.99200000000000099</v>
      </c>
      <c r="AO94">
        <v>0</v>
      </c>
      <c r="AP94">
        <v>5.82453462424753E-2</v>
      </c>
      <c r="AQ94">
        <v>0</v>
      </c>
      <c r="AR94">
        <v>1.6E-2</v>
      </c>
      <c r="AS94">
        <v>0</v>
      </c>
      <c r="AT94">
        <v>0</v>
      </c>
      <c r="AU94">
        <v>0</v>
      </c>
      <c r="AV94">
        <v>0</v>
      </c>
      <c r="AW94">
        <v>1</v>
      </c>
      <c r="AX94" t="s">
        <v>78</v>
      </c>
      <c r="AY94">
        <v>2020132.70457078</v>
      </c>
      <c r="AZ94" t="s">
        <v>76</v>
      </c>
      <c r="BA94">
        <v>-1.5707963267949001</v>
      </c>
      <c r="BB94">
        <v>0.99200000000000099</v>
      </c>
      <c r="BC94">
        <v>0</v>
      </c>
      <c r="BD94">
        <v>5.82453462424753E-2</v>
      </c>
      <c r="BE94">
        <v>0</v>
      </c>
      <c r="BF94">
        <v>1.6E-2</v>
      </c>
      <c r="BG94">
        <v>0</v>
      </c>
      <c r="BH94">
        <v>0</v>
      </c>
      <c r="BI94" s="1">
        <v>6.8321416900009599E-20</v>
      </c>
      <c r="BJ94" s="1">
        <v>1.9259299443872401E-34</v>
      </c>
      <c r="BK94">
        <v>1</v>
      </c>
      <c r="BL94" s="1">
        <v>9.6011936732406702E-5</v>
      </c>
      <c r="BM94">
        <v>2.8080142788950699E-4</v>
      </c>
      <c r="BN94" s="1">
        <v>3.6188190877803401E-7</v>
      </c>
      <c r="BO94" s="1">
        <v>4.410818514876E-6</v>
      </c>
      <c r="BP94">
        <v>0</v>
      </c>
      <c r="BQ94">
        <v>0</v>
      </c>
      <c r="BR94" s="1">
        <v>5.7614874662211197E-5</v>
      </c>
      <c r="BS94">
        <v>1.5786733936748199E-4</v>
      </c>
    </row>
    <row r="95" spans="1:71" x14ac:dyDescent="0.25">
      <c r="A95">
        <v>92</v>
      </c>
      <c r="B95" s="1">
        <v>1.28774751839967E-5</v>
      </c>
      <c r="C95">
        <v>9.8040915929021297E-2</v>
      </c>
      <c r="D95">
        <v>-2.3331579019306999E-4</v>
      </c>
      <c r="E95" s="1">
        <v>-6.4027632154455995E-5</v>
      </c>
      <c r="F95">
        <v>-9.8040915929021189E-4</v>
      </c>
      <c r="G95">
        <v>-7.8432732743216897E-4</v>
      </c>
      <c r="H95" t="s">
        <v>74</v>
      </c>
      <c r="I95">
        <v>0</v>
      </c>
      <c r="J95" t="s">
        <v>75</v>
      </c>
      <c r="K95">
        <v>3.14159265358979</v>
      </c>
      <c r="L95">
        <v>0.61565504815680705</v>
      </c>
      <c r="M95">
        <v>0</v>
      </c>
      <c r="N95">
        <v>3.6148227263932499E-2</v>
      </c>
      <c r="O95">
        <v>0</v>
      </c>
      <c r="P95">
        <v>1.6E-2</v>
      </c>
      <c r="Q95">
        <v>0</v>
      </c>
      <c r="R95">
        <v>0</v>
      </c>
      <c r="S95">
        <v>0</v>
      </c>
      <c r="T95">
        <v>0</v>
      </c>
      <c r="U95">
        <v>0.62062000817802099</v>
      </c>
      <c r="V95" t="s">
        <v>78</v>
      </c>
      <c r="W95">
        <v>3116461.7241941099</v>
      </c>
      <c r="X95" t="s">
        <v>76</v>
      </c>
      <c r="Y95">
        <v>-1.5707963267949001</v>
      </c>
      <c r="Z95">
        <v>0.61230044497327696</v>
      </c>
      <c r="AA95">
        <v>0</v>
      </c>
      <c r="AB95">
        <v>3.42236433863186E-2</v>
      </c>
      <c r="AC95">
        <v>4.7079316041804004E-3</v>
      </c>
      <c r="AD95">
        <v>5.2992124638856601E-3</v>
      </c>
      <c r="AE95">
        <v>2.0071786853556099E-2</v>
      </c>
      <c r="AF95">
        <v>0</v>
      </c>
      <c r="AG95">
        <v>0.230074893659761</v>
      </c>
      <c r="AH95">
        <v>0.337774573206786</v>
      </c>
      <c r="AI95">
        <v>0.34485869241116901</v>
      </c>
      <c r="AJ95" t="s">
        <v>74</v>
      </c>
      <c r="AK95">
        <v>0</v>
      </c>
      <c r="AL95" t="s">
        <v>77</v>
      </c>
      <c r="AM95">
        <v>0</v>
      </c>
      <c r="AN95">
        <v>0.99200000000000099</v>
      </c>
      <c r="AO95">
        <v>0</v>
      </c>
      <c r="AP95">
        <v>5.82453462424753E-2</v>
      </c>
      <c r="AQ95">
        <v>0</v>
      </c>
      <c r="AR95">
        <v>1.6E-2</v>
      </c>
      <c r="AS95">
        <v>0</v>
      </c>
      <c r="AT95">
        <v>0</v>
      </c>
      <c r="AU95">
        <v>0</v>
      </c>
      <c r="AV95">
        <v>0</v>
      </c>
      <c r="AW95">
        <v>1</v>
      </c>
      <c r="AX95" t="s">
        <v>78</v>
      </c>
      <c r="AY95">
        <v>2020805.74979675</v>
      </c>
      <c r="AZ95" t="s">
        <v>76</v>
      </c>
      <c r="BA95">
        <v>-1.5707963267949001</v>
      </c>
      <c r="BB95">
        <v>0.99200000000000099</v>
      </c>
      <c r="BC95">
        <v>0</v>
      </c>
      <c r="BD95">
        <v>5.82453462424753E-2</v>
      </c>
      <c r="BE95">
        <v>0</v>
      </c>
      <c r="BF95">
        <v>1.6E-2</v>
      </c>
      <c r="BG95">
        <v>0</v>
      </c>
      <c r="BH95">
        <v>0</v>
      </c>
      <c r="BI95" s="1">
        <v>6.8321416900009599E-20</v>
      </c>
      <c r="BJ95" s="1">
        <v>2.0463005659114398E-34</v>
      </c>
      <c r="BK95">
        <v>1</v>
      </c>
      <c r="BL95" s="1">
        <v>9.5785247369690993E-5</v>
      </c>
      <c r="BM95">
        <v>2.8392473343327301E-4</v>
      </c>
      <c r="BN95" s="1">
        <v>3.6112577461717698E-7</v>
      </c>
      <c r="BO95" s="1">
        <v>4.45987928363206E-6</v>
      </c>
      <c r="BP95">
        <v>0</v>
      </c>
      <c r="BQ95">
        <v>0</v>
      </c>
      <c r="BR95" s="1">
        <v>5.7475919121738701E-5</v>
      </c>
      <c r="BS95">
        <v>1.5962617232876701E-4</v>
      </c>
    </row>
    <row r="96" spans="1:71" x14ac:dyDescent="0.25">
      <c r="A96">
        <v>93</v>
      </c>
      <c r="B96" s="1">
        <v>1.3032050203979999E-5</v>
      </c>
      <c r="C96">
        <v>9.8053947979225203E-2</v>
      </c>
      <c r="D96">
        <v>-2.33390956400747E-4</v>
      </c>
      <c r="E96" s="1">
        <v>-6.4087765120597899E-5</v>
      </c>
      <c r="F96">
        <v>-9.8053947979225204E-4</v>
      </c>
      <c r="G96">
        <v>-7.84431583833801E-4</v>
      </c>
      <c r="H96" t="s">
        <v>74</v>
      </c>
      <c r="I96">
        <v>0</v>
      </c>
      <c r="J96" t="s">
        <v>75</v>
      </c>
      <c r="K96">
        <v>3.14159265358979</v>
      </c>
      <c r="L96">
        <v>0.61151774478989396</v>
      </c>
      <c r="M96">
        <v>0</v>
      </c>
      <c r="N96">
        <v>3.5905305220468697E-2</v>
      </c>
      <c r="O96">
        <v>0</v>
      </c>
      <c r="P96">
        <v>1.6E-2</v>
      </c>
      <c r="Q96">
        <v>0</v>
      </c>
      <c r="R96">
        <v>0</v>
      </c>
      <c r="S96">
        <v>0</v>
      </c>
      <c r="T96">
        <v>0</v>
      </c>
      <c r="U96">
        <v>0.61644933948734304</v>
      </c>
      <c r="V96" t="s">
        <v>78</v>
      </c>
      <c r="W96">
        <v>3117240.1016586102</v>
      </c>
      <c r="X96" t="s">
        <v>76</v>
      </c>
      <c r="Y96">
        <v>-1.5707963267949001</v>
      </c>
      <c r="Z96">
        <v>0.60817286775786705</v>
      </c>
      <c r="AA96">
        <v>0</v>
      </c>
      <c r="AB96">
        <v>3.3987289817666501E-2</v>
      </c>
      <c r="AC96">
        <v>4.7341914048856602E-3</v>
      </c>
      <c r="AD96">
        <v>5.101268139486E-3</v>
      </c>
      <c r="AE96">
        <v>2.0283786582792999E-2</v>
      </c>
      <c r="AF96">
        <v>0</v>
      </c>
      <c r="AG96">
        <v>0.22699842785308699</v>
      </c>
      <c r="AH96">
        <v>0.347093624438508</v>
      </c>
      <c r="AI96">
        <v>0.33878330110036298</v>
      </c>
      <c r="AJ96" t="s">
        <v>74</v>
      </c>
      <c r="AK96">
        <v>0</v>
      </c>
      <c r="AL96" t="s">
        <v>77</v>
      </c>
      <c r="AM96">
        <v>0</v>
      </c>
      <c r="AN96">
        <v>0.99200000000000099</v>
      </c>
      <c r="AO96">
        <v>0</v>
      </c>
      <c r="AP96">
        <v>5.82453462424753E-2</v>
      </c>
      <c r="AQ96">
        <v>0</v>
      </c>
      <c r="AR96">
        <v>1.6E-2</v>
      </c>
      <c r="AS96">
        <v>0</v>
      </c>
      <c r="AT96">
        <v>0</v>
      </c>
      <c r="AU96">
        <v>0</v>
      </c>
      <c r="AV96">
        <v>0</v>
      </c>
      <c r="AW96">
        <v>1</v>
      </c>
      <c r="AX96" t="s">
        <v>78</v>
      </c>
      <c r="AY96">
        <v>2021486.8300781799</v>
      </c>
      <c r="AZ96" t="s">
        <v>76</v>
      </c>
      <c r="BA96">
        <v>-1.5707963267949001</v>
      </c>
      <c r="BB96">
        <v>0.99200000000000099</v>
      </c>
      <c r="BC96">
        <v>0</v>
      </c>
      <c r="BD96">
        <v>5.82453462424753E-2</v>
      </c>
      <c r="BE96">
        <v>0</v>
      </c>
      <c r="BF96">
        <v>1.6E-2</v>
      </c>
      <c r="BG96">
        <v>0</v>
      </c>
      <c r="BH96">
        <v>0</v>
      </c>
      <c r="BI96" s="1">
        <v>6.8321416900009599E-20</v>
      </c>
      <c r="BJ96" s="1">
        <v>2.0463005659114398E-34</v>
      </c>
      <c r="BK96">
        <v>1</v>
      </c>
      <c r="BL96" s="1">
        <v>9.5558739463985699E-5</v>
      </c>
      <c r="BM96">
        <v>2.8704602614579799E-4</v>
      </c>
      <c r="BN96" s="1">
        <v>3.6037050096344302E-7</v>
      </c>
      <c r="BO96" s="1">
        <v>4.5089084349089096E-6</v>
      </c>
      <c r="BP96">
        <v>0</v>
      </c>
      <c r="BQ96">
        <v>0</v>
      </c>
      <c r="BR96" s="1">
        <v>5.7337083175912403E-5</v>
      </c>
      <c r="BS96">
        <v>1.6138397269130201E-4</v>
      </c>
    </row>
    <row r="97" spans="1:71" x14ac:dyDescent="0.25">
      <c r="A97">
        <v>94</v>
      </c>
      <c r="B97" s="1">
        <v>1.32016067096186E-5</v>
      </c>
      <c r="C97">
        <v>9.8067149585934904E-2</v>
      </c>
      <c r="D97">
        <v>-2.33467095614194E-4</v>
      </c>
      <c r="E97" s="1">
        <v>-6.4148676491355497E-5</v>
      </c>
      <c r="F97">
        <v>-9.8067149585934796E-4</v>
      </c>
      <c r="G97">
        <v>-7.8453719668747802E-4</v>
      </c>
      <c r="H97" t="s">
        <v>74</v>
      </c>
      <c r="I97">
        <v>0</v>
      </c>
      <c r="J97" t="s">
        <v>75</v>
      </c>
      <c r="K97">
        <v>3.14159265358979</v>
      </c>
      <c r="L97">
        <v>0.60738329722950801</v>
      </c>
      <c r="M97">
        <v>0</v>
      </c>
      <c r="N97">
        <v>3.5662550855875899E-2</v>
      </c>
      <c r="O97">
        <v>0</v>
      </c>
      <c r="P97">
        <v>1.6E-2</v>
      </c>
      <c r="Q97">
        <v>0</v>
      </c>
      <c r="R97">
        <v>0</v>
      </c>
      <c r="S97">
        <v>0</v>
      </c>
      <c r="T97">
        <v>0</v>
      </c>
      <c r="U97">
        <v>0.612281549619898</v>
      </c>
      <c r="V97" t="s">
        <v>78</v>
      </c>
      <c r="W97">
        <v>3118028.5550041101</v>
      </c>
      <c r="X97" t="s">
        <v>76</v>
      </c>
      <c r="Y97">
        <v>-1.5707963267949001</v>
      </c>
      <c r="Z97">
        <v>0.60404812276519904</v>
      </c>
      <c r="AA97">
        <v>0</v>
      </c>
      <c r="AB97">
        <v>3.3751095481367302E-2</v>
      </c>
      <c r="AC97">
        <v>4.7604930238620401E-3</v>
      </c>
      <c r="AD97">
        <v>4.9038899930811397E-3</v>
      </c>
      <c r="AE97">
        <v>2.0495159070853398E-2</v>
      </c>
      <c r="AF97">
        <v>0</v>
      </c>
      <c r="AG97">
        <v>0.223712440094847</v>
      </c>
      <c r="AH97">
        <v>0.35661788862759802</v>
      </c>
      <c r="AI97">
        <v>0.33274464449422297</v>
      </c>
      <c r="AJ97" t="s">
        <v>74</v>
      </c>
      <c r="AK97">
        <v>0</v>
      </c>
      <c r="AL97" t="s">
        <v>77</v>
      </c>
      <c r="AM97">
        <v>0</v>
      </c>
      <c r="AN97">
        <v>0.99200000000000099</v>
      </c>
      <c r="AO97">
        <v>0</v>
      </c>
      <c r="AP97">
        <v>5.82453462424753E-2</v>
      </c>
      <c r="AQ97">
        <v>0</v>
      </c>
      <c r="AR97">
        <v>1.6E-2</v>
      </c>
      <c r="AS97">
        <v>0</v>
      </c>
      <c r="AT97">
        <v>0</v>
      </c>
      <c r="AU97">
        <v>0</v>
      </c>
      <c r="AV97">
        <v>0</v>
      </c>
      <c r="AW97">
        <v>1</v>
      </c>
      <c r="AX97" t="s">
        <v>78</v>
      </c>
      <c r="AY97">
        <v>2022176.7267554901</v>
      </c>
      <c r="AZ97" t="s">
        <v>76</v>
      </c>
      <c r="BA97">
        <v>-1.5707963267949001</v>
      </c>
      <c r="BB97">
        <v>0.99200000000000099</v>
      </c>
      <c r="BC97">
        <v>0</v>
      </c>
      <c r="BD97">
        <v>5.82453462424753E-2</v>
      </c>
      <c r="BE97">
        <v>0</v>
      </c>
      <c r="BF97">
        <v>1.6E-2</v>
      </c>
      <c r="BG97">
        <v>0</v>
      </c>
      <c r="BH97">
        <v>0</v>
      </c>
      <c r="BI97" s="1">
        <v>1.02482125350014E-19</v>
      </c>
      <c r="BJ97" s="1">
        <v>2.0463005659114398E-34</v>
      </c>
      <c r="BK97">
        <v>1</v>
      </c>
      <c r="BL97" s="1">
        <v>9.53324159230279E-5</v>
      </c>
      <c r="BM97">
        <v>2.9016516436122298E-4</v>
      </c>
      <c r="BN97" s="1">
        <v>3.5961607789207498E-7</v>
      </c>
      <c r="BO97" s="1">
        <v>4.5579037434244598E-6</v>
      </c>
      <c r="BP97">
        <v>0</v>
      </c>
      <c r="BQ97">
        <v>0</v>
      </c>
      <c r="BR97" s="1">
        <v>5.7198370637897601E-5</v>
      </c>
      <c r="BS97">
        <v>1.63140665342474E-4</v>
      </c>
    </row>
    <row r="98" spans="1:71" x14ac:dyDescent="0.25">
      <c r="A98">
        <v>95</v>
      </c>
      <c r="B98" s="1">
        <v>1.33875240331037E-5</v>
      </c>
      <c r="C98">
        <v>9.8080537109968002E-2</v>
      </c>
      <c r="D98">
        <v>-2.3354430199439401E-4</v>
      </c>
      <c r="E98" s="1">
        <v>-6.4210441595515306E-5</v>
      </c>
      <c r="F98">
        <v>-9.8080537109967894E-4</v>
      </c>
      <c r="G98">
        <v>-7.8464429687974304E-4</v>
      </c>
      <c r="H98" t="s">
        <v>74</v>
      </c>
      <c r="I98">
        <v>0</v>
      </c>
      <c r="J98" t="s">
        <v>75</v>
      </c>
      <c r="K98">
        <v>3.14159265358979</v>
      </c>
      <c r="L98">
        <v>0.60325191374011</v>
      </c>
      <c r="M98">
        <v>0</v>
      </c>
      <c r="N98">
        <v>3.5419976398415799E-2</v>
      </c>
      <c r="O98">
        <v>0</v>
      </c>
      <c r="P98">
        <v>1.6E-2</v>
      </c>
      <c r="Q98">
        <v>0</v>
      </c>
      <c r="R98">
        <v>0</v>
      </c>
      <c r="S98">
        <v>0</v>
      </c>
      <c r="T98">
        <v>0</v>
      </c>
      <c r="U98">
        <v>0.60811684852650305</v>
      </c>
      <c r="V98" t="s">
        <v>78</v>
      </c>
      <c r="W98">
        <v>3118828.0593069</v>
      </c>
      <c r="X98" t="s">
        <v>76</v>
      </c>
      <c r="Y98">
        <v>-1.5707963267949001</v>
      </c>
      <c r="Z98">
        <v>0.59992640408250397</v>
      </c>
      <c r="AA98">
        <v>0</v>
      </c>
      <c r="AB98">
        <v>3.3515065611424998E-2</v>
      </c>
      <c r="AC98">
        <v>4.7868232479595903E-3</v>
      </c>
      <c r="AD98">
        <v>4.7071080021152704E-3</v>
      </c>
      <c r="AE98">
        <v>2.0705885882233901E-2</v>
      </c>
      <c r="AF98">
        <v>0</v>
      </c>
      <c r="AG98">
        <v>0.220210262243801</v>
      </c>
      <c r="AH98">
        <v>0.36635371967469699</v>
      </c>
      <c r="AI98">
        <v>0.326743314679385</v>
      </c>
      <c r="AJ98" t="s">
        <v>74</v>
      </c>
      <c r="AK98">
        <v>0</v>
      </c>
      <c r="AL98" t="s">
        <v>77</v>
      </c>
      <c r="AM98">
        <v>0</v>
      </c>
      <c r="AN98">
        <v>0.99200000000000099</v>
      </c>
      <c r="AO98">
        <v>0</v>
      </c>
      <c r="AP98">
        <v>5.82453462424753E-2</v>
      </c>
      <c r="AQ98">
        <v>0</v>
      </c>
      <c r="AR98">
        <v>1.6E-2</v>
      </c>
      <c r="AS98">
        <v>0</v>
      </c>
      <c r="AT98">
        <v>0</v>
      </c>
      <c r="AU98">
        <v>0</v>
      </c>
      <c r="AV98">
        <v>0</v>
      </c>
      <c r="AW98">
        <v>1</v>
      </c>
      <c r="AX98" t="s">
        <v>78</v>
      </c>
      <c r="AY98">
        <v>2022876.29302044</v>
      </c>
      <c r="AZ98" t="s">
        <v>76</v>
      </c>
      <c r="BA98">
        <v>-1.5707963267949001</v>
      </c>
      <c r="BB98">
        <v>0.99200000000000099</v>
      </c>
      <c r="BC98">
        <v>0</v>
      </c>
      <c r="BD98">
        <v>5.82453462424753E-2</v>
      </c>
      <c r="BE98">
        <v>0</v>
      </c>
      <c r="BF98">
        <v>1.6E-2</v>
      </c>
      <c r="BG98">
        <v>0</v>
      </c>
      <c r="BH98">
        <v>0</v>
      </c>
      <c r="BI98" s="1">
        <v>1.02482125350014E-19</v>
      </c>
      <c r="BJ98" s="1">
        <v>2.0463005659114398E-34</v>
      </c>
      <c r="BK98">
        <v>1</v>
      </c>
      <c r="BL98" s="1">
        <v>9.5106278871375503E-5</v>
      </c>
      <c r="BM98">
        <v>2.9328199095924901E-4</v>
      </c>
      <c r="BN98" s="1">
        <v>3.58862487012196E-7</v>
      </c>
      <c r="BO98" s="1">
        <v>4.6068627411388204E-6</v>
      </c>
      <c r="BP98">
        <v>0</v>
      </c>
      <c r="BQ98">
        <v>0</v>
      </c>
      <c r="BR98" s="1">
        <v>5.7059785084843703E-5</v>
      </c>
      <c r="BS98">
        <v>1.6489616694235199E-4</v>
      </c>
    </row>
    <row r="99" spans="1:71" x14ac:dyDescent="0.25">
      <c r="A99">
        <v>96</v>
      </c>
      <c r="B99" s="1">
        <v>1.35913897362785E-5</v>
      </c>
      <c r="C99">
        <v>9.8094128499704294E-2</v>
      </c>
      <c r="D99">
        <v>-2.3362267882945099E-4</v>
      </c>
      <c r="E99" s="1">
        <v>-6.4273143063560902E-5</v>
      </c>
      <c r="F99">
        <v>-9.8094128499704196E-4</v>
      </c>
      <c r="G99">
        <v>-7.8475302799763298E-4</v>
      </c>
      <c r="H99" t="s">
        <v>74</v>
      </c>
      <c r="I99">
        <v>0</v>
      </c>
      <c r="J99" t="s">
        <v>75</v>
      </c>
      <c r="K99">
        <v>3.14159265358979</v>
      </c>
      <c r="L99">
        <v>0.59912382614202098</v>
      </c>
      <c r="M99">
        <v>0</v>
      </c>
      <c r="N99">
        <v>3.5177595459433997E-2</v>
      </c>
      <c r="O99">
        <v>0</v>
      </c>
      <c r="P99">
        <v>1.6E-2</v>
      </c>
      <c r="Q99">
        <v>0</v>
      </c>
      <c r="R99">
        <v>0</v>
      </c>
      <c r="S99">
        <v>0</v>
      </c>
      <c r="T99">
        <v>0</v>
      </c>
      <c r="U99">
        <v>0.60395546990090998</v>
      </c>
      <c r="V99" t="s">
        <v>78</v>
      </c>
      <c r="W99">
        <v>3119639.6841584402</v>
      </c>
      <c r="X99" t="s">
        <v>76</v>
      </c>
      <c r="Y99">
        <v>-1.5707963267949001</v>
      </c>
      <c r="Z99">
        <v>0.59580792802682303</v>
      </c>
      <c r="AA99">
        <v>0</v>
      </c>
      <c r="AB99">
        <v>3.3279206182573101E-2</v>
      </c>
      <c r="AC99">
        <v>4.8131990572868903E-3</v>
      </c>
      <c r="AD99">
        <v>4.5109539880042104E-3</v>
      </c>
      <c r="AE99">
        <v>2.0915947479148302E-2</v>
      </c>
      <c r="AF99">
        <v>0</v>
      </c>
      <c r="AG99">
        <v>0.21648475842693701</v>
      </c>
      <c r="AH99">
        <v>0.37630790366987299</v>
      </c>
      <c r="AI99">
        <v>0.32077993510254199</v>
      </c>
      <c r="AJ99" t="s">
        <v>74</v>
      </c>
      <c r="AK99">
        <v>0</v>
      </c>
      <c r="AL99" t="s">
        <v>77</v>
      </c>
      <c r="AM99">
        <v>0</v>
      </c>
      <c r="AN99">
        <v>0.99200000000000099</v>
      </c>
      <c r="AO99">
        <v>0</v>
      </c>
      <c r="AP99">
        <v>5.82453462424753E-2</v>
      </c>
      <c r="AQ99">
        <v>0</v>
      </c>
      <c r="AR99">
        <v>1.6E-2</v>
      </c>
      <c r="AS99">
        <v>0</v>
      </c>
      <c r="AT99">
        <v>0</v>
      </c>
      <c r="AU99">
        <v>0</v>
      </c>
      <c r="AV99">
        <v>0</v>
      </c>
      <c r="AW99">
        <v>1</v>
      </c>
      <c r="AX99" t="s">
        <v>78</v>
      </c>
      <c r="AY99">
        <v>2023586.4647655301</v>
      </c>
      <c r="AZ99" t="s">
        <v>76</v>
      </c>
      <c r="BA99">
        <v>-1.5707963267949001</v>
      </c>
      <c r="BB99">
        <v>0.99200000000000099</v>
      </c>
      <c r="BC99">
        <v>0</v>
      </c>
      <c r="BD99">
        <v>5.82453462424753E-2</v>
      </c>
      <c r="BE99">
        <v>0</v>
      </c>
      <c r="BF99">
        <v>1.6E-2</v>
      </c>
      <c r="BG99">
        <v>0</v>
      </c>
      <c r="BH99">
        <v>0</v>
      </c>
      <c r="BI99" s="1">
        <v>1.02482125350014E-19</v>
      </c>
      <c r="BJ99" s="1">
        <v>2.1666711874356399E-34</v>
      </c>
      <c r="BK99">
        <v>1</v>
      </c>
      <c r="BL99" s="1">
        <v>9.4880346592122298E-5</v>
      </c>
      <c r="BM99">
        <v>2.9639633104840498E-4</v>
      </c>
      <c r="BN99" s="1">
        <v>3.58109815809391E-7</v>
      </c>
      <c r="BO99" s="1">
        <v>4.6557826808631802E-6</v>
      </c>
      <c r="BP99">
        <v>0</v>
      </c>
      <c r="BQ99">
        <v>0</v>
      </c>
      <c r="BR99" s="1">
        <v>5.6921339414849998E-5</v>
      </c>
      <c r="BS99">
        <v>1.6665038468583501E-4</v>
      </c>
    </row>
    <row r="100" spans="1:71" x14ac:dyDescent="0.25">
      <c r="A100">
        <v>97</v>
      </c>
      <c r="B100" s="1">
        <v>1.3815038764710399E-5</v>
      </c>
      <c r="C100">
        <v>9.8107943538468995E-2</v>
      </c>
      <c r="D100">
        <v>-2.3370233995706301E-4</v>
      </c>
      <c r="E100" s="1">
        <v>-6.4336871965650795E-5</v>
      </c>
      <c r="F100">
        <v>-9.8107943538468896E-4</v>
      </c>
      <c r="G100">
        <v>-7.8486354830775099E-4</v>
      </c>
      <c r="H100" t="s">
        <v>74</v>
      </c>
      <c r="I100">
        <v>0</v>
      </c>
      <c r="J100" t="s">
        <v>75</v>
      </c>
      <c r="K100">
        <v>3.14159265358979</v>
      </c>
      <c r="L100">
        <v>0.59499929347509395</v>
      </c>
      <c r="M100">
        <v>0</v>
      </c>
      <c r="N100">
        <v>3.4935423248472701E-2</v>
      </c>
      <c r="O100">
        <v>0</v>
      </c>
      <c r="P100">
        <v>1.6E-2</v>
      </c>
      <c r="Q100">
        <v>0</v>
      </c>
      <c r="R100">
        <v>0</v>
      </c>
      <c r="S100">
        <v>0</v>
      </c>
      <c r="T100">
        <v>0</v>
      </c>
      <c r="U100">
        <v>0.59979767487406699</v>
      </c>
      <c r="V100" t="s">
        <v>78</v>
      </c>
      <c r="W100">
        <v>3120464.60839561</v>
      </c>
      <c r="X100" t="s">
        <v>76</v>
      </c>
      <c r="Y100">
        <v>-1.5707963267949001</v>
      </c>
      <c r="Z100">
        <v>0.59169293658905797</v>
      </c>
      <c r="AA100">
        <v>0</v>
      </c>
      <c r="AB100">
        <v>3.3043524018661598E-2</v>
      </c>
      <c r="AC100">
        <v>4.8396460555404997E-3</v>
      </c>
      <c r="AD100">
        <v>4.3154619047546701E-3</v>
      </c>
      <c r="AE100">
        <v>2.1125323064245499E-2</v>
      </c>
      <c r="AF100">
        <v>0</v>
      </c>
      <c r="AG100">
        <v>0.212528276175142</v>
      </c>
      <c r="AH100">
        <v>0.38648770222900097</v>
      </c>
      <c r="AI100">
        <v>0.31485516479237302</v>
      </c>
      <c r="AJ100" t="s">
        <v>74</v>
      </c>
      <c r="AK100">
        <v>0</v>
      </c>
      <c r="AL100" t="s">
        <v>77</v>
      </c>
      <c r="AM100">
        <v>0</v>
      </c>
      <c r="AN100">
        <v>0.99200000000000099</v>
      </c>
      <c r="AO100">
        <v>0</v>
      </c>
      <c r="AP100">
        <v>5.82453462424753E-2</v>
      </c>
      <c r="AQ100">
        <v>0</v>
      </c>
      <c r="AR100">
        <v>1.6E-2</v>
      </c>
      <c r="AS100">
        <v>0</v>
      </c>
      <c r="AT100">
        <v>0</v>
      </c>
      <c r="AU100">
        <v>0</v>
      </c>
      <c r="AV100">
        <v>0</v>
      </c>
      <c r="AW100">
        <v>1</v>
      </c>
      <c r="AX100" t="s">
        <v>78</v>
      </c>
      <c r="AY100">
        <v>2024308.27347306</v>
      </c>
      <c r="AZ100" t="s">
        <v>76</v>
      </c>
      <c r="BA100">
        <v>-1.5707963267949001</v>
      </c>
      <c r="BB100">
        <v>0.99200000000000099</v>
      </c>
      <c r="BC100">
        <v>0</v>
      </c>
      <c r="BD100">
        <v>5.82453462424753E-2</v>
      </c>
      <c r="BE100">
        <v>0</v>
      </c>
      <c r="BF100">
        <v>1.6E-2</v>
      </c>
      <c r="BG100">
        <v>0</v>
      </c>
      <c r="BH100">
        <v>0</v>
      </c>
      <c r="BI100" s="1">
        <v>1.02482125350014E-19</v>
      </c>
      <c r="BJ100" s="1">
        <v>2.1666711874356399E-34</v>
      </c>
      <c r="BK100">
        <v>1</v>
      </c>
      <c r="BL100" s="1">
        <v>9.4654642903812698E-5</v>
      </c>
      <c r="BM100">
        <v>2.99507989202072E-4</v>
      </c>
      <c r="BN100" s="1">
        <v>3.5735818507359398E-7</v>
      </c>
      <c r="BO100" s="1">
        <v>4.7046604928434003E-6</v>
      </c>
      <c r="BP100">
        <v>0</v>
      </c>
      <c r="BQ100">
        <v>0</v>
      </c>
      <c r="BR100" s="1">
        <v>5.6783049912253701E-5</v>
      </c>
      <c r="BS100">
        <v>1.6840321482545199E-4</v>
      </c>
    </row>
    <row r="101" spans="1:71" x14ac:dyDescent="0.25">
      <c r="A101">
        <v>98</v>
      </c>
      <c r="B101" s="1">
        <v>1.4060601944836901E-5</v>
      </c>
      <c r="C101">
        <v>9.8122004140413804E-2</v>
      </c>
      <c r="D101">
        <v>-2.33783411465796E-4</v>
      </c>
      <c r="E101" s="1">
        <v>-6.4401729172636898E-5</v>
      </c>
      <c r="F101">
        <v>-9.8122004140413694E-4</v>
      </c>
      <c r="G101">
        <v>-7.8497603312330895E-4</v>
      </c>
      <c r="H101" t="s">
        <v>74</v>
      </c>
      <c r="I101">
        <v>0</v>
      </c>
      <c r="J101" t="s">
        <v>75</v>
      </c>
      <c r="K101">
        <v>3.14159265358979</v>
      </c>
      <c r="L101">
        <v>0.59087860639691703</v>
      </c>
      <c r="M101">
        <v>0</v>
      </c>
      <c r="N101">
        <v>3.4693476831511798E-2</v>
      </c>
      <c r="O101">
        <v>0</v>
      </c>
      <c r="P101">
        <v>1.6E-2</v>
      </c>
      <c r="Q101">
        <v>0</v>
      </c>
      <c r="R101">
        <v>0</v>
      </c>
      <c r="S101">
        <v>0</v>
      </c>
      <c r="T101">
        <v>0</v>
      </c>
      <c r="U101">
        <v>0.59564375644850498</v>
      </c>
      <c r="V101" t="s">
        <v>78</v>
      </c>
      <c r="W101">
        <v>3121304.1377181699</v>
      </c>
      <c r="X101" t="s">
        <v>76</v>
      </c>
      <c r="Y101">
        <v>-1.5707963267949001</v>
      </c>
      <c r="Z101">
        <v>0.58758170156888401</v>
      </c>
      <c r="AA101">
        <v>0</v>
      </c>
      <c r="AB101">
        <v>3.2808026923043902E-2</v>
      </c>
      <c r="AC101">
        <v>4.8661345454426496E-3</v>
      </c>
      <c r="AD101">
        <v>4.1206681835780903E-3</v>
      </c>
      <c r="AE101">
        <v>2.1333990391481799E-2</v>
      </c>
      <c r="AF101">
        <v>0</v>
      </c>
      <c r="AG101">
        <v>0.20833259098566401</v>
      </c>
      <c r="AH101">
        <v>0.396900901295061</v>
      </c>
      <c r="AI101">
        <v>0.30896970340228902</v>
      </c>
      <c r="AJ101" t="s">
        <v>74</v>
      </c>
      <c r="AK101">
        <v>0</v>
      </c>
      <c r="AL101" t="s">
        <v>77</v>
      </c>
      <c r="AM101">
        <v>0</v>
      </c>
      <c r="AN101">
        <v>0.99200000000000099</v>
      </c>
      <c r="AO101">
        <v>0</v>
      </c>
      <c r="AP101">
        <v>5.82453462424753E-2</v>
      </c>
      <c r="AQ101">
        <v>0</v>
      </c>
      <c r="AR101">
        <v>1.6E-2</v>
      </c>
      <c r="AS101">
        <v>0</v>
      </c>
      <c r="AT101">
        <v>0</v>
      </c>
      <c r="AU101">
        <v>0</v>
      </c>
      <c r="AV101">
        <v>0</v>
      </c>
      <c r="AW101">
        <v>1</v>
      </c>
      <c r="AX101" t="s">
        <v>78</v>
      </c>
      <c r="AY101">
        <v>2025042.86163029</v>
      </c>
      <c r="AZ101" t="s">
        <v>76</v>
      </c>
      <c r="BA101">
        <v>-1.5707963267949001</v>
      </c>
      <c r="BB101">
        <v>0.99200000000000099</v>
      </c>
      <c r="BC101">
        <v>0</v>
      </c>
      <c r="BD101">
        <v>5.82453462424753E-2</v>
      </c>
      <c r="BE101">
        <v>0</v>
      </c>
      <c r="BF101">
        <v>1.6E-2</v>
      </c>
      <c r="BG101">
        <v>0</v>
      </c>
      <c r="BH101">
        <v>0</v>
      </c>
      <c r="BI101" s="1">
        <v>1.02482125350014E-19</v>
      </c>
      <c r="BJ101" s="1">
        <v>2.28704180895984E-34</v>
      </c>
      <c r="BK101">
        <v>1</v>
      </c>
      <c r="BL101" s="1">
        <v>9.4429165392474401E-5</v>
      </c>
      <c r="BM101">
        <v>3.0261674614036202E-4</v>
      </c>
      <c r="BN101" s="1">
        <v>3.5660753289458602E-7</v>
      </c>
      <c r="BO101" s="1">
        <v>4.7534927326390497E-6</v>
      </c>
      <c r="BP101">
        <v>0</v>
      </c>
      <c r="BQ101">
        <v>0</v>
      </c>
      <c r="BR101" s="1">
        <v>5.6644918430360601E-5</v>
      </c>
      <c r="BS101">
        <v>1.7015454089755699E-4</v>
      </c>
    </row>
    <row r="102" spans="1:71" x14ac:dyDescent="0.25">
      <c r="A102">
        <v>99</v>
      </c>
      <c r="B102" s="1">
        <v>1.4330566526159299E-5</v>
      </c>
      <c r="C102">
        <v>9.8136334706939998E-2</v>
      </c>
      <c r="D102">
        <v>-2.3386603374439701E-4</v>
      </c>
      <c r="E102" s="1">
        <v>-6.4467826995517902E-5</v>
      </c>
      <c r="F102">
        <v>-9.813633470693989E-4</v>
      </c>
      <c r="G102">
        <v>-7.8509067765551905E-4</v>
      </c>
      <c r="H102" t="s">
        <v>74</v>
      </c>
      <c r="I102">
        <v>0</v>
      </c>
      <c r="J102" t="s">
        <v>75</v>
      </c>
      <c r="K102">
        <v>3.14159265358979</v>
      </c>
      <c r="L102">
        <v>0.58676209249797795</v>
      </c>
      <c r="M102">
        <v>0</v>
      </c>
      <c r="N102">
        <v>3.4451775443048401E-2</v>
      </c>
      <c r="O102">
        <v>0</v>
      </c>
      <c r="P102">
        <v>1.6E-2</v>
      </c>
      <c r="Q102">
        <v>0</v>
      </c>
      <c r="R102">
        <v>0</v>
      </c>
      <c r="S102">
        <v>0</v>
      </c>
      <c r="T102">
        <v>0</v>
      </c>
      <c r="U102">
        <v>0.591494044856821</v>
      </c>
      <c r="V102" t="s">
        <v>78</v>
      </c>
      <c r="W102">
        <v>3122159.7259101998</v>
      </c>
      <c r="X102" t="s">
        <v>76</v>
      </c>
      <c r="Y102">
        <v>-1.5707963267949001</v>
      </c>
      <c r="Z102">
        <v>0.58347452957198398</v>
      </c>
      <c r="AA102">
        <v>0</v>
      </c>
      <c r="AB102">
        <v>3.2572723836361998E-2</v>
      </c>
      <c r="AC102">
        <v>4.8927051923457398E-3</v>
      </c>
      <c r="AD102">
        <v>3.9266121475815003E-3</v>
      </c>
      <c r="AE102">
        <v>2.15419255369276E-2</v>
      </c>
      <c r="AF102">
        <v>0</v>
      </c>
      <c r="AG102">
        <v>0.20388884327544801</v>
      </c>
      <c r="AH102">
        <v>0.40755586616499401</v>
      </c>
      <c r="AI102">
        <v>0.30312429727918999</v>
      </c>
      <c r="AJ102" t="s">
        <v>74</v>
      </c>
      <c r="AK102">
        <v>0</v>
      </c>
      <c r="AL102" t="s">
        <v>77</v>
      </c>
      <c r="AM102">
        <v>0</v>
      </c>
      <c r="AN102">
        <v>0.99200000000000099</v>
      </c>
      <c r="AO102">
        <v>0</v>
      </c>
      <c r="AP102">
        <v>5.82453462424753E-2</v>
      </c>
      <c r="AQ102">
        <v>0</v>
      </c>
      <c r="AR102">
        <v>1.6E-2</v>
      </c>
      <c r="AS102">
        <v>0</v>
      </c>
      <c r="AT102">
        <v>0</v>
      </c>
      <c r="AU102">
        <v>0</v>
      </c>
      <c r="AV102">
        <v>0</v>
      </c>
      <c r="AW102">
        <v>1</v>
      </c>
      <c r="AX102" t="s">
        <v>78</v>
      </c>
      <c r="AY102">
        <v>2025791.50129832</v>
      </c>
      <c r="AZ102" t="s">
        <v>76</v>
      </c>
      <c r="BA102">
        <v>-1.5707963267949001</v>
      </c>
      <c r="BB102">
        <v>0.99200000000000099</v>
      </c>
      <c r="BC102">
        <v>0</v>
      </c>
      <c r="BD102">
        <v>5.82453462424753E-2</v>
      </c>
      <c r="BE102">
        <v>0</v>
      </c>
      <c r="BF102">
        <v>1.6E-2</v>
      </c>
      <c r="BG102">
        <v>0</v>
      </c>
      <c r="BH102">
        <v>0</v>
      </c>
      <c r="BI102" s="1">
        <v>1.02482125350014E-19</v>
      </c>
      <c r="BJ102" s="1">
        <v>2.28704180895984E-34</v>
      </c>
      <c r="BK102">
        <v>1</v>
      </c>
      <c r="BL102" s="1">
        <v>9.4203948478353304E-5</v>
      </c>
      <c r="BM102">
        <v>3.0572235472022099E-4</v>
      </c>
      <c r="BN102" s="1">
        <v>3.55858041280022E-7</v>
      </c>
      <c r="BO102" s="1">
        <v>4.8022755181360996E-6</v>
      </c>
      <c r="BP102">
        <v>0</v>
      </c>
      <c r="BQ102">
        <v>0</v>
      </c>
      <c r="BR102" s="1">
        <v>5.6506967905753902E-5</v>
      </c>
      <c r="BS102">
        <v>1.7190423157820999E-4</v>
      </c>
    </row>
    <row r="103" spans="1:71" x14ac:dyDescent="0.25">
      <c r="A103">
        <v>100</v>
      </c>
      <c r="B103" s="1">
        <v>1.46278524025789E-5</v>
      </c>
      <c r="C103">
        <v>9.8150962559342594E-2</v>
      </c>
      <c r="D103">
        <v>-2.3395036396928399E-4</v>
      </c>
      <c r="E103" s="1">
        <v>-6.4535291175426806E-5</v>
      </c>
      <c r="F103">
        <v>-9.8150962559342405E-4</v>
      </c>
      <c r="G103">
        <v>-7.8520770047473898E-4</v>
      </c>
      <c r="H103" t="s">
        <v>74</v>
      </c>
      <c r="I103">
        <v>0</v>
      </c>
      <c r="J103" t="s">
        <v>75</v>
      </c>
      <c r="K103">
        <v>3.14159265358979</v>
      </c>
      <c r="L103">
        <v>0.58265012277093098</v>
      </c>
      <c r="M103">
        <v>0</v>
      </c>
      <c r="N103">
        <v>3.4210340865941102E-2</v>
      </c>
      <c r="O103">
        <v>0</v>
      </c>
      <c r="P103">
        <v>1.6E-2</v>
      </c>
      <c r="Q103">
        <v>0</v>
      </c>
      <c r="R103">
        <v>0</v>
      </c>
      <c r="S103">
        <v>0</v>
      </c>
      <c r="T103">
        <v>0</v>
      </c>
      <c r="U103">
        <v>0.58734891408343703</v>
      </c>
      <c r="V103" t="s">
        <v>78</v>
      </c>
      <c r="W103">
        <v>3123033.0005991198</v>
      </c>
      <c r="X103" t="s">
        <v>76</v>
      </c>
      <c r="Y103">
        <v>-1.5707963267949001</v>
      </c>
      <c r="Z103">
        <v>0.57937176809238999</v>
      </c>
      <c r="AA103">
        <v>0</v>
      </c>
      <c r="AB103">
        <v>3.2337625028727099E-2</v>
      </c>
      <c r="AC103">
        <v>4.9193299830558798E-3</v>
      </c>
      <c r="AD103">
        <v>3.7333365148721201E-3</v>
      </c>
      <c r="AE103">
        <v>2.17491026187372E-2</v>
      </c>
      <c r="AF103">
        <v>0</v>
      </c>
      <c r="AG103">
        <v>0.19918746652105701</v>
      </c>
      <c r="AH103">
        <v>0.41846160358860301</v>
      </c>
      <c r="AI103">
        <v>0.29731974682538498</v>
      </c>
      <c r="AJ103" t="s">
        <v>74</v>
      </c>
      <c r="AK103">
        <v>0</v>
      </c>
      <c r="AL103" t="s">
        <v>77</v>
      </c>
      <c r="AM103">
        <v>0</v>
      </c>
      <c r="AN103">
        <v>0.99200000000000099</v>
      </c>
      <c r="AO103">
        <v>0</v>
      </c>
      <c r="AP103">
        <v>5.82453462424753E-2</v>
      </c>
      <c r="AQ103">
        <v>0</v>
      </c>
      <c r="AR103">
        <v>1.6E-2</v>
      </c>
      <c r="AS103">
        <v>0</v>
      </c>
      <c r="AT103">
        <v>0</v>
      </c>
      <c r="AU103">
        <v>0</v>
      </c>
      <c r="AV103">
        <v>0</v>
      </c>
      <c r="AW103">
        <v>1</v>
      </c>
      <c r="AX103" t="s">
        <v>78</v>
      </c>
      <c r="AY103">
        <v>2026555.6166511299</v>
      </c>
      <c r="AZ103" t="s">
        <v>76</v>
      </c>
      <c r="BA103">
        <v>-1.5707963267949001</v>
      </c>
      <c r="BB103">
        <v>0.99200000000000099</v>
      </c>
      <c r="BC103">
        <v>0</v>
      </c>
      <c r="BD103">
        <v>5.82453462424753E-2</v>
      </c>
      <c r="BE103">
        <v>0</v>
      </c>
      <c r="BF103">
        <v>1.6E-2</v>
      </c>
      <c r="BG103">
        <v>0</v>
      </c>
      <c r="BH103">
        <v>0</v>
      </c>
      <c r="BI103" s="1">
        <v>1.02482125350014E-19</v>
      </c>
      <c r="BJ103" s="1">
        <v>2.4074124304840401E-34</v>
      </c>
      <c r="BK103">
        <v>1</v>
      </c>
      <c r="BL103" s="1">
        <v>9.3978994181337299E-5</v>
      </c>
      <c r="BM103">
        <v>3.0882453505483E-4</v>
      </c>
      <c r="BN103" s="1">
        <v>3.5510966589113902E-7</v>
      </c>
      <c r="BO103" s="1">
        <v>4.8510044528826899E-6</v>
      </c>
      <c r="BP103">
        <v>0</v>
      </c>
      <c r="BQ103">
        <v>0</v>
      </c>
      <c r="BR103" s="1">
        <v>5.6369203495479197E-5</v>
      </c>
      <c r="BS103">
        <v>1.7365213807290901E-4</v>
      </c>
    </row>
    <row r="104" spans="1:71" x14ac:dyDescent="0.25">
      <c r="A104">
        <v>101</v>
      </c>
      <c r="B104" s="1">
        <v>1.49559089571609E-5</v>
      </c>
      <c r="C104">
        <v>9.8165918468299695E-2</v>
      </c>
      <c r="D104">
        <v>-2.3403657914873799E-4</v>
      </c>
      <c r="E104" s="1">
        <v>-6.4604263318990602E-5</v>
      </c>
      <c r="F104">
        <v>-9.8165918468299607E-4</v>
      </c>
      <c r="G104">
        <v>-7.8532734774639705E-4</v>
      </c>
      <c r="H104" t="s">
        <v>74</v>
      </c>
      <c r="I104">
        <v>0</v>
      </c>
      <c r="J104" t="s">
        <v>75</v>
      </c>
      <c r="K104">
        <v>3.14159265358979</v>
      </c>
      <c r="L104">
        <v>0.57854311954508097</v>
      </c>
      <c r="M104">
        <v>0</v>
      </c>
      <c r="N104">
        <v>3.3969197897283199E-2</v>
      </c>
      <c r="O104">
        <v>0</v>
      </c>
      <c r="P104">
        <v>1.6E-2</v>
      </c>
      <c r="Q104">
        <v>0</v>
      </c>
      <c r="R104">
        <v>0</v>
      </c>
      <c r="S104">
        <v>0</v>
      </c>
      <c r="T104">
        <v>0</v>
      </c>
      <c r="U104">
        <v>0.58320878986325397</v>
      </c>
      <c r="V104" t="s">
        <v>78</v>
      </c>
      <c r="W104">
        <v>3123925.7947796299</v>
      </c>
      <c r="X104" t="s">
        <v>76</v>
      </c>
      <c r="Y104">
        <v>-1.5707963267949001</v>
      </c>
      <c r="Z104">
        <v>0.57527381297213598</v>
      </c>
      <c r="AA104">
        <v>0</v>
      </c>
      <c r="AB104">
        <v>3.2102742335438299E-2</v>
      </c>
      <c r="AC104">
        <v>4.9460427321076699E-3</v>
      </c>
      <c r="AD104">
        <v>3.54088801417962E-3</v>
      </c>
      <c r="AE104">
        <v>2.1955493452030302E-2</v>
      </c>
      <c r="AF104">
        <v>0</v>
      </c>
      <c r="AG104">
        <v>0.19421810519473201</v>
      </c>
      <c r="AH104">
        <v>0.429627831860523</v>
      </c>
      <c r="AI104">
        <v>0.29155691550458501</v>
      </c>
      <c r="AJ104" t="s">
        <v>74</v>
      </c>
      <c r="AK104">
        <v>0</v>
      </c>
      <c r="AL104" t="s">
        <v>77</v>
      </c>
      <c r="AM104">
        <v>0</v>
      </c>
      <c r="AN104">
        <v>0.99200000000000099</v>
      </c>
      <c r="AO104">
        <v>0</v>
      </c>
      <c r="AP104">
        <v>5.82453462424753E-2</v>
      </c>
      <c r="AQ104">
        <v>0</v>
      </c>
      <c r="AR104">
        <v>1.6E-2</v>
      </c>
      <c r="AS104">
        <v>0</v>
      </c>
      <c r="AT104">
        <v>0</v>
      </c>
      <c r="AU104">
        <v>0</v>
      </c>
      <c r="AV104">
        <v>0</v>
      </c>
      <c r="AW104">
        <v>1</v>
      </c>
      <c r="AX104" t="s">
        <v>78</v>
      </c>
      <c r="AY104">
        <v>2027336.8115590699</v>
      </c>
      <c r="AZ104" t="s">
        <v>76</v>
      </c>
      <c r="BA104">
        <v>-1.5707963267949001</v>
      </c>
      <c r="BB104">
        <v>0.99200000000000099</v>
      </c>
      <c r="BC104">
        <v>0</v>
      </c>
      <c r="BD104">
        <v>5.82453462424753E-2</v>
      </c>
      <c r="BE104">
        <v>0</v>
      </c>
      <c r="BF104">
        <v>1.6E-2</v>
      </c>
      <c r="BG104">
        <v>0</v>
      </c>
      <c r="BH104">
        <v>0</v>
      </c>
      <c r="BI104" s="1">
        <v>1.02482125350014E-19</v>
      </c>
      <c r="BJ104" s="1">
        <v>2.5277830520082501E-34</v>
      </c>
      <c r="BK104">
        <v>1</v>
      </c>
      <c r="BL104" s="1">
        <v>9.3754337724889894E-5</v>
      </c>
      <c r="BM104">
        <v>3.1192296852762698E-4</v>
      </c>
      <c r="BN104" s="1">
        <v>3.5436257944764203E-7</v>
      </c>
      <c r="BO104" s="1">
        <v>4.8996745320615702E-6</v>
      </c>
      <c r="BP104">
        <v>0</v>
      </c>
      <c r="BQ104">
        <v>0</v>
      </c>
      <c r="BR104" s="1">
        <v>5.6231649545572403E-5</v>
      </c>
      <c r="BS104">
        <v>1.7539809091446701E-4</v>
      </c>
    </row>
    <row r="105" spans="1:71" x14ac:dyDescent="0.25">
      <c r="A105">
        <v>102</v>
      </c>
      <c r="B105" s="1">
        <v>1.5318839339883401E-5</v>
      </c>
      <c r="C105">
        <v>9.8181237307639599E-2</v>
      </c>
      <c r="D105">
        <v>-2.3412487988150801E-4</v>
      </c>
      <c r="E105" s="1">
        <v>-6.4674903905206094E-5</v>
      </c>
      <c r="F105">
        <v>-9.8181237307639496E-4</v>
      </c>
      <c r="G105">
        <v>-7.8544989846111597E-4</v>
      </c>
      <c r="H105" t="s">
        <v>74</v>
      </c>
      <c r="I105">
        <v>0</v>
      </c>
      <c r="J105" t="s">
        <v>75</v>
      </c>
      <c r="K105">
        <v>3.14159265358979</v>
      </c>
      <c r="L105">
        <v>0.574441566298729</v>
      </c>
      <c r="M105">
        <v>0</v>
      </c>
      <c r="N105">
        <v>3.3728374924535599E-2</v>
      </c>
      <c r="O105">
        <v>0</v>
      </c>
      <c r="P105">
        <v>1.6E-2</v>
      </c>
      <c r="Q105">
        <v>0</v>
      </c>
      <c r="R105">
        <v>0</v>
      </c>
      <c r="S105">
        <v>0</v>
      </c>
      <c r="T105">
        <v>0</v>
      </c>
      <c r="U105">
        <v>0.57907415957325903</v>
      </c>
      <c r="V105" t="s">
        <v>78</v>
      </c>
      <c r="W105">
        <v>3124840.1857354799</v>
      </c>
      <c r="X105" t="s">
        <v>76</v>
      </c>
      <c r="Y105">
        <v>-1.5707963267949001</v>
      </c>
      <c r="Z105">
        <v>0.57118111762567803</v>
      </c>
      <c r="AA105">
        <v>0</v>
      </c>
      <c r="AB105">
        <v>3.1868089448319002E-2</v>
      </c>
      <c r="AC105">
        <v>4.9728629318621003E-3</v>
      </c>
      <c r="AD105">
        <v>3.3493181450386898E-3</v>
      </c>
      <c r="AE105">
        <v>2.2161067119605998E-2</v>
      </c>
      <c r="AF105">
        <v>0</v>
      </c>
      <c r="AG105">
        <v>0.18896952091063901</v>
      </c>
      <c r="AH105">
        <v>0.44106505986856798</v>
      </c>
      <c r="AI105">
        <v>0.28583674095820299</v>
      </c>
      <c r="AJ105" t="s">
        <v>74</v>
      </c>
      <c r="AK105">
        <v>0</v>
      </c>
      <c r="AL105" t="s">
        <v>77</v>
      </c>
      <c r="AM105">
        <v>0</v>
      </c>
      <c r="AN105">
        <v>0.99200000000000099</v>
      </c>
      <c r="AO105">
        <v>0</v>
      </c>
      <c r="AP105">
        <v>5.82453462424753E-2</v>
      </c>
      <c r="AQ105">
        <v>0</v>
      </c>
      <c r="AR105">
        <v>1.6E-2</v>
      </c>
      <c r="AS105">
        <v>0</v>
      </c>
      <c r="AT105">
        <v>0</v>
      </c>
      <c r="AU105">
        <v>0</v>
      </c>
      <c r="AV105">
        <v>0</v>
      </c>
      <c r="AW105">
        <v>1</v>
      </c>
      <c r="AX105" t="s">
        <v>78</v>
      </c>
      <c r="AY105">
        <v>2028136.90364545</v>
      </c>
      <c r="AZ105" t="s">
        <v>76</v>
      </c>
      <c r="BA105">
        <v>-1.5707963267949001</v>
      </c>
      <c r="BB105">
        <v>0.99200000000000099</v>
      </c>
      <c r="BC105">
        <v>0</v>
      </c>
      <c r="BD105">
        <v>5.82453462424753E-2</v>
      </c>
      <c r="BE105">
        <v>0</v>
      </c>
      <c r="BF105">
        <v>1.6E-2</v>
      </c>
      <c r="BG105">
        <v>0</v>
      </c>
      <c r="BH105">
        <v>0</v>
      </c>
      <c r="BI105" s="1">
        <v>1.02482125350014E-19</v>
      </c>
      <c r="BJ105" s="1">
        <v>3.12963615962926E-34</v>
      </c>
      <c r="BK105">
        <v>1</v>
      </c>
      <c r="BL105" s="1">
        <v>9.3530009894833604E-5</v>
      </c>
      <c r="BM105">
        <v>3.15017290389603E-4</v>
      </c>
      <c r="BN105" s="1">
        <v>3.5361691506963499E-7</v>
      </c>
      <c r="BO105" s="1">
        <v>4.9482800262087003E-6</v>
      </c>
      <c r="BP105">
        <v>0</v>
      </c>
      <c r="BQ105">
        <v>0</v>
      </c>
      <c r="BR105" s="1">
        <v>5.6094328525976302E-5</v>
      </c>
      <c r="BS105">
        <v>1.7714189600230701E-4</v>
      </c>
    </row>
    <row r="106" spans="1:71" x14ac:dyDescent="0.25">
      <c r="A106">
        <v>103</v>
      </c>
      <c r="B106" s="1">
        <v>1.5721561684227101E-5</v>
      </c>
      <c r="C106">
        <v>9.8196958869323794E-2</v>
      </c>
      <c r="D106">
        <v>-2.3421549504210699E-4</v>
      </c>
      <c r="E106" s="1">
        <v>-6.4747396033685794E-5</v>
      </c>
      <c r="F106">
        <v>-9.8196958869323702E-4</v>
      </c>
      <c r="G106">
        <v>-7.8557567095459001E-4</v>
      </c>
      <c r="H106" t="s">
        <v>74</v>
      </c>
      <c r="I106">
        <v>0</v>
      </c>
      <c r="J106" t="s">
        <v>75</v>
      </c>
      <c r="K106">
        <v>3.14159265358979</v>
      </c>
      <c r="L106">
        <v>0.570346019902496</v>
      </c>
      <c r="M106">
        <v>0</v>
      </c>
      <c r="N106">
        <v>3.3487904644393697E-2</v>
      </c>
      <c r="O106">
        <v>0</v>
      </c>
      <c r="P106">
        <v>1.6E-2</v>
      </c>
      <c r="Q106">
        <v>0</v>
      </c>
      <c r="R106">
        <v>0</v>
      </c>
      <c r="S106">
        <v>0</v>
      </c>
      <c r="T106">
        <v>0</v>
      </c>
      <c r="U106">
        <v>0.57494558457465195</v>
      </c>
      <c r="V106" t="s">
        <v>78</v>
      </c>
      <c r="W106">
        <v>3125778.54355786</v>
      </c>
      <c r="X106" t="s">
        <v>76</v>
      </c>
      <c r="Y106">
        <v>-1.5707963267949001</v>
      </c>
      <c r="Z106">
        <v>0.56709420454821002</v>
      </c>
      <c r="AA106">
        <v>0</v>
      </c>
      <c r="AB106">
        <v>3.1633682278765902E-2</v>
      </c>
      <c r="AC106">
        <v>5.60235460651931E-3</v>
      </c>
      <c r="AD106">
        <v>3.1586841255938098E-3</v>
      </c>
      <c r="AE106">
        <v>2.2365789432675E-2</v>
      </c>
      <c r="AF106">
        <v>0</v>
      </c>
      <c r="AG106">
        <v>0.18342948500818099</v>
      </c>
      <c r="AH106">
        <v>0.45278467603705003</v>
      </c>
      <c r="AI106">
        <v>0.28016024885775098</v>
      </c>
      <c r="AJ106" t="s">
        <v>74</v>
      </c>
      <c r="AK106">
        <v>0</v>
      </c>
      <c r="AL106" t="s">
        <v>77</v>
      </c>
      <c r="AM106">
        <v>0</v>
      </c>
      <c r="AN106">
        <v>0.99200000000000099</v>
      </c>
      <c r="AO106">
        <v>0</v>
      </c>
      <c r="AP106">
        <v>5.82453462424753E-2</v>
      </c>
      <c r="AQ106">
        <v>0</v>
      </c>
      <c r="AR106">
        <v>1.6E-2</v>
      </c>
      <c r="AS106">
        <v>0</v>
      </c>
      <c r="AT106">
        <v>0</v>
      </c>
      <c r="AU106">
        <v>0</v>
      </c>
      <c r="AV106">
        <v>0</v>
      </c>
      <c r="AW106">
        <v>1</v>
      </c>
      <c r="AX106" t="s">
        <v>78</v>
      </c>
      <c r="AY106">
        <v>2028957.9667400301</v>
      </c>
      <c r="AZ106" t="s">
        <v>76</v>
      </c>
      <c r="BA106">
        <v>-1.5707963267949001</v>
      </c>
      <c r="BB106">
        <v>0.99200000000000099</v>
      </c>
      <c r="BC106">
        <v>0</v>
      </c>
      <c r="BD106">
        <v>5.82453462424753E-2</v>
      </c>
      <c r="BE106">
        <v>0</v>
      </c>
      <c r="BF106">
        <v>1.6E-2</v>
      </c>
      <c r="BG106">
        <v>0</v>
      </c>
      <c r="BH106">
        <v>0</v>
      </c>
      <c r="BI106" s="1">
        <v>1.3664283380001901E-19</v>
      </c>
      <c r="BJ106" s="1">
        <v>3.12963615962926E-34</v>
      </c>
      <c r="BK106">
        <v>1</v>
      </c>
      <c r="BL106" s="1">
        <v>9.3607317007314699E-5</v>
      </c>
      <c r="BM106">
        <v>3.1810708052261601E-4</v>
      </c>
      <c r="BN106" s="1">
        <v>3.5446523660726E-7</v>
      </c>
      <c r="BO106" s="1">
        <v>4.99681433612373E-6</v>
      </c>
      <c r="BP106">
        <v>0</v>
      </c>
      <c r="BQ106">
        <v>0</v>
      </c>
      <c r="BR106" s="1">
        <v>5.6126681978872203E-5</v>
      </c>
      <c r="BS106">
        <v>1.7888332965974101E-4</v>
      </c>
    </row>
    <row r="107" spans="1:71" x14ac:dyDescent="0.25">
      <c r="A107">
        <v>104</v>
      </c>
      <c r="B107" s="1">
        <v>1.6170020723111401E-5</v>
      </c>
      <c r="C107">
        <v>9.8213128890047005E-2</v>
      </c>
      <c r="D107">
        <v>-2.3430868768251699E-4</v>
      </c>
      <c r="E107" s="1">
        <v>-6.4821950146013295E-5</v>
      </c>
      <c r="F107">
        <v>-9.8213128890046802E-4</v>
      </c>
      <c r="G107">
        <v>-7.8570503112037498E-4</v>
      </c>
      <c r="H107" t="s">
        <v>74</v>
      </c>
      <c r="I107">
        <v>0</v>
      </c>
      <c r="J107" t="s">
        <v>75</v>
      </c>
      <c r="K107">
        <v>3.14159265358979</v>
      </c>
      <c r="L107">
        <v>0.56625712604446798</v>
      </c>
      <c r="M107">
        <v>0</v>
      </c>
      <c r="N107">
        <v>3.3247824968476801E-2</v>
      </c>
      <c r="O107">
        <v>0</v>
      </c>
      <c r="P107">
        <v>1.6E-2</v>
      </c>
      <c r="Q107">
        <v>0</v>
      </c>
      <c r="R107">
        <v>0</v>
      </c>
      <c r="S107">
        <v>0</v>
      </c>
      <c r="T107">
        <v>0</v>
      </c>
      <c r="U107">
        <v>0.57082371576242397</v>
      </c>
      <c r="V107" t="s">
        <v>78</v>
      </c>
      <c r="W107">
        <v>3126743.5922598299</v>
      </c>
      <c r="X107" t="s">
        <v>76</v>
      </c>
      <c r="Y107">
        <v>-1.5707963267949001</v>
      </c>
      <c r="Z107">
        <v>0.56301367981226103</v>
      </c>
      <c r="AA107">
        <v>0</v>
      </c>
      <c r="AB107">
        <v>3.1399539414226199E-2</v>
      </c>
      <c r="AC107">
        <v>5.6293938120849799E-3</v>
      </c>
      <c r="AD107">
        <v>2.9690500866496601E-3</v>
      </c>
      <c r="AE107">
        <v>2.25696222462126E-2</v>
      </c>
      <c r="AF107">
        <v>0</v>
      </c>
      <c r="AG107">
        <v>0.17758465565963599</v>
      </c>
      <c r="AH107">
        <v>0.464799047944844</v>
      </c>
      <c r="AI107">
        <v>0.27452857034424699</v>
      </c>
      <c r="AJ107" t="s">
        <v>74</v>
      </c>
      <c r="AK107">
        <v>0</v>
      </c>
      <c r="AL107" t="s">
        <v>77</v>
      </c>
      <c r="AM107">
        <v>0</v>
      </c>
      <c r="AN107">
        <v>0.99200000000000099</v>
      </c>
      <c r="AO107">
        <v>0</v>
      </c>
      <c r="AP107">
        <v>5.82453462424753E-2</v>
      </c>
      <c r="AQ107">
        <v>0</v>
      </c>
      <c r="AR107">
        <v>1.6E-2</v>
      </c>
      <c r="AS107">
        <v>0</v>
      </c>
      <c r="AT107">
        <v>0</v>
      </c>
      <c r="AU107">
        <v>0</v>
      </c>
      <c r="AV107">
        <v>0</v>
      </c>
      <c r="AW107">
        <v>1</v>
      </c>
      <c r="AX107" t="s">
        <v>78</v>
      </c>
      <c r="AY107">
        <v>2029802.38435425</v>
      </c>
      <c r="AZ107" t="s">
        <v>76</v>
      </c>
      <c r="BA107">
        <v>-1.5707963267949001</v>
      </c>
      <c r="BB107">
        <v>0.99200000000000099</v>
      </c>
      <c r="BC107">
        <v>0</v>
      </c>
      <c r="BD107">
        <v>5.82453462424753E-2</v>
      </c>
      <c r="BE107">
        <v>0</v>
      </c>
      <c r="BF107">
        <v>1.6E-2</v>
      </c>
      <c r="BG107">
        <v>0</v>
      </c>
      <c r="BH107">
        <v>0</v>
      </c>
      <c r="BI107" s="1">
        <v>1.3664283380001901E-19</v>
      </c>
      <c r="BJ107" s="1">
        <v>3.12963615962926E-34</v>
      </c>
      <c r="BK107">
        <v>1</v>
      </c>
      <c r="BL107" s="1">
        <v>9.3383725339869205E-5</v>
      </c>
      <c r="BM107">
        <v>3.2119185180223998E-4</v>
      </c>
      <c r="BN107" s="1">
        <v>3.5372267642952298E-7</v>
      </c>
      <c r="BO107" s="1">
        <v>5.0452698100741003E-6</v>
      </c>
      <c r="BP107">
        <v>0</v>
      </c>
      <c r="BQ107">
        <v>0</v>
      </c>
      <c r="BR107" s="1">
        <v>5.5989893663754701E-5</v>
      </c>
      <c r="BS107">
        <v>1.8062213240591999E-4</v>
      </c>
    </row>
    <row r="108" spans="1:71" x14ac:dyDescent="0.25">
      <c r="A108">
        <v>105</v>
      </c>
      <c r="B108" s="1">
        <v>1.6671469171546299E-5</v>
      </c>
      <c r="C108">
        <v>9.8229800359218494E-2</v>
      </c>
      <c r="D108">
        <v>-2.3440476255123601E-4</v>
      </c>
      <c r="E108" s="1">
        <v>-6.4898810040989202E-5</v>
      </c>
      <c r="F108">
        <v>-9.82298003592184E-4</v>
      </c>
      <c r="G108">
        <v>-7.8583840287374702E-4</v>
      </c>
      <c r="H108" t="s">
        <v>74</v>
      </c>
      <c r="I108">
        <v>0</v>
      </c>
      <c r="J108" t="s">
        <v>75</v>
      </c>
      <c r="K108">
        <v>3.14159265358979</v>
      </c>
      <c r="L108">
        <v>0.562175638869162</v>
      </c>
      <c r="M108">
        <v>0</v>
      </c>
      <c r="N108">
        <v>3.30081801764305E-2</v>
      </c>
      <c r="O108">
        <v>0</v>
      </c>
      <c r="P108">
        <v>1.6E-2</v>
      </c>
      <c r="Q108">
        <v>0</v>
      </c>
      <c r="R108">
        <v>0</v>
      </c>
      <c r="S108">
        <v>0</v>
      </c>
      <c r="T108">
        <v>0</v>
      </c>
      <c r="U108">
        <v>0.56670931336272101</v>
      </c>
      <c r="V108" t="s">
        <v>78</v>
      </c>
      <c r="W108">
        <v>3127738.4876393802</v>
      </c>
      <c r="X108" t="s">
        <v>76</v>
      </c>
      <c r="Y108">
        <v>-1.5707963267949001</v>
      </c>
      <c r="Z108">
        <v>0.55894025152016202</v>
      </c>
      <c r="AA108">
        <v>0</v>
      </c>
      <c r="AB108">
        <v>3.11656826977002E-2</v>
      </c>
      <c r="AC108">
        <v>5.6565714370887402E-3</v>
      </c>
      <c r="AD108">
        <v>2.7804885928150599E-3</v>
      </c>
      <c r="AE108">
        <v>2.27725225797634E-2</v>
      </c>
      <c r="AF108">
        <v>0</v>
      </c>
      <c r="AG108">
        <v>0.171420437570909</v>
      </c>
      <c r="AH108">
        <v>0.47712163299231197</v>
      </c>
      <c r="AI108">
        <v>0.26894296422588099</v>
      </c>
      <c r="AJ108" t="s">
        <v>74</v>
      </c>
      <c r="AK108">
        <v>0</v>
      </c>
      <c r="AL108" t="s">
        <v>77</v>
      </c>
      <c r="AM108">
        <v>0</v>
      </c>
      <c r="AN108">
        <v>0.99200000000000099</v>
      </c>
      <c r="AO108">
        <v>0</v>
      </c>
      <c r="AP108">
        <v>5.82453462424753E-2</v>
      </c>
      <c r="AQ108">
        <v>0</v>
      </c>
      <c r="AR108">
        <v>1.6E-2</v>
      </c>
      <c r="AS108">
        <v>0</v>
      </c>
      <c r="AT108">
        <v>0</v>
      </c>
      <c r="AU108">
        <v>0</v>
      </c>
      <c r="AV108">
        <v>0</v>
      </c>
      <c r="AW108">
        <v>1</v>
      </c>
      <c r="AX108" t="s">
        <v>78</v>
      </c>
      <c r="AY108">
        <v>2030672.91781135</v>
      </c>
      <c r="AZ108" t="s">
        <v>76</v>
      </c>
      <c r="BA108">
        <v>-1.5707963267949001</v>
      </c>
      <c r="BB108">
        <v>0.99200000000000099</v>
      </c>
      <c r="BC108">
        <v>0</v>
      </c>
      <c r="BD108">
        <v>5.82453462424753E-2</v>
      </c>
      <c r="BE108">
        <v>0</v>
      </c>
      <c r="BF108">
        <v>1.6E-2</v>
      </c>
      <c r="BG108">
        <v>0</v>
      </c>
      <c r="BH108">
        <v>0</v>
      </c>
      <c r="BI108" s="1">
        <v>1.3664283380001901E-19</v>
      </c>
      <c r="BJ108" s="1">
        <v>3.12963615962926E-34</v>
      </c>
      <c r="BK108">
        <v>1</v>
      </c>
      <c r="BL108" s="1">
        <v>9.3160563398085003E-5</v>
      </c>
      <c r="BM108">
        <v>3.2427103528161102E-4</v>
      </c>
      <c r="BN108" s="1">
        <v>3.5298191802391603E-7</v>
      </c>
      <c r="BO108" s="1">
        <v>5.0936375110633302E-6</v>
      </c>
      <c r="BP108">
        <v>0</v>
      </c>
      <c r="BQ108">
        <v>0</v>
      </c>
      <c r="BR108" s="1">
        <v>5.5853415853259701E-5</v>
      </c>
      <c r="BS108">
        <v>1.8235800102575999E-4</v>
      </c>
    </row>
    <row r="109" spans="1:71" x14ac:dyDescent="0.25">
      <c r="A109">
        <v>106</v>
      </c>
      <c r="B109" s="1">
        <v>1.7234847223039101E-5</v>
      </c>
      <c r="C109">
        <v>9.8247035206441499E-2</v>
      </c>
      <c r="D109">
        <v>-2.3450407579359399E-4</v>
      </c>
      <c r="E109" s="1">
        <v>-6.4978260634875295E-5</v>
      </c>
      <c r="F109">
        <v>-9.8247035206441391E-4</v>
      </c>
      <c r="G109">
        <v>-7.8597628165153095E-4</v>
      </c>
      <c r="H109" t="s">
        <v>74</v>
      </c>
      <c r="I109">
        <v>0</v>
      </c>
      <c r="J109" t="s">
        <v>75</v>
      </c>
      <c r="K109">
        <v>3.14159265358979</v>
      </c>
      <c r="L109">
        <v>0.55810244626939398</v>
      </c>
      <c r="M109">
        <v>0</v>
      </c>
      <c r="N109">
        <v>3.2769022400940803E-2</v>
      </c>
      <c r="O109">
        <v>0</v>
      </c>
      <c r="P109">
        <v>1.6E-2</v>
      </c>
      <c r="Q109">
        <v>0</v>
      </c>
      <c r="R109">
        <v>0</v>
      </c>
      <c r="S109">
        <v>0</v>
      </c>
      <c r="T109">
        <v>0</v>
      </c>
      <c r="U109">
        <v>0.56260327242868602</v>
      </c>
      <c r="V109" t="s">
        <v>78</v>
      </c>
      <c r="W109">
        <v>3128766.9177300502</v>
      </c>
      <c r="X109" t="s">
        <v>76</v>
      </c>
      <c r="Y109">
        <v>-1.5707963267949001</v>
      </c>
      <c r="Z109">
        <v>0.55487475356073301</v>
      </c>
      <c r="AA109">
        <v>0</v>
      </c>
      <c r="AB109">
        <v>3.0932137971148198E-2</v>
      </c>
      <c r="AC109">
        <v>5.6839181152960301E-3</v>
      </c>
      <c r="AD109">
        <v>2.5930826039080399E-3</v>
      </c>
      <c r="AE109">
        <v>2.2974441474346199E-2</v>
      </c>
      <c r="AF109">
        <v>0</v>
      </c>
      <c r="AG109">
        <v>0.16492082259201701</v>
      </c>
      <c r="AH109">
        <v>0.48976709962909099</v>
      </c>
      <c r="AI109">
        <v>0.26340484556980298</v>
      </c>
      <c r="AJ109" t="s">
        <v>74</v>
      </c>
      <c r="AK109">
        <v>0</v>
      </c>
      <c r="AL109" t="s">
        <v>77</v>
      </c>
      <c r="AM109">
        <v>0</v>
      </c>
      <c r="AN109">
        <v>0.99200000000000099</v>
      </c>
      <c r="AO109">
        <v>0</v>
      </c>
      <c r="AP109">
        <v>5.82453462424753E-2</v>
      </c>
      <c r="AQ109">
        <v>0</v>
      </c>
      <c r="AR109">
        <v>1.6E-2</v>
      </c>
      <c r="AS109">
        <v>0</v>
      </c>
      <c r="AT109">
        <v>0</v>
      </c>
      <c r="AU109">
        <v>0</v>
      </c>
      <c r="AV109">
        <v>0</v>
      </c>
      <c r="AW109">
        <v>1</v>
      </c>
      <c r="AX109" t="s">
        <v>78</v>
      </c>
      <c r="AY109">
        <v>2031572.79414069</v>
      </c>
      <c r="AZ109" t="s">
        <v>76</v>
      </c>
      <c r="BA109">
        <v>-1.5707963267949001</v>
      </c>
      <c r="BB109">
        <v>0.99200000000000099</v>
      </c>
      <c r="BC109">
        <v>0</v>
      </c>
      <c r="BD109">
        <v>5.82453462424753E-2</v>
      </c>
      <c r="BE109">
        <v>0</v>
      </c>
      <c r="BF109">
        <v>1.6E-2</v>
      </c>
      <c r="BG109">
        <v>0</v>
      </c>
      <c r="BH109">
        <v>0</v>
      </c>
      <c r="BI109" s="1">
        <v>1.3664283380001901E-19</v>
      </c>
      <c r="BJ109" s="1">
        <v>3.85185988877447E-34</v>
      </c>
      <c r="BK109">
        <v>1</v>
      </c>
      <c r="BL109" s="1">
        <v>9.2937885486167796E-5</v>
      </c>
      <c r="BM109">
        <v>3.27343961110554E-4</v>
      </c>
      <c r="BN109" s="1">
        <v>3.5224319086271398E-7</v>
      </c>
      <c r="BO109" s="1">
        <v>5.1419069171094996E-6</v>
      </c>
      <c r="BP109">
        <v>0</v>
      </c>
      <c r="BQ109">
        <v>0</v>
      </c>
      <c r="BR109" s="1">
        <v>5.5717288357884901E-5</v>
      </c>
      <c r="BS109">
        <v>1.84090578356916E-4</v>
      </c>
    </row>
    <row r="110" spans="1:71" x14ac:dyDescent="0.25">
      <c r="A110">
        <v>107</v>
      </c>
      <c r="B110" s="1">
        <v>1.7871302447516801E-5</v>
      </c>
      <c r="C110">
        <v>9.8264906508888999E-2</v>
      </c>
      <c r="D110">
        <v>-2.3460704764018499E-4</v>
      </c>
      <c r="E110" s="1">
        <v>-6.50606381121481E-5</v>
      </c>
      <c r="F110">
        <v>-9.8264906508888908E-4</v>
      </c>
      <c r="G110">
        <v>-7.86119252071111E-4</v>
      </c>
      <c r="H110" t="s">
        <v>74</v>
      </c>
      <c r="I110">
        <v>0</v>
      </c>
      <c r="J110" t="s">
        <v>75</v>
      </c>
      <c r="K110">
        <v>3.14159265358979</v>
      </c>
      <c r="L110">
        <v>0.55403860286799</v>
      </c>
      <c r="M110">
        <v>0</v>
      </c>
      <c r="N110">
        <v>3.2530413564257302E-2</v>
      </c>
      <c r="O110">
        <v>0</v>
      </c>
      <c r="P110">
        <v>1.6E-2</v>
      </c>
      <c r="Q110">
        <v>0</v>
      </c>
      <c r="R110">
        <v>0</v>
      </c>
      <c r="S110">
        <v>0</v>
      </c>
      <c r="T110">
        <v>0</v>
      </c>
      <c r="U110">
        <v>0.55850665608813999</v>
      </c>
      <c r="V110" t="s">
        <v>78</v>
      </c>
      <c r="W110">
        <v>3129833.2341951299</v>
      </c>
      <c r="X110" t="s">
        <v>76</v>
      </c>
      <c r="Y110">
        <v>-1.5707963267949001</v>
      </c>
      <c r="Z110">
        <v>0.55081817657713406</v>
      </c>
      <c r="AA110">
        <v>0</v>
      </c>
      <c r="AB110">
        <v>3.0698936039956399E-2</v>
      </c>
      <c r="AC110">
        <v>5.71142218701335E-3</v>
      </c>
      <c r="AD110">
        <v>2.4069280375275401E-3</v>
      </c>
      <c r="AE110">
        <v>2.3175322486088199E-2</v>
      </c>
      <c r="AF110">
        <v>0</v>
      </c>
      <c r="AG110">
        <v>0.15806821034013899</v>
      </c>
      <c r="AH110">
        <v>0.50275145696646795</v>
      </c>
      <c r="AI110">
        <v>0.25791582300700999</v>
      </c>
      <c r="AJ110" t="s">
        <v>74</v>
      </c>
      <c r="AK110">
        <v>0</v>
      </c>
      <c r="AL110" t="s">
        <v>77</v>
      </c>
      <c r="AM110">
        <v>0</v>
      </c>
      <c r="AN110">
        <v>0.99200000000000099</v>
      </c>
      <c r="AO110">
        <v>0</v>
      </c>
      <c r="AP110">
        <v>5.82453462424753E-2</v>
      </c>
      <c r="AQ110">
        <v>0</v>
      </c>
      <c r="AR110">
        <v>1.6E-2</v>
      </c>
      <c r="AS110">
        <v>0</v>
      </c>
      <c r="AT110">
        <v>0</v>
      </c>
      <c r="AU110">
        <v>0</v>
      </c>
      <c r="AV110">
        <v>0</v>
      </c>
      <c r="AW110">
        <v>1</v>
      </c>
      <c r="AX110" t="s">
        <v>78</v>
      </c>
      <c r="AY110">
        <v>2032505.8210476399</v>
      </c>
      <c r="AZ110" t="s">
        <v>76</v>
      </c>
      <c r="BA110">
        <v>-1.5707963267949001</v>
      </c>
      <c r="BB110">
        <v>0.99200000000000099</v>
      </c>
      <c r="BC110">
        <v>0</v>
      </c>
      <c r="BD110">
        <v>5.82453462424753E-2</v>
      </c>
      <c r="BE110">
        <v>0</v>
      </c>
      <c r="BF110">
        <v>1.6E-2</v>
      </c>
      <c r="BG110">
        <v>0</v>
      </c>
      <c r="BH110">
        <v>0</v>
      </c>
      <c r="BI110" s="1">
        <v>1.3664283380001901E-19</v>
      </c>
      <c r="BJ110" s="1">
        <v>3.85185988877447E-34</v>
      </c>
      <c r="BK110">
        <v>1</v>
      </c>
      <c r="BL110" s="1">
        <v>9.2715732138088798E-5</v>
      </c>
      <c r="BM110">
        <v>3.3040983365330398E-4</v>
      </c>
      <c r="BN110" s="1">
        <v>3.5150660508814698E-7</v>
      </c>
      <c r="BO110" s="1">
        <v>5.1900655303952203E-6</v>
      </c>
      <c r="BP110">
        <v>0</v>
      </c>
      <c r="BQ110">
        <v>0</v>
      </c>
      <c r="BR110" s="1">
        <v>5.5581544941257797E-5</v>
      </c>
      <c r="BS110">
        <v>1.85819439971929E-4</v>
      </c>
    </row>
    <row r="111" spans="1:71" x14ac:dyDescent="0.25">
      <c r="A111">
        <v>108</v>
      </c>
      <c r="B111" s="1">
        <v>1.8594914504003901E-5</v>
      </c>
      <c r="C111">
        <v>9.8283501423392997E-2</v>
      </c>
      <c r="D111">
        <v>-2.34714179260484E-4</v>
      </c>
      <c r="E111" s="1">
        <v>-6.5146343408387504E-5</v>
      </c>
      <c r="F111">
        <v>-9.8283501423392897E-4</v>
      </c>
      <c r="G111">
        <v>-7.8626801138714298E-4</v>
      </c>
      <c r="H111" t="s">
        <v>74</v>
      </c>
      <c r="I111">
        <v>0</v>
      </c>
      <c r="J111" t="s">
        <v>75</v>
      </c>
      <c r="K111">
        <v>3.14159265358979</v>
      </c>
      <c r="L111">
        <v>0.54998537362089495</v>
      </c>
      <c r="M111">
        <v>0</v>
      </c>
      <c r="N111">
        <v>3.2292427938352901E-2</v>
      </c>
      <c r="O111">
        <v>0</v>
      </c>
      <c r="P111">
        <v>1.6E-2</v>
      </c>
      <c r="Q111">
        <v>0</v>
      </c>
      <c r="R111">
        <v>0</v>
      </c>
      <c r="S111">
        <v>0</v>
      </c>
      <c r="T111">
        <v>0</v>
      </c>
      <c r="U111">
        <v>0.55442073949833703</v>
      </c>
      <c r="V111" t="s">
        <v>78</v>
      </c>
      <c r="W111">
        <v>3130942.6268537799</v>
      </c>
      <c r="X111" t="s">
        <v>76</v>
      </c>
      <c r="Y111">
        <v>-1.5707963267949001</v>
      </c>
      <c r="Z111">
        <v>0.54677170888753601</v>
      </c>
      <c r="AA111">
        <v>0</v>
      </c>
      <c r="AB111">
        <v>3.0466113939485898E-2</v>
      </c>
      <c r="AC111">
        <v>5.7391546914590001E-3</v>
      </c>
      <c r="AD111">
        <v>2.22213716559374E-3</v>
      </c>
      <c r="AE111">
        <v>2.3375099671645999E-2</v>
      </c>
      <c r="AF111">
        <v>0</v>
      </c>
      <c r="AG111">
        <v>0.15084320978535301</v>
      </c>
      <c r="AH111">
        <v>0.516092187400925</v>
      </c>
      <c r="AI111">
        <v>0.25247774809289503</v>
      </c>
      <c r="AJ111" t="s">
        <v>74</v>
      </c>
      <c r="AK111">
        <v>0</v>
      </c>
      <c r="AL111" t="s">
        <v>77</v>
      </c>
      <c r="AM111">
        <v>0</v>
      </c>
      <c r="AN111">
        <v>0.99200000000000099</v>
      </c>
      <c r="AO111">
        <v>0</v>
      </c>
      <c r="AP111">
        <v>5.82453462424753E-2</v>
      </c>
      <c r="AQ111">
        <v>0</v>
      </c>
      <c r="AR111">
        <v>1.6E-2</v>
      </c>
      <c r="AS111">
        <v>0</v>
      </c>
      <c r="AT111">
        <v>0</v>
      </c>
      <c r="AU111">
        <v>0</v>
      </c>
      <c r="AV111">
        <v>0</v>
      </c>
      <c r="AW111">
        <v>1</v>
      </c>
      <c r="AX111" t="s">
        <v>78</v>
      </c>
      <c r="AY111">
        <v>2033476.5396239599</v>
      </c>
      <c r="AZ111" t="s">
        <v>76</v>
      </c>
      <c r="BA111">
        <v>-1.5707963267949001</v>
      </c>
      <c r="BB111">
        <v>0.99200000000000099</v>
      </c>
      <c r="BC111">
        <v>0</v>
      </c>
      <c r="BD111">
        <v>5.82453462424753E-2</v>
      </c>
      <c r="BE111">
        <v>0</v>
      </c>
      <c r="BF111">
        <v>1.6E-2</v>
      </c>
      <c r="BG111">
        <v>0</v>
      </c>
      <c r="BH111">
        <v>0</v>
      </c>
      <c r="BI111" s="1">
        <v>1.3664283380001901E-19</v>
      </c>
      <c r="BJ111" s="1">
        <v>3.85185988877447E-34</v>
      </c>
      <c r="BK111">
        <v>1</v>
      </c>
      <c r="BL111" s="1">
        <v>9.2494194527124198E-5</v>
      </c>
      <c r="BM111">
        <v>3.3346769859313901E-4</v>
      </c>
      <c r="BN111" s="1">
        <v>3.5077258128423202E-7</v>
      </c>
      <c r="BO111" s="1">
        <v>5.2380983605485003E-6</v>
      </c>
      <c r="BP111">
        <v>0</v>
      </c>
      <c r="BQ111">
        <v>0</v>
      </c>
      <c r="BR111" s="1">
        <v>5.5446249990978301E-5</v>
      </c>
      <c r="BS111">
        <v>1.8754407657344999E-4</v>
      </c>
    </row>
    <row r="112" spans="1:71" x14ac:dyDescent="0.25">
      <c r="A112">
        <v>109</v>
      </c>
      <c r="B112" s="1">
        <v>1.9423725087107401E-5</v>
      </c>
      <c r="C112">
        <v>9.83029251484802E-2</v>
      </c>
      <c r="D112">
        <v>-2.3482607553567501E-4</v>
      </c>
      <c r="E112" s="1">
        <v>-6.5235860428540206E-5</v>
      </c>
      <c r="F112">
        <v>-9.8302925148480093E-4</v>
      </c>
      <c r="G112">
        <v>-7.8642340118783996E-4</v>
      </c>
      <c r="H112" t="s">
        <v>74</v>
      </c>
      <c r="I112">
        <v>0</v>
      </c>
      <c r="J112" t="s">
        <v>75</v>
      </c>
      <c r="K112">
        <v>3.14159265358979</v>
      </c>
      <c r="L112">
        <v>0.54594429233647801</v>
      </c>
      <c r="M112">
        <v>0</v>
      </c>
      <c r="N112">
        <v>3.2055155580888402E-2</v>
      </c>
      <c r="O112">
        <v>0</v>
      </c>
      <c r="P112">
        <v>1.6E-2</v>
      </c>
      <c r="Q112">
        <v>0</v>
      </c>
      <c r="R112">
        <v>0</v>
      </c>
      <c r="S112">
        <v>0</v>
      </c>
      <c r="T112">
        <v>0</v>
      </c>
      <c r="U112">
        <v>0.55034706883717799</v>
      </c>
      <c r="V112" t="s">
        <v>78</v>
      </c>
      <c r="W112">
        <v>3132101.3595032101</v>
      </c>
      <c r="X112" t="s">
        <v>76</v>
      </c>
      <c r="Y112">
        <v>-1.5707963267949001</v>
      </c>
      <c r="Z112">
        <v>0.54273679137016495</v>
      </c>
      <c r="AA112">
        <v>0</v>
      </c>
      <c r="AB112">
        <v>3.02337166201362E-2</v>
      </c>
      <c r="AC112">
        <v>5.7671235306231599E-3</v>
      </c>
      <c r="AD112">
        <v>2.03884318810865E-3</v>
      </c>
      <c r="AE112">
        <v>2.35736948499027E-2</v>
      </c>
      <c r="AF112">
        <v>0</v>
      </c>
      <c r="AG112">
        <v>0.14322442666006899</v>
      </c>
      <c r="AH112">
        <v>0.52980837090764599</v>
      </c>
      <c r="AI112">
        <v>0.24709278162757001</v>
      </c>
      <c r="AJ112" t="s">
        <v>74</v>
      </c>
      <c r="AK112">
        <v>0</v>
      </c>
      <c r="AL112" t="s">
        <v>77</v>
      </c>
      <c r="AM112">
        <v>0</v>
      </c>
      <c r="AN112">
        <v>0.99200000000000099</v>
      </c>
      <c r="AO112">
        <v>0</v>
      </c>
      <c r="AP112">
        <v>5.82453462424753E-2</v>
      </c>
      <c r="AQ112">
        <v>0</v>
      </c>
      <c r="AR112">
        <v>1.6E-2</v>
      </c>
      <c r="AS112">
        <v>0</v>
      </c>
      <c r="AT112">
        <v>0</v>
      </c>
      <c r="AU112">
        <v>0</v>
      </c>
      <c r="AV112">
        <v>0</v>
      </c>
      <c r="AW112">
        <v>1</v>
      </c>
      <c r="AX112" t="s">
        <v>78</v>
      </c>
      <c r="AY112">
        <v>2034490.4306922101</v>
      </c>
      <c r="AZ112" t="s">
        <v>76</v>
      </c>
      <c r="BA112">
        <v>-1.5707963267949001</v>
      </c>
      <c r="BB112">
        <v>0.99200000000000099</v>
      </c>
      <c r="BC112">
        <v>0</v>
      </c>
      <c r="BD112">
        <v>5.82453462424753E-2</v>
      </c>
      <c r="BE112">
        <v>0</v>
      </c>
      <c r="BF112">
        <v>1.6E-2</v>
      </c>
      <c r="BG112">
        <v>0</v>
      </c>
      <c r="BH112">
        <v>0</v>
      </c>
      <c r="BI112" s="1">
        <v>1.7080354225002401E-19</v>
      </c>
      <c r="BJ112" s="1">
        <v>3.85185988877447E-34</v>
      </c>
      <c r="BK112">
        <v>1</v>
      </c>
      <c r="BL112" s="1">
        <v>9.2273344108299095E-5</v>
      </c>
      <c r="BM112">
        <v>3.3651639878385698E-4</v>
      </c>
      <c r="BN112" s="1">
        <v>3.5004136451653599E-7</v>
      </c>
      <c r="BO112" s="1">
        <v>5.2859872311592996E-6</v>
      </c>
      <c r="BP112">
        <v>0</v>
      </c>
      <c r="BQ112">
        <v>0</v>
      </c>
      <c r="BR112" s="1">
        <v>5.5311459555773298E-5</v>
      </c>
      <c r="BS112">
        <v>1.8926387037213201E-4</v>
      </c>
    </row>
    <row r="113" spans="1:71" x14ac:dyDescent="0.25">
      <c r="A113">
        <v>110</v>
      </c>
      <c r="B113" s="1">
        <v>2.03812337517344E-5</v>
      </c>
      <c r="C113">
        <v>9.8323306382231898E-2</v>
      </c>
      <c r="D113">
        <v>-2.3494347642779E-4</v>
      </c>
      <c r="E113" s="1">
        <v>-6.5329781142232004E-5</v>
      </c>
      <c r="F113">
        <v>-9.832330638223179E-4</v>
      </c>
      <c r="G113">
        <v>-7.8658645105785397E-4</v>
      </c>
      <c r="H113" t="s">
        <v>74</v>
      </c>
      <c r="I113">
        <v>0</v>
      </c>
      <c r="J113" t="s">
        <v>75</v>
      </c>
      <c r="K113">
        <v>3.14159265358979</v>
      </c>
      <c r="L113">
        <v>0.54191724152632104</v>
      </c>
      <c r="M113">
        <v>0</v>
      </c>
      <c r="N113">
        <v>3.1818707023656898E-2</v>
      </c>
      <c r="O113">
        <v>0</v>
      </c>
      <c r="P113">
        <v>1.6E-2</v>
      </c>
      <c r="Q113">
        <v>0</v>
      </c>
      <c r="R113">
        <v>0</v>
      </c>
      <c r="S113">
        <v>0</v>
      </c>
      <c r="T113">
        <v>0</v>
      </c>
      <c r="U113">
        <v>0.54628754179796002</v>
      </c>
      <c r="V113" t="s">
        <v>78</v>
      </c>
      <c r="W113">
        <v>3133317.09475921</v>
      </c>
      <c r="X113" t="s">
        <v>76</v>
      </c>
      <c r="Y113">
        <v>-1.5707963267949001</v>
      </c>
      <c r="Z113">
        <v>0.538715192295387</v>
      </c>
      <c r="AA113">
        <v>0</v>
      </c>
      <c r="AB113">
        <v>3.00017992205781E-2</v>
      </c>
      <c r="AC113">
        <v>5.79536991194391E-3</v>
      </c>
      <c r="AD113">
        <v>1.85720650092147E-3</v>
      </c>
      <c r="AE113">
        <v>2.3771013812618001E-2</v>
      </c>
      <c r="AF113">
        <v>0</v>
      </c>
      <c r="AG113">
        <v>0.135188249490513</v>
      </c>
      <c r="AH113">
        <v>0.54392077852586995</v>
      </c>
      <c r="AI113">
        <v>0.24176348427206801</v>
      </c>
      <c r="AJ113" t="s">
        <v>74</v>
      </c>
      <c r="AK113">
        <v>0</v>
      </c>
      <c r="AL113" t="s">
        <v>77</v>
      </c>
      <c r="AM113">
        <v>0</v>
      </c>
      <c r="AN113">
        <v>0.99200000000000099</v>
      </c>
      <c r="AO113">
        <v>0</v>
      </c>
      <c r="AP113">
        <v>5.82453462424753E-2</v>
      </c>
      <c r="AQ113">
        <v>0</v>
      </c>
      <c r="AR113">
        <v>1.6E-2</v>
      </c>
      <c r="AS113">
        <v>0</v>
      </c>
      <c r="AT113">
        <v>0</v>
      </c>
      <c r="AU113">
        <v>0</v>
      </c>
      <c r="AV113">
        <v>0</v>
      </c>
      <c r="AW113">
        <v>1</v>
      </c>
      <c r="AX113" t="s">
        <v>78</v>
      </c>
      <c r="AY113">
        <v>2035554.1990412101</v>
      </c>
      <c r="AZ113" t="s">
        <v>76</v>
      </c>
      <c r="BA113">
        <v>-1.5707963267949001</v>
      </c>
      <c r="BB113">
        <v>0.99200000000000099</v>
      </c>
      <c r="BC113">
        <v>0</v>
      </c>
      <c r="BD113">
        <v>5.82453462424753E-2</v>
      </c>
      <c r="BE113">
        <v>0</v>
      </c>
      <c r="BF113">
        <v>1.6E-2</v>
      </c>
      <c r="BG113">
        <v>0</v>
      </c>
      <c r="BH113">
        <v>0</v>
      </c>
      <c r="BI113" s="1">
        <v>1.7080354225002401E-19</v>
      </c>
      <c r="BJ113" s="1">
        <v>4.3333423748712798E-34</v>
      </c>
      <c r="BK113">
        <v>1</v>
      </c>
      <c r="BL113" s="1">
        <v>9.2053284320564699E-5</v>
      </c>
      <c r="BM113">
        <v>3.3955451400819099E-4</v>
      </c>
      <c r="BN113" s="1">
        <v>3.4931336239036801E-7</v>
      </c>
      <c r="BO113" s="1">
        <v>5.3337098335069296E-6</v>
      </c>
      <c r="BP113">
        <v>0</v>
      </c>
      <c r="BQ113">
        <v>0</v>
      </c>
      <c r="BR113" s="1">
        <v>5.5177251253402297E-5</v>
      </c>
      <c r="BS113">
        <v>1.90978062865141E-4</v>
      </c>
    </row>
    <row r="114" spans="1:71" x14ac:dyDescent="0.25">
      <c r="A114">
        <v>111</v>
      </c>
      <c r="B114" s="1">
        <v>2.14986241637006E-5</v>
      </c>
      <c r="C114">
        <v>9.83448050063956E-2</v>
      </c>
      <c r="D114">
        <v>-2.3506730114222801E-4</v>
      </c>
      <c r="E114" s="1">
        <v>-6.5428840913782303E-5</v>
      </c>
      <c r="F114">
        <v>-9.8344805006395498E-4</v>
      </c>
      <c r="G114">
        <v>-7.8675844005116405E-4</v>
      </c>
      <c r="H114" t="s">
        <v>74</v>
      </c>
      <c r="I114">
        <v>0</v>
      </c>
      <c r="J114" t="s">
        <v>75</v>
      </c>
      <c r="K114">
        <v>3.14159265358979</v>
      </c>
      <c r="L114">
        <v>0.53790656337277598</v>
      </c>
      <c r="M114">
        <v>0</v>
      </c>
      <c r="N114">
        <v>3.1583219788051703E-2</v>
      </c>
      <c r="O114">
        <v>0</v>
      </c>
      <c r="P114">
        <v>1.6E-2</v>
      </c>
      <c r="Q114">
        <v>0</v>
      </c>
      <c r="R114">
        <v>0</v>
      </c>
      <c r="S114">
        <v>0</v>
      </c>
      <c r="T114">
        <v>0</v>
      </c>
      <c r="U114">
        <v>0.54224451945183205</v>
      </c>
      <c r="V114" t="s">
        <v>78</v>
      </c>
      <c r="W114">
        <v>3134599.3513775002</v>
      </c>
      <c r="X114" t="s">
        <v>76</v>
      </c>
      <c r="Y114">
        <v>-1.5707963267949001</v>
      </c>
      <c r="Z114">
        <v>0.53470911121169795</v>
      </c>
      <c r="AA114">
        <v>0</v>
      </c>
      <c r="AB114">
        <v>2.97704301795493E-2</v>
      </c>
      <c r="AC114">
        <v>5.8239622218028298E-3</v>
      </c>
      <c r="AD114">
        <v>1.6774234536190301E-3</v>
      </c>
      <c r="AE114">
        <v>2.3966940975119901E-2</v>
      </c>
      <c r="AF114">
        <v>0</v>
      </c>
      <c r="AG114">
        <v>0.12670866292880401</v>
      </c>
      <c r="AH114">
        <v>0.55845189159300801</v>
      </c>
      <c r="AI114">
        <v>0.23649294266561099</v>
      </c>
      <c r="AJ114" t="s">
        <v>74</v>
      </c>
      <c r="AK114">
        <v>0</v>
      </c>
      <c r="AL114" t="s">
        <v>77</v>
      </c>
      <c r="AM114">
        <v>0</v>
      </c>
      <c r="AN114">
        <v>0.99200000000000099</v>
      </c>
      <c r="AO114">
        <v>0</v>
      </c>
      <c r="AP114">
        <v>5.82453462424753E-2</v>
      </c>
      <c r="AQ114">
        <v>0</v>
      </c>
      <c r="AR114">
        <v>1.6E-2</v>
      </c>
      <c r="AS114">
        <v>0</v>
      </c>
      <c r="AT114">
        <v>0</v>
      </c>
      <c r="AU114">
        <v>0</v>
      </c>
      <c r="AV114">
        <v>0</v>
      </c>
      <c r="AW114">
        <v>1</v>
      </c>
      <c r="AX114" t="s">
        <v>78</v>
      </c>
      <c r="AY114">
        <v>2036676.17358222</v>
      </c>
      <c r="AZ114" t="s">
        <v>76</v>
      </c>
      <c r="BA114">
        <v>-1.5707963267949001</v>
      </c>
      <c r="BB114">
        <v>0.99200000000000099</v>
      </c>
      <c r="BC114">
        <v>0</v>
      </c>
      <c r="BD114">
        <v>5.82453462424753E-2</v>
      </c>
      <c r="BE114">
        <v>0</v>
      </c>
      <c r="BF114">
        <v>1.6E-2</v>
      </c>
      <c r="BG114">
        <v>0</v>
      </c>
      <c r="BH114">
        <v>0</v>
      </c>
      <c r="BI114" s="1">
        <v>1.7080354225002401E-19</v>
      </c>
      <c r="BJ114" s="1">
        <v>4.5740836179196903E-34</v>
      </c>
      <c r="BK114">
        <v>1</v>
      </c>
      <c r="BL114" s="1">
        <v>9.1834152337177204E-5</v>
      </c>
      <c r="BM114">
        <v>3.4258027726090601E-4</v>
      </c>
      <c r="BN114" s="1">
        <v>3.4858913978467499E-7</v>
      </c>
      <c r="BO114" s="1">
        <v>5.3812384115380903E-6</v>
      </c>
      <c r="BP114">
        <v>0</v>
      </c>
      <c r="BQ114">
        <v>0</v>
      </c>
      <c r="BR114" s="1">
        <v>5.5043726422784401E-5</v>
      </c>
      <c r="BS114">
        <v>1.9268571008250999E-4</v>
      </c>
    </row>
    <row r="115" spans="1:71" x14ac:dyDescent="0.25">
      <c r="A115">
        <v>112</v>
      </c>
      <c r="B115" s="1">
        <v>2.2818170918997401E-5</v>
      </c>
      <c r="C115">
        <v>9.8367623177314595E-2</v>
      </c>
      <c r="D115">
        <v>-2.3519871186692001E-4</v>
      </c>
      <c r="E115" s="1">
        <v>-6.5533969493535797E-5</v>
      </c>
      <c r="F115">
        <v>-9.836762317731449E-4</v>
      </c>
      <c r="G115">
        <v>-7.8694098541851596E-4</v>
      </c>
      <c r="H115" t="s">
        <v>74</v>
      </c>
      <c r="I115">
        <v>0</v>
      </c>
      <c r="J115" t="s">
        <v>75</v>
      </c>
      <c r="K115">
        <v>3.14159265358979</v>
      </c>
      <c r="L115">
        <v>0.53391521707692602</v>
      </c>
      <c r="M115">
        <v>0</v>
      </c>
      <c r="N115">
        <v>3.1348867623762003E-2</v>
      </c>
      <c r="O115">
        <v>0</v>
      </c>
      <c r="P115">
        <v>1.6E-2</v>
      </c>
      <c r="Q115">
        <v>0</v>
      </c>
      <c r="R115">
        <v>0</v>
      </c>
      <c r="S115">
        <v>0</v>
      </c>
      <c r="T115">
        <v>0</v>
      </c>
      <c r="U115">
        <v>0.53822098486468395</v>
      </c>
      <c r="V115" t="s">
        <v>78</v>
      </c>
      <c r="W115">
        <v>3135960.16429934</v>
      </c>
      <c r="X115" t="s">
        <v>76</v>
      </c>
      <c r="Y115">
        <v>-1.5707963267949001</v>
      </c>
      <c r="Z115">
        <v>0.53072132605300804</v>
      </c>
      <c r="AA115">
        <v>0</v>
      </c>
      <c r="AB115">
        <v>2.9539695559613301E-2</v>
      </c>
      <c r="AC115">
        <v>5.8529569993512297E-3</v>
      </c>
      <c r="AD115">
        <v>1.4997388554692801E-3</v>
      </c>
      <c r="AE115">
        <v>2.4161331655120799E-2</v>
      </c>
      <c r="AF115">
        <v>0</v>
      </c>
      <c r="AG115">
        <v>0.11775714891519699</v>
      </c>
      <c r="AH115">
        <v>0.57342576316735305</v>
      </c>
      <c r="AI115">
        <v>0.23128494854506901</v>
      </c>
      <c r="AJ115" t="s">
        <v>74</v>
      </c>
      <c r="AK115">
        <v>0</v>
      </c>
      <c r="AL115" t="s">
        <v>77</v>
      </c>
      <c r="AM115">
        <v>0</v>
      </c>
      <c r="AN115">
        <v>0.99200000000000099</v>
      </c>
      <c r="AO115">
        <v>0</v>
      </c>
      <c r="AP115">
        <v>5.82453462424753E-2</v>
      </c>
      <c r="AQ115">
        <v>0</v>
      </c>
      <c r="AR115">
        <v>1.6E-2</v>
      </c>
      <c r="AS115">
        <v>0</v>
      </c>
      <c r="AT115">
        <v>0</v>
      </c>
      <c r="AU115">
        <v>0</v>
      </c>
      <c r="AV115">
        <v>0</v>
      </c>
      <c r="AW115">
        <v>1</v>
      </c>
      <c r="AX115" t="s">
        <v>78</v>
      </c>
      <c r="AY115">
        <v>2037866.8848888299</v>
      </c>
      <c r="AZ115" t="s">
        <v>76</v>
      </c>
      <c r="BA115">
        <v>-1.5707963267949001</v>
      </c>
      <c r="BB115">
        <v>0.99200000000000099</v>
      </c>
      <c r="BC115">
        <v>0</v>
      </c>
      <c r="BD115">
        <v>5.82453462424753E-2</v>
      </c>
      <c r="BE115">
        <v>0</v>
      </c>
      <c r="BF115">
        <v>1.6E-2</v>
      </c>
      <c r="BG115">
        <v>0</v>
      </c>
      <c r="BH115">
        <v>0</v>
      </c>
      <c r="BI115" s="1">
        <v>2.0496425070002899E-19</v>
      </c>
      <c r="BJ115" s="1">
        <v>4.5740836179196903E-34</v>
      </c>
      <c r="BK115">
        <v>1</v>
      </c>
      <c r="BL115" s="1">
        <v>9.1616106333838502E-5</v>
      </c>
      <c r="BM115">
        <v>3.4559145604127502E-4</v>
      </c>
      <c r="BN115" s="1">
        <v>3.47869308382754E-7</v>
      </c>
      <c r="BO115" s="1">
        <v>5.4285378972133502E-6</v>
      </c>
      <c r="BP115">
        <v>0</v>
      </c>
      <c r="BQ115">
        <v>0</v>
      </c>
      <c r="BR115" s="1">
        <v>5.4911004639567298E-5</v>
      </c>
      <c r="BS115">
        <v>1.94385619178492E-4</v>
      </c>
    </row>
    <row r="116" spans="1:71" x14ac:dyDescent="0.25">
      <c r="A116">
        <v>113</v>
      </c>
      <c r="B116" s="1">
        <v>2.4398621938256801E-5</v>
      </c>
      <c r="C116">
        <v>9.8392021799252799E-2</v>
      </c>
      <c r="D116">
        <v>-2.3533920843866701E-4</v>
      </c>
      <c r="E116" s="1">
        <v>-6.5646366750933403E-5</v>
      </c>
      <c r="F116">
        <v>-9.8392021799252691E-4</v>
      </c>
      <c r="G116">
        <v>-7.8713617439402203E-4</v>
      </c>
      <c r="H116" t="s">
        <v>74</v>
      </c>
      <c r="I116">
        <v>0</v>
      </c>
      <c r="J116" t="s">
        <v>75</v>
      </c>
      <c r="K116">
        <v>3.14159265358979</v>
      </c>
      <c r="L116">
        <v>0.52994700696471098</v>
      </c>
      <c r="M116">
        <v>0</v>
      </c>
      <c r="N116">
        <v>3.11158739020393E-2</v>
      </c>
      <c r="O116">
        <v>0</v>
      </c>
      <c r="P116">
        <v>1.6E-2</v>
      </c>
      <c r="Q116">
        <v>0</v>
      </c>
      <c r="R116">
        <v>0</v>
      </c>
      <c r="S116">
        <v>0</v>
      </c>
      <c r="T116">
        <v>0</v>
      </c>
      <c r="U116">
        <v>0.53422077304285198</v>
      </c>
      <c r="V116" t="s">
        <v>78</v>
      </c>
      <c r="W116">
        <v>3137415.0649610399</v>
      </c>
      <c r="X116" t="s">
        <v>76</v>
      </c>
      <c r="Y116">
        <v>-1.5707963267949001</v>
      </c>
      <c r="Z116">
        <v>0.52675540601237203</v>
      </c>
      <c r="AA116">
        <v>0</v>
      </c>
      <c r="AB116">
        <v>2.9309705142097499E-2</v>
      </c>
      <c r="AC116">
        <v>5.88243489032523E-3</v>
      </c>
      <c r="AD116">
        <v>1.3244642733987E-3</v>
      </c>
      <c r="AE116">
        <v>2.4354000646930898E-2</v>
      </c>
      <c r="AF116">
        <v>0</v>
      </c>
      <c r="AG116">
        <v>0.10830280100452599</v>
      </c>
      <c r="AH116">
        <v>0.58886755952286096</v>
      </c>
      <c r="AI116">
        <v>0.226144258850632</v>
      </c>
      <c r="AJ116" t="s">
        <v>74</v>
      </c>
      <c r="AK116">
        <v>0</v>
      </c>
      <c r="AL116" t="s">
        <v>77</v>
      </c>
      <c r="AM116">
        <v>0</v>
      </c>
      <c r="AN116">
        <v>0.99200000000000099</v>
      </c>
      <c r="AO116">
        <v>0</v>
      </c>
      <c r="AP116">
        <v>5.82453462424753E-2</v>
      </c>
      <c r="AQ116">
        <v>0</v>
      </c>
      <c r="AR116">
        <v>1.6E-2</v>
      </c>
      <c r="AS116">
        <v>0</v>
      </c>
      <c r="AT116">
        <v>0</v>
      </c>
      <c r="AU116">
        <v>0</v>
      </c>
      <c r="AV116">
        <v>0</v>
      </c>
      <c r="AW116">
        <v>1</v>
      </c>
      <c r="AX116" t="s">
        <v>78</v>
      </c>
      <c r="AY116">
        <v>2039139.92296781</v>
      </c>
      <c r="AZ116" t="s">
        <v>76</v>
      </c>
      <c r="BA116">
        <v>-1.5707963267949001</v>
      </c>
      <c r="BB116">
        <v>0.99200000000000099</v>
      </c>
      <c r="BC116">
        <v>0</v>
      </c>
      <c r="BD116">
        <v>5.82453462424753E-2</v>
      </c>
      <c r="BE116">
        <v>0</v>
      </c>
      <c r="BF116">
        <v>1.6E-2</v>
      </c>
      <c r="BG116">
        <v>0</v>
      </c>
      <c r="BH116">
        <v>0</v>
      </c>
      <c r="BI116" s="1">
        <v>2.0496425070002899E-19</v>
      </c>
      <c r="BJ116" s="1">
        <v>4.5740836179196903E-34</v>
      </c>
      <c r="BK116">
        <v>1</v>
      </c>
      <c r="BL116" s="1">
        <v>9.1399353209706299E-5</v>
      </c>
      <c r="BM116">
        <v>3.48585180263694E-4</v>
      </c>
      <c r="BN116" s="1">
        <v>3.47154679730108E-7</v>
      </c>
      <c r="BO116" s="1">
        <v>5.4755632073334699E-6</v>
      </c>
      <c r="BP116">
        <v>0</v>
      </c>
      <c r="BQ116">
        <v>0</v>
      </c>
      <c r="BR116" s="1">
        <v>5.4779241781384497E-5</v>
      </c>
      <c r="BS116">
        <v>1.9607625661515799E-4</v>
      </c>
    </row>
    <row r="117" spans="1:71" x14ac:dyDescent="0.25">
      <c r="A117">
        <v>114</v>
      </c>
      <c r="B117" s="1">
        <v>2.6324021854139901E-5</v>
      </c>
      <c r="C117">
        <v>9.8418345821107006E-2</v>
      </c>
      <c r="D117">
        <v>-2.35490773705381E-4</v>
      </c>
      <c r="E117" s="1">
        <v>-6.5767618964305004E-5</v>
      </c>
      <c r="F117">
        <v>-9.8418345821106893E-4</v>
      </c>
      <c r="G117">
        <v>-7.8734676656885502E-4</v>
      </c>
      <c r="H117" t="s">
        <v>74</v>
      </c>
      <c r="I117">
        <v>0</v>
      </c>
      <c r="J117" t="s">
        <v>75</v>
      </c>
      <c r="K117">
        <v>3.14159265358979</v>
      </c>
      <c r="L117">
        <v>0.52600692122848902</v>
      </c>
      <c r="M117">
        <v>0</v>
      </c>
      <c r="N117">
        <v>3.0884531504931201E-2</v>
      </c>
      <c r="O117">
        <v>0</v>
      </c>
      <c r="P117">
        <v>1.6E-2</v>
      </c>
      <c r="Q117">
        <v>0</v>
      </c>
      <c r="R117">
        <v>0</v>
      </c>
      <c r="S117">
        <v>0</v>
      </c>
      <c r="T117">
        <v>0</v>
      </c>
      <c r="U117">
        <v>0.53024891240648597</v>
      </c>
      <c r="V117" t="s">
        <v>78</v>
      </c>
      <c r="W117">
        <v>3138984.5865806099</v>
      </c>
      <c r="X117" t="s">
        <v>76</v>
      </c>
      <c r="Y117">
        <v>-1.5707963267949001</v>
      </c>
      <c r="Z117">
        <v>0.52281602687365103</v>
      </c>
      <c r="AA117">
        <v>0</v>
      </c>
      <c r="AB117">
        <v>2.9080601122414399E-2</v>
      </c>
      <c r="AC117">
        <v>5.9125182404994496E-3</v>
      </c>
      <c r="AD117">
        <v>1.15200554687626E-3</v>
      </c>
      <c r="AE117">
        <v>2.4544704834080801E-2</v>
      </c>
      <c r="AF117">
        <v>0</v>
      </c>
      <c r="AG117">
        <v>9.8312912235409305E-2</v>
      </c>
      <c r="AH117">
        <v>0.60480246116850001</v>
      </c>
      <c r="AI117">
        <v>0.221076982638509</v>
      </c>
      <c r="AJ117" t="s">
        <v>74</v>
      </c>
      <c r="AK117">
        <v>0</v>
      </c>
      <c r="AL117" t="s">
        <v>77</v>
      </c>
      <c r="AM117">
        <v>0</v>
      </c>
      <c r="AN117">
        <v>0.99200000000000099</v>
      </c>
      <c r="AO117">
        <v>0</v>
      </c>
      <c r="AP117">
        <v>5.82453462424753E-2</v>
      </c>
      <c r="AQ117">
        <v>0</v>
      </c>
      <c r="AR117">
        <v>1.6E-2</v>
      </c>
      <c r="AS117">
        <v>0</v>
      </c>
      <c r="AT117">
        <v>0</v>
      </c>
      <c r="AU117">
        <v>0</v>
      </c>
      <c r="AV117">
        <v>0</v>
      </c>
      <c r="AW117">
        <v>1</v>
      </c>
      <c r="AX117" t="s">
        <v>78</v>
      </c>
      <c r="AY117">
        <v>2040513.25438493</v>
      </c>
      <c r="AZ117" t="s">
        <v>76</v>
      </c>
      <c r="BA117">
        <v>-1.5707963267949001</v>
      </c>
      <c r="BB117">
        <v>0.99200000000000099</v>
      </c>
      <c r="BC117">
        <v>0</v>
      </c>
      <c r="BD117">
        <v>5.82453462424753E-2</v>
      </c>
      <c r="BE117">
        <v>0</v>
      </c>
      <c r="BF117">
        <v>1.6E-2</v>
      </c>
      <c r="BG117">
        <v>0</v>
      </c>
      <c r="BH117">
        <v>0</v>
      </c>
      <c r="BI117" s="1">
        <v>2.0496425070002899E-19</v>
      </c>
      <c r="BJ117" s="1">
        <v>5.7777898331617101E-34</v>
      </c>
      <c r="BK117">
        <v>1</v>
      </c>
      <c r="BL117" s="1">
        <v>9.1184171676397802E-5</v>
      </c>
      <c r="BM117">
        <v>3.5155768670195502E-4</v>
      </c>
      <c r="BN117" s="1">
        <v>3.46446370464862E-7</v>
      </c>
      <c r="BO117" s="1">
        <v>5.5222552292794097E-6</v>
      </c>
      <c r="BP117">
        <v>0</v>
      </c>
      <c r="BQ117">
        <v>0</v>
      </c>
      <c r="BR117" s="1">
        <v>5.4648646780519498E-5</v>
      </c>
      <c r="BS117">
        <v>1.9775561204574301E-4</v>
      </c>
    </row>
    <row r="118" spans="1:71" x14ac:dyDescent="0.25">
      <c r="A118">
        <v>115</v>
      </c>
      <c r="B118" s="1">
        <v>2.87188149258967E-5</v>
      </c>
      <c r="C118">
        <v>9.8447064636032894E-2</v>
      </c>
      <c r="D118">
        <v>-2.3565610565789901E-4</v>
      </c>
      <c r="E118" s="1">
        <v>-6.5899884526319106E-5</v>
      </c>
      <c r="F118">
        <v>-9.8447064636032798E-4</v>
      </c>
      <c r="G118">
        <v>-7.8757651708826198E-4</v>
      </c>
      <c r="H118" t="s">
        <v>74</v>
      </c>
      <c r="I118">
        <v>0</v>
      </c>
      <c r="J118" t="s">
        <v>75</v>
      </c>
      <c r="K118">
        <v>3.14159265358979</v>
      </c>
      <c r="L118">
        <v>0.52210164799876901</v>
      </c>
      <c r="M118">
        <v>0</v>
      </c>
      <c r="N118">
        <v>3.0655233126467001E-2</v>
      </c>
      <c r="O118">
        <v>0</v>
      </c>
      <c r="P118">
        <v>1.6E-2</v>
      </c>
      <c r="Q118">
        <v>0</v>
      </c>
      <c r="R118">
        <v>0</v>
      </c>
      <c r="S118">
        <v>0</v>
      </c>
      <c r="T118">
        <v>0</v>
      </c>
      <c r="U118">
        <v>0.52631214502317503</v>
      </c>
      <c r="V118" t="s">
        <v>78</v>
      </c>
      <c r="W118">
        <v>3140696.6679796502</v>
      </c>
      <c r="X118" t="s">
        <v>76</v>
      </c>
      <c r="Y118">
        <v>-1.5707963267949001</v>
      </c>
      <c r="Z118">
        <v>0.51890944970098296</v>
      </c>
      <c r="AA118">
        <v>0</v>
      </c>
      <c r="AB118">
        <v>2.8852570579754901E-2</v>
      </c>
      <c r="AC118">
        <v>5.9433716354683804E-3</v>
      </c>
      <c r="AD118">
        <v>9.8290545351648289E-4</v>
      </c>
      <c r="AE118">
        <v>2.47331158866467E-2</v>
      </c>
      <c r="AF118">
        <v>0</v>
      </c>
      <c r="AG118">
        <v>8.7754587681946702E-2</v>
      </c>
      <c r="AH118">
        <v>0.62125327161981703</v>
      </c>
      <c r="AI118">
        <v>0.21609117148420701</v>
      </c>
      <c r="AJ118" t="s">
        <v>74</v>
      </c>
      <c r="AK118">
        <v>0</v>
      </c>
      <c r="AL118" t="s">
        <v>77</v>
      </c>
      <c r="AM118">
        <v>0</v>
      </c>
      <c r="AN118">
        <v>0.99200000000000099</v>
      </c>
      <c r="AO118">
        <v>0</v>
      </c>
      <c r="AP118">
        <v>5.82453462424753E-2</v>
      </c>
      <c r="AQ118">
        <v>0</v>
      </c>
      <c r="AR118">
        <v>1.6E-2</v>
      </c>
      <c r="AS118">
        <v>0</v>
      </c>
      <c r="AT118">
        <v>0</v>
      </c>
      <c r="AU118">
        <v>0</v>
      </c>
      <c r="AV118">
        <v>0</v>
      </c>
      <c r="AW118">
        <v>1</v>
      </c>
      <c r="AX118" t="s">
        <v>78</v>
      </c>
      <c r="AY118">
        <v>2042011.32560909</v>
      </c>
      <c r="AZ118" t="s">
        <v>76</v>
      </c>
      <c r="BA118">
        <v>-1.5707963267949001</v>
      </c>
      <c r="BB118">
        <v>0.99200000000000099</v>
      </c>
      <c r="BC118">
        <v>0</v>
      </c>
      <c r="BD118">
        <v>5.8245346242475203E-2</v>
      </c>
      <c r="BE118">
        <v>0</v>
      </c>
      <c r="BF118">
        <v>1.6E-2</v>
      </c>
      <c r="BG118">
        <v>0</v>
      </c>
      <c r="BH118">
        <v>0</v>
      </c>
      <c r="BI118" s="1">
        <v>2.39124959150034E-19</v>
      </c>
      <c r="BJ118" s="1">
        <v>5.7777898331617101E-34</v>
      </c>
      <c r="BK118">
        <v>1</v>
      </c>
      <c r="BL118" s="1">
        <v>9.0970933913320394E-5</v>
      </c>
      <c r="BM118">
        <v>3.5450392965088198E-4</v>
      </c>
      <c r="BN118" s="1">
        <v>3.4574587200312602E-7</v>
      </c>
      <c r="BO118" s="1">
        <v>5.5685347052996203E-6</v>
      </c>
      <c r="BP118">
        <v>0</v>
      </c>
      <c r="BQ118">
        <v>0</v>
      </c>
      <c r="BR118" s="1">
        <v>5.4519499744201998E-5</v>
      </c>
      <c r="BS118">
        <v>1.9942099147189101E-4</v>
      </c>
    </row>
    <row r="119" spans="1:71" x14ac:dyDescent="0.25">
      <c r="A119">
        <v>116</v>
      </c>
      <c r="B119" s="1">
        <v>3.1775055407725798E-5</v>
      </c>
      <c r="C119">
        <v>9.8478839691440598E-2</v>
      </c>
      <c r="D119">
        <v>-2.3583900587867E-4</v>
      </c>
      <c r="E119" s="1">
        <v>-6.6046204702935698E-5</v>
      </c>
      <c r="F119">
        <v>-9.847883969144051E-4</v>
      </c>
      <c r="G119">
        <v>-7.8783071753152399E-4</v>
      </c>
      <c r="H119" t="s">
        <v>74</v>
      </c>
      <c r="I119">
        <v>0</v>
      </c>
      <c r="J119" t="s">
        <v>75</v>
      </c>
      <c r="K119">
        <v>3.14159265358979</v>
      </c>
      <c r="L119">
        <v>0.51824038199264999</v>
      </c>
      <c r="M119">
        <v>0</v>
      </c>
      <c r="N119">
        <v>3.0428518635075098E-2</v>
      </c>
      <c r="O119">
        <v>0</v>
      </c>
      <c r="P119">
        <v>1.6E-2</v>
      </c>
      <c r="Q119">
        <v>0</v>
      </c>
      <c r="R119">
        <v>0</v>
      </c>
      <c r="S119">
        <v>0</v>
      </c>
      <c r="T119">
        <v>0</v>
      </c>
      <c r="U119">
        <v>0.52241973976167699</v>
      </c>
      <c r="V119" t="s">
        <v>78</v>
      </c>
      <c r="W119">
        <v>3142590.6761316899</v>
      </c>
      <c r="X119" t="s">
        <v>76</v>
      </c>
      <c r="Y119">
        <v>-1.5707963267949001</v>
      </c>
      <c r="Z119">
        <v>0.51504426501717204</v>
      </c>
      <c r="AA119">
        <v>0</v>
      </c>
      <c r="AB119">
        <v>2.86258631314368E-2</v>
      </c>
      <c r="AC119">
        <v>6.3089761209442902E-3</v>
      </c>
      <c r="AD119">
        <v>8.1791217739301798E-4</v>
      </c>
      <c r="AE119">
        <v>2.4918775867285501E-2</v>
      </c>
      <c r="AF119">
        <v>0</v>
      </c>
      <c r="AG119">
        <v>7.6598585142809594E-2</v>
      </c>
      <c r="AH119">
        <v>0.63823535959537603</v>
      </c>
      <c r="AI119">
        <v>0.21119774358025301</v>
      </c>
      <c r="AJ119" t="s">
        <v>74</v>
      </c>
      <c r="AK119">
        <v>0</v>
      </c>
      <c r="AL119" t="s">
        <v>77</v>
      </c>
      <c r="AM119">
        <v>0</v>
      </c>
      <c r="AN119">
        <v>0.99200000000000099</v>
      </c>
      <c r="AO119">
        <v>0</v>
      </c>
      <c r="AP119">
        <v>5.82453462424753E-2</v>
      </c>
      <c r="AQ119">
        <v>0</v>
      </c>
      <c r="AR119">
        <v>1.6E-2</v>
      </c>
      <c r="AS119">
        <v>0</v>
      </c>
      <c r="AT119">
        <v>0</v>
      </c>
      <c r="AU119">
        <v>0</v>
      </c>
      <c r="AV119">
        <v>0</v>
      </c>
      <c r="AW119">
        <v>1</v>
      </c>
      <c r="AX119" t="s">
        <v>78</v>
      </c>
      <c r="AY119">
        <v>2043668.5827421299</v>
      </c>
      <c r="AZ119" t="s">
        <v>76</v>
      </c>
      <c r="BA119">
        <v>-1.5707963267949001</v>
      </c>
      <c r="BB119">
        <v>0.99200000000000099</v>
      </c>
      <c r="BC119">
        <v>0</v>
      </c>
      <c r="BD119">
        <v>5.8245346242475203E-2</v>
      </c>
      <c r="BE119">
        <v>0</v>
      </c>
      <c r="BF119">
        <v>1.6E-2</v>
      </c>
      <c r="BG119">
        <v>0</v>
      </c>
      <c r="BH119">
        <v>0</v>
      </c>
      <c r="BI119" s="1">
        <v>2.39124959150034E-19</v>
      </c>
      <c r="BJ119" s="1">
        <v>5.7777898331617101E-34</v>
      </c>
      <c r="BK119">
        <v>1</v>
      </c>
      <c r="BL119" s="1">
        <v>9.0927025186203402E-5</v>
      </c>
      <c r="BM119">
        <v>3.5741697236909301E-4</v>
      </c>
      <c r="BN119" s="1">
        <v>3.4593728647607899E-7</v>
      </c>
      <c r="BO119" s="1">
        <v>5.61429267331524E-6</v>
      </c>
      <c r="BP119">
        <v>0</v>
      </c>
      <c r="BQ119">
        <v>0</v>
      </c>
      <c r="BR119" s="1">
        <v>5.44860641137751E-5</v>
      </c>
      <c r="BS119">
        <v>2.0106869523173101E-4</v>
      </c>
    </row>
    <row r="120" spans="1:71" x14ac:dyDescent="0.25">
      <c r="A120">
        <v>117</v>
      </c>
      <c r="B120" s="1">
        <v>3.5804549887037202E-5</v>
      </c>
      <c r="C120">
        <v>9.8514644241327595E-2</v>
      </c>
      <c r="D120">
        <v>-2.3604506750703601E-4</v>
      </c>
      <c r="E120" s="1">
        <v>-6.6211054005628901E-5</v>
      </c>
      <c r="F120">
        <v>-9.8514644241327496E-4</v>
      </c>
      <c r="G120">
        <v>-7.8811715393061995E-4</v>
      </c>
      <c r="H120" t="s">
        <v>74</v>
      </c>
      <c r="I120">
        <v>0</v>
      </c>
      <c r="J120" t="s">
        <v>75</v>
      </c>
      <c r="K120">
        <v>3.14159265358979</v>
      </c>
      <c r="L120">
        <v>0.51443611275606105</v>
      </c>
      <c r="M120">
        <v>0</v>
      </c>
      <c r="N120">
        <v>3.0205150712812299E-2</v>
      </c>
      <c r="O120">
        <v>0</v>
      </c>
      <c r="P120">
        <v>1.6E-2</v>
      </c>
      <c r="Q120">
        <v>0</v>
      </c>
      <c r="R120">
        <v>0</v>
      </c>
      <c r="S120">
        <v>0</v>
      </c>
      <c r="T120">
        <v>0</v>
      </c>
      <c r="U120">
        <v>0.51858479092329601</v>
      </c>
      <c r="V120" t="s">
        <v>78</v>
      </c>
      <c r="W120">
        <v>3144724.5303299301</v>
      </c>
      <c r="X120" t="s">
        <v>76</v>
      </c>
      <c r="Y120">
        <v>-1.5707963267949001</v>
      </c>
      <c r="Z120">
        <v>0.51123257077937001</v>
      </c>
      <c r="AA120">
        <v>0</v>
      </c>
      <c r="AB120">
        <v>2.84008143383905E-2</v>
      </c>
      <c r="AC120">
        <v>6.3421562033930999E-3</v>
      </c>
      <c r="AD120">
        <v>6.5809338950223505E-4</v>
      </c>
      <c r="AE120">
        <v>2.5101022269632199E-2</v>
      </c>
      <c r="AF120">
        <v>0</v>
      </c>
      <c r="AG120">
        <v>6.48281249618856E-2</v>
      </c>
      <c r="AH120">
        <v>0.65574590542706801</v>
      </c>
      <c r="AI120">
        <v>0.20641196081015301</v>
      </c>
      <c r="AJ120" t="s">
        <v>74</v>
      </c>
      <c r="AK120">
        <v>0</v>
      </c>
      <c r="AL120" t="s">
        <v>77</v>
      </c>
      <c r="AM120">
        <v>0</v>
      </c>
      <c r="AN120">
        <v>0.99200000000000099</v>
      </c>
      <c r="AO120">
        <v>0</v>
      </c>
      <c r="AP120">
        <v>5.82453462424753E-2</v>
      </c>
      <c r="AQ120">
        <v>0</v>
      </c>
      <c r="AR120">
        <v>1.6E-2</v>
      </c>
      <c r="AS120">
        <v>0</v>
      </c>
      <c r="AT120">
        <v>0</v>
      </c>
      <c r="AU120">
        <v>0</v>
      </c>
      <c r="AV120">
        <v>0</v>
      </c>
      <c r="AW120">
        <v>1</v>
      </c>
      <c r="AX120" t="s">
        <v>78</v>
      </c>
      <c r="AY120">
        <v>2045535.7051655899</v>
      </c>
      <c r="AZ120" t="s">
        <v>76</v>
      </c>
      <c r="BA120">
        <v>-1.5707963267949001</v>
      </c>
      <c r="BB120">
        <v>0.99200000000000099</v>
      </c>
      <c r="BC120">
        <v>0</v>
      </c>
      <c r="BD120">
        <v>5.8245346242475203E-2</v>
      </c>
      <c r="BE120">
        <v>0</v>
      </c>
      <c r="BF120">
        <v>1.6E-2</v>
      </c>
      <c r="BG120">
        <v>0</v>
      </c>
      <c r="BH120">
        <v>0</v>
      </c>
      <c r="BI120" s="1">
        <v>2.7328566760003801E-19</v>
      </c>
      <c r="BJ120" s="1">
        <v>5.7777898331617101E-34</v>
      </c>
      <c r="BK120">
        <v>1</v>
      </c>
      <c r="BL120" s="1">
        <v>9.0719406869773194E-5</v>
      </c>
      <c r="BM120">
        <v>3.6028701519447701E-4</v>
      </c>
      <c r="BN120" s="1">
        <v>3.4525936491223699E-7</v>
      </c>
      <c r="BO120" s="1">
        <v>5.6593752005938101E-6</v>
      </c>
      <c r="BP120">
        <v>0</v>
      </c>
      <c r="BQ120">
        <v>0</v>
      </c>
      <c r="BR120" s="1">
        <v>5.4361134544577401E-5</v>
      </c>
      <c r="BS120">
        <v>2.0269350719546899E-4</v>
      </c>
    </row>
    <row r="121" spans="1:71" x14ac:dyDescent="0.25">
      <c r="A121">
        <v>118</v>
      </c>
      <c r="B121" s="1">
        <v>4.1346624420134102E-5</v>
      </c>
      <c r="C121">
        <v>9.8555990865747706E-2</v>
      </c>
      <c r="D121">
        <v>-2.3628298217198701E-4</v>
      </c>
      <c r="E121" s="1">
        <v>-6.6401385737589795E-5</v>
      </c>
      <c r="F121">
        <v>-9.8555990865747695E-4</v>
      </c>
      <c r="G121">
        <v>-7.8844792692598102E-4</v>
      </c>
      <c r="H121" t="s">
        <v>74</v>
      </c>
      <c r="I121">
        <v>0</v>
      </c>
      <c r="J121" t="s">
        <v>75</v>
      </c>
      <c r="K121">
        <v>3.14159265358979</v>
      </c>
      <c r="L121">
        <v>0.51070769207489597</v>
      </c>
      <c r="M121">
        <v>0</v>
      </c>
      <c r="N121">
        <v>2.9986236243546099E-2</v>
      </c>
      <c r="O121">
        <v>0</v>
      </c>
      <c r="P121">
        <v>1.6E-2</v>
      </c>
      <c r="Q121">
        <v>0</v>
      </c>
      <c r="R121">
        <v>0</v>
      </c>
      <c r="S121">
        <v>0</v>
      </c>
      <c r="T121">
        <v>0</v>
      </c>
      <c r="U121">
        <v>0.51482630232582305</v>
      </c>
      <c r="V121" t="s">
        <v>78</v>
      </c>
      <c r="W121">
        <v>3147188.2360215299</v>
      </c>
      <c r="X121" t="s">
        <v>76</v>
      </c>
      <c r="Y121">
        <v>-1.5707963267949001</v>
      </c>
      <c r="Z121">
        <v>0.50749183167346101</v>
      </c>
      <c r="AA121">
        <v>0</v>
      </c>
      <c r="AB121">
        <v>2.8177869020419799E-2</v>
      </c>
      <c r="AC121">
        <v>6.3772191843105E-3</v>
      </c>
      <c r="AD121">
        <v>5.0503386013453803E-4</v>
      </c>
      <c r="AE121">
        <v>2.52788565721556E-2</v>
      </c>
      <c r="AF121">
        <v>0</v>
      </c>
      <c r="AG121">
        <v>5.2459244794021899E-2</v>
      </c>
      <c r="AH121">
        <v>0.67374042687345803</v>
      </c>
      <c r="AI121">
        <v>0.201755798261811</v>
      </c>
      <c r="AJ121" t="s">
        <v>74</v>
      </c>
      <c r="AK121">
        <v>0</v>
      </c>
      <c r="AL121" t="s">
        <v>77</v>
      </c>
      <c r="AM121">
        <v>0</v>
      </c>
      <c r="AN121">
        <v>0.99200000000000099</v>
      </c>
      <c r="AO121">
        <v>0</v>
      </c>
      <c r="AP121">
        <v>5.82453462424753E-2</v>
      </c>
      <c r="AQ121">
        <v>0</v>
      </c>
      <c r="AR121">
        <v>1.6E-2</v>
      </c>
      <c r="AS121">
        <v>0</v>
      </c>
      <c r="AT121">
        <v>0</v>
      </c>
      <c r="AU121">
        <v>0</v>
      </c>
      <c r="AV121">
        <v>0</v>
      </c>
      <c r="AW121">
        <v>1</v>
      </c>
      <c r="AX121" t="s">
        <v>78</v>
      </c>
      <c r="AY121">
        <v>2047691.4476457399</v>
      </c>
      <c r="AZ121" t="s">
        <v>76</v>
      </c>
      <c r="BA121">
        <v>-1.5707963267949001</v>
      </c>
      <c r="BB121">
        <v>0.99200000000000099</v>
      </c>
      <c r="BC121">
        <v>0</v>
      </c>
      <c r="BD121">
        <v>5.8245346242475203E-2</v>
      </c>
      <c r="BE121">
        <v>0</v>
      </c>
      <c r="BF121">
        <v>1.6E-2</v>
      </c>
      <c r="BG121">
        <v>0</v>
      </c>
      <c r="BH121">
        <v>0</v>
      </c>
      <c r="BI121" s="1">
        <v>3.0744637605004299E-19</v>
      </c>
      <c r="BJ121" s="1">
        <v>5.7777898331617101E-34</v>
      </c>
      <c r="BK121">
        <v>1</v>
      </c>
      <c r="BL121" s="1">
        <v>9.0516008466613504E-5</v>
      </c>
      <c r="BM121">
        <v>3.6309983583373998E-4</v>
      </c>
      <c r="BN121" s="1">
        <v>3.4459850543632401E-7</v>
      </c>
      <c r="BO121" s="1">
        <v>5.7035588838746902E-6</v>
      </c>
      <c r="BP121">
        <v>0</v>
      </c>
      <c r="BQ121">
        <v>0</v>
      </c>
      <c r="BR121" s="1">
        <v>5.4239397937700898E-5</v>
      </c>
      <c r="BS121">
        <v>2.0428788547866301E-4</v>
      </c>
    </row>
    <row r="122" spans="1:71" x14ac:dyDescent="0.25">
      <c r="A122">
        <v>119</v>
      </c>
      <c r="B122" s="1">
        <v>4.94130227741846E-5</v>
      </c>
      <c r="C122">
        <v>9.8605403888521903E-2</v>
      </c>
      <c r="D122">
        <v>-2.36567253319891E-4</v>
      </c>
      <c r="E122" s="1">
        <v>-6.6628802655912696E-5</v>
      </c>
      <c r="F122">
        <v>-9.8605403888521806E-4</v>
      </c>
      <c r="G122">
        <v>-7.8884323110817395E-4</v>
      </c>
      <c r="H122" t="s">
        <v>74</v>
      </c>
      <c r="I122">
        <v>0</v>
      </c>
      <c r="J122" t="s">
        <v>75</v>
      </c>
      <c r="K122">
        <v>3.14159265358979</v>
      </c>
      <c r="L122">
        <v>0.50708296849105605</v>
      </c>
      <c r="M122">
        <v>0</v>
      </c>
      <c r="N122">
        <v>2.9773410356273899E-2</v>
      </c>
      <c r="O122">
        <v>0</v>
      </c>
      <c r="P122">
        <v>1.6E-2</v>
      </c>
      <c r="Q122">
        <v>0</v>
      </c>
      <c r="R122">
        <v>0</v>
      </c>
      <c r="S122">
        <v>0</v>
      </c>
      <c r="T122">
        <v>0</v>
      </c>
      <c r="U122">
        <v>0.511172347098099</v>
      </c>
      <c r="V122" t="s">
        <v>78</v>
      </c>
      <c r="W122">
        <v>3150131.9824492401</v>
      </c>
      <c r="X122" t="s">
        <v>76</v>
      </c>
      <c r="Y122">
        <v>-1.5707963267949001</v>
      </c>
      <c r="Z122">
        <v>0.50384758657046103</v>
      </c>
      <c r="AA122">
        <v>0</v>
      </c>
      <c r="AB122">
        <v>2.7957565523754901E-2</v>
      </c>
      <c r="AC122">
        <v>6.4150854973341999E-3</v>
      </c>
      <c r="AD122">
        <v>3.6118945481765499E-4</v>
      </c>
      <c r="AE122">
        <v>2.54507072859128E-2</v>
      </c>
      <c r="AF122">
        <v>0</v>
      </c>
      <c r="AG122">
        <v>3.95894192311377E-2</v>
      </c>
      <c r="AH122">
        <v>0.69207942996759597</v>
      </c>
      <c r="AI122">
        <v>0.197261521169589</v>
      </c>
      <c r="AJ122" t="s">
        <v>74</v>
      </c>
      <c r="AK122">
        <v>0</v>
      </c>
      <c r="AL122" t="s">
        <v>77</v>
      </c>
      <c r="AM122">
        <v>0</v>
      </c>
      <c r="AN122">
        <v>0.99200000000000099</v>
      </c>
      <c r="AO122">
        <v>0</v>
      </c>
      <c r="AP122">
        <v>5.82453462424753E-2</v>
      </c>
      <c r="AQ122">
        <v>0</v>
      </c>
      <c r="AR122">
        <v>1.6E-2</v>
      </c>
      <c r="AS122">
        <v>0</v>
      </c>
      <c r="AT122">
        <v>0</v>
      </c>
      <c r="AU122">
        <v>0</v>
      </c>
      <c r="AV122">
        <v>0</v>
      </c>
      <c r="AW122">
        <v>1</v>
      </c>
      <c r="AX122" t="s">
        <v>78</v>
      </c>
      <c r="AY122">
        <v>2050267.2257699801</v>
      </c>
      <c r="AZ122" t="s">
        <v>76</v>
      </c>
      <c r="BA122">
        <v>-1.5707963267949001</v>
      </c>
      <c r="BB122">
        <v>0.99200000000000099</v>
      </c>
      <c r="BC122">
        <v>0</v>
      </c>
      <c r="BD122">
        <v>5.8245346242475203E-2</v>
      </c>
      <c r="BE122">
        <v>0</v>
      </c>
      <c r="BF122">
        <v>1.6E-2</v>
      </c>
      <c r="BG122">
        <v>0</v>
      </c>
      <c r="BH122">
        <v>0</v>
      </c>
      <c r="BI122" s="1">
        <v>3.4160708450004802E-19</v>
      </c>
      <c r="BJ122" s="1">
        <v>5.7777898331617101E-34</v>
      </c>
      <c r="BK122">
        <v>1</v>
      </c>
      <c r="BL122" s="1">
        <v>9.0318376931156804E-5</v>
      </c>
      <c r="BM122">
        <v>3.65834424599367E-4</v>
      </c>
      <c r="BN122" s="1">
        <v>3.4396120951266898E-7</v>
      </c>
      <c r="BO122" s="1">
        <v>5.7465137037580998E-6</v>
      </c>
      <c r="BP122">
        <v>0</v>
      </c>
      <c r="BQ122">
        <v>0</v>
      </c>
      <c r="BR122" s="1">
        <v>5.41220818167217E-5</v>
      </c>
      <c r="BS122">
        <v>2.0584077342181701E-4</v>
      </c>
    </row>
    <row r="123" spans="1:71" x14ac:dyDescent="0.25">
      <c r="A123">
        <v>120</v>
      </c>
      <c r="B123" s="1">
        <v>6.2117100585372105E-5</v>
      </c>
      <c r="C123">
        <v>9.8667520989107305E-2</v>
      </c>
      <c r="D123">
        <v>-2.36924522229914E-4</v>
      </c>
      <c r="E123" s="1">
        <v>-6.6914617783931396E-5</v>
      </c>
      <c r="F123">
        <v>-9.8667520989107198E-4</v>
      </c>
      <c r="G123">
        <v>-7.8934016791285802E-4</v>
      </c>
      <c r="H123" t="s">
        <v>74</v>
      </c>
      <c r="I123">
        <v>0</v>
      </c>
      <c r="J123" t="s">
        <v>75</v>
      </c>
      <c r="K123">
        <v>3.14159265358979</v>
      </c>
      <c r="L123">
        <v>0.50360197845705501</v>
      </c>
      <c r="M123">
        <v>0</v>
      </c>
      <c r="N123">
        <v>2.9569023793978501E-2</v>
      </c>
      <c r="O123">
        <v>0</v>
      </c>
      <c r="P123">
        <v>1.6E-2</v>
      </c>
      <c r="Q123">
        <v>0</v>
      </c>
      <c r="R123">
        <v>0</v>
      </c>
      <c r="S123">
        <v>0</v>
      </c>
      <c r="T123">
        <v>0</v>
      </c>
      <c r="U123">
        <v>0.50766328456962795</v>
      </c>
      <c r="V123" t="s">
        <v>78</v>
      </c>
      <c r="W123">
        <v>3153831.6511822999</v>
      </c>
      <c r="X123" t="s">
        <v>76</v>
      </c>
      <c r="Y123">
        <v>-1.5707963267949001</v>
      </c>
      <c r="Z123">
        <v>0.50033566443598598</v>
      </c>
      <c r="AA123">
        <v>0</v>
      </c>
      <c r="AB123">
        <v>2.7740271904062901E-2</v>
      </c>
      <c r="AC123">
        <v>6.5129240096118302E-3</v>
      </c>
      <c r="AD123">
        <v>2.3052546488590099E-4</v>
      </c>
      <c r="AE123">
        <v>2.5614011575929001E-2</v>
      </c>
      <c r="AF123">
        <v>0</v>
      </c>
      <c r="AG123">
        <v>2.65191576797567E-2</v>
      </c>
      <c r="AH123">
        <v>0.71040199615411204</v>
      </c>
      <c r="AI123">
        <v>0.19297521269778301</v>
      </c>
      <c r="AJ123" t="s">
        <v>74</v>
      </c>
      <c r="AK123">
        <v>0</v>
      </c>
      <c r="AL123" t="s">
        <v>77</v>
      </c>
      <c r="AM123">
        <v>0</v>
      </c>
      <c r="AN123">
        <v>0.99200000000000099</v>
      </c>
      <c r="AO123">
        <v>0</v>
      </c>
      <c r="AP123">
        <v>5.82453462424753E-2</v>
      </c>
      <c r="AQ123">
        <v>0</v>
      </c>
      <c r="AR123">
        <v>1.6E-2</v>
      </c>
      <c r="AS123">
        <v>0</v>
      </c>
      <c r="AT123">
        <v>0</v>
      </c>
      <c r="AU123">
        <v>0</v>
      </c>
      <c r="AV123">
        <v>0</v>
      </c>
      <c r="AW123">
        <v>1</v>
      </c>
      <c r="AX123" t="s">
        <v>78</v>
      </c>
      <c r="AY123">
        <v>2053504.43591141</v>
      </c>
      <c r="AZ123" t="s">
        <v>76</v>
      </c>
      <c r="BA123">
        <v>-1.5707963267949001</v>
      </c>
      <c r="BB123">
        <v>0.99200000000000099</v>
      </c>
      <c r="BC123">
        <v>0</v>
      </c>
      <c r="BD123">
        <v>5.8245346242475203E-2</v>
      </c>
      <c r="BE123">
        <v>0</v>
      </c>
      <c r="BF123">
        <v>1.6E-2</v>
      </c>
      <c r="BG123">
        <v>0</v>
      </c>
      <c r="BH123">
        <v>0</v>
      </c>
      <c r="BI123" s="1">
        <v>4.0992850140005798E-19</v>
      </c>
      <c r="BJ123" s="1">
        <v>5.7777898331617101E-34</v>
      </c>
      <c r="BK123">
        <v>1</v>
      </c>
      <c r="BL123" s="1">
        <v>9.0156456096301903E-5</v>
      </c>
      <c r="BM123">
        <v>3.6846057691693402E-4</v>
      </c>
      <c r="BN123" s="1">
        <v>3.4350391257080701E-7</v>
      </c>
      <c r="BO123" s="1">
        <v>5.7877652078984898E-6</v>
      </c>
      <c r="BP123">
        <v>0</v>
      </c>
      <c r="BQ123">
        <v>0</v>
      </c>
      <c r="BR123" s="1">
        <v>5.4026657648808702E-5</v>
      </c>
      <c r="BS123">
        <v>2.0733657471890801E-4</v>
      </c>
    </row>
    <row r="124" spans="1:71" x14ac:dyDescent="0.25">
      <c r="A124">
        <v>121</v>
      </c>
      <c r="B124" s="1">
        <v>8.4582715477147307E-5</v>
      </c>
      <c r="C124">
        <v>9.8752103704584399E-2</v>
      </c>
      <c r="D124">
        <v>-2.37410851900284E-4</v>
      </c>
      <c r="E124" s="1">
        <v>-6.7303681520227598E-5</v>
      </c>
      <c r="F124">
        <v>-9.8752103704584392E-4</v>
      </c>
      <c r="G124">
        <v>-7.9001682963667505E-4</v>
      </c>
      <c r="H124" t="s">
        <v>74</v>
      </c>
      <c r="I124">
        <v>0</v>
      </c>
      <c r="J124" t="s">
        <v>75</v>
      </c>
      <c r="K124">
        <v>3.14159265358979</v>
      </c>
      <c r="L124">
        <v>0.50030760793926798</v>
      </c>
      <c r="M124">
        <v>0</v>
      </c>
      <c r="N124">
        <v>2.9375594609039501E-2</v>
      </c>
      <c r="O124">
        <v>0</v>
      </c>
      <c r="P124">
        <v>1.6E-2</v>
      </c>
      <c r="Q124">
        <v>0</v>
      </c>
      <c r="R124">
        <v>0</v>
      </c>
      <c r="S124">
        <v>0</v>
      </c>
      <c r="T124">
        <v>0</v>
      </c>
      <c r="U124">
        <v>0.50434234656200505</v>
      </c>
      <c r="V124" t="s">
        <v>78</v>
      </c>
      <c r="W124">
        <v>3158867.7979752398</v>
      </c>
      <c r="X124" t="s">
        <v>76</v>
      </c>
      <c r="Y124">
        <v>-1.5707963267949001</v>
      </c>
      <c r="Z124">
        <v>0.49699028115146998</v>
      </c>
      <c r="AA124">
        <v>0</v>
      </c>
      <c r="AB124">
        <v>2.7524472842792101E-2</v>
      </c>
      <c r="AC124">
        <v>6.5639513779080496E-3</v>
      </c>
      <c r="AD124">
        <v>1.1955834634681499E-4</v>
      </c>
      <c r="AE124">
        <v>2.5764661159368801E-2</v>
      </c>
      <c r="AF124" s="1">
        <v>1.9183041579175701E-20</v>
      </c>
      <c r="AG124">
        <v>1.40641179266236E-2</v>
      </c>
      <c r="AH124">
        <v>0.72782775899791996</v>
      </c>
      <c r="AI124">
        <v>0.188945159346212</v>
      </c>
      <c r="AJ124" t="s">
        <v>74</v>
      </c>
      <c r="AK124">
        <v>0</v>
      </c>
      <c r="AL124" t="s">
        <v>77</v>
      </c>
      <c r="AM124">
        <v>0</v>
      </c>
      <c r="AN124">
        <v>0.99200000000000099</v>
      </c>
      <c r="AO124">
        <v>0</v>
      </c>
      <c r="AP124">
        <v>5.82453462424753E-2</v>
      </c>
      <c r="AQ124">
        <v>0</v>
      </c>
      <c r="AR124">
        <v>1.6E-2</v>
      </c>
      <c r="AS124">
        <v>0</v>
      </c>
      <c r="AT124">
        <v>0</v>
      </c>
      <c r="AU124">
        <v>0</v>
      </c>
      <c r="AV124">
        <v>0</v>
      </c>
      <c r="AW124">
        <v>1</v>
      </c>
      <c r="AX124" t="s">
        <v>78</v>
      </c>
      <c r="AY124">
        <v>2057911.06435523</v>
      </c>
      <c r="AZ124" t="s">
        <v>76</v>
      </c>
      <c r="BA124">
        <v>-1.5707963267949001</v>
      </c>
      <c r="BB124">
        <v>0.99200000000000099</v>
      </c>
      <c r="BC124">
        <v>0</v>
      </c>
      <c r="BD124">
        <v>5.8245346242475203E-2</v>
      </c>
      <c r="BE124">
        <v>0</v>
      </c>
      <c r="BF124">
        <v>1.6E-2</v>
      </c>
      <c r="BG124">
        <v>0</v>
      </c>
      <c r="BH124">
        <v>0</v>
      </c>
      <c r="BI124" s="1">
        <v>5.4657133520007699E-19</v>
      </c>
      <c r="BJ124" s="1">
        <v>5.7777898331617101E-34</v>
      </c>
      <c r="BK124">
        <v>1</v>
      </c>
      <c r="BL124" s="1">
        <v>8.9977355657345096E-5</v>
      </c>
      <c r="BM124">
        <v>3.70945938462272E-4</v>
      </c>
      <c r="BN124" s="1">
        <v>3.42947692157087E-7</v>
      </c>
      <c r="BO124" s="1">
        <v>5.8268051757602304E-6</v>
      </c>
      <c r="BP124">
        <v>0</v>
      </c>
      <c r="BQ124">
        <v>0</v>
      </c>
      <c r="BR124" s="1">
        <v>5.3924544877284697E-5</v>
      </c>
      <c r="BS124">
        <v>2.0876001991843E-4</v>
      </c>
    </row>
    <row r="125" spans="1:71" x14ac:dyDescent="0.25">
      <c r="A125">
        <v>122</v>
      </c>
      <c r="B125">
        <v>1.3235128277731901E-4</v>
      </c>
      <c r="C125">
        <v>9.88844549873618E-2</v>
      </c>
      <c r="D125">
        <v>-2.38171517172822E-4</v>
      </c>
      <c r="E125" s="1">
        <v>-6.7912213738257693E-5</v>
      </c>
      <c r="F125">
        <v>-9.8884454987361692E-4</v>
      </c>
      <c r="G125">
        <v>-7.9107563989889301E-4</v>
      </c>
      <c r="H125" t="s">
        <v>74</v>
      </c>
      <c r="I125">
        <v>0</v>
      </c>
      <c r="J125" t="s">
        <v>75</v>
      </c>
      <c r="K125">
        <v>3.14159265358979</v>
      </c>
      <c r="L125">
        <v>0.49710211568858997</v>
      </c>
      <c r="M125">
        <v>0</v>
      </c>
      <c r="N125">
        <v>2.9187383917488801E-2</v>
      </c>
      <c r="O125">
        <v>0</v>
      </c>
      <c r="P125">
        <v>1.6E-2</v>
      </c>
      <c r="Q125">
        <v>0</v>
      </c>
      <c r="R125">
        <v>0</v>
      </c>
      <c r="S125">
        <v>0</v>
      </c>
      <c r="T125">
        <v>0</v>
      </c>
      <c r="U125">
        <v>0.50111100357048799</v>
      </c>
      <c r="V125" t="s">
        <v>78</v>
      </c>
      <c r="W125">
        <v>3166744.8044714201</v>
      </c>
      <c r="X125" t="s">
        <v>76</v>
      </c>
      <c r="Y125">
        <v>-1.5707963267949001</v>
      </c>
      <c r="Z125">
        <v>0.49369237317315501</v>
      </c>
      <c r="AA125" s="1">
        <v>2.4057478048745599E-5</v>
      </c>
      <c r="AB125">
        <v>2.7294762633317801E-2</v>
      </c>
      <c r="AC125">
        <v>6.6689025386271403E-3</v>
      </c>
      <c r="AD125" s="1">
        <v>3.8307996468766697E-5</v>
      </c>
      <c r="AE125">
        <v>2.5898143487766902E-2</v>
      </c>
      <c r="AF125" s="1">
        <v>1.9183041579175701E-20</v>
      </c>
      <c r="AG125">
        <v>4.24221233210746E-3</v>
      </c>
      <c r="AH125">
        <v>0.74248628338239897</v>
      </c>
      <c r="AI125">
        <v>0.185050202405382</v>
      </c>
      <c r="AJ125" t="s">
        <v>74</v>
      </c>
      <c r="AK125">
        <v>0</v>
      </c>
      <c r="AL125" t="s">
        <v>77</v>
      </c>
      <c r="AM125">
        <v>0</v>
      </c>
      <c r="AN125">
        <v>0.99200000000000099</v>
      </c>
      <c r="AO125">
        <v>0</v>
      </c>
      <c r="AP125">
        <v>5.82453462424753E-2</v>
      </c>
      <c r="AQ125">
        <v>0</v>
      </c>
      <c r="AR125">
        <v>1.6E-2</v>
      </c>
      <c r="AS125">
        <v>0</v>
      </c>
      <c r="AT125">
        <v>0</v>
      </c>
      <c r="AU125">
        <v>0</v>
      </c>
      <c r="AV125">
        <v>0</v>
      </c>
      <c r="AW125">
        <v>1</v>
      </c>
      <c r="AX125" t="s">
        <v>78</v>
      </c>
      <c r="AY125">
        <v>2064803.4450393899</v>
      </c>
      <c r="AZ125" t="s">
        <v>76</v>
      </c>
      <c r="BA125">
        <v>-1.5707963267949001</v>
      </c>
      <c r="BB125">
        <v>0.99200000000000099</v>
      </c>
      <c r="BC125">
        <v>0</v>
      </c>
      <c r="BD125">
        <v>5.8245346242475203E-2</v>
      </c>
      <c r="BE125">
        <v>0</v>
      </c>
      <c r="BF125">
        <v>1.6E-2</v>
      </c>
      <c r="BG125">
        <v>0</v>
      </c>
      <c r="BH125">
        <v>0</v>
      </c>
      <c r="BI125" s="1">
        <v>7.51535585900106E-19</v>
      </c>
      <c r="BJ125" s="1">
        <v>5.7777898331617101E-34</v>
      </c>
      <c r="BK125">
        <v>1</v>
      </c>
      <c r="BL125" s="1">
        <v>8.9820870787192194E-5</v>
      </c>
      <c r="BM125">
        <v>3.73364247857253E-4</v>
      </c>
      <c r="BN125" s="1">
        <v>3.42527299554004E-7</v>
      </c>
      <c r="BO125" s="1">
        <v>5.8647918909071199E-6</v>
      </c>
      <c r="BP125">
        <v>0</v>
      </c>
      <c r="BQ125">
        <v>0</v>
      </c>
      <c r="BR125" s="1">
        <v>5.3840535518811898E-5</v>
      </c>
      <c r="BS125">
        <v>2.10160221273504E-4</v>
      </c>
    </row>
    <row r="126" spans="1:71" x14ac:dyDescent="0.25">
      <c r="A126">
        <v>123</v>
      </c>
      <c r="B126">
        <v>2.7643782814956101E-4</v>
      </c>
      <c r="C126">
        <v>9.9160892815511298E-2</v>
      </c>
      <c r="D126">
        <v>-2.3975924265272499E-4</v>
      </c>
      <c r="E126" s="1">
        <v>-6.9182394122180004E-5</v>
      </c>
      <c r="F126">
        <v>-9.9160892815511196E-4</v>
      </c>
      <c r="G126">
        <v>-7.9328714252409002E-4</v>
      </c>
      <c r="H126" t="s">
        <v>74</v>
      </c>
      <c r="I126">
        <v>0</v>
      </c>
      <c r="J126" t="s">
        <v>75</v>
      </c>
      <c r="K126">
        <v>3.14159265358979</v>
      </c>
      <c r="L126">
        <v>0.495660682582301</v>
      </c>
      <c r="M126">
        <v>0</v>
      </c>
      <c r="N126">
        <v>2.9102750076398901E-2</v>
      </c>
      <c r="O126">
        <v>0</v>
      </c>
      <c r="P126">
        <v>1.6E-2</v>
      </c>
      <c r="Q126">
        <v>0</v>
      </c>
      <c r="R126">
        <v>0</v>
      </c>
      <c r="S126">
        <v>0</v>
      </c>
      <c r="T126">
        <v>0</v>
      </c>
      <c r="U126">
        <v>0.49965794614095499</v>
      </c>
      <c r="V126" t="s">
        <v>81</v>
      </c>
      <c r="W126">
        <v>3183186.3647356499</v>
      </c>
      <c r="X126" t="s">
        <v>76</v>
      </c>
      <c r="Y126">
        <v>-1.5707963267949001</v>
      </c>
      <c r="Z126">
        <v>0.49201955720541601</v>
      </c>
      <c r="AA126">
        <v>1.5478280222204599E-4</v>
      </c>
      <c r="AB126">
        <v>2.7104833450758599E-2</v>
      </c>
      <c r="AC126">
        <v>6.80506036102902E-3</v>
      </c>
      <c r="AD126" s="1">
        <v>2.6248431472538799E-5</v>
      </c>
      <c r="AE126">
        <v>2.6076853991735802E-2</v>
      </c>
      <c r="AF126" s="1">
        <v>2.3388111318786701E-20</v>
      </c>
      <c r="AG126">
        <v>8.2182042361067401E-4</v>
      </c>
      <c r="AH126">
        <v>0.74808158694288296</v>
      </c>
      <c r="AI126">
        <v>0.183295981262939</v>
      </c>
      <c r="AJ126" t="s">
        <v>74</v>
      </c>
      <c r="AK126">
        <v>0</v>
      </c>
      <c r="AL126" t="s">
        <v>77</v>
      </c>
      <c r="AM126">
        <v>0</v>
      </c>
      <c r="AN126">
        <v>0.99200000000000099</v>
      </c>
      <c r="AO126">
        <v>0</v>
      </c>
      <c r="AP126">
        <v>5.82453462424753E-2</v>
      </c>
      <c r="AQ126">
        <v>0</v>
      </c>
      <c r="AR126">
        <v>1.6E-2</v>
      </c>
      <c r="AS126">
        <v>0</v>
      </c>
      <c r="AT126">
        <v>0</v>
      </c>
      <c r="AU126">
        <v>0</v>
      </c>
      <c r="AV126">
        <v>0</v>
      </c>
      <c r="AW126">
        <v>1</v>
      </c>
      <c r="AX126" t="s">
        <v>78</v>
      </c>
      <c r="AY126">
        <v>2079189.8102706</v>
      </c>
      <c r="AZ126" t="s">
        <v>76</v>
      </c>
      <c r="BA126">
        <v>-1.5707963267949001</v>
      </c>
      <c r="BB126">
        <v>0.99200000000000099</v>
      </c>
      <c r="BC126">
        <v>0</v>
      </c>
      <c r="BD126">
        <v>5.8245346242475203E-2</v>
      </c>
      <c r="BE126">
        <v>0</v>
      </c>
      <c r="BF126">
        <v>1.6E-2</v>
      </c>
      <c r="BG126">
        <v>0</v>
      </c>
      <c r="BH126" s="1">
        <v>1.7360158238585701E-18</v>
      </c>
      <c r="BI126" s="1">
        <v>1.5030711718002101E-18</v>
      </c>
      <c r="BJ126" s="1">
        <v>5.7777898331617101E-34</v>
      </c>
      <c r="BK126">
        <v>1</v>
      </c>
      <c r="BL126" s="1">
        <v>8.9751668186568496E-5</v>
      </c>
      <c r="BM126">
        <v>3.7445170368324702E-4</v>
      </c>
      <c r="BN126" s="1">
        <v>3.4246375288799902E-7</v>
      </c>
      <c r="BO126" s="1">
        <v>5.8818736070773502E-6</v>
      </c>
      <c r="BP126">
        <v>0</v>
      </c>
      <c r="BQ126">
        <v>0</v>
      </c>
      <c r="BR126" s="1">
        <v>5.38267149620631E-5</v>
      </c>
      <c r="BS126">
        <v>2.10854539936723E-4</v>
      </c>
    </row>
    <row r="127" spans="1:71" x14ac:dyDescent="0.25">
      <c r="A127">
        <v>124</v>
      </c>
      <c r="B127">
        <v>2.4823733753388301E-4</v>
      </c>
      <c r="C127">
        <v>9.94091301530452E-2</v>
      </c>
      <c r="D127">
        <v>-2.4118302745995999E-4</v>
      </c>
      <c r="E127" s="1">
        <v>-7.0321421967968196E-5</v>
      </c>
      <c r="F127">
        <v>-9.940913015304509E-4</v>
      </c>
      <c r="G127">
        <v>-7.9527304122436104E-4</v>
      </c>
      <c r="H127" t="s">
        <v>74</v>
      </c>
      <c r="I127">
        <v>0</v>
      </c>
      <c r="J127" t="s">
        <v>75</v>
      </c>
      <c r="K127">
        <v>3.14159265358979</v>
      </c>
      <c r="L127">
        <v>0.49250814769750101</v>
      </c>
      <c r="M127">
        <v>0</v>
      </c>
      <c r="N127">
        <v>2.89176487801221E-2</v>
      </c>
      <c r="O127">
        <v>0</v>
      </c>
      <c r="P127">
        <v>1.6E-2</v>
      </c>
      <c r="Q127">
        <v>0</v>
      </c>
      <c r="R127">
        <v>0</v>
      </c>
      <c r="S127">
        <v>0</v>
      </c>
      <c r="T127">
        <v>0</v>
      </c>
      <c r="U127">
        <v>0.49647998744604699</v>
      </c>
      <c r="V127" t="s">
        <v>81</v>
      </c>
      <c r="W127">
        <v>3197930.2508846</v>
      </c>
      <c r="X127" t="s">
        <v>76</v>
      </c>
      <c r="Y127">
        <v>-1.5707963267949001</v>
      </c>
      <c r="Z127">
        <v>0.488669610500853</v>
      </c>
      <c r="AA127">
        <v>2.4599278778395601E-4</v>
      </c>
      <c r="AB127">
        <v>2.68342965417258E-2</v>
      </c>
      <c r="AC127">
        <v>6.9472887813682403E-3</v>
      </c>
      <c r="AD127" s="1">
        <v>1.6689641595120699E-5</v>
      </c>
      <c r="AE127">
        <v>2.6239719204596799E-2</v>
      </c>
      <c r="AF127" s="1">
        <v>3.0993664943840401E-20</v>
      </c>
      <c r="AG127">
        <v>5.1852531820997404E-4</v>
      </c>
      <c r="AH127">
        <v>0.75314159592166996</v>
      </c>
      <c r="AI127">
        <v>0.17950391174418501</v>
      </c>
      <c r="AJ127" t="s">
        <v>74</v>
      </c>
      <c r="AK127">
        <v>0</v>
      </c>
      <c r="AL127" t="s">
        <v>77</v>
      </c>
      <c r="AM127">
        <v>0</v>
      </c>
      <c r="AN127">
        <v>0.99200000000000099</v>
      </c>
      <c r="AO127">
        <v>0</v>
      </c>
      <c r="AP127">
        <v>5.82453462424753E-2</v>
      </c>
      <c r="AQ127">
        <v>0</v>
      </c>
      <c r="AR127">
        <v>1.6E-2</v>
      </c>
      <c r="AS127">
        <v>0</v>
      </c>
      <c r="AT127">
        <v>0</v>
      </c>
      <c r="AU127">
        <v>0</v>
      </c>
      <c r="AV127">
        <v>0</v>
      </c>
      <c r="AW127">
        <v>1</v>
      </c>
      <c r="AX127" t="s">
        <v>78</v>
      </c>
      <c r="AY127">
        <v>2092090.7106509199</v>
      </c>
      <c r="AZ127" t="s">
        <v>76</v>
      </c>
      <c r="BA127">
        <v>-1.5707963267949001</v>
      </c>
      <c r="BB127">
        <v>0.99200000000000099</v>
      </c>
      <c r="BC127">
        <v>0</v>
      </c>
      <c r="BD127">
        <v>5.8245346242475203E-2</v>
      </c>
      <c r="BE127">
        <v>0</v>
      </c>
      <c r="BF127">
        <v>1.6E-2</v>
      </c>
      <c r="BG127">
        <v>0</v>
      </c>
      <c r="BH127" s="1">
        <v>1.7360158238585701E-18</v>
      </c>
      <c r="BI127" s="1">
        <v>2.8694995098003999E-18</v>
      </c>
      <c r="BJ127" s="1">
        <v>5.7777898331617101E-34</v>
      </c>
      <c r="BK127">
        <v>1</v>
      </c>
      <c r="BL127" s="1">
        <v>8.9594963294083304E-5</v>
      </c>
      <c r="BM127">
        <v>3.7683006061993998E-4</v>
      </c>
      <c r="BN127" s="1">
        <v>3.4211798366634598E-7</v>
      </c>
      <c r="BO127" s="1">
        <v>5.9192327504770003E-6</v>
      </c>
      <c r="BP127">
        <v>0</v>
      </c>
      <c r="BQ127">
        <v>0</v>
      </c>
      <c r="BR127" s="1">
        <v>5.3755069476149703E-5</v>
      </c>
      <c r="BS127">
        <v>2.1226808290536499E-4</v>
      </c>
    </row>
    <row r="128" spans="1:71" x14ac:dyDescent="0.25">
      <c r="A128">
        <v>125</v>
      </c>
      <c r="B128">
        <v>2.4671944966318202E-4</v>
      </c>
      <c r="C128">
        <v>9.9655849602708402E-2</v>
      </c>
      <c r="D128">
        <v>-2.4259634992470299E-4</v>
      </c>
      <c r="E128" s="1">
        <v>-7.1452079939762607E-5</v>
      </c>
      <c r="F128">
        <v>-9.9655849602708294E-4</v>
      </c>
      <c r="G128">
        <v>-7.9724679682166599E-4</v>
      </c>
      <c r="H128" t="s">
        <v>74</v>
      </c>
      <c r="I128">
        <v>0</v>
      </c>
      <c r="J128" t="s">
        <v>75</v>
      </c>
      <c r="K128">
        <v>3.14159265358979</v>
      </c>
      <c r="L128">
        <v>0.489351902976493</v>
      </c>
      <c r="M128">
        <v>0</v>
      </c>
      <c r="N128">
        <v>2.87323296605645E-2</v>
      </c>
      <c r="O128">
        <v>0</v>
      </c>
      <c r="P128">
        <v>1.6E-2</v>
      </c>
      <c r="Q128">
        <v>0</v>
      </c>
      <c r="R128">
        <v>0</v>
      </c>
      <c r="S128">
        <v>0</v>
      </c>
      <c r="T128">
        <v>0</v>
      </c>
      <c r="U128">
        <v>0.49329828913016799</v>
      </c>
      <c r="V128" t="s">
        <v>81</v>
      </c>
      <c r="W128">
        <v>3212565.79510871</v>
      </c>
      <c r="X128" t="s">
        <v>76</v>
      </c>
      <c r="Y128">
        <v>-1.5707963267949001</v>
      </c>
      <c r="Z128">
        <v>0.485315146366051</v>
      </c>
      <c r="AA128">
        <v>3.38344968060863E-4</v>
      </c>
      <c r="AB128">
        <v>2.6566191430825298E-2</v>
      </c>
      <c r="AC128">
        <v>7.0936567567782896E-3</v>
      </c>
      <c r="AD128" s="1">
        <v>1.04309496960424E-5</v>
      </c>
      <c r="AE128">
        <v>2.6401880047991901E-2</v>
      </c>
      <c r="AF128" s="1">
        <v>4.5231198284112999E-20</v>
      </c>
      <c r="AG128">
        <v>3.19158529730024E-4</v>
      </c>
      <c r="AH128">
        <v>0.75810327418356604</v>
      </c>
      <c r="AI128">
        <v>0.17573460508540201</v>
      </c>
      <c r="AJ128" t="s">
        <v>74</v>
      </c>
      <c r="AK128">
        <v>0</v>
      </c>
      <c r="AL128" t="s">
        <v>77</v>
      </c>
      <c r="AM128">
        <v>0</v>
      </c>
      <c r="AN128">
        <v>0.99200000000000099</v>
      </c>
      <c r="AO128">
        <v>0</v>
      </c>
      <c r="AP128">
        <v>5.82453462424753E-2</v>
      </c>
      <c r="AQ128">
        <v>0</v>
      </c>
      <c r="AR128">
        <v>1.6E-2</v>
      </c>
      <c r="AS128">
        <v>0</v>
      </c>
      <c r="AT128">
        <v>0</v>
      </c>
      <c r="AU128">
        <v>0</v>
      </c>
      <c r="AV128">
        <v>0</v>
      </c>
      <c r="AW128">
        <v>1</v>
      </c>
      <c r="AX128" t="s">
        <v>78</v>
      </c>
      <c r="AY128">
        <v>2104896.8118470199</v>
      </c>
      <c r="AZ128" t="s">
        <v>76</v>
      </c>
      <c r="BA128">
        <v>-1.5707963267949001</v>
      </c>
      <c r="BB128">
        <v>0.99200000000000099</v>
      </c>
      <c r="BC128">
        <v>0</v>
      </c>
      <c r="BD128">
        <v>5.8245346242475203E-2</v>
      </c>
      <c r="BE128">
        <v>0</v>
      </c>
      <c r="BF128">
        <v>1.6E-2</v>
      </c>
      <c r="BG128">
        <v>0</v>
      </c>
      <c r="BH128" s="1">
        <v>3.5055947133455903E-18</v>
      </c>
      <c r="BI128" s="1">
        <v>5.2949098097507398E-18</v>
      </c>
      <c r="BJ128" s="1">
        <v>5.7777898331617101E-34</v>
      </c>
      <c r="BK128">
        <v>1</v>
      </c>
      <c r="BL128" s="1">
        <v>8.9441435166559295E-5</v>
      </c>
      <c r="BM128">
        <v>3.79211216356648E-4</v>
      </c>
      <c r="BN128" s="1">
        <v>3.4180213846439003E-7</v>
      </c>
      <c r="BO128" s="1">
        <v>5.9566358573244702E-6</v>
      </c>
      <c r="BP128">
        <v>0</v>
      </c>
      <c r="BQ128">
        <v>0</v>
      </c>
      <c r="BR128" s="1">
        <v>5.3684941811054197E-5</v>
      </c>
      <c r="BS128">
        <v>2.1368368257324201E-4</v>
      </c>
    </row>
    <row r="129" spans="1:71" x14ac:dyDescent="0.25">
      <c r="A129">
        <v>126</v>
      </c>
      <c r="B129">
        <v>2.4965237313924498E-4</v>
      </c>
      <c r="C129">
        <v>9.9905501975847605E-2</v>
      </c>
      <c r="D129">
        <v>-2.44024709327323E-4</v>
      </c>
      <c r="E129" s="1">
        <v>-7.2594767461858106E-5</v>
      </c>
      <c r="F129">
        <v>-9.9905501975847502E-4</v>
      </c>
      <c r="G129">
        <v>-7.9924401580677999E-4</v>
      </c>
      <c r="H129" t="s">
        <v>74</v>
      </c>
      <c r="I129">
        <v>0</v>
      </c>
      <c r="J129" t="s">
        <v>75</v>
      </c>
      <c r="K129">
        <v>3.14159265358979</v>
      </c>
      <c r="L129">
        <v>0.48615434144265901</v>
      </c>
      <c r="M129">
        <v>0</v>
      </c>
      <c r="N129">
        <v>2.8544584621582901E-2</v>
      </c>
      <c r="O129">
        <v>0</v>
      </c>
      <c r="P129">
        <v>1.6E-2</v>
      </c>
      <c r="Q129">
        <v>0</v>
      </c>
      <c r="R129">
        <v>0</v>
      </c>
      <c r="S129">
        <v>0</v>
      </c>
      <c r="T129">
        <v>0</v>
      </c>
      <c r="U129">
        <v>0.49007494079497699</v>
      </c>
      <c r="V129" t="s">
        <v>81</v>
      </c>
      <c r="W129">
        <v>3227357.0531028798</v>
      </c>
      <c r="X129" t="s">
        <v>76</v>
      </c>
      <c r="Y129">
        <v>-1.5707963267949001</v>
      </c>
      <c r="Z129">
        <v>0.48191484450820299</v>
      </c>
      <c r="AA129">
        <v>4.3383870028604001E-4</v>
      </c>
      <c r="AB129">
        <v>2.62965722624217E-2</v>
      </c>
      <c r="AC129">
        <v>7.2463742556530802E-3</v>
      </c>
      <c r="AD129" s="1">
        <v>6.4922084551232104E-6</v>
      </c>
      <c r="AE129">
        <v>2.65661973401735E-2</v>
      </c>
      <c r="AF129" s="1">
        <v>7.1432014373087102E-20</v>
      </c>
      <c r="AG129">
        <v>1.9550840746822599E-4</v>
      </c>
      <c r="AH129">
        <v>0.763051576804467</v>
      </c>
      <c r="AI129">
        <v>0.171944571598796</v>
      </c>
      <c r="AJ129" t="s">
        <v>74</v>
      </c>
      <c r="AK129">
        <v>0</v>
      </c>
      <c r="AL129" t="s">
        <v>77</v>
      </c>
      <c r="AM129">
        <v>0</v>
      </c>
      <c r="AN129">
        <v>0.99200000000000099</v>
      </c>
      <c r="AO129">
        <v>0</v>
      </c>
      <c r="AP129">
        <v>5.82453462424753E-2</v>
      </c>
      <c r="AQ129">
        <v>0</v>
      </c>
      <c r="AR129">
        <v>1.6E-2</v>
      </c>
      <c r="AS129">
        <v>0</v>
      </c>
      <c r="AT129">
        <v>0</v>
      </c>
      <c r="AU129">
        <v>0</v>
      </c>
      <c r="AV129">
        <v>0</v>
      </c>
      <c r="AW129">
        <v>1</v>
      </c>
      <c r="AX129" t="s">
        <v>78</v>
      </c>
      <c r="AY129">
        <v>2117839.1625919198</v>
      </c>
      <c r="AZ129" t="s">
        <v>76</v>
      </c>
      <c r="BA129">
        <v>-1.5707963267949001</v>
      </c>
      <c r="BB129">
        <v>0.99200000000000099</v>
      </c>
      <c r="BC129">
        <v>0</v>
      </c>
      <c r="BD129">
        <v>5.8245346242475203E-2</v>
      </c>
      <c r="BE129">
        <v>0</v>
      </c>
      <c r="BF129">
        <v>1.6000000000000101E-2</v>
      </c>
      <c r="BG129">
        <v>0</v>
      </c>
      <c r="BH129" s="1">
        <v>7.0325398896819892E-18</v>
      </c>
      <c r="BI129" s="1">
        <v>9.8041233251513702E-18</v>
      </c>
      <c r="BJ129" s="1">
        <v>5.7777898331617101E-34</v>
      </c>
      <c r="BK129">
        <v>1</v>
      </c>
      <c r="BL129" s="1">
        <v>8.9289111812304104E-5</v>
      </c>
      <c r="BM129">
        <v>3.8162354260596698E-4</v>
      </c>
      <c r="BN129" s="1">
        <v>3.4151234507175701E-7</v>
      </c>
      <c r="BO129" s="1">
        <v>5.9945285894390902E-6</v>
      </c>
      <c r="BP129">
        <v>0</v>
      </c>
      <c r="BQ129">
        <v>0</v>
      </c>
      <c r="BR129" s="1">
        <v>5.3615578607008898E-5</v>
      </c>
      <c r="BS129">
        <v>2.15118674468785E-4</v>
      </c>
    </row>
    <row r="130" spans="1:71" x14ac:dyDescent="0.25">
      <c r="A130">
        <v>127</v>
      </c>
      <c r="B130">
        <v>2.5290288123426497E-4</v>
      </c>
      <c r="C130">
        <v>0.100158404857082</v>
      </c>
      <c r="D130">
        <v>-2.4546985998397499E-4</v>
      </c>
      <c r="E130" s="1">
        <v>-7.3750887987180305E-5</v>
      </c>
      <c r="F130">
        <v>-1.0015840485708199E-3</v>
      </c>
      <c r="G130">
        <v>-8.01267238856654E-4</v>
      </c>
      <c r="H130" t="s">
        <v>74</v>
      </c>
      <c r="I130">
        <v>0</v>
      </c>
      <c r="J130" t="s">
        <v>75</v>
      </c>
      <c r="K130">
        <v>3.14159265358979</v>
      </c>
      <c r="L130">
        <v>0.48293438150345402</v>
      </c>
      <c r="M130">
        <v>0</v>
      </c>
      <c r="N130">
        <v>2.83555244587342E-2</v>
      </c>
      <c r="O130">
        <v>0</v>
      </c>
      <c r="P130">
        <v>1.6E-2</v>
      </c>
      <c r="Q130">
        <v>0</v>
      </c>
      <c r="R130">
        <v>0</v>
      </c>
      <c r="S130">
        <v>0</v>
      </c>
      <c r="T130">
        <v>0</v>
      </c>
      <c r="U130">
        <v>0.48682901342458401</v>
      </c>
      <c r="V130" t="s">
        <v>81</v>
      </c>
      <c r="W130">
        <v>3242322.1915433798</v>
      </c>
      <c r="X130" t="s">
        <v>76</v>
      </c>
      <c r="Y130">
        <v>-1.5707963267949001</v>
      </c>
      <c r="Z130">
        <v>0.478487095255688</v>
      </c>
      <c r="AA130">
        <v>5.3308226548168399E-4</v>
      </c>
      <c r="AB130">
        <v>2.6026006773554201E-2</v>
      </c>
      <c r="AC130">
        <v>7.4015694015830804E-3</v>
      </c>
      <c r="AD130" s="1">
        <v>4.02292051666335E-6</v>
      </c>
      <c r="AE130">
        <v>2.6732811797737201E-2</v>
      </c>
      <c r="AF130" s="1">
        <v>1.19813456234841E-19</v>
      </c>
      <c r="AG130">
        <v>1.19151306826915E-4</v>
      </c>
      <c r="AH130">
        <v>0.767986382320196</v>
      </c>
      <c r="AI130">
        <v>0.168157114968707</v>
      </c>
      <c r="AJ130" t="s">
        <v>74</v>
      </c>
      <c r="AK130">
        <v>0</v>
      </c>
      <c r="AL130" t="s">
        <v>77</v>
      </c>
      <c r="AM130">
        <v>0</v>
      </c>
      <c r="AN130">
        <v>0.99200000000000099</v>
      </c>
      <c r="AO130">
        <v>0</v>
      </c>
      <c r="AP130">
        <v>5.82453462424753E-2</v>
      </c>
      <c r="AQ130">
        <v>0</v>
      </c>
      <c r="AR130">
        <v>1.6E-2</v>
      </c>
      <c r="AS130">
        <v>0</v>
      </c>
      <c r="AT130">
        <v>0</v>
      </c>
      <c r="AU130">
        <v>0</v>
      </c>
      <c r="AV130">
        <v>0</v>
      </c>
      <c r="AW130">
        <v>1</v>
      </c>
      <c r="AX130" t="s">
        <v>78</v>
      </c>
      <c r="AY130">
        <v>2130933.65872736</v>
      </c>
      <c r="AZ130" t="s">
        <v>76</v>
      </c>
      <c r="BA130">
        <v>-1.5707963267949001</v>
      </c>
      <c r="BB130">
        <v>0.99200000000000099</v>
      </c>
      <c r="BC130">
        <v>0</v>
      </c>
      <c r="BD130">
        <v>5.8245346242475203E-2</v>
      </c>
      <c r="BE130">
        <v>0</v>
      </c>
      <c r="BF130">
        <v>1.6000000000000101E-2</v>
      </c>
      <c r="BG130">
        <v>0</v>
      </c>
      <c r="BH130" s="1">
        <v>1.4163433785823301E-17</v>
      </c>
      <c r="BI130" s="1">
        <v>1.83443004376526E-17</v>
      </c>
      <c r="BJ130" s="1">
        <v>1.63405666891724E-22</v>
      </c>
      <c r="BK130">
        <v>1</v>
      </c>
      <c r="BL130" s="1">
        <v>8.9136896559411003E-5</v>
      </c>
      <c r="BM130">
        <v>3.8405276681351201E-4</v>
      </c>
      <c r="BN130" s="1">
        <v>3.4124042005216399E-7</v>
      </c>
      <c r="BO130" s="1">
        <v>6.0326867540608101E-6</v>
      </c>
      <c r="BP130">
        <v>0</v>
      </c>
      <c r="BQ130">
        <v>0</v>
      </c>
      <c r="BR130" s="1">
        <v>5.3546454572384398E-5</v>
      </c>
      <c r="BS130">
        <v>2.1656514267853099E-4</v>
      </c>
    </row>
    <row r="131" spans="1:71" x14ac:dyDescent="0.25">
      <c r="A131">
        <v>128</v>
      </c>
      <c r="B131">
        <v>2.5642954215962901E-4</v>
      </c>
      <c r="C131">
        <v>0.100414834399242</v>
      </c>
      <c r="D131">
        <v>-2.4693330997134001E-4</v>
      </c>
      <c r="E131" s="1">
        <v>-7.4921647977072101E-5</v>
      </c>
      <c r="F131">
        <v>-1.0041483439924099E-3</v>
      </c>
      <c r="G131">
        <v>-8.0331867519393095E-4</v>
      </c>
      <c r="H131" t="s">
        <v>74</v>
      </c>
      <c r="I131">
        <v>0</v>
      </c>
      <c r="J131" t="s">
        <v>75</v>
      </c>
      <c r="K131">
        <v>3.14159265358979</v>
      </c>
      <c r="L131">
        <v>0.479703533441664</v>
      </c>
      <c r="M131">
        <v>0</v>
      </c>
      <c r="N131">
        <v>2.8165824999040901E-2</v>
      </c>
      <c r="O131">
        <v>0</v>
      </c>
      <c r="P131">
        <v>1.6E-2</v>
      </c>
      <c r="Q131">
        <v>0</v>
      </c>
      <c r="R131">
        <v>0</v>
      </c>
      <c r="S131">
        <v>0</v>
      </c>
      <c r="T131">
        <v>0</v>
      </c>
      <c r="U131">
        <v>0.48357211012589202</v>
      </c>
      <c r="V131" t="s">
        <v>81</v>
      </c>
      <c r="W131">
        <v>3257476.8271938902</v>
      </c>
      <c r="X131" t="s">
        <v>76</v>
      </c>
      <c r="Y131">
        <v>-1.5707963267949001</v>
      </c>
      <c r="Z131">
        <v>0.475042936277974</v>
      </c>
      <c r="AA131">
        <v>6.3657348242766702E-4</v>
      </c>
      <c r="AB131">
        <v>2.5754566694580001E-2</v>
      </c>
      <c r="AC131">
        <v>7.56055518646267E-3</v>
      </c>
      <c r="AD131" s="1">
        <v>2.4815694598457098E-6</v>
      </c>
      <c r="AE131">
        <v>2.69018572916386E-2</v>
      </c>
      <c r="AF131" s="1">
        <v>2.1010081925593001E-19</v>
      </c>
      <c r="AG131" s="1">
        <v>7.2251153155598999E-5</v>
      </c>
      <c r="AH131">
        <v>0.77290815947282598</v>
      </c>
      <c r="AI131">
        <v>0.16438637497317901</v>
      </c>
      <c r="AJ131" t="s">
        <v>74</v>
      </c>
      <c r="AK131">
        <v>0</v>
      </c>
      <c r="AL131" t="s">
        <v>77</v>
      </c>
      <c r="AM131">
        <v>0</v>
      </c>
      <c r="AN131">
        <v>0.99200000000000099</v>
      </c>
      <c r="AO131">
        <v>0</v>
      </c>
      <c r="AP131">
        <v>5.82453462424753E-2</v>
      </c>
      <c r="AQ131">
        <v>0</v>
      </c>
      <c r="AR131">
        <v>1.6E-2</v>
      </c>
      <c r="AS131">
        <v>0</v>
      </c>
      <c r="AT131">
        <v>0</v>
      </c>
      <c r="AU131">
        <v>0</v>
      </c>
      <c r="AV131">
        <v>0</v>
      </c>
      <c r="AW131">
        <v>1</v>
      </c>
      <c r="AX131" t="s">
        <v>78</v>
      </c>
      <c r="AY131">
        <v>2144193.9649215499</v>
      </c>
      <c r="AZ131" t="s">
        <v>76</v>
      </c>
      <c r="BA131">
        <v>-1.5707963267949001</v>
      </c>
      <c r="BB131">
        <v>0.99200000000000099</v>
      </c>
      <c r="BC131">
        <v>0</v>
      </c>
      <c r="BD131">
        <v>5.8245346242475203E-2</v>
      </c>
      <c r="BE131">
        <v>0</v>
      </c>
      <c r="BF131">
        <v>1.6000000000000202E-2</v>
      </c>
      <c r="BG131">
        <v>0</v>
      </c>
      <c r="BH131" s="1">
        <v>2.6601592927051999E-17</v>
      </c>
      <c r="BI131" s="1">
        <v>3.4365672700704803E-17</v>
      </c>
      <c r="BJ131" s="1">
        <v>2.0618456956388099E-22</v>
      </c>
      <c r="BK131">
        <v>1</v>
      </c>
      <c r="BL131" s="1">
        <v>8.8985819682517E-5</v>
      </c>
      <c r="BM131">
        <v>3.8649020531299102E-4</v>
      </c>
      <c r="BN131" s="1">
        <v>3.4098992015614598E-7</v>
      </c>
      <c r="BO131" s="1">
        <v>6.07097394847851E-6</v>
      </c>
      <c r="BP131">
        <v>0</v>
      </c>
      <c r="BQ131">
        <v>0</v>
      </c>
      <c r="BR131" s="1">
        <v>5.3478215506590002E-5</v>
      </c>
      <c r="BS131">
        <v>2.1801830255103999E-4</v>
      </c>
    </row>
    <row r="132" spans="1:71" x14ac:dyDescent="0.25">
      <c r="A132">
        <v>129</v>
      </c>
      <c r="B132">
        <v>2.6017571572417298E-4</v>
      </c>
      <c r="C132">
        <v>0.100675010114966</v>
      </c>
      <c r="D132">
        <v>-2.4841623569677498E-4</v>
      </c>
      <c r="E132" s="1">
        <v>-7.6107988557420203E-5</v>
      </c>
      <c r="F132">
        <v>-1.0067501011496601E-3</v>
      </c>
      <c r="G132">
        <v>-8.0540008091972497E-4</v>
      </c>
      <c r="H132" t="s">
        <v>74</v>
      </c>
      <c r="I132">
        <v>0</v>
      </c>
      <c r="J132" t="s">
        <v>75</v>
      </c>
      <c r="K132">
        <v>3.14159265358979</v>
      </c>
      <c r="L132">
        <v>0.47646910266207498</v>
      </c>
      <c r="M132">
        <v>0</v>
      </c>
      <c r="N132">
        <v>2.7975915179832701E-2</v>
      </c>
      <c r="O132">
        <v>0</v>
      </c>
      <c r="P132">
        <v>1.6E-2</v>
      </c>
      <c r="Q132">
        <v>0</v>
      </c>
      <c r="R132">
        <v>0</v>
      </c>
      <c r="S132">
        <v>0</v>
      </c>
      <c r="T132">
        <v>0</v>
      </c>
      <c r="U132">
        <v>0.48031159521778299</v>
      </c>
      <c r="V132" t="s">
        <v>81</v>
      </c>
      <c r="W132">
        <v>3272833.1422437802</v>
      </c>
      <c r="X132" t="s">
        <v>76</v>
      </c>
      <c r="Y132">
        <v>-1.5707963267949001</v>
      </c>
      <c r="Z132">
        <v>0.471589256495548</v>
      </c>
      <c r="AA132">
        <v>7.4473320825151599E-4</v>
      </c>
      <c r="AB132">
        <v>2.5482126728186099E-2</v>
      </c>
      <c r="AC132">
        <v>7.7240893114547196E-3</v>
      </c>
      <c r="AD132" s="1">
        <v>1.52370313179077E-6</v>
      </c>
      <c r="AE132">
        <v>2.70734429315867E-2</v>
      </c>
      <c r="AF132" s="1">
        <v>3.7880092194418202E-19</v>
      </c>
      <c r="AG132" s="1">
        <v>4.3592052018836401E-5</v>
      </c>
      <c r="AH132">
        <v>0.77781710136986904</v>
      </c>
      <c r="AI132">
        <v>0.160641298332485</v>
      </c>
      <c r="AJ132" t="s">
        <v>74</v>
      </c>
      <c r="AK132">
        <v>0</v>
      </c>
      <c r="AL132" t="s">
        <v>77</v>
      </c>
      <c r="AM132">
        <v>0</v>
      </c>
      <c r="AN132">
        <v>0.99200000000000099</v>
      </c>
      <c r="AO132">
        <v>0</v>
      </c>
      <c r="AP132">
        <v>5.82453462424753E-2</v>
      </c>
      <c r="AQ132">
        <v>0</v>
      </c>
      <c r="AR132">
        <v>1.6E-2</v>
      </c>
      <c r="AS132">
        <v>0</v>
      </c>
      <c r="AT132">
        <v>0</v>
      </c>
      <c r="AU132">
        <v>0</v>
      </c>
      <c r="AV132">
        <v>0</v>
      </c>
      <c r="AW132">
        <v>1</v>
      </c>
      <c r="AX132" t="s">
        <v>78</v>
      </c>
      <c r="AY132">
        <v>2157630.7405902101</v>
      </c>
      <c r="AZ132" t="s">
        <v>76</v>
      </c>
      <c r="BA132">
        <v>-1.5707963267949001</v>
      </c>
      <c r="BB132">
        <v>0.99199999999999999</v>
      </c>
      <c r="BC132">
        <v>0</v>
      </c>
      <c r="BD132">
        <v>5.8245346242475099E-2</v>
      </c>
      <c r="BE132">
        <v>0</v>
      </c>
      <c r="BF132">
        <v>1.6000000000000299E-2</v>
      </c>
      <c r="BG132">
        <v>0</v>
      </c>
      <c r="BH132" s="1">
        <v>4.9674620899089199E-17</v>
      </c>
      <c r="BI132" s="1">
        <v>6.4632060387408901E-17</v>
      </c>
      <c r="BJ132" s="1">
        <v>2.0618456956388099E-22</v>
      </c>
      <c r="BK132">
        <v>1</v>
      </c>
      <c r="BL132" s="1">
        <v>8.8836411852211895E-5</v>
      </c>
      <c r="BM132">
        <v>3.8893034671094398E-4</v>
      </c>
      <c r="BN132" s="1">
        <v>3.4076223732897902E-7</v>
      </c>
      <c r="BO132" s="1">
        <v>6.1093035999261697E-6</v>
      </c>
      <c r="BP132">
        <v>0</v>
      </c>
      <c r="BQ132">
        <v>0</v>
      </c>
      <c r="BR132" s="1">
        <v>5.3411206745354602E-5</v>
      </c>
      <c r="BS132">
        <v>2.1947513730361399E-4</v>
      </c>
    </row>
    <row r="133" spans="1:71" x14ac:dyDescent="0.25">
      <c r="A133">
        <v>130</v>
      </c>
      <c r="B133">
        <v>2.6410677961273299E-4</v>
      </c>
      <c r="C133">
        <v>0.100939116894578</v>
      </c>
      <c r="D133">
        <v>-2.4991960908658502E-4</v>
      </c>
      <c r="E133" s="1">
        <v>-7.73106872692683E-5</v>
      </c>
      <c r="F133">
        <v>-1.00939116894578E-3</v>
      </c>
      <c r="G133">
        <v>-8.0751293515662697E-4</v>
      </c>
      <c r="H133" t="s">
        <v>74</v>
      </c>
      <c r="I133">
        <v>0</v>
      </c>
      <c r="J133" t="s">
        <v>75</v>
      </c>
      <c r="K133">
        <v>3.14159265358979</v>
      </c>
      <c r="L133">
        <v>0.47323571884760901</v>
      </c>
      <c r="M133">
        <v>0</v>
      </c>
      <c r="N133">
        <v>2.7786066833251601E-2</v>
      </c>
      <c r="O133">
        <v>0</v>
      </c>
      <c r="P133">
        <v>1.6E-2</v>
      </c>
      <c r="Q133">
        <v>0</v>
      </c>
      <c r="R133">
        <v>0</v>
      </c>
      <c r="S133">
        <v>0</v>
      </c>
      <c r="T133">
        <v>0</v>
      </c>
      <c r="U133">
        <v>0.47705213571900001</v>
      </c>
      <c r="V133" t="s">
        <v>81</v>
      </c>
      <c r="W133">
        <v>3288401.20139575</v>
      </c>
      <c r="X133" t="s">
        <v>76</v>
      </c>
      <c r="Y133">
        <v>-1.5707963267949001</v>
      </c>
      <c r="Z133">
        <v>0.46813029998205802</v>
      </c>
      <c r="AA133">
        <v>8.5793785360885105E-4</v>
      </c>
      <c r="AB133">
        <v>2.5208521299260701E-2</v>
      </c>
      <c r="AC133">
        <v>7.8926929430726701E-3</v>
      </c>
      <c r="AD133" s="1">
        <v>9.31138733250336E-7</v>
      </c>
      <c r="AE133">
        <v>2.7247662780257999E-2</v>
      </c>
      <c r="AF133" s="1">
        <v>6.9524872002918901E-19</v>
      </c>
      <c r="AG133" s="1">
        <v>2.61679349950747E-5</v>
      </c>
      <c r="AH133">
        <v>0.78271322856561598</v>
      </c>
      <c r="AI133">
        <v>0.15692755057833399</v>
      </c>
      <c r="AJ133" t="s">
        <v>74</v>
      </c>
      <c r="AK133">
        <v>0</v>
      </c>
      <c r="AL133" t="s">
        <v>77</v>
      </c>
      <c r="AM133">
        <v>0</v>
      </c>
      <c r="AN133">
        <v>0.99200000000000099</v>
      </c>
      <c r="AO133">
        <v>0</v>
      </c>
      <c r="AP133">
        <v>5.8245346242475203E-2</v>
      </c>
      <c r="AQ133">
        <v>0</v>
      </c>
      <c r="AR133">
        <v>1.6E-2</v>
      </c>
      <c r="AS133">
        <v>0</v>
      </c>
      <c r="AT133">
        <v>0</v>
      </c>
      <c r="AU133">
        <v>0</v>
      </c>
      <c r="AV133">
        <v>0</v>
      </c>
      <c r="AW133">
        <v>1</v>
      </c>
      <c r="AX133" t="s">
        <v>78</v>
      </c>
      <c r="AY133">
        <v>2171252.79234818</v>
      </c>
      <c r="AZ133" t="s">
        <v>76</v>
      </c>
      <c r="BA133">
        <v>-1.5707963267949001</v>
      </c>
      <c r="BB133">
        <v>0.99199999999999999</v>
      </c>
      <c r="BC133">
        <v>0</v>
      </c>
      <c r="BD133">
        <v>5.8245346242475002E-2</v>
      </c>
      <c r="BE133">
        <v>0</v>
      </c>
      <c r="BF133">
        <v>1.6000000000000601E-2</v>
      </c>
      <c r="BG133">
        <v>0</v>
      </c>
      <c r="BH133" s="1">
        <v>9.5872556794254097E-17</v>
      </c>
      <c r="BI133" s="1">
        <v>1.2222701483411701E-16</v>
      </c>
      <c r="BJ133" s="1">
        <v>3.6441742372902799E-22</v>
      </c>
      <c r="BK133">
        <v>1</v>
      </c>
      <c r="BL133" s="1">
        <v>8.8688986780267594E-5</v>
      </c>
      <c r="BM133">
        <v>3.9136969825030602E-4</v>
      </c>
      <c r="BN133" s="1">
        <v>3.4055817053076398E-7</v>
      </c>
      <c r="BO133" s="1">
        <v>6.1476208443040696E-6</v>
      </c>
      <c r="BP133">
        <v>0</v>
      </c>
      <c r="BQ133">
        <v>0</v>
      </c>
      <c r="BR133" s="1">
        <v>5.3345639393600998E-5</v>
      </c>
      <c r="BS133">
        <v>2.2093375616111501E-4</v>
      </c>
    </row>
    <row r="134" spans="1:71" x14ac:dyDescent="0.25">
      <c r="A134">
        <v>131</v>
      </c>
      <c r="B134">
        <v>2.6820209131735601E-4</v>
      </c>
      <c r="C134">
        <v>0.10120731898589599</v>
      </c>
      <c r="D134">
        <v>-2.5144427815447301E-4</v>
      </c>
      <c r="E134" s="1">
        <v>-7.8530422523578295E-5</v>
      </c>
      <c r="F134">
        <v>-1.01207318985896E-3</v>
      </c>
      <c r="G134">
        <v>-8.0965855188716497E-4</v>
      </c>
      <c r="H134" t="s">
        <v>74</v>
      </c>
      <c r="I134">
        <v>0</v>
      </c>
      <c r="J134" t="s">
        <v>75</v>
      </c>
      <c r="K134">
        <v>3.14159265358979</v>
      </c>
      <c r="L134">
        <v>0.47000632697936401</v>
      </c>
      <c r="M134">
        <v>0</v>
      </c>
      <c r="N134">
        <v>2.7596452874059499E-2</v>
      </c>
      <c r="O134">
        <v>0</v>
      </c>
      <c r="P134">
        <v>1.6E-2</v>
      </c>
      <c r="Q134">
        <v>0</v>
      </c>
      <c r="R134">
        <v>0</v>
      </c>
      <c r="S134">
        <v>0</v>
      </c>
      <c r="T134">
        <v>0</v>
      </c>
      <c r="U134">
        <v>0.47379670036025401</v>
      </c>
      <c r="V134" t="s">
        <v>81</v>
      </c>
      <c r="W134">
        <v>3304189.7861857498</v>
      </c>
      <c r="X134" t="s">
        <v>76</v>
      </c>
      <c r="Y134">
        <v>-1.5707963267949001</v>
      </c>
      <c r="Z134">
        <v>0.464668639858696</v>
      </c>
      <c r="AA134">
        <v>9.7654130546249898E-4</v>
      </c>
      <c r="AB134">
        <v>2.49336389669471E-2</v>
      </c>
      <c r="AC134">
        <v>8.0659531253528694E-3</v>
      </c>
      <c r="AD134" s="1">
        <v>5.6626273850733602E-7</v>
      </c>
      <c r="AE134">
        <v>2.74246019595995E-2</v>
      </c>
      <c r="AF134" s="1">
        <v>1.2921118863411101E-18</v>
      </c>
      <c r="AG134" s="1">
        <v>1.5627886731142901E-5</v>
      </c>
      <c r="AH134">
        <v>0.787596448429844</v>
      </c>
      <c r="AI134">
        <v>0.153248744989046</v>
      </c>
      <c r="AJ134" t="s">
        <v>74</v>
      </c>
      <c r="AK134">
        <v>0</v>
      </c>
      <c r="AL134" t="s">
        <v>77</v>
      </c>
      <c r="AM134">
        <v>0</v>
      </c>
      <c r="AN134">
        <v>0.99200000000000099</v>
      </c>
      <c r="AO134">
        <v>0</v>
      </c>
      <c r="AP134">
        <v>5.8245346242475203E-2</v>
      </c>
      <c r="AQ134">
        <v>0</v>
      </c>
      <c r="AR134">
        <v>1.6E-2</v>
      </c>
      <c r="AS134">
        <v>0</v>
      </c>
      <c r="AT134">
        <v>0</v>
      </c>
      <c r="AU134">
        <v>0</v>
      </c>
      <c r="AV134">
        <v>0</v>
      </c>
      <c r="AW134">
        <v>1</v>
      </c>
      <c r="AX134" t="s">
        <v>78</v>
      </c>
      <c r="AY134">
        <v>2185067.8040394299</v>
      </c>
      <c r="AZ134" t="s">
        <v>76</v>
      </c>
      <c r="BA134">
        <v>-1.5707963267949001</v>
      </c>
      <c r="BB134">
        <v>0.99199999999999999</v>
      </c>
      <c r="BC134" s="1">
        <v>3.6484816866471801E-32</v>
      </c>
      <c r="BD134">
        <v>5.8245346242474801E-2</v>
      </c>
      <c r="BE134" s="1">
        <v>2.86551081588192E-32</v>
      </c>
      <c r="BF134">
        <v>1.6000000000001201E-2</v>
      </c>
      <c r="BG134" s="1">
        <v>3.5521530086827001E-18</v>
      </c>
      <c r="BH134" s="1">
        <v>1.8112422900263899E-16</v>
      </c>
      <c r="BI134" s="1">
        <v>2.3222449604312999E-16</v>
      </c>
      <c r="BJ134" s="1">
        <v>3.6441742372902799E-22</v>
      </c>
      <c r="BK134">
        <v>1</v>
      </c>
      <c r="BL134" s="1">
        <v>8.8543368725654701E-5</v>
      </c>
      <c r="BM134">
        <v>3.9380603815828802E-4</v>
      </c>
      <c r="BN134" s="1">
        <v>3.4037650837053898E-7</v>
      </c>
      <c r="BO134" s="1">
        <v>6.1858907820868896E-6</v>
      </c>
      <c r="BP134">
        <v>0</v>
      </c>
      <c r="BQ134">
        <v>0</v>
      </c>
      <c r="BR134" s="1">
        <v>5.3281440851356201E-5</v>
      </c>
      <c r="BS134">
        <v>2.2239297815762401E-4</v>
      </c>
    </row>
    <row r="135" spans="1:71" x14ac:dyDescent="0.25">
      <c r="A135">
        <v>132</v>
      </c>
      <c r="B135">
        <v>2.7245014629817598E-4</v>
      </c>
      <c r="C135">
        <v>0.101479769132194</v>
      </c>
      <c r="D135">
        <v>-2.5299101948586398E-4</v>
      </c>
      <c r="E135" s="1">
        <v>-7.9767815588691402E-5</v>
      </c>
      <c r="F135">
        <v>-1.01479769132194E-3</v>
      </c>
      <c r="G135">
        <v>-8.1183815305755096E-4</v>
      </c>
      <c r="H135" t="s">
        <v>74</v>
      </c>
      <c r="I135">
        <v>0</v>
      </c>
      <c r="J135" t="s">
        <v>75</v>
      </c>
      <c r="K135">
        <v>3.14159265358979</v>
      </c>
      <c r="L135">
        <v>0.46678281878646499</v>
      </c>
      <c r="M135">
        <v>0</v>
      </c>
      <c r="N135">
        <v>2.7407184375258301E-2</v>
      </c>
      <c r="O135">
        <v>0</v>
      </c>
      <c r="P135">
        <v>1.6E-2</v>
      </c>
      <c r="Q135">
        <v>0</v>
      </c>
      <c r="R135">
        <v>0</v>
      </c>
      <c r="S135">
        <v>0</v>
      </c>
      <c r="T135">
        <v>0</v>
      </c>
      <c r="U135">
        <v>0.47054719612638901</v>
      </c>
      <c r="V135" t="s">
        <v>81</v>
      </c>
      <c r="W135">
        <v>3320206.9384801202</v>
      </c>
      <c r="X135" t="s">
        <v>76</v>
      </c>
      <c r="Y135">
        <v>-1.5707963267949001</v>
      </c>
      <c r="Z135">
        <v>0.461205797814567</v>
      </c>
      <c r="AA135">
        <v>1.1008898534712399E-3</v>
      </c>
      <c r="AB135">
        <v>2.4657481274070001E-2</v>
      </c>
      <c r="AC135">
        <v>8.24420590872804E-3</v>
      </c>
      <c r="AD135" s="1">
        <v>3.4265649299656799E-7</v>
      </c>
      <c r="AE135">
        <v>2.7604340659298201E-2</v>
      </c>
      <c r="AF135" s="1">
        <v>2.4230807641963501E-18</v>
      </c>
      <c r="AG135" s="1">
        <v>9.2845169560111096E-6</v>
      </c>
      <c r="AH135">
        <v>0.79246659401036401</v>
      </c>
      <c r="AI135">
        <v>0.149607219535248</v>
      </c>
      <c r="AJ135" t="s">
        <v>74</v>
      </c>
      <c r="AK135">
        <v>0</v>
      </c>
      <c r="AL135" t="s">
        <v>77</v>
      </c>
      <c r="AM135">
        <v>0</v>
      </c>
      <c r="AN135">
        <v>0.99199999999999999</v>
      </c>
      <c r="AO135">
        <v>0</v>
      </c>
      <c r="AP135">
        <v>5.8245346242475203E-2</v>
      </c>
      <c r="AQ135">
        <v>0</v>
      </c>
      <c r="AR135">
        <v>1.6E-2</v>
      </c>
      <c r="AS135">
        <v>0</v>
      </c>
      <c r="AT135">
        <v>0</v>
      </c>
      <c r="AU135">
        <v>0</v>
      </c>
      <c r="AV135">
        <v>0</v>
      </c>
      <c r="AW135">
        <v>1</v>
      </c>
      <c r="AX135" t="s">
        <v>78</v>
      </c>
      <c r="AY135">
        <v>2199082.8122970001</v>
      </c>
      <c r="AZ135" t="s">
        <v>76</v>
      </c>
      <c r="BA135">
        <v>-1.5707963267949001</v>
      </c>
      <c r="BB135">
        <v>0.99199999999999899</v>
      </c>
      <c r="BC135" s="1">
        <v>3.6484816866471801E-32</v>
      </c>
      <c r="BD135">
        <v>5.8245346242474398E-2</v>
      </c>
      <c r="BE135" s="1">
        <v>2.86551081588192E-32</v>
      </c>
      <c r="BF135">
        <v>1.6000000000002301E-2</v>
      </c>
      <c r="BG135" s="1">
        <v>7.10529285845734E-18</v>
      </c>
      <c r="BH135" s="1">
        <v>3.48121801942048E-16</v>
      </c>
      <c r="BI135" s="1">
        <v>4.4357679922330302E-16</v>
      </c>
      <c r="BJ135" s="1">
        <v>5.5323872470334596E-22</v>
      </c>
      <c r="BK135">
        <v>0.999999999999999</v>
      </c>
      <c r="BL135" s="1">
        <v>8.8399782021503006E-5</v>
      </c>
      <c r="BM135">
        <v>3.9623793926365998E-4</v>
      </c>
      <c r="BN135" s="1">
        <v>3.4021873193214003E-7</v>
      </c>
      <c r="BO135" s="1">
        <v>6.2240909953213701E-6</v>
      </c>
      <c r="BP135">
        <v>0</v>
      </c>
      <c r="BQ135">
        <v>0</v>
      </c>
      <c r="BR135" s="1">
        <v>5.3218759805058E-5</v>
      </c>
      <c r="BS135">
        <v>2.238520669447E-4</v>
      </c>
    </row>
    <row r="136" spans="1:71" x14ac:dyDescent="0.25">
      <c r="A136">
        <v>133</v>
      </c>
      <c r="B136">
        <v>2.7684541212465001E-4</v>
      </c>
      <c r="C136">
        <v>0.101756614544319</v>
      </c>
      <c r="D136">
        <v>-2.5456057237529899E-4</v>
      </c>
      <c r="E136" s="1">
        <v>-8.1023457900239305E-5</v>
      </c>
      <c r="F136">
        <v>-1.01756614544319E-3</v>
      </c>
      <c r="G136">
        <v>-8.1405291635454802E-4</v>
      </c>
      <c r="H136" t="s">
        <v>74</v>
      </c>
      <c r="I136">
        <v>0</v>
      </c>
      <c r="J136" t="s">
        <v>75</v>
      </c>
      <c r="K136">
        <v>3.14159265358979</v>
      </c>
      <c r="L136">
        <v>0.46356643193339597</v>
      </c>
      <c r="M136">
        <v>0</v>
      </c>
      <c r="N136">
        <v>2.72183340064007E-2</v>
      </c>
      <c r="O136">
        <v>0</v>
      </c>
      <c r="P136">
        <v>1.6E-2</v>
      </c>
      <c r="Q136">
        <v>0</v>
      </c>
      <c r="R136">
        <v>0</v>
      </c>
      <c r="S136">
        <v>0</v>
      </c>
      <c r="T136">
        <v>0</v>
      </c>
      <c r="U136">
        <v>0.46730487066294302</v>
      </c>
      <c r="V136" t="s">
        <v>81</v>
      </c>
      <c r="W136">
        <v>3336460.3139825002</v>
      </c>
      <c r="X136" t="s">
        <v>76</v>
      </c>
      <c r="Y136">
        <v>-1.5707963267949001</v>
      </c>
      <c r="Z136">
        <v>0.45774263486033101</v>
      </c>
      <c r="AA136">
        <v>1.23133247238549E-3</v>
      </c>
      <c r="AB136">
        <v>2.4380208433132801E-2</v>
      </c>
      <c r="AC136">
        <v>8.4280015135819297E-3</v>
      </c>
      <c r="AD136" s="1">
        <v>2.0629258013638201E-7</v>
      </c>
      <c r="AE136">
        <v>2.7786956762684702E-2</v>
      </c>
      <c r="AF136" s="1">
        <v>4.5774716967430897E-18</v>
      </c>
      <c r="AG136" s="1">
        <v>5.4865543297647801E-6</v>
      </c>
      <c r="AH136">
        <v>0.79732344912389996</v>
      </c>
      <c r="AI136">
        <v>0.14600452415280901</v>
      </c>
      <c r="AJ136" t="s">
        <v>74</v>
      </c>
      <c r="AK136">
        <v>0</v>
      </c>
      <c r="AL136" t="s">
        <v>77</v>
      </c>
      <c r="AM136">
        <v>0</v>
      </c>
      <c r="AN136">
        <v>0.99199999999999999</v>
      </c>
      <c r="AO136">
        <v>0</v>
      </c>
      <c r="AP136">
        <v>5.8245346242475203E-2</v>
      </c>
      <c r="AQ136">
        <v>0</v>
      </c>
      <c r="AR136">
        <v>1.6E-2</v>
      </c>
      <c r="AS136">
        <v>0</v>
      </c>
      <c r="AT136">
        <v>0</v>
      </c>
      <c r="AU136">
        <v>0</v>
      </c>
      <c r="AV136">
        <v>0</v>
      </c>
      <c r="AW136">
        <v>0.999999999999999</v>
      </c>
      <c r="AX136" t="s">
        <v>78</v>
      </c>
      <c r="AY136">
        <v>2213304.5158615801</v>
      </c>
      <c r="AZ136" t="s">
        <v>76</v>
      </c>
      <c r="BA136">
        <v>-1.5707963267949001</v>
      </c>
      <c r="BB136">
        <v>0.99199999999999799</v>
      </c>
      <c r="BC136" s="1">
        <v>3.6484816866471801E-32</v>
      </c>
      <c r="BD136">
        <v>5.82453462424736E-2</v>
      </c>
      <c r="BE136" s="1">
        <v>3.4302612751502702E-19</v>
      </c>
      <c r="BF136">
        <v>1.60000000000044E-2</v>
      </c>
      <c r="BG136" s="1">
        <v>1.7762945390490401E-17</v>
      </c>
      <c r="BH136" s="1">
        <v>6.7140392874705401E-16</v>
      </c>
      <c r="BI136" s="1">
        <v>8.5172894378393298E-16</v>
      </c>
      <c r="BJ136" s="1">
        <v>5.5323872470334596E-22</v>
      </c>
      <c r="BK136">
        <v>0.999999999999999</v>
      </c>
      <c r="BL136" s="1">
        <v>8.82586182190321E-5</v>
      </c>
      <c r="BM136">
        <v>3.9866446783911501E-4</v>
      </c>
      <c r="BN136" s="1">
        <v>3.4008779742798301E-7</v>
      </c>
      <c r="BO136" s="1">
        <v>6.26220681705325E-6</v>
      </c>
      <c r="BP136">
        <v>0</v>
      </c>
      <c r="BQ136">
        <v>0</v>
      </c>
      <c r="BR136" s="1">
        <v>5.3157836967244703E-5</v>
      </c>
      <c r="BS136">
        <v>2.25310563163559E-4</v>
      </c>
    </row>
    <row r="137" spans="1:71" x14ac:dyDescent="0.25">
      <c r="A137">
        <v>134</v>
      </c>
      <c r="B137">
        <v>2.81386273469779E-4</v>
      </c>
      <c r="C137">
        <v>0.10203800081778799</v>
      </c>
      <c r="D137">
        <v>-2.5615366106122601E-4</v>
      </c>
      <c r="E137" s="1">
        <v>-8.2297928848980805E-5</v>
      </c>
      <c r="F137">
        <v>-1.02038000817788E-3</v>
      </c>
      <c r="G137">
        <v>-8.1630400654230599E-4</v>
      </c>
      <c r="H137" t="s">
        <v>74</v>
      </c>
      <c r="I137">
        <v>0</v>
      </c>
      <c r="J137" t="s">
        <v>75</v>
      </c>
      <c r="K137">
        <v>3.14159265358979</v>
      </c>
      <c r="L137">
        <v>0.46356643193339597</v>
      </c>
      <c r="M137">
        <v>0</v>
      </c>
      <c r="N137">
        <v>2.72183340064007E-2</v>
      </c>
      <c r="O137">
        <v>0</v>
      </c>
      <c r="P137">
        <v>1.6E-2</v>
      </c>
      <c r="Q137">
        <v>0</v>
      </c>
      <c r="R137">
        <v>0</v>
      </c>
      <c r="S137">
        <v>0</v>
      </c>
      <c r="T137">
        <v>0</v>
      </c>
      <c r="U137">
        <v>0.46730487090060102</v>
      </c>
      <c r="V137" t="s">
        <v>82</v>
      </c>
      <c r="W137">
        <v>3352957.4124844</v>
      </c>
      <c r="X137" t="s">
        <v>76</v>
      </c>
      <c r="Y137">
        <v>-1.5707963267949001</v>
      </c>
      <c r="Z137">
        <v>0.45744566412348198</v>
      </c>
      <c r="AA137">
        <v>1.43551780548437E-3</v>
      </c>
      <c r="AB137">
        <v>2.4270156242588398E-2</v>
      </c>
      <c r="AC137">
        <v>8.5883682991904908E-3</v>
      </c>
      <c r="AD137">
        <v>0</v>
      </c>
      <c r="AE137">
        <v>2.7786956762684702E-2</v>
      </c>
      <c r="AF137" s="1">
        <v>4.5774716967430897E-18</v>
      </c>
      <c r="AG137">
        <v>0</v>
      </c>
      <c r="AH137">
        <v>0.79732893567823004</v>
      </c>
      <c r="AI137">
        <v>0.14600452415280901</v>
      </c>
      <c r="AJ137" t="s">
        <v>74</v>
      </c>
      <c r="AK137">
        <v>0</v>
      </c>
      <c r="AL137" t="s">
        <v>77</v>
      </c>
      <c r="AM137">
        <v>0</v>
      </c>
      <c r="AN137">
        <v>0.99199999999999999</v>
      </c>
      <c r="AO137">
        <v>0</v>
      </c>
      <c r="AP137">
        <v>5.8245346242475203E-2</v>
      </c>
      <c r="AQ137">
        <v>0</v>
      </c>
      <c r="AR137">
        <v>1.6E-2</v>
      </c>
      <c r="AS137">
        <v>0</v>
      </c>
      <c r="AT137">
        <v>0</v>
      </c>
      <c r="AU137">
        <v>0</v>
      </c>
      <c r="AV137">
        <v>0</v>
      </c>
      <c r="AW137">
        <v>0.999999999999999</v>
      </c>
      <c r="AX137" t="s">
        <v>78</v>
      </c>
      <c r="AY137">
        <v>2227739.4770507501</v>
      </c>
      <c r="AZ137" t="s">
        <v>76</v>
      </c>
      <c r="BA137">
        <v>-1.5707963267949001</v>
      </c>
      <c r="BB137">
        <v>0.991999999999995</v>
      </c>
      <c r="BC137" s="1">
        <v>3.6484816866471801E-32</v>
      </c>
      <c r="BD137">
        <v>5.8245346242471997E-2</v>
      </c>
      <c r="BE137" s="1">
        <v>3.4302612751502702E-19</v>
      </c>
      <c r="BF137">
        <v>1.60000000000085E-2</v>
      </c>
      <c r="BG137" s="1">
        <v>3.9079507598441201E-17</v>
      </c>
      <c r="BH137" s="1">
        <v>1.3037952742496099E-15</v>
      </c>
      <c r="BI137" s="1">
        <v>1.6445648261999899E-15</v>
      </c>
      <c r="BJ137" s="1">
        <v>6.3316121102774798E-22</v>
      </c>
      <c r="BK137">
        <v>0.999999999999998</v>
      </c>
      <c r="BL137" s="1">
        <v>8.8283775516563397E-5</v>
      </c>
      <c r="BM137">
        <v>3.9866446783911599E-4</v>
      </c>
      <c r="BN137" s="1">
        <v>3.4051007506818899E-7</v>
      </c>
      <c r="BO137" s="1">
        <v>6.26220681705325E-6</v>
      </c>
      <c r="BP137">
        <v>0</v>
      </c>
      <c r="BQ137">
        <v>0</v>
      </c>
      <c r="BR137" s="1">
        <v>5.3201962849585897E-5</v>
      </c>
      <c r="BS137">
        <v>2.2539964529137799E-4</v>
      </c>
    </row>
    <row r="138" spans="1:71" x14ac:dyDescent="0.25">
      <c r="A138">
        <v>135</v>
      </c>
      <c r="B138">
        <v>1.4359998502435301E-2</v>
      </c>
      <c r="C138">
        <v>0.116397999320224</v>
      </c>
      <c r="D138">
        <v>-3.3733944473038802E-4</v>
      </c>
      <c r="E138">
        <v>-1.4724655578431001E-4</v>
      </c>
      <c r="F138">
        <v>-1.16397999320224E-3</v>
      </c>
      <c r="G138">
        <v>-9.3118399456178799E-4</v>
      </c>
      <c r="H138" t="s">
        <v>74</v>
      </c>
      <c r="I138">
        <v>0</v>
      </c>
      <c r="J138" t="s">
        <v>75</v>
      </c>
      <c r="K138">
        <v>3.14159265358979</v>
      </c>
      <c r="L138">
        <v>0.46356643193339597</v>
      </c>
      <c r="M138">
        <v>0</v>
      </c>
      <c r="N138">
        <v>2.72183340064007E-2</v>
      </c>
      <c r="O138">
        <v>0</v>
      </c>
      <c r="P138">
        <v>1.6E-2</v>
      </c>
      <c r="Q138">
        <v>0</v>
      </c>
      <c r="R138">
        <v>0</v>
      </c>
      <c r="S138">
        <v>0</v>
      </c>
      <c r="T138">
        <v>0</v>
      </c>
      <c r="U138">
        <v>0.46730487090060102</v>
      </c>
      <c r="V138" t="s">
        <v>82</v>
      </c>
      <c r="W138">
        <v>4193670.0997163998</v>
      </c>
      <c r="X138" t="s">
        <v>76</v>
      </c>
      <c r="Y138">
        <v>-1.5707963267949001</v>
      </c>
      <c r="Z138">
        <v>0.45744566412348198</v>
      </c>
      <c r="AA138">
        <v>1.43551780548437E-3</v>
      </c>
      <c r="AB138">
        <v>2.4270156242588398E-2</v>
      </c>
      <c r="AC138">
        <v>8.5883682991904908E-3</v>
      </c>
      <c r="AD138">
        <v>0</v>
      </c>
      <c r="AE138">
        <v>2.7786956762684702E-2</v>
      </c>
      <c r="AF138" s="1">
        <v>4.5774716967430897E-18</v>
      </c>
      <c r="AG138">
        <v>0</v>
      </c>
      <c r="AH138">
        <v>0.79732893567823004</v>
      </c>
      <c r="AI138">
        <v>0.14600452415280901</v>
      </c>
      <c r="AJ138" t="s">
        <v>74</v>
      </c>
      <c r="AK138">
        <v>0</v>
      </c>
      <c r="AL138" t="s">
        <v>77</v>
      </c>
      <c r="AM138">
        <v>0</v>
      </c>
      <c r="AN138">
        <v>0.98837822647025997</v>
      </c>
      <c r="AO138">
        <v>0</v>
      </c>
      <c r="AP138">
        <v>5.8032693567826497E-2</v>
      </c>
      <c r="AQ138">
        <v>0</v>
      </c>
      <c r="AR138">
        <v>1.6E-2</v>
      </c>
      <c r="AS138">
        <v>0</v>
      </c>
      <c r="AT138">
        <v>0</v>
      </c>
      <c r="AU138">
        <v>0</v>
      </c>
      <c r="AV138">
        <v>0</v>
      </c>
      <c r="AW138">
        <v>0.999999999999998</v>
      </c>
      <c r="AX138" t="s">
        <v>78</v>
      </c>
      <c r="AY138">
        <v>2963363.07837875</v>
      </c>
      <c r="AZ138" t="s">
        <v>76</v>
      </c>
      <c r="BA138">
        <v>-1.5707963267949001</v>
      </c>
      <c r="BB138">
        <v>0.98645491798530505</v>
      </c>
      <c r="BC138" s="1">
        <v>3.6484816866471801E-32</v>
      </c>
      <c r="BD138">
        <v>5.6824818697615999E-2</v>
      </c>
      <c r="BE138" s="1">
        <v>2.7168406542840799E-5</v>
      </c>
      <c r="BF138">
        <v>1.43748932184776E-2</v>
      </c>
      <c r="BG138">
        <v>1.4537024243208699E-4</v>
      </c>
      <c r="BH138">
        <v>5.0542792522608503E-3</v>
      </c>
      <c r="BI138">
        <v>4.6077608311372196E-3</v>
      </c>
      <c r="BJ138">
        <v>8.5696550012356301E-4</v>
      </c>
      <c r="BK138">
        <v>0.99634901861921099</v>
      </c>
      <c r="BL138" s="1">
        <v>8.7480769610082405E-5</v>
      </c>
      <c r="BM138">
        <v>4.0139683100474499E-4</v>
      </c>
      <c r="BN138" s="1">
        <v>3.3443106068266598E-7</v>
      </c>
      <c r="BO138" s="1">
        <v>6.3051266772936596E-6</v>
      </c>
      <c r="BP138">
        <v>0</v>
      </c>
      <c r="BQ138">
        <v>0</v>
      </c>
      <c r="BR138" s="1">
        <v>5.4380433782706598E-5</v>
      </c>
      <c r="BS138">
        <v>2.3164309025766001E-4</v>
      </c>
    </row>
    <row r="139" spans="1:71" x14ac:dyDescent="0.25">
      <c r="A139">
        <v>136</v>
      </c>
      <c r="B139">
        <v>4.8330219793114398E-4</v>
      </c>
      <c r="C139">
        <v>0.116881301518155</v>
      </c>
      <c r="D139">
        <v>-3.3987565893373099E-4</v>
      </c>
      <c r="E139">
        <v>-1.4927552714698501E-4</v>
      </c>
      <c r="F139">
        <v>-1.1688130151815499E-3</v>
      </c>
      <c r="G139">
        <v>-9.3505041214523698E-4</v>
      </c>
      <c r="H139" t="s">
        <v>74</v>
      </c>
      <c r="I139">
        <v>0</v>
      </c>
      <c r="J139" t="s">
        <v>75</v>
      </c>
      <c r="K139">
        <v>3.14159265358979</v>
      </c>
      <c r="L139">
        <v>0.46356643193339597</v>
      </c>
      <c r="M139">
        <v>0</v>
      </c>
      <c r="N139">
        <v>2.72183340064007E-2</v>
      </c>
      <c r="O139">
        <v>0</v>
      </c>
      <c r="P139">
        <v>1.6E-2</v>
      </c>
      <c r="Q139">
        <v>0</v>
      </c>
      <c r="R139">
        <v>0</v>
      </c>
      <c r="S139">
        <v>0</v>
      </c>
      <c r="T139">
        <v>0</v>
      </c>
      <c r="U139">
        <v>0.46730487090060102</v>
      </c>
      <c r="V139" t="s">
        <v>82</v>
      </c>
      <c r="W139">
        <v>4219933.6567324596</v>
      </c>
      <c r="X139" t="s">
        <v>76</v>
      </c>
      <c r="Y139">
        <v>-1.5707963267949001</v>
      </c>
      <c r="Z139">
        <v>0.45744566412348198</v>
      </c>
      <c r="AA139">
        <v>1.43551780548437E-3</v>
      </c>
      <c r="AB139">
        <v>2.4270156242588398E-2</v>
      </c>
      <c r="AC139">
        <v>8.5883682991904908E-3</v>
      </c>
      <c r="AD139">
        <v>0</v>
      </c>
      <c r="AE139">
        <v>2.7786956762684702E-2</v>
      </c>
      <c r="AF139" s="1">
        <v>4.5774716967430897E-18</v>
      </c>
      <c r="AG139">
        <v>0</v>
      </c>
      <c r="AH139">
        <v>0.79732893567823004</v>
      </c>
      <c r="AI139">
        <v>0.14600452415280901</v>
      </c>
      <c r="AJ139" t="s">
        <v>74</v>
      </c>
      <c r="AK139">
        <v>0</v>
      </c>
      <c r="AL139" t="s">
        <v>77</v>
      </c>
      <c r="AM139">
        <v>0</v>
      </c>
      <c r="AN139">
        <v>0.98510779503027701</v>
      </c>
      <c r="AO139">
        <v>0</v>
      </c>
      <c r="AP139">
        <v>5.78406699674393E-2</v>
      </c>
      <c r="AQ139">
        <v>0</v>
      </c>
      <c r="AR139">
        <v>1.6E-2</v>
      </c>
      <c r="AS139">
        <v>0</v>
      </c>
      <c r="AT139">
        <v>0</v>
      </c>
      <c r="AU139">
        <v>0</v>
      </c>
      <c r="AV139">
        <v>0</v>
      </c>
      <c r="AW139">
        <v>0.99643921910466204</v>
      </c>
      <c r="AX139" t="s">
        <v>78</v>
      </c>
      <c r="AY139">
        <v>2986343.6907678102</v>
      </c>
      <c r="AZ139" t="s">
        <v>76</v>
      </c>
      <c r="BA139">
        <v>-1.5707963267949001</v>
      </c>
      <c r="BB139">
        <v>0.98269282074512698</v>
      </c>
      <c r="BC139" s="1">
        <v>3.6484816866471801E-32</v>
      </c>
      <c r="BD139">
        <v>5.63367873862093E-2</v>
      </c>
      <c r="BE139" s="1">
        <v>5.0031693621223598E-5</v>
      </c>
      <c r="BF139">
        <v>8.2918760219635006E-3</v>
      </c>
      <c r="BG139">
        <v>2.6368632693341801E-4</v>
      </c>
      <c r="BH139">
        <v>1.18168338283141E-2</v>
      </c>
      <c r="BI139">
        <v>5.9543431387356601E-3</v>
      </c>
      <c r="BJ139">
        <v>4.4449857174755601E-3</v>
      </c>
      <c r="BK139">
        <v>0.989515548989365</v>
      </c>
      <c r="BL139" s="1">
        <v>8.7152173797724701E-5</v>
      </c>
      <c r="BM139">
        <v>4.0386413226722097E-4</v>
      </c>
      <c r="BN139" s="1">
        <v>3.3251542734757499E-7</v>
      </c>
      <c r="BO139" s="1">
        <v>6.3438829548955901E-6</v>
      </c>
      <c r="BP139">
        <v>0</v>
      </c>
      <c r="BQ139">
        <v>0</v>
      </c>
      <c r="BR139" s="1">
        <v>5.4241274134137697E-5</v>
      </c>
      <c r="BS139">
        <v>2.33179805324582E-4</v>
      </c>
    </row>
    <row r="140" spans="1:71" x14ac:dyDescent="0.25">
      <c r="A140">
        <v>137</v>
      </c>
      <c r="B140">
        <v>4.1492392270741502E-4</v>
      </c>
      <c r="C140">
        <v>0.117296225440862</v>
      </c>
      <c r="D140">
        <v>-3.4204778430206801E-4</v>
      </c>
      <c r="E140">
        <v>-1.51013227441654E-4</v>
      </c>
      <c r="F140">
        <v>-1.1729622544086201E-3</v>
      </c>
      <c r="G140">
        <v>-9.3836980352689702E-4</v>
      </c>
      <c r="H140" t="s">
        <v>74</v>
      </c>
      <c r="I140">
        <v>0</v>
      </c>
      <c r="J140" t="s">
        <v>75</v>
      </c>
      <c r="K140">
        <v>3.14159265358979</v>
      </c>
      <c r="L140">
        <v>0.46356643193339597</v>
      </c>
      <c r="M140">
        <v>0</v>
      </c>
      <c r="N140">
        <v>2.72183340064007E-2</v>
      </c>
      <c r="O140">
        <v>0</v>
      </c>
      <c r="P140">
        <v>1.6E-2</v>
      </c>
      <c r="Q140">
        <v>0</v>
      </c>
      <c r="R140">
        <v>0</v>
      </c>
      <c r="S140">
        <v>0</v>
      </c>
      <c r="T140">
        <v>0</v>
      </c>
      <c r="U140">
        <v>0.46730487090060002</v>
      </c>
      <c r="V140" t="s">
        <v>82</v>
      </c>
      <c r="W140">
        <v>4242426.9218447497</v>
      </c>
      <c r="X140" t="s">
        <v>76</v>
      </c>
      <c r="Y140">
        <v>-1.5707963267949001</v>
      </c>
      <c r="Z140">
        <v>0.45744566412348198</v>
      </c>
      <c r="AA140">
        <v>1.43551780548437E-3</v>
      </c>
      <c r="AB140">
        <v>2.4270156242588398E-2</v>
      </c>
      <c r="AC140">
        <v>8.5883682991904908E-3</v>
      </c>
      <c r="AD140">
        <v>0</v>
      </c>
      <c r="AE140">
        <v>2.7786956762684702E-2</v>
      </c>
      <c r="AF140" s="1">
        <v>4.5774716967430897E-18</v>
      </c>
      <c r="AG140">
        <v>0</v>
      </c>
      <c r="AH140">
        <v>0.79732893567823004</v>
      </c>
      <c r="AI140">
        <v>0.14600452415280901</v>
      </c>
      <c r="AJ140" t="s">
        <v>74</v>
      </c>
      <c r="AK140">
        <v>0</v>
      </c>
      <c r="AL140" t="s">
        <v>77</v>
      </c>
      <c r="AM140">
        <v>0</v>
      </c>
      <c r="AN140">
        <v>0.98238609158455503</v>
      </c>
      <c r="AO140">
        <v>0</v>
      </c>
      <c r="AP140">
        <v>5.7680864967877402E-2</v>
      </c>
      <c r="AQ140">
        <v>0</v>
      </c>
      <c r="AR140">
        <v>1.6E-2</v>
      </c>
      <c r="AS140">
        <v>0</v>
      </c>
      <c r="AT140">
        <v>0</v>
      </c>
      <c r="AU140">
        <v>0</v>
      </c>
      <c r="AV140">
        <v>0</v>
      </c>
      <c r="AW140">
        <v>0.99277738403209104</v>
      </c>
      <c r="AX140" t="s">
        <v>78</v>
      </c>
      <c r="AY140">
        <v>3006025.2977410499</v>
      </c>
      <c r="AZ140" t="s">
        <v>76</v>
      </c>
      <c r="BA140">
        <v>-1.5707963267949001</v>
      </c>
      <c r="BB140">
        <v>0.979542219882512</v>
      </c>
      <c r="BC140" s="1">
        <v>3.6484816866471801E-32</v>
      </c>
      <c r="BD140">
        <v>5.5927787524468399E-2</v>
      </c>
      <c r="BE140" s="1">
        <v>6.9535516917543794E-5</v>
      </c>
      <c r="BF140">
        <v>2.3813413679027499E-3</v>
      </c>
      <c r="BG140">
        <v>3.2390859237654699E-4</v>
      </c>
      <c r="BH140">
        <v>1.82492220403455E-2</v>
      </c>
      <c r="BI140">
        <v>3.2582845326689499E-3</v>
      </c>
      <c r="BJ140">
        <v>1.12476965930975E-2</v>
      </c>
      <c r="BK140">
        <v>0.98314832207833303</v>
      </c>
      <c r="BL140" s="1">
        <v>8.6877523278721395E-5</v>
      </c>
      <c r="BM140">
        <v>4.05917458401998E-4</v>
      </c>
      <c r="BN140" s="1">
        <v>3.3092942177251102E-7</v>
      </c>
      <c r="BO140" s="1">
        <v>6.3761365263977899E-6</v>
      </c>
      <c r="BP140">
        <v>0</v>
      </c>
      <c r="BQ140">
        <v>0</v>
      </c>
      <c r="BR140" s="1">
        <v>5.4126122025809701E-5</v>
      </c>
      <c r="BS140">
        <v>2.34463874022458E-4</v>
      </c>
    </row>
    <row r="141" spans="1:71" x14ac:dyDescent="0.25">
      <c r="A141">
        <v>138</v>
      </c>
      <c r="B141">
        <v>6.1917934625382398E-4</v>
      </c>
      <c r="C141">
        <v>0.117915404787116</v>
      </c>
      <c r="D141">
        <v>-3.4528246146388802E-4</v>
      </c>
      <c r="E141">
        <v>-1.5360096917111E-4</v>
      </c>
      <c r="F141">
        <v>-1.1791540478711599E-3</v>
      </c>
      <c r="G141">
        <v>-9.4332323829692704E-4</v>
      </c>
      <c r="H141" t="s">
        <v>74</v>
      </c>
      <c r="I141">
        <v>0</v>
      </c>
      <c r="J141" t="s">
        <v>75</v>
      </c>
      <c r="K141">
        <v>3.14159265358979</v>
      </c>
      <c r="L141">
        <v>0.46356643193339597</v>
      </c>
      <c r="M141">
        <v>0</v>
      </c>
      <c r="N141">
        <v>2.72183340064007E-2</v>
      </c>
      <c r="O141">
        <v>0</v>
      </c>
      <c r="P141">
        <v>1.6E-2</v>
      </c>
      <c r="Q141">
        <v>0</v>
      </c>
      <c r="R141">
        <v>0</v>
      </c>
      <c r="S141">
        <v>0</v>
      </c>
      <c r="T141">
        <v>0</v>
      </c>
      <c r="U141">
        <v>0.46730487090060002</v>
      </c>
      <c r="V141" t="s">
        <v>82</v>
      </c>
      <c r="W141">
        <v>4275923.3544236803</v>
      </c>
      <c r="X141" t="s">
        <v>76</v>
      </c>
      <c r="Y141">
        <v>-1.5707963267949001</v>
      </c>
      <c r="Z141">
        <v>0.45744566412348198</v>
      </c>
      <c r="AA141">
        <v>1.43551780548437E-3</v>
      </c>
      <c r="AB141">
        <v>2.4270156242588398E-2</v>
      </c>
      <c r="AC141">
        <v>8.5883682991904908E-3</v>
      </c>
      <c r="AD141">
        <v>0</v>
      </c>
      <c r="AE141">
        <v>2.7786956762684702E-2</v>
      </c>
      <c r="AF141" s="1">
        <v>4.5774716967430897E-18</v>
      </c>
      <c r="AG141">
        <v>0</v>
      </c>
      <c r="AH141">
        <v>0.79732893567823004</v>
      </c>
      <c r="AI141">
        <v>0.14600452415280901</v>
      </c>
      <c r="AJ141" t="s">
        <v>74</v>
      </c>
      <c r="AK141">
        <v>0</v>
      </c>
      <c r="AL141" t="s">
        <v>77</v>
      </c>
      <c r="AM141">
        <v>0</v>
      </c>
      <c r="AN141">
        <v>0.98238609158455503</v>
      </c>
      <c r="AO141">
        <v>0</v>
      </c>
      <c r="AP141">
        <v>5.7680864967877402E-2</v>
      </c>
      <c r="AQ141">
        <v>0</v>
      </c>
      <c r="AR141">
        <v>1.6E-2</v>
      </c>
      <c r="AS141">
        <v>0</v>
      </c>
      <c r="AT141">
        <v>0</v>
      </c>
      <c r="AU141">
        <v>0</v>
      </c>
      <c r="AV141">
        <v>0</v>
      </c>
      <c r="AW141">
        <v>0.99154822295071399</v>
      </c>
      <c r="AX141" t="s">
        <v>81</v>
      </c>
      <c r="AY141">
        <v>3035334.67624762</v>
      </c>
      <c r="AZ141" t="s">
        <v>76</v>
      </c>
      <c r="BA141">
        <v>-1.5707963267949001</v>
      </c>
      <c r="BB141">
        <v>0.978870457932001</v>
      </c>
      <c r="BC141" s="1">
        <v>4.8570472174635802E-6</v>
      </c>
      <c r="BD141">
        <v>5.55551730110782E-2</v>
      </c>
      <c r="BE141" s="1">
        <v>7.3350232881674401E-5</v>
      </c>
      <c r="BF141">
        <v>4.1812983185976401E-4</v>
      </c>
      <c r="BG141">
        <v>3.3846652512676103E-4</v>
      </c>
      <c r="BH141">
        <v>1.9568473914181799E-2</v>
      </c>
      <c r="BI141">
        <v>3.0400453160090498E-4</v>
      </c>
      <c r="BJ141">
        <v>1.42019765941655E-2</v>
      </c>
      <c r="BK141">
        <v>0.98191916099695598</v>
      </c>
      <c r="BL141" s="1">
        <v>8.6693123380008404E-5</v>
      </c>
      <c r="BM141">
        <v>4.05917458401998E-4</v>
      </c>
      <c r="BN141" s="1">
        <v>3.2937439690383302E-7</v>
      </c>
      <c r="BO141" s="1">
        <v>6.3761365263977899E-6</v>
      </c>
      <c r="BP141">
        <v>0</v>
      </c>
      <c r="BQ141">
        <v>0</v>
      </c>
      <c r="BR141" s="1">
        <v>5.4093191797628898E-5</v>
      </c>
      <c r="BS141">
        <v>2.3466273033939899E-4</v>
      </c>
    </row>
    <row r="142" spans="1:71" x14ac:dyDescent="0.25">
      <c r="A142">
        <v>139</v>
      </c>
      <c r="B142">
        <v>9.6058624518616297E-4</v>
      </c>
      <c r="C142">
        <v>0.11887599103230199</v>
      </c>
      <c r="D142">
        <v>-3.5028515879192003E-4</v>
      </c>
      <c r="E142">
        <v>-1.5760312703353601E-4</v>
      </c>
      <c r="F142">
        <v>-1.18875991032302E-3</v>
      </c>
      <c r="G142">
        <v>-9.5100792825841699E-4</v>
      </c>
      <c r="H142" t="s">
        <v>74</v>
      </c>
      <c r="I142">
        <v>0</v>
      </c>
      <c r="J142" t="s">
        <v>75</v>
      </c>
      <c r="K142">
        <v>3.14159265358979</v>
      </c>
      <c r="L142">
        <v>0.46356643193339597</v>
      </c>
      <c r="M142">
        <v>0</v>
      </c>
      <c r="N142">
        <v>2.72183340064007E-2</v>
      </c>
      <c r="O142">
        <v>0</v>
      </c>
      <c r="P142">
        <v>1.6E-2</v>
      </c>
      <c r="Q142">
        <v>0</v>
      </c>
      <c r="R142">
        <v>0</v>
      </c>
      <c r="S142">
        <v>0</v>
      </c>
      <c r="T142">
        <v>0</v>
      </c>
      <c r="U142">
        <v>0.46730487090060102</v>
      </c>
      <c r="V142" t="s">
        <v>82</v>
      </c>
      <c r="W142">
        <v>4327728.3740216596</v>
      </c>
      <c r="X142" t="s">
        <v>76</v>
      </c>
      <c r="Y142">
        <v>-1.5707963267949001</v>
      </c>
      <c r="Z142">
        <v>0.45744566412348198</v>
      </c>
      <c r="AA142">
        <v>1.43551780548437E-3</v>
      </c>
      <c r="AB142">
        <v>2.4270156242588398E-2</v>
      </c>
      <c r="AC142">
        <v>8.5883682991904908E-3</v>
      </c>
      <c r="AD142">
        <v>0</v>
      </c>
      <c r="AE142">
        <v>2.7786956762684702E-2</v>
      </c>
      <c r="AF142" s="1">
        <v>4.5774716967430897E-18</v>
      </c>
      <c r="AG142">
        <v>0</v>
      </c>
      <c r="AH142">
        <v>0.79732893567823004</v>
      </c>
      <c r="AI142">
        <v>0.14600452415280901</v>
      </c>
      <c r="AJ142" t="s">
        <v>74</v>
      </c>
      <c r="AK142">
        <v>0</v>
      </c>
      <c r="AL142" t="s">
        <v>77</v>
      </c>
      <c r="AM142">
        <v>0</v>
      </c>
      <c r="AN142">
        <v>0.98148297512108396</v>
      </c>
      <c r="AO142">
        <v>0</v>
      </c>
      <c r="AP142">
        <v>5.7627838424417599E-2</v>
      </c>
      <c r="AQ142">
        <v>0</v>
      </c>
      <c r="AR142">
        <v>1.6E-2</v>
      </c>
      <c r="AS142">
        <v>0</v>
      </c>
      <c r="AT142">
        <v>0</v>
      </c>
      <c r="AU142">
        <v>0</v>
      </c>
      <c r="AV142">
        <v>0</v>
      </c>
      <c r="AW142">
        <v>0.990095274259851</v>
      </c>
      <c r="AX142" t="s">
        <v>81</v>
      </c>
      <c r="AY142">
        <v>3080664.0683958498</v>
      </c>
      <c r="AZ142" t="s">
        <v>76</v>
      </c>
      <c r="BA142">
        <v>-1.5707963267949001</v>
      </c>
      <c r="BB142">
        <v>0.97686867093666596</v>
      </c>
      <c r="BC142" s="1">
        <v>4.8570472174635802E-6</v>
      </c>
      <c r="BD142">
        <v>5.4928528447848499E-2</v>
      </c>
      <c r="BE142" s="1">
        <v>8.5983008111063897E-5</v>
      </c>
      <c r="BF142">
        <v>1.0168007580491201E-4</v>
      </c>
      <c r="BG142">
        <v>3.5523886903154401E-4</v>
      </c>
      <c r="BH142">
        <v>2.17388476711971E-2</v>
      </c>
      <c r="BI142" s="1">
        <v>7.4041294925495597E-5</v>
      </c>
      <c r="BJ142">
        <v>1.5794610433405298E-2</v>
      </c>
      <c r="BK142">
        <v>0.97957358081297896</v>
      </c>
      <c r="BL142" s="1">
        <v>8.6359604214278305E-5</v>
      </c>
      <c r="BM142">
        <v>4.0659879370328001E-4</v>
      </c>
      <c r="BN142" s="1">
        <v>3.2688947256816501E-7</v>
      </c>
      <c r="BO142" s="1">
        <v>6.3868389162834898E-6</v>
      </c>
      <c r="BP142">
        <v>0</v>
      </c>
      <c r="BQ142">
        <v>0</v>
      </c>
      <c r="BR142" s="1">
        <v>5.4012937721221599E-5</v>
      </c>
      <c r="BS142">
        <v>2.3535421513744899E-4</v>
      </c>
    </row>
    <row r="143" spans="1:71" x14ac:dyDescent="0.25">
      <c r="A143">
        <v>140</v>
      </c>
      <c r="B143">
        <v>9.3656396862194097E-4</v>
      </c>
      <c r="C143">
        <v>0.119812555000924</v>
      </c>
      <c r="D143">
        <v>-3.5513932226949497E-4</v>
      </c>
      <c r="E143">
        <v>-1.61486457815596E-4</v>
      </c>
      <c r="F143">
        <v>-1.1981255500092399E-3</v>
      </c>
      <c r="G143">
        <v>-9.58500440007392E-4</v>
      </c>
      <c r="H143" t="s">
        <v>74</v>
      </c>
      <c r="I143">
        <v>0</v>
      </c>
      <c r="J143" t="s">
        <v>75</v>
      </c>
      <c r="K143">
        <v>3.14159265358979</v>
      </c>
      <c r="L143">
        <v>0.46356643193339597</v>
      </c>
      <c r="M143">
        <v>0</v>
      </c>
      <c r="N143">
        <v>2.72183340064007E-2</v>
      </c>
      <c r="O143">
        <v>0</v>
      </c>
      <c r="P143">
        <v>1.6E-2</v>
      </c>
      <c r="Q143">
        <v>0</v>
      </c>
      <c r="R143">
        <v>0</v>
      </c>
      <c r="S143">
        <v>0</v>
      </c>
      <c r="T143">
        <v>0</v>
      </c>
      <c r="U143">
        <v>0.46730487090060002</v>
      </c>
      <c r="V143" t="s">
        <v>82</v>
      </c>
      <c r="W143">
        <v>4377995.2635811102</v>
      </c>
      <c r="X143" t="s">
        <v>76</v>
      </c>
      <c r="Y143">
        <v>-1.5707963267949001</v>
      </c>
      <c r="Z143">
        <v>0.45744566412348198</v>
      </c>
      <c r="AA143">
        <v>1.43551780548437E-3</v>
      </c>
      <c r="AB143">
        <v>2.4270156242588398E-2</v>
      </c>
      <c r="AC143">
        <v>8.5883682991904908E-3</v>
      </c>
      <c r="AD143">
        <v>0</v>
      </c>
      <c r="AE143">
        <v>2.7786956762684702E-2</v>
      </c>
      <c r="AF143" s="1">
        <v>4.5774716967430897E-18</v>
      </c>
      <c r="AG143">
        <v>0</v>
      </c>
      <c r="AH143">
        <v>0.79732893567823004</v>
      </c>
      <c r="AI143">
        <v>0.14600452415280901</v>
      </c>
      <c r="AJ143" t="s">
        <v>74</v>
      </c>
      <c r="AK143">
        <v>0</v>
      </c>
      <c r="AL143" t="s">
        <v>77</v>
      </c>
      <c r="AM143">
        <v>0</v>
      </c>
      <c r="AN143">
        <v>0.98041802497728403</v>
      </c>
      <c r="AO143">
        <v>0</v>
      </c>
      <c r="AP143">
        <v>5.7565309805610497E-2</v>
      </c>
      <c r="AQ143">
        <v>0</v>
      </c>
      <c r="AR143">
        <v>1.6E-2</v>
      </c>
      <c r="AS143">
        <v>0</v>
      </c>
      <c r="AT143">
        <v>0</v>
      </c>
      <c r="AU143">
        <v>0</v>
      </c>
      <c r="AV143">
        <v>0</v>
      </c>
      <c r="AW143">
        <v>0.98876881633129599</v>
      </c>
      <c r="AX143" t="s">
        <v>81</v>
      </c>
      <c r="AY143">
        <v>3124647.5967603698</v>
      </c>
      <c r="AZ143" t="s">
        <v>76</v>
      </c>
      <c r="BA143">
        <v>-1.5707963267949001</v>
      </c>
      <c r="BB143">
        <v>0.97465779891788895</v>
      </c>
      <c r="BC143" s="1">
        <v>4.8570472174635802E-6</v>
      </c>
      <c r="BD143">
        <v>5.4294268696042002E-2</v>
      </c>
      <c r="BE143">
        <v>1.1062810534318001E-4</v>
      </c>
      <c r="BF143" s="1">
        <v>2.6337471493711999E-5</v>
      </c>
      <c r="BG143">
        <v>3.7160378221025401E-4</v>
      </c>
      <c r="BH143">
        <v>2.4003958324801698E-2</v>
      </c>
      <c r="BI143" s="1">
        <v>1.9182892977204398E-5</v>
      </c>
      <c r="BJ143">
        <v>1.7456322782601699E-2</v>
      </c>
      <c r="BK143">
        <v>0.97719652297812798</v>
      </c>
      <c r="BL143" s="1">
        <v>8.6023532577587594E-5</v>
      </c>
      <c r="BM143">
        <v>4.0740222067690499E-4</v>
      </c>
      <c r="BN143" s="1">
        <v>3.2446824168912501E-7</v>
      </c>
      <c r="BO143" s="1">
        <v>6.3994591176736598E-6</v>
      </c>
      <c r="BP143">
        <v>0</v>
      </c>
      <c r="BQ143">
        <v>0</v>
      </c>
      <c r="BR143" s="1">
        <v>5.39281273452383E-5</v>
      </c>
      <c r="BS143">
        <v>2.3610739395400101E-4</v>
      </c>
    </row>
    <row r="144" spans="1:71" x14ac:dyDescent="0.25">
      <c r="A144">
        <v>141</v>
      </c>
      <c r="B144">
        <v>9.1249910190904901E-4</v>
      </c>
      <c r="C144">
        <v>0.120725054102833</v>
      </c>
      <c r="D144">
        <v>-3.5984661166617798E-4</v>
      </c>
      <c r="E144">
        <v>-1.65252289332942E-4</v>
      </c>
      <c r="F144">
        <v>-1.20725054102833E-3</v>
      </c>
      <c r="G144">
        <v>-9.6580043282266503E-4</v>
      </c>
      <c r="H144" t="s">
        <v>74</v>
      </c>
      <c r="I144">
        <v>0</v>
      </c>
      <c r="J144" t="s">
        <v>75</v>
      </c>
      <c r="K144">
        <v>3.14159265358979</v>
      </c>
      <c r="L144">
        <v>0.46356643193339597</v>
      </c>
      <c r="M144">
        <v>0</v>
      </c>
      <c r="N144">
        <v>2.72183340064007E-2</v>
      </c>
      <c r="O144">
        <v>0</v>
      </c>
      <c r="P144">
        <v>1.6E-2</v>
      </c>
      <c r="Q144">
        <v>0</v>
      </c>
      <c r="R144">
        <v>0</v>
      </c>
      <c r="S144">
        <v>0</v>
      </c>
      <c r="T144">
        <v>0</v>
      </c>
      <c r="U144">
        <v>0.46730487090060102</v>
      </c>
      <c r="V144" t="s">
        <v>82</v>
      </c>
      <c r="W144">
        <v>4426741.2107088901</v>
      </c>
      <c r="X144" t="s">
        <v>76</v>
      </c>
      <c r="Y144">
        <v>-1.5707963267949001</v>
      </c>
      <c r="Z144">
        <v>0.45744566412348198</v>
      </c>
      <c r="AA144">
        <v>1.43551780548437E-3</v>
      </c>
      <c r="AB144">
        <v>2.4270156242588398E-2</v>
      </c>
      <c r="AC144">
        <v>8.5883682991904908E-3</v>
      </c>
      <c r="AD144">
        <v>0</v>
      </c>
      <c r="AE144">
        <v>2.7786956762684702E-2</v>
      </c>
      <c r="AF144" s="1">
        <v>4.5774716967430897E-18</v>
      </c>
      <c r="AG144">
        <v>0</v>
      </c>
      <c r="AH144">
        <v>0.79732893567823004</v>
      </c>
      <c r="AI144">
        <v>0.14600452415280901</v>
      </c>
      <c r="AJ144" t="s">
        <v>74</v>
      </c>
      <c r="AK144">
        <v>0</v>
      </c>
      <c r="AL144" t="s">
        <v>77</v>
      </c>
      <c r="AM144">
        <v>0</v>
      </c>
      <c r="AN144">
        <v>0.97928222034561696</v>
      </c>
      <c r="AO144">
        <v>0</v>
      </c>
      <c r="AP144">
        <v>5.7498620960816899E-2</v>
      </c>
      <c r="AQ144">
        <v>0</v>
      </c>
      <c r="AR144">
        <v>1.6E-2</v>
      </c>
      <c r="AS144">
        <v>0</v>
      </c>
      <c r="AT144">
        <v>0</v>
      </c>
      <c r="AU144">
        <v>0</v>
      </c>
      <c r="AV144">
        <v>0</v>
      </c>
      <c r="AW144">
        <v>0.98749950842935297</v>
      </c>
      <c r="AX144" t="s">
        <v>81</v>
      </c>
      <c r="AY144">
        <v>3167300.3004971799</v>
      </c>
      <c r="AZ144" t="s">
        <v>76</v>
      </c>
      <c r="BA144">
        <v>-1.5707963267949001</v>
      </c>
      <c r="BB144">
        <v>0.972330581652318</v>
      </c>
      <c r="BC144" s="1">
        <v>4.8570472174635802E-6</v>
      </c>
      <c r="BD144">
        <v>5.3661650897832203E-2</v>
      </c>
      <c r="BE144">
        <v>1.3486592648931199E-4</v>
      </c>
      <c r="BF144" s="1">
        <v>7.2332995973081497E-6</v>
      </c>
      <c r="BG144">
        <v>3.8839860398015E-4</v>
      </c>
      <c r="BH144">
        <v>2.6359103135468999E-2</v>
      </c>
      <c r="BI144" s="1">
        <v>5.2686026633067503E-6</v>
      </c>
      <c r="BJ144">
        <v>1.9184000075176798E-2</v>
      </c>
      <c r="BK144">
        <v>0.97480920890463696</v>
      </c>
      <c r="BL144" s="1">
        <v>8.5685998166659005E-5</v>
      </c>
      <c r="BM144">
        <v>4.0825910217803498E-4</v>
      </c>
      <c r="BN144" s="1">
        <v>3.2210787489892201E-7</v>
      </c>
      <c r="BO144" s="1">
        <v>6.4129189808183997E-6</v>
      </c>
      <c r="BP144">
        <v>0</v>
      </c>
      <c r="BQ144">
        <v>0</v>
      </c>
      <c r="BR144" s="1">
        <v>5.3839625392997199E-5</v>
      </c>
      <c r="BS144">
        <v>2.3688379623938699E-4</v>
      </c>
    </row>
    <row r="145" spans="1:71" x14ac:dyDescent="0.25">
      <c r="A145">
        <v>142</v>
      </c>
      <c r="B145">
        <v>8.8933270854809395E-4</v>
      </c>
      <c r="C145">
        <v>0.121614386811381</v>
      </c>
      <c r="D145">
        <v>-3.6441346135794101E-4</v>
      </c>
      <c r="E145">
        <v>-1.6890576908635299E-4</v>
      </c>
      <c r="F145">
        <v>-1.21614386811381E-3</v>
      </c>
      <c r="G145">
        <v>-9.7291509449104897E-4</v>
      </c>
      <c r="H145" t="s">
        <v>74</v>
      </c>
      <c r="I145">
        <v>0</v>
      </c>
      <c r="J145" t="s">
        <v>75</v>
      </c>
      <c r="K145">
        <v>3.14159265358979</v>
      </c>
      <c r="L145">
        <v>0.46356643193339597</v>
      </c>
      <c r="M145">
        <v>0</v>
      </c>
      <c r="N145">
        <v>2.72183340064007E-2</v>
      </c>
      <c r="O145">
        <v>0</v>
      </c>
      <c r="P145">
        <v>1.6E-2</v>
      </c>
      <c r="Q145">
        <v>0</v>
      </c>
      <c r="R145">
        <v>0</v>
      </c>
      <c r="S145">
        <v>0</v>
      </c>
      <c r="T145">
        <v>0</v>
      </c>
      <c r="U145">
        <v>0.46730487090060102</v>
      </c>
      <c r="V145" t="s">
        <v>82</v>
      </c>
      <c r="W145">
        <v>4474032.8460547104</v>
      </c>
      <c r="X145" t="s">
        <v>76</v>
      </c>
      <c r="Y145">
        <v>-1.5707963267949001</v>
      </c>
      <c r="Z145">
        <v>0.45744566412348198</v>
      </c>
      <c r="AA145">
        <v>1.43551780548437E-3</v>
      </c>
      <c r="AB145">
        <v>2.4270156242588398E-2</v>
      </c>
      <c r="AC145">
        <v>8.5883682991904908E-3</v>
      </c>
      <c r="AD145">
        <v>0</v>
      </c>
      <c r="AE145">
        <v>2.7786956762684702E-2</v>
      </c>
      <c r="AF145" s="1">
        <v>4.5774716967430897E-18</v>
      </c>
      <c r="AG145">
        <v>0</v>
      </c>
      <c r="AH145">
        <v>0.79732893567823004</v>
      </c>
      <c r="AI145">
        <v>0.14600452415280901</v>
      </c>
      <c r="AJ145" t="s">
        <v>74</v>
      </c>
      <c r="AK145">
        <v>0</v>
      </c>
      <c r="AL145" t="s">
        <v>77</v>
      </c>
      <c r="AM145">
        <v>0</v>
      </c>
      <c r="AN145">
        <v>0.97809731979389603</v>
      </c>
      <c r="AO145">
        <v>0</v>
      </c>
      <c r="AP145">
        <v>5.7429049445798901E-2</v>
      </c>
      <c r="AQ145">
        <v>0</v>
      </c>
      <c r="AR145">
        <v>1.6E-2</v>
      </c>
      <c r="AS145">
        <v>0</v>
      </c>
      <c r="AT145">
        <v>0</v>
      </c>
      <c r="AU145">
        <v>0</v>
      </c>
      <c r="AV145">
        <v>0</v>
      </c>
      <c r="AW145">
        <v>0.98624127373416504</v>
      </c>
      <c r="AX145" t="s">
        <v>81</v>
      </c>
      <c r="AY145">
        <v>3208680.4814247699</v>
      </c>
      <c r="AZ145" t="s">
        <v>76</v>
      </c>
      <c r="BA145">
        <v>-1.5707963267949001</v>
      </c>
      <c r="BB145">
        <v>0.96991015381718204</v>
      </c>
      <c r="BC145" s="1">
        <v>4.8570472174635802E-6</v>
      </c>
      <c r="BD145">
        <v>5.3049211409776698E-2</v>
      </c>
      <c r="BE145">
        <v>1.5991952820626899E-4</v>
      </c>
      <c r="BF145" s="1">
        <v>2.0985446430381802E-6</v>
      </c>
      <c r="BG145">
        <v>4.0582115191699201E-4</v>
      </c>
      <c r="BH145">
        <v>2.8801357971824999E-2</v>
      </c>
      <c r="BI145" s="1">
        <v>1.5285394931249999E-6</v>
      </c>
      <c r="BJ145">
        <v>2.0975581700428701E-2</v>
      </c>
      <c r="BK145">
        <v>0.97238741588701505</v>
      </c>
      <c r="BL145" s="1">
        <v>8.5357519465980704E-5</v>
      </c>
      <c r="BM145">
        <v>4.0915302295907598E-4</v>
      </c>
      <c r="BN145" s="1">
        <v>3.1990942249216699E-7</v>
      </c>
      <c r="BO145" s="1">
        <v>6.4269606556114499E-6</v>
      </c>
      <c r="BP145">
        <v>0</v>
      </c>
      <c r="BQ145">
        <v>0</v>
      </c>
      <c r="BR145" s="1">
        <v>5.3753509231349402E-5</v>
      </c>
      <c r="BS145">
        <v>2.3767451732182701E-4</v>
      </c>
    </row>
    <row r="146" spans="1:71" x14ac:dyDescent="0.25">
      <c r="A146">
        <v>143</v>
      </c>
      <c r="B146">
        <v>8.6700076627987195E-4</v>
      </c>
      <c r="C146">
        <v>0.122481387577661</v>
      </c>
      <c r="D146">
        <v>-3.6884583604541299E-4</v>
      </c>
      <c r="E146">
        <v>-1.72451668836331E-4</v>
      </c>
      <c r="F146">
        <v>-1.22481387577661E-3</v>
      </c>
      <c r="G146">
        <v>-9.7985110062128789E-4</v>
      </c>
      <c r="H146" t="s">
        <v>74</v>
      </c>
      <c r="I146">
        <v>0</v>
      </c>
      <c r="J146" t="s">
        <v>75</v>
      </c>
      <c r="K146">
        <v>3.14159265358979</v>
      </c>
      <c r="L146">
        <v>0.46356643193339597</v>
      </c>
      <c r="M146">
        <v>0</v>
      </c>
      <c r="N146">
        <v>2.72183340064007E-2</v>
      </c>
      <c r="O146">
        <v>0</v>
      </c>
      <c r="P146">
        <v>1.6E-2</v>
      </c>
      <c r="Q146">
        <v>0</v>
      </c>
      <c r="R146">
        <v>0</v>
      </c>
      <c r="S146">
        <v>0</v>
      </c>
      <c r="T146">
        <v>0</v>
      </c>
      <c r="U146">
        <v>0.46730487090060102</v>
      </c>
      <c r="V146" t="s">
        <v>82</v>
      </c>
      <c r="W146">
        <v>4519931.93658402</v>
      </c>
      <c r="X146" t="s">
        <v>76</v>
      </c>
      <c r="Y146">
        <v>-1.5707963267949001</v>
      </c>
      <c r="Z146">
        <v>0.45744566412348198</v>
      </c>
      <c r="AA146">
        <v>1.43551780548437E-3</v>
      </c>
      <c r="AB146">
        <v>2.4270156242588398E-2</v>
      </c>
      <c r="AC146">
        <v>8.5883682991904908E-3</v>
      </c>
      <c r="AD146">
        <v>0</v>
      </c>
      <c r="AE146">
        <v>2.7786956762684702E-2</v>
      </c>
      <c r="AF146" s="1">
        <v>4.5774716967430897E-18</v>
      </c>
      <c r="AG146">
        <v>0</v>
      </c>
      <c r="AH146">
        <v>0.79732893567823004</v>
      </c>
      <c r="AI146">
        <v>0.14600452415280901</v>
      </c>
      <c r="AJ146" t="s">
        <v>74</v>
      </c>
      <c r="AK146">
        <v>0</v>
      </c>
      <c r="AL146" t="s">
        <v>77</v>
      </c>
      <c r="AM146">
        <v>0</v>
      </c>
      <c r="AN146">
        <v>0.97686983639028901</v>
      </c>
      <c r="AO146">
        <v>0</v>
      </c>
      <c r="AP146">
        <v>5.7356977675788803E-2</v>
      </c>
      <c r="AQ146">
        <v>0</v>
      </c>
      <c r="AR146">
        <v>1.6E-2</v>
      </c>
      <c r="AS146">
        <v>0</v>
      </c>
      <c r="AT146">
        <v>0</v>
      </c>
      <c r="AU146">
        <v>0</v>
      </c>
      <c r="AV146">
        <v>0</v>
      </c>
      <c r="AW146">
        <v>0.98496953160024603</v>
      </c>
      <c r="AX146" t="s">
        <v>81</v>
      </c>
      <c r="AY146">
        <v>3248842.1856379202</v>
      </c>
      <c r="AZ146" t="s">
        <v>76</v>
      </c>
      <c r="BA146">
        <v>-1.5707963267949001</v>
      </c>
      <c r="BB146">
        <v>0.96740465262145703</v>
      </c>
      <c r="BC146" s="1">
        <v>4.8570472174635802E-6</v>
      </c>
      <c r="BD146">
        <v>5.2456878681923703E-2</v>
      </c>
      <c r="BE146">
        <v>1.8694200051956101E-4</v>
      </c>
      <c r="BF146" s="1">
        <v>6.4093592106308696E-7</v>
      </c>
      <c r="BG146">
        <v>4.2391166171680902E-4</v>
      </c>
      <c r="BH146">
        <v>3.1327511454889198E-2</v>
      </c>
      <c r="BI146" s="1">
        <v>4.6683939314766398E-7</v>
      </c>
      <c r="BJ146">
        <v>2.2828736255533302E-2</v>
      </c>
      <c r="BK146">
        <v>0.96991329993215503</v>
      </c>
      <c r="BL146" s="1">
        <v>8.5038828453205798E-5</v>
      </c>
      <c r="BM146">
        <v>4.1007906938657801E-4</v>
      </c>
      <c r="BN146" s="1">
        <v>3.17872518393733E-7</v>
      </c>
      <c r="BO146" s="1">
        <v>6.4415069588790704E-6</v>
      </c>
      <c r="BP146">
        <v>0</v>
      </c>
      <c r="BQ146">
        <v>0</v>
      </c>
      <c r="BR146" s="1">
        <v>5.3670306443469497E-5</v>
      </c>
      <c r="BS146">
        <v>2.3847708020519E-4</v>
      </c>
    </row>
    <row r="147" spans="1:71" x14ac:dyDescent="0.25">
      <c r="A147">
        <v>144</v>
      </c>
      <c r="B147">
        <v>8.4549527068620699E-4</v>
      </c>
      <c r="C147">
        <v>0.123326882848347</v>
      </c>
      <c r="D147">
        <v>-3.7314953026313399E-4</v>
      </c>
      <c r="E147">
        <v>-1.75894624210508E-4</v>
      </c>
      <c r="F147">
        <v>-1.23326882848347E-3</v>
      </c>
      <c r="G147">
        <v>-9.866150627867781E-4</v>
      </c>
      <c r="H147" t="s">
        <v>74</v>
      </c>
      <c r="I147">
        <v>0</v>
      </c>
      <c r="J147" t="s">
        <v>75</v>
      </c>
      <c r="K147">
        <v>3.14159265358979</v>
      </c>
      <c r="L147">
        <v>0.46356643193339597</v>
      </c>
      <c r="M147">
        <v>0</v>
      </c>
      <c r="N147">
        <v>2.72183340064007E-2</v>
      </c>
      <c r="O147">
        <v>0</v>
      </c>
      <c r="P147">
        <v>1.6E-2</v>
      </c>
      <c r="Q147">
        <v>0</v>
      </c>
      <c r="R147">
        <v>0</v>
      </c>
      <c r="S147">
        <v>0</v>
      </c>
      <c r="T147">
        <v>0</v>
      </c>
      <c r="U147">
        <v>0.46730487090060002</v>
      </c>
      <c r="V147" t="s">
        <v>82</v>
      </c>
      <c r="W147">
        <v>4564498.4871213604</v>
      </c>
      <c r="X147" t="s">
        <v>76</v>
      </c>
      <c r="Y147">
        <v>-1.5707963267949001</v>
      </c>
      <c r="Z147">
        <v>0.45744566412348198</v>
      </c>
      <c r="AA147">
        <v>1.43551780548437E-3</v>
      </c>
      <c r="AB147">
        <v>2.4270156242588398E-2</v>
      </c>
      <c r="AC147">
        <v>8.5883682991904908E-3</v>
      </c>
      <c r="AD147">
        <v>0</v>
      </c>
      <c r="AE147">
        <v>2.7786956762684702E-2</v>
      </c>
      <c r="AF147" s="1">
        <v>4.5774716967430897E-18</v>
      </c>
      <c r="AG147">
        <v>0</v>
      </c>
      <c r="AH147">
        <v>0.79732893567823004</v>
      </c>
      <c r="AI147">
        <v>0.14600452415280901</v>
      </c>
      <c r="AJ147" t="s">
        <v>74</v>
      </c>
      <c r="AK147">
        <v>0</v>
      </c>
      <c r="AL147" t="s">
        <v>77</v>
      </c>
      <c r="AM147">
        <v>0</v>
      </c>
      <c r="AN147">
        <v>0.97560263647884304</v>
      </c>
      <c r="AO147">
        <v>0</v>
      </c>
      <c r="AP147">
        <v>5.7282573948368901E-2</v>
      </c>
      <c r="AQ147">
        <v>0</v>
      </c>
      <c r="AR147">
        <v>1.6E-2</v>
      </c>
      <c r="AS147">
        <v>0</v>
      </c>
      <c r="AT147">
        <v>0</v>
      </c>
      <c r="AU147">
        <v>0</v>
      </c>
      <c r="AV147">
        <v>0</v>
      </c>
      <c r="AW147">
        <v>0.98367222715343505</v>
      </c>
      <c r="AX147" t="s">
        <v>81</v>
      </c>
      <c r="AY147">
        <v>3287837.9173580902</v>
      </c>
      <c r="AZ147" t="s">
        <v>76</v>
      </c>
      <c r="BA147">
        <v>-1.5707963267949001</v>
      </c>
      <c r="BB147">
        <v>0.96481861197804297</v>
      </c>
      <c r="BC147" s="1">
        <v>4.8570472174635802E-6</v>
      </c>
      <c r="BD147">
        <v>5.1868842946972797E-2</v>
      </c>
      <c r="BE147">
        <v>2.1534138973201901E-4</v>
      </c>
      <c r="BF147" s="1">
        <v>2.0541046896667901E-7</v>
      </c>
      <c r="BG147">
        <v>4.4267064593005498E-4</v>
      </c>
      <c r="BH147">
        <v>3.3934291648253199E-2</v>
      </c>
      <c r="BI147" s="1">
        <v>1.49612672594305E-7</v>
      </c>
      <c r="BJ147">
        <v>2.4741072736407101E-2</v>
      </c>
      <c r="BK147">
        <v>0.96737792944719603</v>
      </c>
      <c r="BL147" s="1">
        <v>8.47218084166266E-5</v>
      </c>
      <c r="BM147">
        <v>4.1103507901365502E-4</v>
      </c>
      <c r="BN147" s="1">
        <v>3.1590368848955699E-7</v>
      </c>
      <c r="BO147" s="1">
        <v>6.4565239229849901E-6</v>
      </c>
      <c r="BP147">
        <v>0</v>
      </c>
      <c r="BQ147">
        <v>0</v>
      </c>
      <c r="BR147" s="1">
        <v>5.3585539147540302E-5</v>
      </c>
      <c r="BS147">
        <v>2.3929054669853201E-4</v>
      </c>
    </row>
    <row r="148" spans="1:71" x14ac:dyDescent="0.25">
      <c r="A148">
        <v>145</v>
      </c>
      <c r="B148">
        <v>8.2481063712694098E-4</v>
      </c>
      <c r="C148">
        <v>0.124151693485474</v>
      </c>
      <c r="D148">
        <v>-3.7733018801596201E-4</v>
      </c>
      <c r="E148">
        <v>-1.79239150412769E-4</v>
      </c>
      <c r="F148">
        <v>-1.2415169348547401E-3</v>
      </c>
      <c r="G148">
        <v>-9.9321354788379406E-4</v>
      </c>
      <c r="H148" t="s">
        <v>74</v>
      </c>
      <c r="I148">
        <v>0</v>
      </c>
      <c r="J148" t="s">
        <v>75</v>
      </c>
      <c r="K148">
        <v>3.14159265358979</v>
      </c>
      <c r="L148">
        <v>0.46356643193339597</v>
      </c>
      <c r="M148">
        <v>0</v>
      </c>
      <c r="N148">
        <v>2.72183340064007E-2</v>
      </c>
      <c r="O148">
        <v>0</v>
      </c>
      <c r="P148">
        <v>1.6E-2</v>
      </c>
      <c r="Q148">
        <v>0</v>
      </c>
      <c r="R148">
        <v>0</v>
      </c>
      <c r="S148">
        <v>0</v>
      </c>
      <c r="T148">
        <v>0</v>
      </c>
      <c r="U148">
        <v>0.46730487090060102</v>
      </c>
      <c r="V148" t="s">
        <v>82</v>
      </c>
      <c r="W148">
        <v>4607790.9436935596</v>
      </c>
      <c r="X148" t="s">
        <v>76</v>
      </c>
      <c r="Y148">
        <v>-1.5707963267949001</v>
      </c>
      <c r="Z148">
        <v>0.45744566412348198</v>
      </c>
      <c r="AA148">
        <v>1.43551780548437E-3</v>
      </c>
      <c r="AB148">
        <v>2.4270156242588398E-2</v>
      </c>
      <c r="AC148">
        <v>8.5883682991904908E-3</v>
      </c>
      <c r="AD148">
        <v>0</v>
      </c>
      <c r="AE148">
        <v>2.7786956762684702E-2</v>
      </c>
      <c r="AF148" s="1">
        <v>4.5774716967430897E-18</v>
      </c>
      <c r="AG148">
        <v>0</v>
      </c>
      <c r="AH148">
        <v>0.79732893567823004</v>
      </c>
      <c r="AI148">
        <v>0.14600452415280901</v>
      </c>
      <c r="AJ148" t="s">
        <v>74</v>
      </c>
      <c r="AK148">
        <v>0</v>
      </c>
      <c r="AL148" t="s">
        <v>77</v>
      </c>
      <c r="AM148">
        <v>0</v>
      </c>
      <c r="AN148">
        <v>0.97429764785055595</v>
      </c>
      <c r="AO148">
        <v>0</v>
      </c>
      <c r="AP148">
        <v>5.7205951453916201E-2</v>
      </c>
      <c r="AQ148">
        <v>0</v>
      </c>
      <c r="AR148">
        <v>1.6E-2</v>
      </c>
      <c r="AS148">
        <v>0</v>
      </c>
      <c r="AT148">
        <v>0</v>
      </c>
      <c r="AU148">
        <v>0</v>
      </c>
      <c r="AV148">
        <v>0</v>
      </c>
      <c r="AW148">
        <v>0.98234396812647296</v>
      </c>
      <c r="AX148" t="s">
        <v>81</v>
      </c>
      <c r="AY148">
        <v>3325718.8168587601</v>
      </c>
      <c r="AZ148" t="s">
        <v>76</v>
      </c>
      <c r="BA148">
        <v>-1.5707963267949001</v>
      </c>
      <c r="BB148">
        <v>0.96215561428816698</v>
      </c>
      <c r="BC148" s="1">
        <v>4.8570472174635802E-6</v>
      </c>
      <c r="BD148">
        <v>5.1277653665787903E-2</v>
      </c>
      <c r="BE148">
        <v>2.4534172130589999E-4</v>
      </c>
      <c r="BF148" s="1">
        <v>6.8871193642679506E-8</v>
      </c>
      <c r="BG148">
        <v>4.6208822623825202E-4</v>
      </c>
      <c r="BH148">
        <v>3.6618444350157299E-2</v>
      </c>
      <c r="BI148" s="1">
        <v>5.0162102947918001E-8</v>
      </c>
      <c r="BJ148">
        <v>2.67102090857331E-2</v>
      </c>
      <c r="BK148">
        <v>0.96477810295403499</v>
      </c>
      <c r="BL148" s="1">
        <v>8.4402902694594701E-5</v>
      </c>
      <c r="BM148">
        <v>4.12019597463033E-4</v>
      </c>
      <c r="BN148" s="1">
        <v>3.1395686866758299E-7</v>
      </c>
      <c r="BO148" s="1">
        <v>6.4719887026244402E-6</v>
      </c>
      <c r="BP148">
        <v>0</v>
      </c>
      <c r="BQ148">
        <v>0</v>
      </c>
      <c r="BR148" s="1">
        <v>5.3497286160597598E-5</v>
      </c>
      <c r="BS148">
        <v>2.4011437167413701E-4</v>
      </c>
    </row>
    <row r="149" spans="1:71" x14ac:dyDescent="0.25">
      <c r="A149">
        <v>146</v>
      </c>
      <c r="B149">
        <v>8.0493489822004098E-4</v>
      </c>
      <c r="C149">
        <v>0.12495662838369399</v>
      </c>
      <c r="D149">
        <v>-3.8139327726837699E-4</v>
      </c>
      <c r="E149">
        <v>-1.82489621814701E-4</v>
      </c>
      <c r="F149">
        <v>-1.24956628383694E-3</v>
      </c>
      <c r="G149">
        <v>-9.9965302706955393E-4</v>
      </c>
      <c r="H149" t="s">
        <v>74</v>
      </c>
      <c r="I149">
        <v>0</v>
      </c>
      <c r="J149" t="s">
        <v>75</v>
      </c>
      <c r="K149">
        <v>3.14159265358979</v>
      </c>
      <c r="L149">
        <v>0.46356643193339597</v>
      </c>
      <c r="M149">
        <v>0</v>
      </c>
      <c r="N149">
        <v>2.72183340064007E-2</v>
      </c>
      <c r="O149">
        <v>0</v>
      </c>
      <c r="P149">
        <v>1.6E-2</v>
      </c>
      <c r="Q149">
        <v>0</v>
      </c>
      <c r="R149">
        <v>0</v>
      </c>
      <c r="S149">
        <v>0</v>
      </c>
      <c r="T149">
        <v>0</v>
      </c>
      <c r="U149">
        <v>0.46730487090060102</v>
      </c>
      <c r="V149" t="s">
        <v>82</v>
      </c>
      <c r="W149">
        <v>4649865.92935583</v>
      </c>
      <c r="X149" t="s">
        <v>76</v>
      </c>
      <c r="Y149">
        <v>-1.5707963267949001</v>
      </c>
      <c r="Z149">
        <v>0.45744566412348198</v>
      </c>
      <c r="AA149">
        <v>1.43551780548437E-3</v>
      </c>
      <c r="AB149">
        <v>2.4270156242588398E-2</v>
      </c>
      <c r="AC149">
        <v>8.5883682991904908E-3</v>
      </c>
      <c r="AD149">
        <v>0</v>
      </c>
      <c r="AE149">
        <v>2.7786956762684702E-2</v>
      </c>
      <c r="AF149" s="1">
        <v>4.5774716967430897E-18</v>
      </c>
      <c r="AG149">
        <v>0</v>
      </c>
      <c r="AH149">
        <v>0.79732893567823004</v>
      </c>
      <c r="AI149">
        <v>0.14600452415280901</v>
      </c>
      <c r="AJ149" t="s">
        <v>74</v>
      </c>
      <c r="AK149">
        <v>0</v>
      </c>
      <c r="AL149" t="s">
        <v>77</v>
      </c>
      <c r="AM149">
        <v>0</v>
      </c>
      <c r="AN149">
        <v>0.97295652433535396</v>
      </c>
      <c r="AO149">
        <v>0</v>
      </c>
      <c r="AP149">
        <v>5.7127207297165299E-2</v>
      </c>
      <c r="AQ149">
        <v>0</v>
      </c>
      <c r="AR149">
        <v>1.6E-2</v>
      </c>
      <c r="AS149">
        <v>0</v>
      </c>
      <c r="AT149">
        <v>0</v>
      </c>
      <c r="AU149">
        <v>0</v>
      </c>
      <c r="AV149">
        <v>0</v>
      </c>
      <c r="AW149">
        <v>0.98098278331630595</v>
      </c>
      <c r="AX149" t="s">
        <v>81</v>
      </c>
      <c r="AY149">
        <v>3362534.4293132601</v>
      </c>
      <c r="AZ149" t="s">
        <v>76</v>
      </c>
      <c r="BA149">
        <v>-1.5707963267949001</v>
      </c>
      <c r="BB149">
        <v>0.95941893621957797</v>
      </c>
      <c r="BC149" s="1">
        <v>4.8570472174635802E-6</v>
      </c>
      <c r="BD149">
        <v>5.0688928399407203E-2</v>
      </c>
      <c r="BE149">
        <v>2.7694940705382703E-4</v>
      </c>
      <c r="BF149" s="1">
        <v>2.40906496939255E-8</v>
      </c>
      <c r="BG149">
        <v>4.8215187278198498E-4</v>
      </c>
      <c r="BH149">
        <v>3.9376768225544E-2</v>
      </c>
      <c r="BI149" s="1">
        <v>1.7546019091844298E-8</v>
      </c>
      <c r="BJ149">
        <v>2.8733800857798301E-2</v>
      </c>
      <c r="BK149">
        <v>0.96211376358441603</v>
      </c>
      <c r="BL149" s="1">
        <v>8.4084971825902903E-5</v>
      </c>
      <c r="BM149">
        <v>4.1303137704102401E-4</v>
      </c>
      <c r="BN149" s="1">
        <v>3.1205502711713101E-7</v>
      </c>
      <c r="BO149" s="1">
        <v>6.4878816990707797E-6</v>
      </c>
      <c r="BP149">
        <v>0</v>
      </c>
      <c r="BQ149">
        <v>0</v>
      </c>
      <c r="BR149" s="1">
        <v>5.3407247021898202E-5</v>
      </c>
      <c r="BS149">
        <v>2.4094811963870801E-4</v>
      </c>
    </row>
    <row r="150" spans="1:71" x14ac:dyDescent="0.25">
      <c r="A150">
        <v>147</v>
      </c>
      <c r="B150">
        <v>7.8585031574889496E-4</v>
      </c>
      <c r="C150">
        <v>0.12574247869944299</v>
      </c>
      <c r="D150">
        <v>-3.85344067914818E-4</v>
      </c>
      <c r="E150">
        <v>-1.8565025433185499E-4</v>
      </c>
      <c r="F150">
        <v>-1.25742478699443E-3</v>
      </c>
      <c r="G150">
        <v>-1.00593982959555E-3</v>
      </c>
      <c r="H150" t="s">
        <v>74</v>
      </c>
      <c r="I150">
        <v>0</v>
      </c>
      <c r="J150" t="s">
        <v>75</v>
      </c>
      <c r="K150">
        <v>3.14159265358979</v>
      </c>
      <c r="L150">
        <v>0.46356643193339597</v>
      </c>
      <c r="M150">
        <v>0</v>
      </c>
      <c r="N150">
        <v>2.72183340064007E-2</v>
      </c>
      <c r="O150">
        <v>0</v>
      </c>
      <c r="P150">
        <v>1.6E-2</v>
      </c>
      <c r="Q150">
        <v>0</v>
      </c>
      <c r="R150">
        <v>0</v>
      </c>
      <c r="S150">
        <v>0</v>
      </c>
      <c r="T150">
        <v>0</v>
      </c>
      <c r="U150">
        <v>0.46730487090060002</v>
      </c>
      <c r="V150" t="s">
        <v>82</v>
      </c>
      <c r="W150">
        <v>4690778.0160654597</v>
      </c>
      <c r="X150" t="s">
        <v>76</v>
      </c>
      <c r="Y150">
        <v>-1.5707963267949001</v>
      </c>
      <c r="Z150">
        <v>0.45744566412348198</v>
      </c>
      <c r="AA150">
        <v>1.43551780548437E-3</v>
      </c>
      <c r="AB150">
        <v>2.4270156242588398E-2</v>
      </c>
      <c r="AC150">
        <v>8.5883682991904908E-3</v>
      </c>
      <c r="AD150">
        <v>0</v>
      </c>
      <c r="AE150">
        <v>2.7786956762684702E-2</v>
      </c>
      <c r="AF150" s="1">
        <v>4.5774716967430897E-18</v>
      </c>
      <c r="AG150">
        <v>0</v>
      </c>
      <c r="AH150">
        <v>0.79732893567823004</v>
      </c>
      <c r="AI150">
        <v>0.14600452415280901</v>
      </c>
      <c r="AJ150" t="s">
        <v>74</v>
      </c>
      <c r="AK150">
        <v>0</v>
      </c>
      <c r="AL150" t="s">
        <v>77</v>
      </c>
      <c r="AM150">
        <v>0</v>
      </c>
      <c r="AN150">
        <v>0.97295652433535396</v>
      </c>
      <c r="AO150">
        <v>0</v>
      </c>
      <c r="AP150">
        <v>5.7127207297165299E-2</v>
      </c>
      <c r="AQ150">
        <v>0</v>
      </c>
      <c r="AR150">
        <v>1.6E-2</v>
      </c>
      <c r="AS150">
        <v>0</v>
      </c>
      <c r="AT150">
        <v>0</v>
      </c>
      <c r="AU150">
        <v>0</v>
      </c>
      <c r="AV150">
        <v>0</v>
      </c>
      <c r="AW150">
        <v>0.98089373470925401</v>
      </c>
      <c r="AX150" t="s">
        <v>82</v>
      </c>
      <c r="AY150">
        <v>3398332.5051841699</v>
      </c>
      <c r="AZ150" t="s">
        <v>76</v>
      </c>
      <c r="BA150">
        <v>-1.5707963267949001</v>
      </c>
      <c r="BB150">
        <v>0.95796622268394105</v>
      </c>
      <c r="BC150" s="1">
        <v>3.25384801801528E-5</v>
      </c>
      <c r="BD150">
        <v>5.0187282723860902E-2</v>
      </c>
      <c r="BE150">
        <v>2.9869035366293298E-4</v>
      </c>
      <c r="BF150">
        <v>0</v>
      </c>
      <c r="BG150">
        <v>4.8215187278198498E-4</v>
      </c>
      <c r="BH150">
        <v>3.9376768225544E-2</v>
      </c>
      <c r="BI150">
        <v>0</v>
      </c>
      <c r="BJ150">
        <v>2.8733818403817401E-2</v>
      </c>
      <c r="BK150">
        <v>0.96202471497736497</v>
      </c>
      <c r="BL150" s="1">
        <v>8.3845019461434303E-5</v>
      </c>
      <c r="BM150">
        <v>4.1303137704102401E-4</v>
      </c>
      <c r="BN150" s="1">
        <v>3.1048711484284499E-7</v>
      </c>
      <c r="BO150" s="1">
        <v>6.4878816990707797E-6</v>
      </c>
      <c r="BP150">
        <v>0</v>
      </c>
      <c r="BQ150">
        <v>0</v>
      </c>
      <c r="BR150" s="1">
        <v>5.3363683621118702E-5</v>
      </c>
      <c r="BS150">
        <v>2.41203952644918E-4</v>
      </c>
    </row>
    <row r="151" spans="1:71" x14ac:dyDescent="0.25">
      <c r="A151" t="s">
        <v>68</v>
      </c>
    </row>
    <row r="152" spans="1:71" x14ac:dyDescent="0.25">
      <c r="A152" t="s">
        <v>9</v>
      </c>
      <c r="B152">
        <v>0</v>
      </c>
      <c r="C152">
        <v>0.28513528355999002</v>
      </c>
      <c r="D152">
        <v>0.651572697050816</v>
      </c>
      <c r="E152">
        <v>1.12249434634434</v>
      </c>
      <c r="F152">
        <v>1.72769237364371</v>
      </c>
      <c r="G152">
        <v>2.5054537120670299</v>
      </c>
      <c r="H152">
        <v>3.50498225026368</v>
      </c>
      <c r="I152">
        <v>4.7895116416253396</v>
      </c>
      <c r="J152">
        <v>6.4403056852340397</v>
      </c>
      <c r="K152">
        <v>8.5617993565662598</v>
      </c>
      <c r="L152">
        <v>11.288205727444501</v>
      </c>
      <c r="M152">
        <v>14.7920067519829</v>
      </c>
      <c r="N152">
        <v>19.294865075190799</v>
      </c>
      <c r="O152">
        <v>25.0816471832171</v>
      </c>
      <c r="P152">
        <v>32.518445048515296</v>
      </c>
      <c r="Q152">
        <v>42.0757363819137</v>
      </c>
      <c r="R152">
        <v>54.358148689726001</v>
      </c>
      <c r="S152">
        <v>70.142710113727105</v>
      </c>
      <c r="T152">
        <v>90.428006935230897</v>
      </c>
      <c r="U152">
        <v>116.49735761803301</v>
      </c>
      <c r="V152">
        <v>150</v>
      </c>
    </row>
    <row r="153" spans="1:71" x14ac:dyDescent="0.25">
      <c r="A153" t="s">
        <v>6</v>
      </c>
      <c r="B153">
        <v>1.6E-2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</row>
    <row r="154" spans="1:71" x14ac:dyDescent="0.25">
      <c r="A154" t="s">
        <v>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</row>
    <row r="155" spans="1:71" x14ac:dyDescent="0.25">
      <c r="A155" t="s">
        <v>8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</row>
    <row r="156" spans="1:71" x14ac:dyDescent="0.25">
      <c r="A156" t="s">
        <v>41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</row>
    <row r="157" spans="1:71" x14ac:dyDescent="0.25">
      <c r="A157" t="s">
        <v>42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</row>
    <row r="158" spans="1:71" x14ac:dyDescent="0.25">
      <c r="A158" t="s">
        <v>10</v>
      </c>
      <c r="B158">
        <v>0</v>
      </c>
      <c r="C158">
        <v>0.05</v>
      </c>
      <c r="D158">
        <v>0.1</v>
      </c>
      <c r="E158">
        <v>0.15</v>
      </c>
      <c r="F158">
        <v>0.2</v>
      </c>
      <c r="G158">
        <v>0.25</v>
      </c>
      <c r="H158">
        <v>0.3</v>
      </c>
      <c r="I158">
        <v>0.35</v>
      </c>
      <c r="J158">
        <v>0.4</v>
      </c>
      <c r="K158">
        <v>0.45</v>
      </c>
      <c r="L158">
        <v>0.5</v>
      </c>
    </row>
    <row r="159" spans="1:71" x14ac:dyDescent="0.25">
      <c r="A159" t="s">
        <v>2</v>
      </c>
      <c r="B159">
        <v>0.46356643193339597</v>
      </c>
      <c r="C159">
        <v>0.46356643193339597</v>
      </c>
      <c r="D159">
        <v>0.46356643193339597</v>
      </c>
      <c r="E159">
        <v>0.13472226352186201</v>
      </c>
      <c r="F159">
        <v>5.4674669895370301E-2</v>
      </c>
      <c r="G159">
        <v>2.6169072770433701E-2</v>
      </c>
      <c r="H159">
        <v>1.35691488439286E-2</v>
      </c>
      <c r="I159">
        <v>7.1608000042377804E-3</v>
      </c>
      <c r="J159">
        <v>3.5631996406170802E-3</v>
      </c>
      <c r="K159">
        <v>1.38973519905693E-3</v>
      </c>
      <c r="L159">
        <v>0</v>
      </c>
    </row>
    <row r="160" spans="1:71" x14ac:dyDescent="0.25">
      <c r="A160" t="s">
        <v>3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</row>
    <row r="161" spans="1:24" x14ac:dyDescent="0.25">
      <c r="A161" t="s">
        <v>11</v>
      </c>
      <c r="B161">
        <v>2.72183340064007E-2</v>
      </c>
      <c r="C161">
        <v>2.72183340064007E-2</v>
      </c>
      <c r="D161">
        <v>2.72183340064007E-2</v>
      </c>
      <c r="E161">
        <v>1.6887389769825501E-2</v>
      </c>
      <c r="F161">
        <v>1.1229158798148601E-2</v>
      </c>
      <c r="G161">
        <v>7.6470398175929504E-3</v>
      </c>
      <c r="H161">
        <v>5.1730505398867796E-3</v>
      </c>
      <c r="I161">
        <v>3.3611325926095901E-3</v>
      </c>
      <c r="J161">
        <v>1.9766137206789999E-3</v>
      </c>
      <c r="K161">
        <v>8.8411133308796198E-4</v>
      </c>
      <c r="L161">
        <v>0</v>
      </c>
    </row>
    <row r="162" spans="1:24" x14ac:dyDescent="0.25">
      <c r="A162" t="s">
        <v>12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</row>
    <row r="163" spans="1:24" x14ac:dyDescent="0.25">
      <c r="A163" t="s">
        <v>4</v>
      </c>
      <c r="B163">
        <v>5.0797582292315896E-3</v>
      </c>
      <c r="C163">
        <v>5.0797582292315896E-3</v>
      </c>
      <c r="D163">
        <v>5.0797582292315896E-3</v>
      </c>
      <c r="E163">
        <v>4.0466638055740699E-3</v>
      </c>
      <c r="F163">
        <v>3.1979291598225302E-3</v>
      </c>
      <c r="G163">
        <v>2.4815053637114001E-3</v>
      </c>
      <c r="H163">
        <v>1.86300804428486E-3</v>
      </c>
      <c r="I163">
        <v>1.31943266010171E-3</v>
      </c>
      <c r="J163">
        <v>8.3485105492599903E-4</v>
      </c>
      <c r="K163">
        <v>3.9785009988958298E-4</v>
      </c>
      <c r="L163">
        <v>0</v>
      </c>
    </row>
    <row r="164" spans="1:24" x14ac:dyDescent="0.25">
      <c r="A164" t="s">
        <v>5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</row>
    <row r="165" spans="1:24" x14ac:dyDescent="0.25">
      <c r="A165" t="s">
        <v>69</v>
      </c>
    </row>
    <row r="166" spans="1:24" x14ac:dyDescent="0.25">
      <c r="A166" t="s">
        <v>9</v>
      </c>
      <c r="B166">
        <v>0</v>
      </c>
      <c r="C166">
        <v>0.28513528355999002</v>
      </c>
      <c r="D166">
        <v>0.651572697050816</v>
      </c>
      <c r="E166">
        <v>1.12249434634434</v>
      </c>
      <c r="F166">
        <v>1.72769237364371</v>
      </c>
      <c r="G166">
        <v>2.5054537120670299</v>
      </c>
      <c r="H166">
        <v>3.50498225026368</v>
      </c>
      <c r="I166">
        <v>4.7895116416253396</v>
      </c>
      <c r="J166">
        <v>6.4403056852340397</v>
      </c>
      <c r="K166">
        <v>8.5617993565662598</v>
      </c>
      <c r="L166">
        <v>11.288205727444501</v>
      </c>
      <c r="M166">
        <v>14.7920067519829</v>
      </c>
      <c r="N166">
        <v>19.294865075190799</v>
      </c>
      <c r="O166">
        <v>25.0816471832171</v>
      </c>
      <c r="P166">
        <v>32.518445048515296</v>
      </c>
      <c r="Q166">
        <v>42.0757363819137</v>
      </c>
      <c r="R166">
        <v>54.358148689726001</v>
      </c>
      <c r="S166">
        <v>70.142710113727105</v>
      </c>
      <c r="T166">
        <v>90.428006935230897</v>
      </c>
      <c r="U166">
        <v>116.49735761803301</v>
      </c>
      <c r="V166">
        <v>150</v>
      </c>
    </row>
    <row r="167" spans="1:24" x14ac:dyDescent="0.25">
      <c r="A167" t="s">
        <v>6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 s="1"/>
    </row>
    <row r="168" spans="1:24" x14ac:dyDescent="0.25">
      <c r="A168" t="s">
        <v>7</v>
      </c>
      <c r="B168">
        <v>2.7786956762684702E-2</v>
      </c>
      <c r="C168">
        <v>2.7557482371845899E-2</v>
      </c>
      <c r="D168">
        <v>2.7234310969186101E-2</v>
      </c>
      <c r="E168">
        <v>2.68075179172933E-2</v>
      </c>
      <c r="F168">
        <v>2.6258081060418499E-2</v>
      </c>
      <c r="G168">
        <v>2.5557505907241301E-2</v>
      </c>
      <c r="H168">
        <v>2.4673903971477801E-2</v>
      </c>
      <c r="I168">
        <v>2.3572470735060198E-2</v>
      </c>
      <c r="J168">
        <v>2.22193833149038E-2</v>
      </c>
      <c r="K168">
        <v>2.05869869462399E-2</v>
      </c>
      <c r="L168">
        <v>1.8660906238285001E-2</v>
      </c>
      <c r="M168">
        <v>1.6450282039640999E-2</v>
      </c>
      <c r="N168">
        <v>1.39990472176571E-2</v>
      </c>
      <c r="O168">
        <v>1.13958839676999E-2</v>
      </c>
      <c r="P168">
        <v>8.7753464314162897E-3</v>
      </c>
      <c r="Q168">
        <v>6.30478115954799E-3</v>
      </c>
      <c r="R168">
        <v>4.1545363054724099E-3</v>
      </c>
      <c r="S168">
        <v>2.45476709406166E-3</v>
      </c>
      <c r="T168">
        <v>1.26237022936778E-3</v>
      </c>
      <c r="U168">
        <v>5.3816395172914995E-4</v>
      </c>
      <c r="V168">
        <v>1.8216753910278E-4</v>
      </c>
      <c r="W168" s="1"/>
    </row>
    <row r="169" spans="1:24" x14ac:dyDescent="0.25">
      <c r="A169" t="s">
        <v>8</v>
      </c>
      <c r="B169" s="1">
        <v>4.5774716967430897E-18</v>
      </c>
      <c r="C169" s="1">
        <v>4.5297839631188203E-18</v>
      </c>
      <c r="D169" s="1">
        <v>4.4692300091723901E-18</v>
      </c>
      <c r="E169" s="1">
        <v>4.3926011279731101E-18</v>
      </c>
      <c r="F169" s="1">
        <v>4.2960553414388001E-18</v>
      </c>
      <c r="G169" s="1">
        <v>4.1751010504099503E-18</v>
      </c>
      <c r="H169" s="1">
        <v>4.02466290736024E-18</v>
      </c>
      <c r="I169" s="1">
        <v>3.8392898903076596E-18</v>
      </c>
      <c r="J169" s="1">
        <v>3.61358786632606E-18</v>
      </c>
      <c r="K169" s="1">
        <v>3.3429760509814098E-18</v>
      </c>
      <c r="L169" s="1">
        <v>3.0248611996090098E-18</v>
      </c>
      <c r="M169" s="1">
        <v>2.6602628678599901E-18</v>
      </c>
      <c r="N169" s="1">
        <v>2.2557623601892301E-18</v>
      </c>
      <c r="O169" s="1">
        <v>1.82535895312357E-18</v>
      </c>
      <c r="P169" s="1">
        <v>1.3912591623959999E-18</v>
      </c>
      <c r="Q169" s="1">
        <v>9.8238919794574795E-19</v>
      </c>
      <c r="R169" s="1">
        <v>6.2964578494906397E-19</v>
      </c>
      <c r="S169" s="1">
        <v>3.57583847773007E-19</v>
      </c>
      <c r="T169" s="1">
        <v>1.7568675822808401E-19</v>
      </c>
      <c r="U169" s="1">
        <v>7.4213863473197999E-20</v>
      </c>
      <c r="V169" s="1">
        <v>2.8831921441740101E-20</v>
      </c>
    </row>
    <row r="170" spans="1:24" x14ac:dyDescent="0.25">
      <c r="A170" t="s">
        <v>41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 s="1"/>
      <c r="X170" s="1"/>
    </row>
    <row r="171" spans="1:24" x14ac:dyDescent="0.25">
      <c r="A171" t="s">
        <v>42</v>
      </c>
      <c r="B171">
        <v>0.79732893567823004</v>
      </c>
      <c r="C171">
        <v>0.79729617029587796</v>
      </c>
      <c r="D171">
        <v>0.79714413927386196</v>
      </c>
      <c r="E171">
        <v>0.79676546291834704</v>
      </c>
      <c r="F171">
        <v>0.79598252713265305</v>
      </c>
      <c r="G171">
        <v>0.79450027356955699</v>
      </c>
      <c r="H171">
        <v>0.79184659760314102</v>
      </c>
      <c r="I171">
        <v>0.78728307342306203</v>
      </c>
      <c r="J171">
        <v>0.77969556398545703</v>
      </c>
      <c r="K171">
        <v>0.76747209410466499</v>
      </c>
      <c r="L171">
        <v>0.74839837853709101</v>
      </c>
      <c r="M171">
        <v>0.71965417992409797</v>
      </c>
      <c r="N171">
        <v>0.67803029053721298</v>
      </c>
      <c r="O171">
        <v>0.62054114735952104</v>
      </c>
      <c r="P171">
        <v>0.54551592246358405</v>
      </c>
      <c r="Q171">
        <v>0.454054618000791</v>
      </c>
      <c r="R171">
        <v>0.35191782423610801</v>
      </c>
      <c r="S171">
        <v>0.24810755911804999</v>
      </c>
      <c r="T171">
        <v>0.15437547219513401</v>
      </c>
      <c r="U171">
        <v>8.1198510859137596E-2</v>
      </c>
      <c r="V171">
        <v>3.5023018916381703E-2</v>
      </c>
      <c r="W171" s="1"/>
    </row>
    <row r="172" spans="1:24" x14ac:dyDescent="0.25">
      <c r="A172" t="s">
        <v>10</v>
      </c>
      <c r="B172">
        <v>0</v>
      </c>
      <c r="C172">
        <v>0.05</v>
      </c>
      <c r="D172">
        <v>0.1</v>
      </c>
      <c r="E172">
        <v>0.15</v>
      </c>
      <c r="F172">
        <v>0.2</v>
      </c>
      <c r="G172">
        <v>0.25</v>
      </c>
      <c r="H172">
        <v>0.3</v>
      </c>
      <c r="I172">
        <v>0.35</v>
      </c>
      <c r="J172">
        <v>0.4</v>
      </c>
      <c r="K172">
        <v>0.45</v>
      </c>
      <c r="L172">
        <v>0.5</v>
      </c>
    </row>
    <row r="173" spans="1:24" x14ac:dyDescent="0.25">
      <c r="A173" t="s">
        <v>2</v>
      </c>
      <c r="B173">
        <v>0.45744566412348198</v>
      </c>
      <c r="C173">
        <v>0.45744566412348198</v>
      </c>
      <c r="D173">
        <v>0.45744566412348198</v>
      </c>
      <c r="E173">
        <v>0.12860149571194801</v>
      </c>
      <c r="F173">
        <v>4.8553902085457103E-2</v>
      </c>
      <c r="G173">
        <v>2.00483049851259E-2</v>
      </c>
      <c r="H173">
        <v>7.4484890188905202E-3</v>
      </c>
      <c r="I173">
        <v>1.1592004357893601E-3</v>
      </c>
      <c r="J173" s="1">
        <v>4.4569058458198402E-6</v>
      </c>
      <c r="K173" s="1">
        <v>1.38539823839514E-8</v>
      </c>
      <c r="L173">
        <v>0</v>
      </c>
    </row>
    <row r="174" spans="1:24" x14ac:dyDescent="0.25">
      <c r="A174" t="s">
        <v>3</v>
      </c>
      <c r="B174">
        <v>1.43551780548437E-3</v>
      </c>
      <c r="C174">
        <v>-4.1913865153121298E-3</v>
      </c>
      <c r="D174">
        <v>-4.1913865153121298E-3</v>
      </c>
      <c r="E174">
        <v>-4.1913865153121298E-3</v>
      </c>
      <c r="F174">
        <v>6.0088209140137697E-2</v>
      </c>
      <c r="G174">
        <v>2.99015418680646E-2</v>
      </c>
      <c r="H174">
        <v>1.5538063705684099E-2</v>
      </c>
      <c r="I174">
        <v>8.2341552094913392E-3</v>
      </c>
      <c r="J174">
        <v>4.2353298609825504E-3</v>
      </c>
      <c r="K174">
        <v>2.8109948618831502E-3</v>
      </c>
      <c r="L174">
        <v>2.74824069050102E-3</v>
      </c>
    </row>
    <row r="175" spans="1:24" x14ac:dyDescent="0.25">
      <c r="A175" t="s">
        <v>11</v>
      </c>
      <c r="B175">
        <v>2.4270156242588398E-2</v>
      </c>
      <c r="C175">
        <v>2.4270156242588398E-2</v>
      </c>
      <c r="D175">
        <v>2.4270156242588398E-2</v>
      </c>
      <c r="E175">
        <v>1.39392120060132E-2</v>
      </c>
      <c r="F175">
        <v>8.2809810343363304E-3</v>
      </c>
      <c r="G175">
        <v>4.6988620568726904E-3</v>
      </c>
      <c r="H175">
        <v>2.2248939771159202E-3</v>
      </c>
      <c r="I175">
        <v>4.4663952430801397E-4</v>
      </c>
      <c r="J175" s="1">
        <v>2.2421349777694598E-6</v>
      </c>
      <c r="K175" s="1">
        <v>8.8135227792777596E-9</v>
      </c>
      <c r="L175">
        <v>0</v>
      </c>
    </row>
    <row r="176" spans="1:24" x14ac:dyDescent="0.25">
      <c r="A176" t="s">
        <v>12</v>
      </c>
      <c r="B176">
        <v>8.5883682991904908E-3</v>
      </c>
      <c r="C176">
        <v>8.5883682991904804E-3</v>
      </c>
      <c r="D176">
        <v>8.5883682991904804E-3</v>
      </c>
      <c r="E176">
        <v>8.5883682991904804E-3</v>
      </c>
      <c r="F176">
        <v>1.31320251726454E-2</v>
      </c>
      <c r="G176">
        <v>9.33865668711319E-3</v>
      </c>
      <c r="H176">
        <v>6.5183943449299399E-3</v>
      </c>
      <c r="I176">
        <v>4.4532628702581298E-3</v>
      </c>
      <c r="J176">
        <v>2.9143345288698101E-3</v>
      </c>
      <c r="K176">
        <v>2.1983856697623699E-3</v>
      </c>
      <c r="L176">
        <v>2.1584631908936401E-3</v>
      </c>
    </row>
    <row r="177" spans="1:22" x14ac:dyDescent="0.25">
      <c r="A177" t="s">
        <v>4</v>
      </c>
      <c r="B177">
        <v>3.9066576016161701E-3</v>
      </c>
      <c r="C177">
        <v>3.9066576016161701E-3</v>
      </c>
      <c r="D177">
        <v>3.9066576016161701E-3</v>
      </c>
      <c r="E177">
        <v>2.87356317795865E-3</v>
      </c>
      <c r="F177">
        <v>2.0248285322071301E-3</v>
      </c>
      <c r="G177">
        <v>1.3084047367144E-3</v>
      </c>
      <c r="H177">
        <v>6.8991271677520504E-4</v>
      </c>
      <c r="I177">
        <v>1.5643638093283199E-4</v>
      </c>
      <c r="J177" s="1">
        <v>8.9729466724674705E-7</v>
      </c>
      <c r="K177" s="1">
        <v>3.9660852506749898E-9</v>
      </c>
      <c r="L177">
        <v>0</v>
      </c>
    </row>
    <row r="178" spans="1:22" x14ac:dyDescent="0.25">
      <c r="A178" t="s">
        <v>5</v>
      </c>
      <c r="B178">
        <v>3.3239313681021998E-3</v>
      </c>
      <c r="C178">
        <v>3.3239313681021898E-3</v>
      </c>
      <c r="D178">
        <v>3.3239313681021898E-3</v>
      </c>
      <c r="E178">
        <v>3.3239313681021898E-3</v>
      </c>
      <c r="F178">
        <v>4.0054798991204302E-3</v>
      </c>
      <c r="G178">
        <v>3.2468062020139898E-3</v>
      </c>
      <c r="H178">
        <v>2.5417406164681801E-3</v>
      </c>
      <c r="I178">
        <v>1.9222011740666399E-3</v>
      </c>
      <c r="J178">
        <v>1.3835762545807301E-3</v>
      </c>
      <c r="K178">
        <v>1.09719671093775E-3</v>
      </c>
      <c r="L178">
        <v>1.07923159544682E-3</v>
      </c>
    </row>
    <row r="179" spans="1:22" x14ac:dyDescent="0.25">
      <c r="A179" t="s">
        <v>70</v>
      </c>
    </row>
    <row r="180" spans="1:22" x14ac:dyDescent="0.25">
      <c r="A180" t="s">
        <v>9</v>
      </c>
      <c r="B180">
        <v>0</v>
      </c>
      <c r="C180">
        <v>9.3723547726442397E-2</v>
      </c>
      <c r="D180">
        <v>0.19623119885131499</v>
      </c>
      <c r="E180">
        <v>0.30834623070871597</v>
      </c>
      <c r="F180">
        <v>0.430969081105256</v>
      </c>
      <c r="G180">
        <v>0.56508458007328699</v>
      </c>
      <c r="H180">
        <v>0.71176985940970505</v>
      </c>
      <c r="I180">
        <v>0.87220300352477598</v>
      </c>
      <c r="J180">
        <v>1.04767251107922</v>
      </c>
      <c r="K180">
        <v>1.2395876433994799</v>
      </c>
      <c r="L180">
        <v>1.4494897427831801</v>
      </c>
      <c r="M180">
        <v>1.6790646115963499</v>
      </c>
      <c r="N180">
        <v>1.9301560515835201</v>
      </c>
      <c r="O180">
        <v>2.2047806721300298</v>
      </c>
      <c r="P180">
        <v>2.5051440864071899</v>
      </c>
      <c r="Q180">
        <v>2.8336586254776401</v>
      </c>
      <c r="R180">
        <v>3.1929627126294799</v>
      </c>
      <c r="S180">
        <v>3.5859420535418001</v>
      </c>
      <c r="T180">
        <v>4.0157528124676203</v>
      </c>
      <c r="U180">
        <v>4.4858469605709699</v>
      </c>
      <c r="V180">
        <v>5</v>
      </c>
    </row>
    <row r="181" spans="1:22" x14ac:dyDescent="0.25">
      <c r="A181" t="s">
        <v>6</v>
      </c>
      <c r="B181">
        <v>1.6E-2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</row>
    <row r="182" spans="1:22" x14ac:dyDescent="0.25">
      <c r="A182" t="s">
        <v>7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</row>
    <row r="183" spans="1:22" x14ac:dyDescent="0.25">
      <c r="A183" t="s">
        <v>8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</row>
    <row r="184" spans="1:22" x14ac:dyDescent="0.25">
      <c r="A184" t="s">
        <v>41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</row>
    <row r="185" spans="1:22" x14ac:dyDescent="0.25">
      <c r="A185" t="s">
        <v>42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</row>
    <row r="186" spans="1:22" x14ac:dyDescent="0.25">
      <c r="A186" t="s">
        <v>10</v>
      </c>
      <c r="B186">
        <v>0</v>
      </c>
      <c r="C186">
        <v>0.05</v>
      </c>
      <c r="D186">
        <v>0.1</v>
      </c>
      <c r="E186">
        <v>0.15</v>
      </c>
      <c r="F186">
        <v>0.2</v>
      </c>
      <c r="G186">
        <v>0.25</v>
      </c>
      <c r="H186">
        <v>0.3</v>
      </c>
      <c r="I186">
        <v>0.35</v>
      </c>
      <c r="J186">
        <v>0.4</v>
      </c>
      <c r="K186">
        <v>0.45</v>
      </c>
      <c r="L186">
        <v>0.5</v>
      </c>
    </row>
    <row r="187" spans="1:22" x14ac:dyDescent="0.25">
      <c r="A187" t="s">
        <v>2</v>
      </c>
      <c r="B187">
        <v>0.97295652433535396</v>
      </c>
      <c r="C187">
        <v>0.97295652433535396</v>
      </c>
      <c r="D187">
        <v>0.97295652433535396</v>
      </c>
      <c r="E187">
        <v>0.28276185728145098</v>
      </c>
      <c r="F187">
        <v>0.11475394490648801</v>
      </c>
      <c r="G187">
        <v>5.4924965083447401E-2</v>
      </c>
      <c r="H187">
        <v>2.8479611524750498E-2</v>
      </c>
      <c r="I187">
        <v>1.50294469220429E-2</v>
      </c>
      <c r="J187">
        <v>7.4786224778801104E-3</v>
      </c>
      <c r="K187">
        <v>2.9168460783096698E-3</v>
      </c>
      <c r="L187">
        <v>0</v>
      </c>
    </row>
    <row r="188" spans="1:22" x14ac:dyDescent="0.25">
      <c r="A188" t="s">
        <v>3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</row>
    <row r="189" spans="1:22" x14ac:dyDescent="0.25">
      <c r="A189" t="s">
        <v>11</v>
      </c>
      <c r="B189">
        <v>5.7127207297165299E-2</v>
      </c>
      <c r="C189">
        <v>5.7127207297165299E-2</v>
      </c>
      <c r="D189">
        <v>5.7127207297165299E-2</v>
      </c>
      <c r="E189">
        <v>3.5444102341531301E-2</v>
      </c>
      <c r="F189">
        <v>2.3568322818133099E-2</v>
      </c>
      <c r="G189">
        <v>1.6049991478779599E-2</v>
      </c>
      <c r="H189">
        <v>1.0857458449930499E-2</v>
      </c>
      <c r="I189">
        <v>7.0545140024408899E-3</v>
      </c>
      <c r="J189">
        <v>4.1486162136557102E-3</v>
      </c>
      <c r="K189">
        <v>1.85561729778215E-3</v>
      </c>
      <c r="L189">
        <v>0</v>
      </c>
    </row>
    <row r="190" spans="1:22" x14ac:dyDescent="0.25">
      <c r="A190" t="s">
        <v>12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</row>
    <row r="191" spans="1:22" x14ac:dyDescent="0.25">
      <c r="A191" t="s">
        <v>4</v>
      </c>
      <c r="B191">
        <v>1.06616518598292E-2</v>
      </c>
      <c r="C191">
        <v>1.06616518598292E-2</v>
      </c>
      <c r="D191">
        <v>1.06616518598292E-2</v>
      </c>
      <c r="E191">
        <v>8.4933413642657996E-3</v>
      </c>
      <c r="F191">
        <v>6.71197443575607E-3</v>
      </c>
      <c r="G191">
        <v>5.2083081678853697E-3</v>
      </c>
      <c r="H191">
        <v>3.9101749106730801E-3</v>
      </c>
      <c r="I191">
        <v>2.7692915764261999E-3</v>
      </c>
      <c r="J191">
        <v>1.7522273503513899E-3</v>
      </c>
      <c r="K191">
        <v>8.3502778400196503E-4</v>
      </c>
      <c r="L191">
        <v>0</v>
      </c>
    </row>
    <row r="192" spans="1:22" x14ac:dyDescent="0.25">
      <c r="A192" t="s">
        <v>5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</row>
    <row r="193" spans="1:22" x14ac:dyDescent="0.25">
      <c r="A193" t="s">
        <v>71</v>
      </c>
    </row>
    <row r="194" spans="1:22" x14ac:dyDescent="0.25">
      <c r="A194" t="s">
        <v>9</v>
      </c>
      <c r="B194">
        <v>0</v>
      </c>
      <c r="C194">
        <v>9.3723547726442397E-2</v>
      </c>
      <c r="D194">
        <v>0.19623119885131499</v>
      </c>
      <c r="E194">
        <v>0.30834623070871597</v>
      </c>
      <c r="F194">
        <v>0.430969081105256</v>
      </c>
      <c r="G194">
        <v>0.56508458007328699</v>
      </c>
      <c r="H194">
        <v>0.71176985940970505</v>
      </c>
      <c r="I194">
        <v>0.87220300352477598</v>
      </c>
      <c r="J194">
        <v>1.04767251107922</v>
      </c>
      <c r="K194">
        <v>1.2395876433994799</v>
      </c>
      <c r="L194">
        <v>1.4494897427831801</v>
      </c>
      <c r="M194">
        <v>1.6790646115963499</v>
      </c>
      <c r="N194">
        <v>1.9301560515835201</v>
      </c>
      <c r="O194">
        <v>2.2047806721300298</v>
      </c>
      <c r="P194">
        <v>2.5051440864071899</v>
      </c>
      <c r="Q194">
        <v>2.8336586254776401</v>
      </c>
      <c r="R194">
        <v>3.1929627126294799</v>
      </c>
      <c r="S194">
        <v>3.5859420535418001</v>
      </c>
      <c r="T194">
        <v>4.0157528124676203</v>
      </c>
      <c r="U194">
        <v>4.4858469605709699</v>
      </c>
      <c r="V194">
        <v>5</v>
      </c>
    </row>
    <row r="195" spans="1:22" x14ac:dyDescent="0.25">
      <c r="A195" t="s">
        <v>6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</row>
    <row r="196" spans="1:22" x14ac:dyDescent="0.25">
      <c r="A196" t="s">
        <v>7</v>
      </c>
      <c r="B196">
        <v>4.8215187278198498E-4</v>
      </c>
      <c r="C196">
        <v>4.2556513959480298E-4</v>
      </c>
      <c r="D196">
        <v>3.6449055720689399E-4</v>
      </c>
      <c r="E196">
        <v>2.9914862704151903E-4</v>
      </c>
      <c r="F196">
        <v>2.4492901002013502E-4</v>
      </c>
      <c r="G196">
        <v>1.91774038562349E-4</v>
      </c>
      <c r="H196">
        <v>1.3535514934977E-4</v>
      </c>
      <c r="I196" s="1">
        <v>9.7361788583760105E-5</v>
      </c>
      <c r="J196" s="1">
        <v>7.0951077183475694E-5</v>
      </c>
      <c r="K196" s="1">
        <v>4.6103444853748303E-5</v>
      </c>
      <c r="L196" s="1">
        <v>2.2705738932453498E-5</v>
      </c>
      <c r="M196" s="1">
        <v>1.17525166977347E-5</v>
      </c>
      <c r="N196" s="1">
        <v>7.2064892524881696E-6</v>
      </c>
      <c r="O196" s="1">
        <v>4.2209390763837597E-6</v>
      </c>
      <c r="P196" s="1">
        <v>2.3513706828288601E-6</v>
      </c>
      <c r="Q196" s="1">
        <v>1.2399926805683899E-6</v>
      </c>
      <c r="R196" s="1">
        <v>6.1584472561575899E-7</v>
      </c>
      <c r="S196" s="1">
        <v>2.8644174137047101E-7</v>
      </c>
      <c r="T196" s="1">
        <v>1.24006503756608E-7</v>
      </c>
      <c r="U196" s="1">
        <v>4.9633576900318702E-8</v>
      </c>
      <c r="V196" s="1">
        <v>1.8232063744464901E-8</v>
      </c>
    </row>
    <row r="197" spans="1:22" x14ac:dyDescent="0.25">
      <c r="A197" t="s">
        <v>8</v>
      </c>
      <c r="B197">
        <v>3.9376768225544E-2</v>
      </c>
      <c r="C197">
        <v>3.6139215885305102E-2</v>
      </c>
      <c r="D197">
        <v>3.26206614544719E-2</v>
      </c>
      <c r="E197">
        <v>2.8803385366523E-2</v>
      </c>
      <c r="F197">
        <v>2.47237846365824E-2</v>
      </c>
      <c r="G197">
        <v>2.0330578101412599E-2</v>
      </c>
      <c r="H197">
        <v>1.5632527065243099E-2</v>
      </c>
      <c r="I197">
        <v>1.1790202226799501E-2</v>
      </c>
      <c r="J197">
        <v>8.6101873848217197E-3</v>
      </c>
      <c r="K197">
        <v>5.6591852769865697E-3</v>
      </c>
      <c r="L197">
        <v>2.9163225606979601E-3</v>
      </c>
      <c r="M197">
        <v>1.56935672975737E-3</v>
      </c>
      <c r="N197">
        <v>9.6233113776264295E-4</v>
      </c>
      <c r="O197">
        <v>5.6366465977685095E-4</v>
      </c>
      <c r="P197">
        <v>3.1401093028044598E-4</v>
      </c>
      <c r="Q197">
        <v>1.65598287377001E-4</v>
      </c>
      <c r="R197" s="1">
        <v>8.2247406045333804E-5</v>
      </c>
      <c r="S197" s="1">
        <v>3.8256292171960597E-5</v>
      </c>
      <c r="T197" s="1">
        <v>1.65625828532543E-5</v>
      </c>
      <c r="U197" s="1">
        <v>6.6294542949219499E-6</v>
      </c>
      <c r="V197" s="1">
        <v>2.4353330481578601E-6</v>
      </c>
    </row>
    <row r="198" spans="1:22" x14ac:dyDescent="0.25">
      <c r="A198" t="s">
        <v>41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</row>
    <row r="199" spans="1:22" x14ac:dyDescent="0.25">
      <c r="A199" t="s">
        <v>42</v>
      </c>
      <c r="B199">
        <v>2.8733818403817401E-2</v>
      </c>
      <c r="C199">
        <v>2.8542396590009001E-2</v>
      </c>
      <c r="D199">
        <v>2.8042591049542102E-2</v>
      </c>
      <c r="E199">
        <v>2.70990838300753E-2</v>
      </c>
      <c r="F199">
        <v>2.5628857374376798E-2</v>
      </c>
      <c r="G199">
        <v>2.3496779518898701E-2</v>
      </c>
      <c r="H199">
        <v>2.0576479367404001E-2</v>
      </c>
      <c r="I199">
        <v>1.7646145418617299E-2</v>
      </c>
      <c r="J199">
        <v>1.47476700718631E-2</v>
      </c>
      <c r="K199">
        <v>1.1501717927309901E-2</v>
      </c>
      <c r="L199">
        <v>7.7933934053376203E-3</v>
      </c>
      <c r="M199">
        <v>3.3647801919542402E-3</v>
      </c>
      <c r="N199">
        <v>2.3067291773795299E-3</v>
      </c>
      <c r="O199">
        <v>1.50707205835252E-3</v>
      </c>
      <c r="P199">
        <v>9.3459566797760301E-4</v>
      </c>
      <c r="Q199">
        <v>5.4768154546949201E-4</v>
      </c>
      <c r="R199">
        <v>3.0178909215539199E-4</v>
      </c>
      <c r="S199">
        <v>1.55519681082601E-4</v>
      </c>
      <c r="T199" s="1">
        <v>7.4502364375679395E-5</v>
      </c>
      <c r="U199" s="1">
        <v>3.2960627714051903E-5</v>
      </c>
      <c r="V199" s="1">
        <v>1.3369606907845699E-5</v>
      </c>
    </row>
    <row r="200" spans="1:22" x14ac:dyDescent="0.25">
      <c r="A200" t="s">
        <v>10</v>
      </c>
      <c r="B200">
        <v>0</v>
      </c>
      <c r="C200">
        <v>0.05</v>
      </c>
      <c r="D200">
        <v>0.1</v>
      </c>
      <c r="E200">
        <v>0.15</v>
      </c>
      <c r="F200">
        <v>0.2</v>
      </c>
      <c r="G200">
        <v>0.25</v>
      </c>
      <c r="H200">
        <v>0.3</v>
      </c>
      <c r="I200">
        <v>0.35</v>
      </c>
      <c r="J200">
        <v>0.4</v>
      </c>
      <c r="K200">
        <v>0.45</v>
      </c>
      <c r="L200">
        <v>0.5</v>
      </c>
    </row>
    <row r="201" spans="1:22" x14ac:dyDescent="0.25">
      <c r="A201" t="s">
        <v>2</v>
      </c>
      <c r="B201">
        <v>0.95796622268394105</v>
      </c>
      <c r="C201">
        <v>0.95796622268394105</v>
      </c>
      <c r="D201">
        <v>0.95796622268394105</v>
      </c>
      <c r="E201">
        <v>0.26777155563003902</v>
      </c>
      <c r="F201">
        <v>9.9763643255084702E-2</v>
      </c>
      <c r="G201">
        <v>3.99346636904181E-2</v>
      </c>
      <c r="H201">
        <v>1.3490443572364501E-2</v>
      </c>
      <c r="I201">
        <v>1.01054847262532E-3</v>
      </c>
      <c r="J201" s="1">
        <v>2.0691545135148102E-6</v>
      </c>
      <c r="K201" s="1">
        <v>6.4140707299466403E-9</v>
      </c>
      <c r="L201">
        <v>0</v>
      </c>
    </row>
    <row r="202" spans="1:22" x14ac:dyDescent="0.25">
      <c r="A202" t="s">
        <v>3</v>
      </c>
      <c r="B202" s="1">
        <v>3.25384801801528E-5</v>
      </c>
      <c r="C202" s="1">
        <v>-8.8351623011995802E-5</v>
      </c>
      <c r="D202" s="1">
        <v>-8.8351623011995802E-5</v>
      </c>
      <c r="E202" s="1">
        <v>-8.8351623011995802E-5</v>
      </c>
      <c r="F202">
        <v>1.0388526497210201E-3</v>
      </c>
      <c r="G202">
        <v>1.14054399243492E-3</v>
      </c>
      <c r="H202">
        <v>6.2265083236969702E-4</v>
      </c>
      <c r="I202">
        <v>3.5996289427397699E-4</v>
      </c>
      <c r="J202">
        <v>2.31789015129814E-4</v>
      </c>
      <c r="K202">
        <v>1.8030950226143001E-4</v>
      </c>
      <c r="L202">
        <v>1.6936650376758001E-4</v>
      </c>
    </row>
    <row r="203" spans="1:22" x14ac:dyDescent="0.25">
      <c r="A203" t="s">
        <v>11</v>
      </c>
      <c r="B203">
        <v>5.0187282723860902E-2</v>
      </c>
      <c r="C203">
        <v>5.0187282723860902E-2</v>
      </c>
      <c r="D203">
        <v>5.0187282723860902E-2</v>
      </c>
      <c r="E203">
        <v>2.8504177768227001E-2</v>
      </c>
      <c r="F203">
        <v>1.66283982448295E-2</v>
      </c>
      <c r="G203">
        <v>9.1100669379442206E-3</v>
      </c>
      <c r="H203">
        <v>3.9177564596449502E-3</v>
      </c>
      <c r="I203">
        <v>3.8914925098287E-4</v>
      </c>
      <c r="J203" s="1">
        <v>1.0409268909011501E-6</v>
      </c>
      <c r="K203" s="1">
        <v>4.0804554906731502E-9</v>
      </c>
      <c r="L203">
        <v>0</v>
      </c>
    </row>
    <row r="204" spans="1:22" x14ac:dyDescent="0.25">
      <c r="A204" t="s">
        <v>12</v>
      </c>
      <c r="B204">
        <v>2.9869035366293298E-4</v>
      </c>
      <c r="C204">
        <v>2.9869035366293E-4</v>
      </c>
      <c r="D204">
        <v>2.9869035366293E-4</v>
      </c>
      <c r="E204">
        <v>2.9869035366293E-4</v>
      </c>
      <c r="F204">
        <v>3.78367728564973E-4</v>
      </c>
      <c r="G204">
        <v>3.9114663957311998E-4</v>
      </c>
      <c r="H204">
        <v>2.8945855538528901E-4</v>
      </c>
      <c r="I204">
        <v>2.1518529069955401E-4</v>
      </c>
      <c r="J204">
        <v>1.6585820135463201E-4</v>
      </c>
      <c r="K204">
        <v>1.3998177584460101E-4</v>
      </c>
      <c r="L204">
        <v>1.33020141000104E-4</v>
      </c>
    </row>
    <row r="205" spans="1:22" x14ac:dyDescent="0.25">
      <c r="A205" t="s">
        <v>4</v>
      </c>
      <c r="B205">
        <v>7.9462579558348401E-3</v>
      </c>
      <c r="C205">
        <v>7.9462579558348401E-3</v>
      </c>
      <c r="D205">
        <v>7.9462579558348401E-3</v>
      </c>
      <c r="E205">
        <v>5.7779474602714402E-3</v>
      </c>
      <c r="F205">
        <v>3.9965805317618104E-3</v>
      </c>
      <c r="G205">
        <v>2.4929142703847698E-3</v>
      </c>
      <c r="H205">
        <v>1.1948366508099501E-3</v>
      </c>
      <c r="I205">
        <v>1.36254488211324E-4</v>
      </c>
      <c r="J205" s="1">
        <v>4.1657477913499498E-7</v>
      </c>
      <c r="K205" s="1">
        <v>1.83620497080292E-9</v>
      </c>
      <c r="L205">
        <v>0</v>
      </c>
    </row>
    <row r="206" spans="1:22" x14ac:dyDescent="0.25">
      <c r="A206" t="s">
        <v>5</v>
      </c>
      <c r="B206">
        <v>1.30454469670554E-4</v>
      </c>
      <c r="C206">
        <v>1.30454469670553E-4</v>
      </c>
      <c r="D206">
        <v>1.30454469670553E-4</v>
      </c>
      <c r="E206">
        <v>1.30454469670553E-4</v>
      </c>
      <c r="F206">
        <v>1.4240607590586E-4</v>
      </c>
      <c r="G206">
        <v>1.4496185810748899E-4</v>
      </c>
      <c r="H206">
        <v>1.1953983706053101E-4</v>
      </c>
      <c r="I206" s="1">
        <v>9.7257857654810894E-5</v>
      </c>
      <c r="J206" s="1">
        <v>7.9993376384088005E-5</v>
      </c>
      <c r="K206" s="1">
        <v>6.9642806180075505E-5</v>
      </c>
      <c r="L206" s="1">
        <v>6.6510070500052206E-5</v>
      </c>
    </row>
    <row r="208" spans="1:22" x14ac:dyDescent="0.25">
      <c r="A208" t="s">
        <v>28</v>
      </c>
    </row>
    <row r="209" spans="1:22" x14ac:dyDescent="0.25">
      <c r="A209" t="str">
        <f>A152</f>
        <v>Half-length</v>
      </c>
      <c r="B209">
        <f>MAX(B152,B166)</f>
        <v>0</v>
      </c>
      <c r="C209">
        <f t="shared" ref="C209:V209" si="0">MAX(C152,C166)</f>
        <v>0.28513528355999002</v>
      </c>
      <c r="D209">
        <f t="shared" si="0"/>
        <v>0.651572697050816</v>
      </c>
      <c r="E209">
        <f t="shared" si="0"/>
        <v>1.12249434634434</v>
      </c>
      <c r="F209">
        <f t="shared" si="0"/>
        <v>1.72769237364371</v>
      </c>
      <c r="G209">
        <f t="shared" si="0"/>
        <v>2.5054537120670299</v>
      </c>
      <c r="H209">
        <f t="shared" si="0"/>
        <v>3.50498225026368</v>
      </c>
      <c r="I209">
        <f t="shared" si="0"/>
        <v>4.7895116416253396</v>
      </c>
      <c r="J209">
        <f t="shared" si="0"/>
        <v>6.4403056852340397</v>
      </c>
      <c r="K209">
        <f t="shared" si="0"/>
        <v>8.5617993565662598</v>
      </c>
      <c r="L209">
        <f t="shared" si="0"/>
        <v>11.288205727444501</v>
      </c>
      <c r="M209">
        <f t="shared" si="0"/>
        <v>14.7920067519829</v>
      </c>
      <c r="N209">
        <f t="shared" si="0"/>
        <v>19.294865075190799</v>
      </c>
      <c r="O209">
        <f t="shared" si="0"/>
        <v>25.0816471832171</v>
      </c>
      <c r="P209">
        <f t="shared" si="0"/>
        <v>32.518445048515296</v>
      </c>
      <c r="Q209">
        <f t="shared" si="0"/>
        <v>42.0757363819137</v>
      </c>
      <c r="R209">
        <f t="shared" si="0"/>
        <v>54.358148689726001</v>
      </c>
      <c r="S209">
        <f t="shared" si="0"/>
        <v>70.142710113727105</v>
      </c>
      <c r="T209">
        <f t="shared" si="0"/>
        <v>90.428006935230897</v>
      </c>
      <c r="U209">
        <f t="shared" si="0"/>
        <v>116.49735761803301</v>
      </c>
      <c r="V209">
        <f t="shared" si="0"/>
        <v>150</v>
      </c>
    </row>
    <row r="210" spans="1:22" x14ac:dyDescent="0.25">
      <c r="A210" t="s">
        <v>57</v>
      </c>
      <c r="B210">
        <f>SUM(B153,B167)</f>
        <v>1.6E-2</v>
      </c>
      <c r="C210">
        <f t="shared" ref="C210:V210" si="1">SUM(C153,C167)</f>
        <v>0</v>
      </c>
      <c r="D210">
        <f t="shared" si="1"/>
        <v>0</v>
      </c>
      <c r="E210">
        <f t="shared" si="1"/>
        <v>0</v>
      </c>
      <c r="F210">
        <f t="shared" si="1"/>
        <v>0</v>
      </c>
      <c r="G210">
        <f t="shared" si="1"/>
        <v>0</v>
      </c>
      <c r="H210">
        <f t="shared" si="1"/>
        <v>0</v>
      </c>
      <c r="I210">
        <f t="shared" si="1"/>
        <v>0</v>
      </c>
      <c r="J210">
        <f t="shared" si="1"/>
        <v>0</v>
      </c>
      <c r="K210">
        <f t="shared" si="1"/>
        <v>0</v>
      </c>
      <c r="L210">
        <f t="shared" si="1"/>
        <v>0</v>
      </c>
      <c r="M210">
        <f t="shared" si="1"/>
        <v>0</v>
      </c>
      <c r="N210">
        <f t="shared" si="1"/>
        <v>0</v>
      </c>
      <c r="O210">
        <f t="shared" si="1"/>
        <v>0</v>
      </c>
      <c r="P210">
        <f t="shared" si="1"/>
        <v>0</v>
      </c>
      <c r="Q210">
        <f t="shared" si="1"/>
        <v>0</v>
      </c>
      <c r="R210">
        <f t="shared" si="1"/>
        <v>0</v>
      </c>
      <c r="S210">
        <f t="shared" si="1"/>
        <v>0</v>
      </c>
      <c r="T210">
        <f t="shared" si="1"/>
        <v>0</v>
      </c>
      <c r="U210">
        <f t="shared" si="1"/>
        <v>0</v>
      </c>
      <c r="V210">
        <f t="shared" si="1"/>
        <v>0</v>
      </c>
    </row>
    <row r="211" spans="1:22" x14ac:dyDescent="0.25">
      <c r="A211" t="s">
        <v>56</v>
      </c>
      <c r="B211">
        <f>SUM(B153:B155,B167:B169)</f>
        <v>4.3786956762684709E-2</v>
      </c>
      <c r="C211">
        <f t="shared" ref="C211:V211" si="2">SUM(C153:C155,C167:C169)</f>
        <v>2.7557482371845902E-2</v>
      </c>
      <c r="D211">
        <f t="shared" si="2"/>
        <v>2.7234310969186104E-2</v>
      </c>
      <c r="E211">
        <f t="shared" si="2"/>
        <v>2.6807517917293303E-2</v>
      </c>
      <c r="F211">
        <f t="shared" si="2"/>
        <v>2.6258081060418503E-2</v>
      </c>
      <c r="G211">
        <f t="shared" si="2"/>
        <v>2.5557505907241304E-2</v>
      </c>
      <c r="H211">
        <f t="shared" si="2"/>
        <v>2.4673903971477805E-2</v>
      </c>
      <c r="I211">
        <f t="shared" si="2"/>
        <v>2.3572470735060202E-2</v>
      </c>
      <c r="J211">
        <f t="shared" si="2"/>
        <v>2.2219383314903803E-2</v>
      </c>
      <c r="K211">
        <f t="shared" si="2"/>
        <v>2.0586986946239904E-2</v>
      </c>
      <c r="L211">
        <f t="shared" si="2"/>
        <v>1.8660906238285004E-2</v>
      </c>
      <c r="M211">
        <f t="shared" si="2"/>
        <v>1.6450282039641002E-2</v>
      </c>
      <c r="N211">
        <f t="shared" si="2"/>
        <v>1.3999047217657101E-2</v>
      </c>
      <c r="O211">
        <f t="shared" si="2"/>
        <v>1.1395883967699902E-2</v>
      </c>
      <c r="P211">
        <f t="shared" si="2"/>
        <v>8.7753464314162914E-3</v>
      </c>
      <c r="Q211">
        <f t="shared" si="2"/>
        <v>6.3047811595479909E-3</v>
      </c>
      <c r="R211">
        <f t="shared" si="2"/>
        <v>4.1545363054724107E-3</v>
      </c>
      <c r="S211">
        <f t="shared" si="2"/>
        <v>2.4547670940616604E-3</v>
      </c>
      <c r="T211">
        <f t="shared" si="2"/>
        <v>1.2623702293677803E-3</v>
      </c>
      <c r="U211">
        <f t="shared" si="2"/>
        <v>5.3816395172915006E-4</v>
      </c>
      <c r="V211">
        <f t="shared" si="2"/>
        <v>1.8216753910278003E-4</v>
      </c>
    </row>
    <row r="212" spans="1:22" x14ac:dyDescent="0.25">
      <c r="A212" t="s">
        <v>58</v>
      </c>
      <c r="B212">
        <f>SUM(B156,B170)</f>
        <v>0</v>
      </c>
      <c r="C212">
        <f t="shared" ref="C212:V212" si="3">SUM(C156,C170)</f>
        <v>0</v>
      </c>
      <c r="D212">
        <f t="shared" si="3"/>
        <v>0</v>
      </c>
      <c r="E212">
        <f t="shared" si="3"/>
        <v>0</v>
      </c>
      <c r="F212">
        <f t="shared" si="3"/>
        <v>0</v>
      </c>
      <c r="G212">
        <f t="shared" si="3"/>
        <v>0</v>
      </c>
      <c r="H212">
        <f t="shared" si="3"/>
        <v>0</v>
      </c>
      <c r="I212">
        <f t="shared" si="3"/>
        <v>0</v>
      </c>
      <c r="J212">
        <f t="shared" si="3"/>
        <v>0</v>
      </c>
      <c r="K212">
        <f t="shared" si="3"/>
        <v>0</v>
      </c>
      <c r="L212">
        <f t="shared" si="3"/>
        <v>0</v>
      </c>
      <c r="M212">
        <f t="shared" si="3"/>
        <v>0</v>
      </c>
      <c r="N212">
        <f t="shared" si="3"/>
        <v>0</v>
      </c>
      <c r="O212">
        <f t="shared" si="3"/>
        <v>0</v>
      </c>
      <c r="P212">
        <f t="shared" si="3"/>
        <v>0</v>
      </c>
      <c r="Q212">
        <f t="shared" si="3"/>
        <v>0</v>
      </c>
      <c r="R212">
        <f t="shared" si="3"/>
        <v>0</v>
      </c>
      <c r="S212">
        <f t="shared" si="3"/>
        <v>0</v>
      </c>
      <c r="T212">
        <f t="shared" si="3"/>
        <v>0</v>
      </c>
      <c r="U212">
        <f t="shared" si="3"/>
        <v>0</v>
      </c>
      <c r="V212">
        <f t="shared" si="3"/>
        <v>0</v>
      </c>
    </row>
    <row r="213" spans="1:22" x14ac:dyDescent="0.25">
      <c r="A213" t="s">
        <v>59</v>
      </c>
      <c r="B213">
        <f>SUM(B156:B157,B170:B171)</f>
        <v>0.79732893567823004</v>
      </c>
      <c r="C213">
        <f t="shared" ref="C213:V213" si="4">SUM(C156:C157,C170:C171)</f>
        <v>0.79729617029587796</v>
      </c>
      <c r="D213">
        <f t="shared" si="4"/>
        <v>0.79714413927386196</v>
      </c>
      <c r="E213">
        <f t="shared" si="4"/>
        <v>0.79676546291834704</v>
      </c>
      <c r="F213">
        <f t="shared" si="4"/>
        <v>0.79598252713265305</v>
      </c>
      <c r="G213">
        <f t="shared" si="4"/>
        <v>0.79450027356955699</v>
      </c>
      <c r="H213">
        <f t="shared" si="4"/>
        <v>0.79184659760314102</v>
      </c>
      <c r="I213">
        <f t="shared" si="4"/>
        <v>0.78728307342306203</v>
      </c>
      <c r="J213">
        <f t="shared" si="4"/>
        <v>0.77969556398545703</v>
      </c>
      <c r="K213">
        <f t="shared" si="4"/>
        <v>0.76747209410466499</v>
      </c>
      <c r="L213">
        <f t="shared" si="4"/>
        <v>0.74839837853709101</v>
      </c>
      <c r="M213">
        <f t="shared" si="4"/>
        <v>0.71965417992409797</v>
      </c>
      <c r="N213">
        <f t="shared" si="4"/>
        <v>0.67803029053721298</v>
      </c>
      <c r="O213">
        <f t="shared" si="4"/>
        <v>0.62054114735952104</v>
      </c>
      <c r="P213">
        <f t="shared" si="4"/>
        <v>0.54551592246358405</v>
      </c>
      <c r="Q213">
        <f t="shared" si="4"/>
        <v>0.454054618000791</v>
      </c>
      <c r="R213">
        <f t="shared" si="4"/>
        <v>0.35191782423610801</v>
      </c>
      <c r="S213">
        <f t="shared" si="4"/>
        <v>0.24810755911804999</v>
      </c>
      <c r="T213">
        <f t="shared" si="4"/>
        <v>0.15437547219513401</v>
      </c>
      <c r="U213">
        <f t="shared" si="4"/>
        <v>8.1198510859137596E-2</v>
      </c>
      <c r="V213">
        <f t="shared" si="4"/>
        <v>3.5023018916381703E-2</v>
      </c>
    </row>
    <row r="214" spans="1:22" x14ac:dyDescent="0.25">
      <c r="A214" t="s">
        <v>36</v>
      </c>
      <c r="B214">
        <f>SUM(B153,B167)/B211</f>
        <v>0.36540561808659922</v>
      </c>
      <c r="C214">
        <f t="shared" ref="C214:V214" si="5">SUM(C153,C167)/C211</f>
        <v>0</v>
      </c>
      <c r="D214">
        <f t="shared" si="5"/>
        <v>0</v>
      </c>
      <c r="E214">
        <f t="shared" si="5"/>
        <v>0</v>
      </c>
      <c r="F214">
        <f t="shared" si="5"/>
        <v>0</v>
      </c>
      <c r="G214">
        <f t="shared" si="5"/>
        <v>0</v>
      </c>
      <c r="H214">
        <f t="shared" si="5"/>
        <v>0</v>
      </c>
      <c r="I214">
        <f t="shared" si="5"/>
        <v>0</v>
      </c>
      <c r="J214">
        <f t="shared" si="5"/>
        <v>0</v>
      </c>
      <c r="K214">
        <f t="shared" si="5"/>
        <v>0</v>
      </c>
      <c r="L214">
        <f t="shared" si="5"/>
        <v>0</v>
      </c>
      <c r="M214">
        <f t="shared" si="5"/>
        <v>0</v>
      </c>
      <c r="N214">
        <f t="shared" si="5"/>
        <v>0</v>
      </c>
      <c r="O214">
        <f t="shared" si="5"/>
        <v>0</v>
      </c>
      <c r="P214">
        <f t="shared" si="5"/>
        <v>0</v>
      </c>
      <c r="Q214">
        <f t="shared" si="5"/>
        <v>0</v>
      </c>
      <c r="R214">
        <f t="shared" si="5"/>
        <v>0</v>
      </c>
      <c r="S214">
        <f t="shared" si="5"/>
        <v>0</v>
      </c>
      <c r="T214">
        <f t="shared" si="5"/>
        <v>0</v>
      </c>
      <c r="U214">
        <f t="shared" si="5"/>
        <v>0</v>
      </c>
      <c r="V214">
        <f t="shared" si="5"/>
        <v>0</v>
      </c>
    </row>
    <row r="215" spans="1:22" x14ac:dyDescent="0.25">
      <c r="A215" t="s">
        <v>39</v>
      </c>
      <c r="B215">
        <f>SUM(B153:B154,B167:B168)/B211</f>
        <v>0.99999999999999989</v>
      </c>
      <c r="C215">
        <f t="shared" ref="C215:V215" si="6">SUM(C153:C154,C167:C168)/C211</f>
        <v>0.99999999999999989</v>
      </c>
      <c r="D215">
        <f t="shared" si="6"/>
        <v>0.99999999999999989</v>
      </c>
      <c r="E215">
        <f t="shared" si="6"/>
        <v>0.99999999999999989</v>
      </c>
      <c r="F215">
        <f t="shared" si="6"/>
        <v>0.99999999999999989</v>
      </c>
      <c r="G215">
        <f t="shared" si="6"/>
        <v>0.99999999999999989</v>
      </c>
      <c r="H215">
        <f t="shared" si="6"/>
        <v>0.99999999999999989</v>
      </c>
      <c r="I215">
        <f t="shared" si="6"/>
        <v>0.99999999999999989</v>
      </c>
      <c r="J215">
        <f t="shared" si="6"/>
        <v>0.99999999999999989</v>
      </c>
      <c r="K215">
        <f t="shared" si="6"/>
        <v>0.99999999999999978</v>
      </c>
      <c r="L215">
        <f t="shared" si="6"/>
        <v>0.99999999999999978</v>
      </c>
      <c r="M215">
        <f t="shared" si="6"/>
        <v>0.99999999999999978</v>
      </c>
      <c r="N215">
        <f t="shared" si="6"/>
        <v>0.99999999999999989</v>
      </c>
      <c r="O215">
        <f t="shared" si="6"/>
        <v>0.99999999999999989</v>
      </c>
      <c r="P215">
        <f t="shared" si="6"/>
        <v>0.99999999999999978</v>
      </c>
      <c r="Q215">
        <f t="shared" si="6"/>
        <v>0.99999999999999989</v>
      </c>
      <c r="R215">
        <f t="shared" si="6"/>
        <v>0.99999999999999978</v>
      </c>
      <c r="S215">
        <f t="shared" si="6"/>
        <v>0.99999999999999978</v>
      </c>
      <c r="T215">
        <f t="shared" si="6"/>
        <v>0.99999999999999978</v>
      </c>
      <c r="U215">
        <f t="shared" si="6"/>
        <v>0.99999999999999978</v>
      </c>
      <c r="V215">
        <f t="shared" si="6"/>
        <v>0.99999999999999989</v>
      </c>
    </row>
    <row r="216" spans="1:22" x14ac:dyDescent="0.25">
      <c r="A216" t="s">
        <v>37</v>
      </c>
      <c r="B216">
        <f>SUM(B154,B168)/B211</f>
        <v>0.63459438191340067</v>
      </c>
      <c r="C216">
        <f t="shared" ref="C216:V216" si="7">SUM(C154,C168)/C211</f>
        <v>0.99999999999999989</v>
      </c>
      <c r="D216">
        <f t="shared" si="7"/>
        <v>0.99999999999999989</v>
      </c>
      <c r="E216">
        <f t="shared" si="7"/>
        <v>0.99999999999999989</v>
      </c>
      <c r="F216">
        <f t="shared" si="7"/>
        <v>0.99999999999999989</v>
      </c>
      <c r="G216">
        <f t="shared" si="7"/>
        <v>0.99999999999999989</v>
      </c>
      <c r="H216">
        <f t="shared" si="7"/>
        <v>0.99999999999999989</v>
      </c>
      <c r="I216">
        <f t="shared" si="7"/>
        <v>0.99999999999999989</v>
      </c>
      <c r="J216">
        <f t="shared" si="7"/>
        <v>0.99999999999999989</v>
      </c>
      <c r="K216">
        <f t="shared" si="7"/>
        <v>0.99999999999999978</v>
      </c>
      <c r="L216">
        <f t="shared" si="7"/>
        <v>0.99999999999999978</v>
      </c>
      <c r="M216">
        <f t="shared" si="7"/>
        <v>0.99999999999999978</v>
      </c>
      <c r="N216">
        <f t="shared" si="7"/>
        <v>0.99999999999999989</v>
      </c>
      <c r="O216">
        <f t="shared" si="7"/>
        <v>0.99999999999999989</v>
      </c>
      <c r="P216">
        <f t="shared" si="7"/>
        <v>0.99999999999999978</v>
      </c>
      <c r="Q216">
        <f t="shared" si="7"/>
        <v>0.99999999999999989</v>
      </c>
      <c r="R216">
        <f t="shared" si="7"/>
        <v>0.99999999999999978</v>
      </c>
      <c r="S216">
        <f t="shared" si="7"/>
        <v>0.99999999999999978</v>
      </c>
      <c r="T216">
        <f t="shared" si="7"/>
        <v>0.99999999999999978</v>
      </c>
      <c r="U216">
        <f t="shared" si="7"/>
        <v>0.99999999999999978</v>
      </c>
      <c r="V216">
        <f t="shared" si="7"/>
        <v>0.99999999999999989</v>
      </c>
    </row>
    <row r="217" spans="1:22" x14ac:dyDescent="0.25">
      <c r="A217" t="s">
        <v>38</v>
      </c>
      <c r="B217">
        <f>SUM(B155,B169)/B211</f>
        <v>1.0453961716389516E-16</v>
      </c>
      <c r="C217">
        <f t="shared" ref="C217:V217" si="8">SUM(C155,C169)/C211</f>
        <v>1.6437582729787659E-16</v>
      </c>
      <c r="D217">
        <f t="shared" si="8"/>
        <v>1.6410292201734205E-16</v>
      </c>
      <c r="E217">
        <f t="shared" si="8"/>
        <v>1.6385706209449106E-16</v>
      </c>
      <c r="F217">
        <f t="shared" si="8"/>
        <v>1.636088841204274E-16</v>
      </c>
      <c r="G217">
        <f t="shared" si="8"/>
        <v>1.6336105195722572E-16</v>
      </c>
      <c r="H217">
        <f t="shared" si="8"/>
        <v>1.6311415137274643E-16</v>
      </c>
      <c r="I217">
        <f t="shared" si="8"/>
        <v>1.6287176399363782E-16</v>
      </c>
      <c r="J217">
        <f t="shared" si="8"/>
        <v>1.6263223038698024E-16</v>
      </c>
      <c r="K217">
        <f t="shared" si="8"/>
        <v>1.6238296841160554E-16</v>
      </c>
      <c r="L217">
        <f t="shared" si="8"/>
        <v>1.6209615765622132E-16</v>
      </c>
      <c r="M217">
        <f t="shared" si="8"/>
        <v>1.6171533481611028E-16</v>
      </c>
      <c r="N217">
        <f t="shared" si="8"/>
        <v>1.611368491809943E-16</v>
      </c>
      <c r="O217">
        <f t="shared" si="8"/>
        <v>1.6017703920970976E-16</v>
      </c>
      <c r="P217">
        <f t="shared" si="8"/>
        <v>1.5854179356557421E-16</v>
      </c>
      <c r="Q217">
        <f t="shared" si="8"/>
        <v>1.5581654193627531E-16</v>
      </c>
      <c r="R217">
        <f t="shared" si="8"/>
        <v>1.5155621196995828E-16</v>
      </c>
      <c r="S217">
        <f t="shared" si="8"/>
        <v>1.4566915477971001E-16</v>
      </c>
      <c r="T217">
        <f t="shared" si="8"/>
        <v>1.3917213361097035E-16</v>
      </c>
      <c r="U217">
        <f t="shared" si="8"/>
        <v>1.3790195949532631E-16</v>
      </c>
      <c r="V217">
        <f t="shared" si="8"/>
        <v>1.5827145485822783E-16</v>
      </c>
    </row>
    <row r="219" spans="1:22" x14ac:dyDescent="0.25">
      <c r="A219" t="s">
        <v>29</v>
      </c>
    </row>
    <row r="220" spans="1:22" x14ac:dyDescent="0.25">
      <c r="A220" t="str">
        <f>A180</f>
        <v>Half-length</v>
      </c>
      <c r="B220">
        <f>MAX(B180,B194)</f>
        <v>0</v>
      </c>
      <c r="C220">
        <f t="shared" ref="C220:V220" si="9">MAX(C180,C194)</f>
        <v>9.3723547726442397E-2</v>
      </c>
      <c r="D220">
        <f t="shared" si="9"/>
        <v>0.19623119885131499</v>
      </c>
      <c r="E220">
        <f t="shared" si="9"/>
        <v>0.30834623070871597</v>
      </c>
      <c r="F220">
        <f t="shared" si="9"/>
        <v>0.430969081105256</v>
      </c>
      <c r="G220">
        <f t="shared" si="9"/>
        <v>0.56508458007328699</v>
      </c>
      <c r="H220">
        <f t="shared" si="9"/>
        <v>0.71176985940970505</v>
      </c>
      <c r="I220">
        <f t="shared" si="9"/>
        <v>0.87220300352477598</v>
      </c>
      <c r="J220">
        <f t="shared" si="9"/>
        <v>1.04767251107922</v>
      </c>
      <c r="K220">
        <f t="shared" si="9"/>
        <v>1.2395876433994799</v>
      </c>
      <c r="L220">
        <f t="shared" si="9"/>
        <v>1.4494897427831801</v>
      </c>
      <c r="M220">
        <f t="shared" si="9"/>
        <v>1.6790646115963499</v>
      </c>
      <c r="N220">
        <f t="shared" si="9"/>
        <v>1.9301560515835201</v>
      </c>
      <c r="O220">
        <f t="shared" si="9"/>
        <v>2.2047806721300298</v>
      </c>
      <c r="P220">
        <f t="shared" si="9"/>
        <v>2.5051440864071899</v>
      </c>
      <c r="Q220">
        <f t="shared" si="9"/>
        <v>2.8336586254776401</v>
      </c>
      <c r="R220">
        <f t="shared" si="9"/>
        <v>3.1929627126294799</v>
      </c>
      <c r="S220">
        <f t="shared" si="9"/>
        <v>3.5859420535418001</v>
      </c>
      <c r="T220">
        <f t="shared" si="9"/>
        <v>4.0157528124676203</v>
      </c>
      <c r="U220">
        <f t="shared" si="9"/>
        <v>4.4858469605709699</v>
      </c>
      <c r="V220">
        <f t="shared" si="9"/>
        <v>5</v>
      </c>
    </row>
    <row r="221" spans="1:22" x14ac:dyDescent="0.25">
      <c r="A221" t="s">
        <v>57</v>
      </c>
      <c r="B221">
        <f>SUM(B181,B195)</f>
        <v>1.6E-2</v>
      </c>
      <c r="C221">
        <f t="shared" ref="C221:V221" si="10">SUM(C181,C195)</f>
        <v>0</v>
      </c>
      <c r="D221">
        <f t="shared" si="10"/>
        <v>0</v>
      </c>
      <c r="E221">
        <f t="shared" si="10"/>
        <v>0</v>
      </c>
      <c r="F221">
        <f t="shared" si="10"/>
        <v>0</v>
      </c>
      <c r="G221">
        <f t="shared" si="10"/>
        <v>0</v>
      </c>
      <c r="H221">
        <f t="shared" si="10"/>
        <v>0</v>
      </c>
      <c r="I221">
        <f t="shared" si="10"/>
        <v>0</v>
      </c>
      <c r="J221">
        <f t="shared" si="10"/>
        <v>0</v>
      </c>
      <c r="K221">
        <f t="shared" si="10"/>
        <v>0</v>
      </c>
      <c r="L221">
        <f t="shared" si="10"/>
        <v>0</v>
      </c>
      <c r="M221">
        <f t="shared" si="10"/>
        <v>0</v>
      </c>
      <c r="N221">
        <f t="shared" si="10"/>
        <v>0</v>
      </c>
      <c r="O221">
        <f t="shared" si="10"/>
        <v>0</v>
      </c>
      <c r="P221">
        <f t="shared" si="10"/>
        <v>0</v>
      </c>
      <c r="Q221">
        <f t="shared" si="10"/>
        <v>0</v>
      </c>
      <c r="R221">
        <f t="shared" si="10"/>
        <v>0</v>
      </c>
      <c r="S221">
        <f t="shared" si="10"/>
        <v>0</v>
      </c>
      <c r="T221">
        <f t="shared" si="10"/>
        <v>0</v>
      </c>
      <c r="U221">
        <f t="shared" si="10"/>
        <v>0</v>
      </c>
      <c r="V221">
        <f t="shared" si="10"/>
        <v>0</v>
      </c>
    </row>
    <row r="222" spans="1:22" x14ac:dyDescent="0.25">
      <c r="A222" t="s">
        <v>56</v>
      </c>
      <c r="B222">
        <f>SUM(B181:B183,B195:B197)</f>
        <v>5.5858920098325986E-2</v>
      </c>
      <c r="C222">
        <f t="shared" ref="C222:V222" si="11">SUM(C181:C183,C195:C197)</f>
        <v>3.6564781024899906E-2</v>
      </c>
      <c r="D222">
        <f t="shared" si="11"/>
        <v>3.2985152011678794E-2</v>
      </c>
      <c r="E222">
        <f t="shared" si="11"/>
        <v>2.9102533993564519E-2</v>
      </c>
      <c r="F222">
        <f t="shared" si="11"/>
        <v>2.4968713646602535E-2</v>
      </c>
      <c r="G222">
        <f t="shared" si="11"/>
        <v>2.0522352139974949E-2</v>
      </c>
      <c r="H222">
        <f t="shared" si="11"/>
        <v>1.5767882214592868E-2</v>
      </c>
      <c r="I222">
        <f t="shared" si="11"/>
        <v>1.188756401538326E-2</v>
      </c>
      <c r="J222">
        <f t="shared" si="11"/>
        <v>8.681138462005196E-3</v>
      </c>
      <c r="K222">
        <f t="shared" si="11"/>
        <v>5.7052887218403178E-3</v>
      </c>
      <c r="L222">
        <f t="shared" si="11"/>
        <v>2.9390282996304136E-3</v>
      </c>
      <c r="M222">
        <f t="shared" si="11"/>
        <v>1.5811092464551048E-3</v>
      </c>
      <c r="N222">
        <f t="shared" si="11"/>
        <v>9.6953762701513114E-4</v>
      </c>
      <c r="O222">
        <f t="shared" si="11"/>
        <v>5.6788559885323476E-4</v>
      </c>
      <c r="P222">
        <f t="shared" si="11"/>
        <v>3.1636230096327485E-4</v>
      </c>
      <c r="Q222">
        <f t="shared" si="11"/>
        <v>1.6683828005756938E-4</v>
      </c>
      <c r="R222">
        <f t="shared" si="11"/>
        <v>8.2863250770949561E-5</v>
      </c>
      <c r="S222">
        <f t="shared" si="11"/>
        <v>3.8542733913331066E-5</v>
      </c>
      <c r="T222">
        <f t="shared" si="11"/>
        <v>1.6686589357010906E-5</v>
      </c>
      <c r="U222">
        <f t="shared" si="11"/>
        <v>6.679087871822269E-6</v>
      </c>
      <c r="V222">
        <f t="shared" si="11"/>
        <v>2.453565111902325E-6</v>
      </c>
    </row>
    <row r="223" spans="1:22" x14ac:dyDescent="0.25">
      <c r="A223" t="s">
        <v>58</v>
      </c>
      <c r="B223">
        <f>SUM(B184,B198)</f>
        <v>0</v>
      </c>
      <c r="C223">
        <f t="shared" ref="C223:V223" si="12">SUM(C184,C198)</f>
        <v>0</v>
      </c>
      <c r="D223">
        <f t="shared" si="12"/>
        <v>0</v>
      </c>
      <c r="E223">
        <f t="shared" si="12"/>
        <v>0</v>
      </c>
      <c r="F223">
        <f t="shared" si="12"/>
        <v>0</v>
      </c>
      <c r="G223">
        <f t="shared" si="12"/>
        <v>0</v>
      </c>
      <c r="H223">
        <f t="shared" si="12"/>
        <v>0</v>
      </c>
      <c r="I223">
        <f t="shared" si="12"/>
        <v>0</v>
      </c>
      <c r="J223">
        <f t="shared" si="12"/>
        <v>0</v>
      </c>
      <c r="K223">
        <f t="shared" si="12"/>
        <v>0</v>
      </c>
      <c r="L223">
        <f t="shared" si="12"/>
        <v>0</v>
      </c>
      <c r="M223">
        <f t="shared" si="12"/>
        <v>0</v>
      </c>
      <c r="N223">
        <f t="shared" si="12"/>
        <v>0</v>
      </c>
      <c r="O223">
        <f t="shared" si="12"/>
        <v>0</v>
      </c>
      <c r="P223">
        <f t="shared" si="12"/>
        <v>0</v>
      </c>
      <c r="Q223">
        <f t="shared" si="12"/>
        <v>0</v>
      </c>
      <c r="R223">
        <f t="shared" si="12"/>
        <v>0</v>
      </c>
      <c r="S223">
        <f t="shared" si="12"/>
        <v>0</v>
      </c>
      <c r="T223">
        <f t="shared" si="12"/>
        <v>0</v>
      </c>
      <c r="U223">
        <f t="shared" si="12"/>
        <v>0</v>
      </c>
      <c r="V223">
        <f t="shared" si="12"/>
        <v>0</v>
      </c>
    </row>
    <row r="224" spans="1:22" x14ac:dyDescent="0.25">
      <c r="A224" t="s">
        <v>59</v>
      </c>
      <c r="B224">
        <f>SUM(B184:B185,B198:B199)</f>
        <v>2.8733818403817401E-2</v>
      </c>
      <c r="C224">
        <f t="shared" ref="C224:V224" si="13">SUM(C184:C185,C198:C199)</f>
        <v>2.8542396590009001E-2</v>
      </c>
      <c r="D224">
        <f t="shared" si="13"/>
        <v>2.8042591049542102E-2</v>
      </c>
      <c r="E224">
        <f t="shared" si="13"/>
        <v>2.70990838300753E-2</v>
      </c>
      <c r="F224">
        <f t="shared" si="13"/>
        <v>2.5628857374376798E-2</v>
      </c>
      <c r="G224">
        <f t="shared" si="13"/>
        <v>2.3496779518898701E-2</v>
      </c>
      <c r="H224">
        <f t="shared" si="13"/>
        <v>2.0576479367404001E-2</v>
      </c>
      <c r="I224">
        <f t="shared" si="13"/>
        <v>1.7646145418617299E-2</v>
      </c>
      <c r="J224">
        <f t="shared" si="13"/>
        <v>1.47476700718631E-2</v>
      </c>
      <c r="K224">
        <f t="shared" si="13"/>
        <v>1.1501717927309901E-2</v>
      </c>
      <c r="L224">
        <f t="shared" si="13"/>
        <v>7.7933934053376203E-3</v>
      </c>
      <c r="M224">
        <f t="shared" si="13"/>
        <v>3.3647801919542402E-3</v>
      </c>
      <c r="N224">
        <f t="shared" si="13"/>
        <v>2.3067291773795299E-3</v>
      </c>
      <c r="O224">
        <f t="shared" si="13"/>
        <v>1.50707205835252E-3</v>
      </c>
      <c r="P224">
        <f t="shared" si="13"/>
        <v>9.3459566797760301E-4</v>
      </c>
      <c r="Q224">
        <f t="shared" si="13"/>
        <v>5.4768154546949201E-4</v>
      </c>
      <c r="R224">
        <f t="shared" si="13"/>
        <v>3.0178909215539199E-4</v>
      </c>
      <c r="S224">
        <f t="shared" si="13"/>
        <v>1.55519681082601E-4</v>
      </c>
      <c r="T224">
        <f t="shared" si="13"/>
        <v>7.4502364375679395E-5</v>
      </c>
      <c r="U224">
        <f t="shared" si="13"/>
        <v>3.2960627714051903E-5</v>
      </c>
      <c r="V224">
        <f t="shared" si="13"/>
        <v>1.3369606907845699E-5</v>
      </c>
    </row>
    <row r="225" spans="1:22" x14ac:dyDescent="0.25">
      <c r="A225" t="s">
        <v>36</v>
      </c>
      <c r="B225">
        <f>SUM(B181,B195)/B222</f>
        <v>0.28643589907996625</v>
      </c>
      <c r="C225">
        <f t="shared" ref="C225:V225" si="14">SUM(C181,C195)/C222</f>
        <v>0</v>
      </c>
      <c r="D225">
        <f t="shared" si="14"/>
        <v>0</v>
      </c>
      <c r="E225">
        <f t="shared" si="14"/>
        <v>0</v>
      </c>
      <c r="F225">
        <f t="shared" si="14"/>
        <v>0</v>
      </c>
      <c r="G225">
        <f t="shared" si="14"/>
        <v>0</v>
      </c>
      <c r="H225">
        <f t="shared" si="14"/>
        <v>0</v>
      </c>
      <c r="I225">
        <f t="shared" si="14"/>
        <v>0</v>
      </c>
      <c r="J225">
        <f t="shared" si="14"/>
        <v>0</v>
      </c>
      <c r="K225">
        <f t="shared" si="14"/>
        <v>0</v>
      </c>
      <c r="L225">
        <f t="shared" si="14"/>
        <v>0</v>
      </c>
      <c r="M225">
        <f t="shared" si="14"/>
        <v>0</v>
      </c>
      <c r="N225">
        <f t="shared" si="14"/>
        <v>0</v>
      </c>
      <c r="O225">
        <f t="shared" si="14"/>
        <v>0</v>
      </c>
      <c r="P225">
        <f t="shared" si="14"/>
        <v>0</v>
      </c>
      <c r="Q225">
        <f t="shared" si="14"/>
        <v>0</v>
      </c>
      <c r="R225">
        <f t="shared" si="14"/>
        <v>0</v>
      </c>
      <c r="S225">
        <f t="shared" si="14"/>
        <v>0</v>
      </c>
      <c r="T225">
        <f t="shared" si="14"/>
        <v>0</v>
      </c>
      <c r="U225">
        <f t="shared" si="14"/>
        <v>0</v>
      </c>
      <c r="V225">
        <f t="shared" si="14"/>
        <v>0</v>
      </c>
    </row>
    <row r="226" spans="1:22" x14ac:dyDescent="0.25">
      <c r="A226" t="s">
        <v>39</v>
      </c>
      <c r="B226">
        <f>SUM(B181:B182,B195:B196)/B222</f>
        <v>0.29506749940330362</v>
      </c>
      <c r="C226">
        <f t="shared" ref="C226:V226" si="15">SUM(C181:C182,C195:C196)/C222</f>
        <v>1.1638662332067609E-2</v>
      </c>
      <c r="D226">
        <f t="shared" si="15"/>
        <v>1.1050140289723136E-2</v>
      </c>
      <c r="E226">
        <f t="shared" si="15"/>
        <v>1.0279126453650742E-2</v>
      </c>
      <c r="F226">
        <f t="shared" si="15"/>
        <v>9.809436460634896E-3</v>
      </c>
      <c r="G226">
        <f t="shared" si="15"/>
        <v>9.3446422346879724E-3</v>
      </c>
      <c r="H226">
        <f t="shared" si="15"/>
        <v>8.5842313829882274E-3</v>
      </c>
      <c r="I226">
        <f t="shared" si="15"/>
        <v>8.1902220217504439E-3</v>
      </c>
      <c r="J226">
        <f t="shared" si="15"/>
        <v>8.1730152668348516E-3</v>
      </c>
      <c r="K226">
        <f t="shared" si="15"/>
        <v>8.0808258970769525E-3</v>
      </c>
      <c r="L226">
        <f t="shared" si="15"/>
        <v>7.725593841783957E-3</v>
      </c>
      <c r="M226">
        <f t="shared" si="15"/>
        <v>7.4330832762405262E-3</v>
      </c>
      <c r="N226">
        <f t="shared" si="15"/>
        <v>7.4329134338751157E-3</v>
      </c>
      <c r="O226">
        <f t="shared" si="15"/>
        <v>7.4327277974777905E-3</v>
      </c>
      <c r="P226">
        <f t="shared" si="15"/>
        <v>7.4325249110570243E-3</v>
      </c>
      <c r="Q226">
        <f t="shared" si="15"/>
        <v>7.4323031868976158E-3</v>
      </c>
      <c r="R226">
        <f t="shared" si="15"/>
        <v>7.4320608941360004E-3</v>
      </c>
      <c r="S226">
        <f t="shared" si="15"/>
        <v>7.4317961464429811E-3</v>
      </c>
      <c r="T226">
        <f t="shared" si="15"/>
        <v>7.4315068887643243E-3</v>
      </c>
      <c r="U226">
        <f t="shared" si="15"/>
        <v>7.4311908830714448E-3</v>
      </c>
      <c r="V226">
        <f t="shared" si="15"/>
        <v>7.4308456930776206E-3</v>
      </c>
    </row>
    <row r="227" spans="1:22" x14ac:dyDescent="0.25">
      <c r="A227" t="s">
        <v>37</v>
      </c>
      <c r="B227">
        <f>SUM(B182,B196)/B222</f>
        <v>8.6316003233373358E-3</v>
      </c>
      <c r="C227">
        <f t="shared" ref="C227:V227" si="16">SUM(C182,C196)/C222</f>
        <v>1.1638662332067609E-2</v>
      </c>
      <c r="D227">
        <f t="shared" si="16"/>
        <v>1.1050140289723136E-2</v>
      </c>
      <c r="E227">
        <f t="shared" si="16"/>
        <v>1.0279126453650742E-2</v>
      </c>
      <c r="F227">
        <f t="shared" si="16"/>
        <v>9.809436460634896E-3</v>
      </c>
      <c r="G227">
        <f t="shared" si="16"/>
        <v>9.3446422346879724E-3</v>
      </c>
      <c r="H227">
        <f t="shared" si="16"/>
        <v>8.5842313829882274E-3</v>
      </c>
      <c r="I227">
        <f t="shared" si="16"/>
        <v>8.1902220217504439E-3</v>
      </c>
      <c r="J227">
        <f t="shared" si="16"/>
        <v>8.1730152668348516E-3</v>
      </c>
      <c r="K227">
        <f t="shared" si="16"/>
        <v>8.0808258970769525E-3</v>
      </c>
      <c r="L227">
        <f t="shared" si="16"/>
        <v>7.725593841783957E-3</v>
      </c>
      <c r="M227">
        <f t="shared" si="16"/>
        <v>7.4330832762405262E-3</v>
      </c>
      <c r="N227">
        <f t="shared" si="16"/>
        <v>7.4329134338751157E-3</v>
      </c>
      <c r="O227">
        <f t="shared" si="16"/>
        <v>7.4327277974777905E-3</v>
      </c>
      <c r="P227">
        <f t="shared" si="16"/>
        <v>7.4325249110570243E-3</v>
      </c>
      <c r="Q227">
        <f t="shared" si="16"/>
        <v>7.4323031868976158E-3</v>
      </c>
      <c r="R227">
        <f t="shared" si="16"/>
        <v>7.4320608941360004E-3</v>
      </c>
      <c r="S227">
        <f t="shared" si="16"/>
        <v>7.4317961464429811E-3</v>
      </c>
      <c r="T227">
        <f t="shared" si="16"/>
        <v>7.4315068887643243E-3</v>
      </c>
      <c r="U227">
        <f t="shared" si="16"/>
        <v>7.4311908830714448E-3</v>
      </c>
      <c r="V227">
        <f t="shared" si="16"/>
        <v>7.4308456930776206E-3</v>
      </c>
    </row>
    <row r="228" spans="1:22" x14ac:dyDescent="0.25">
      <c r="A228" t="s">
        <v>38</v>
      </c>
      <c r="B228">
        <f>SUM(B183,B197)/B222</f>
        <v>0.70493250059669643</v>
      </c>
      <c r="C228">
        <f t="shared" ref="C228:V228" si="17">SUM(C183,C197)/C222</f>
        <v>0.98836133766793233</v>
      </c>
      <c r="D228">
        <f t="shared" si="17"/>
        <v>0.98894985971027682</v>
      </c>
      <c r="E228">
        <f t="shared" si="17"/>
        <v>0.9897208735463493</v>
      </c>
      <c r="F228">
        <f t="shared" si="17"/>
        <v>0.99019056353936508</v>
      </c>
      <c r="G228">
        <f t="shared" si="17"/>
        <v>0.99065535776531199</v>
      </c>
      <c r="H228">
        <f t="shared" si="17"/>
        <v>0.99141576861701186</v>
      </c>
      <c r="I228">
        <f t="shared" si="17"/>
        <v>0.99180977797824954</v>
      </c>
      <c r="J228">
        <f t="shared" si="17"/>
        <v>0.99182698473316511</v>
      </c>
      <c r="K228">
        <f t="shared" si="17"/>
        <v>0.99191917410292307</v>
      </c>
      <c r="L228">
        <f t="shared" si="17"/>
        <v>0.99227440615821605</v>
      </c>
      <c r="M228">
        <f t="shared" si="17"/>
        <v>0.99256691672375941</v>
      </c>
      <c r="N228">
        <f t="shared" si="17"/>
        <v>0.99256708656612491</v>
      </c>
      <c r="O228">
        <f t="shared" si="17"/>
        <v>0.99256727220252217</v>
      </c>
      <c r="P228">
        <f t="shared" si="17"/>
        <v>0.99256747508894294</v>
      </c>
      <c r="Q228">
        <f t="shared" si="17"/>
        <v>0.99256769681310242</v>
      </c>
      <c r="R228">
        <f t="shared" si="17"/>
        <v>0.99256793910586405</v>
      </c>
      <c r="S228">
        <f t="shared" si="17"/>
        <v>0.99256820385355704</v>
      </c>
      <c r="T228">
        <f t="shared" si="17"/>
        <v>0.99256849311123574</v>
      </c>
      <c r="U228">
        <f t="shared" si="17"/>
        <v>0.99256880911692846</v>
      </c>
      <c r="V228">
        <f t="shared" si="17"/>
        <v>0.99256915430692239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7749"/>
  <sheetViews>
    <sheetView tabSelected="1" zoomScaleNormal="100" workbookViewId="0">
      <selection activeCell="AP1" sqref="AP1:AV1048576"/>
    </sheetView>
  </sheetViews>
  <sheetFormatPr defaultRowHeight="15" x14ac:dyDescent="0.25"/>
  <sheetData>
    <row r="1" spans="1:52" x14ac:dyDescent="0.25">
      <c r="A1" t="s">
        <v>15</v>
      </c>
      <c r="B1" t="s">
        <v>32</v>
      </c>
      <c r="C1" t="s">
        <v>25</v>
      </c>
      <c r="D1" t="s">
        <v>26</v>
      </c>
      <c r="E1" t="s">
        <v>14</v>
      </c>
      <c r="F1" t="s">
        <v>13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Z1" t="s">
        <v>34</v>
      </c>
      <c r="AB1" t="s">
        <v>30</v>
      </c>
      <c r="AC1" t="s">
        <v>15</v>
      </c>
      <c r="AD1" t="s">
        <v>27</v>
      </c>
      <c r="AE1" t="s">
        <v>14</v>
      </c>
      <c r="AF1" t="s">
        <v>13</v>
      </c>
      <c r="AG1" t="s">
        <v>88</v>
      </c>
      <c r="AH1" t="s">
        <v>89</v>
      </c>
      <c r="AI1" t="s">
        <v>22</v>
      </c>
      <c r="AK1" t="s">
        <v>23</v>
      </c>
      <c r="AL1" t="s">
        <v>24</v>
      </c>
      <c r="AM1" t="s">
        <v>40</v>
      </c>
      <c r="AO1" t="s">
        <v>31</v>
      </c>
      <c r="AP1" t="s">
        <v>15</v>
      </c>
      <c r="AQ1" t="s">
        <v>27</v>
      </c>
      <c r="AR1" t="s">
        <v>14</v>
      </c>
      <c r="AS1" t="s">
        <v>13</v>
      </c>
      <c r="AT1" t="s">
        <v>88</v>
      </c>
      <c r="AU1" t="s">
        <v>89</v>
      </c>
      <c r="AV1" t="s">
        <v>22</v>
      </c>
      <c r="AX1" t="s">
        <v>23</v>
      </c>
      <c r="AY1" t="s">
        <v>24</v>
      </c>
      <c r="AZ1" t="s">
        <v>40</v>
      </c>
    </row>
    <row r="2" spans="1:52" x14ac:dyDescent="0.25">
      <c r="A2">
        <v>346</v>
      </c>
      <c r="B2">
        <v>0</v>
      </c>
      <c r="C2">
        <v>82.963469735785395</v>
      </c>
      <c r="D2">
        <v>96.754191031298305</v>
      </c>
      <c r="E2">
        <v>14</v>
      </c>
      <c r="F2">
        <v>1.01722196789785</v>
      </c>
      <c r="G2" t="s">
        <v>83</v>
      </c>
      <c r="H2" t="s">
        <v>84</v>
      </c>
      <c r="I2">
        <v>0</v>
      </c>
      <c r="J2">
        <v>276</v>
      </c>
      <c r="K2">
        <v>0</v>
      </c>
      <c r="Z2" s="2" t="s">
        <v>16</v>
      </c>
      <c r="AA2" s="2">
        <v>0</v>
      </c>
      <c r="AC2">
        <v>343</v>
      </c>
      <c r="AD2">
        <v>102.046509029801</v>
      </c>
      <c r="AE2">
        <v>10</v>
      </c>
      <c r="AF2">
        <v>1.01722196789785</v>
      </c>
      <c r="AG2" t="s">
        <v>84</v>
      </c>
      <c r="AH2">
        <v>15</v>
      </c>
      <c r="AI2">
        <v>0</v>
      </c>
      <c r="AJ2">
        <v>1</v>
      </c>
      <c r="AK2">
        <f>AJ2/$AA$17</f>
        <v>6.2500000000000001E-4</v>
      </c>
      <c r="AL2">
        <f>AD2*$AA$16</f>
        <v>102.046509029801</v>
      </c>
      <c r="AM2">
        <f>AL2/$AA$17</f>
        <v>6.377906814362562E-2</v>
      </c>
      <c r="AP2">
        <v>1082</v>
      </c>
      <c r="AQ2">
        <v>2.2725923170801301</v>
      </c>
      <c r="AR2">
        <v>6</v>
      </c>
      <c r="AS2">
        <v>1.01722196789785</v>
      </c>
      <c r="AT2" t="s">
        <v>87</v>
      </c>
      <c r="AU2">
        <v>358</v>
      </c>
      <c r="AV2">
        <v>0.12297972043158099</v>
      </c>
      <c r="AW2">
        <v>1</v>
      </c>
      <c r="AX2">
        <f>AW2/$AA$17</f>
        <v>6.2500000000000001E-4</v>
      </c>
      <c r="AY2">
        <f>AQ2*$AA$16</f>
        <v>2.2725923170801301</v>
      </c>
      <c r="AZ2">
        <f>AY2/$AA$17</f>
        <v>1.4203701981750814E-3</v>
      </c>
    </row>
    <row r="3" spans="1:52" x14ac:dyDescent="0.25">
      <c r="A3" t="s">
        <v>85</v>
      </c>
      <c r="Z3" s="2" t="s">
        <v>17</v>
      </c>
      <c r="AA3" s="2">
        <v>150</v>
      </c>
      <c r="AC3">
        <v>348</v>
      </c>
      <c r="AD3">
        <v>98.352293419591703</v>
      </c>
      <c r="AE3">
        <v>14</v>
      </c>
      <c r="AF3">
        <v>1.01722196789785</v>
      </c>
      <c r="AG3" t="s">
        <v>83</v>
      </c>
      <c r="AH3">
        <v>0</v>
      </c>
      <c r="AI3">
        <v>0</v>
      </c>
      <c r="AJ3">
        <v>2</v>
      </c>
      <c r="AK3">
        <f>AJ3/$AA$17</f>
        <v>1.25E-3</v>
      </c>
      <c r="AL3">
        <f>AD3*$AA$16</f>
        <v>98.352293419591703</v>
      </c>
      <c r="AM3">
        <f>AM2+(AL3/$AA$17)</f>
        <v>0.12524925153087044</v>
      </c>
      <c r="AP3">
        <v>870</v>
      </c>
      <c r="AQ3">
        <v>2.0221581138719098</v>
      </c>
      <c r="AR3">
        <v>6</v>
      </c>
      <c r="AS3">
        <v>1.01722196789785</v>
      </c>
      <c r="AT3" t="s">
        <v>87</v>
      </c>
      <c r="AU3">
        <v>349</v>
      </c>
      <c r="AV3">
        <v>0.114536792619501</v>
      </c>
      <c r="AW3">
        <v>2</v>
      </c>
      <c r="AX3">
        <f>AW3/$AA$17</f>
        <v>1.25E-3</v>
      </c>
      <c r="AY3">
        <f>AQ3*$AA$16</f>
        <v>2.0221581138719098</v>
      </c>
      <c r="AZ3">
        <f>AZ2+(AY3/$AA$17)</f>
        <v>2.684219019345025E-3</v>
      </c>
    </row>
    <row r="4" spans="1:52" x14ac:dyDescent="0.25">
      <c r="A4">
        <v>58.882540053163197</v>
      </c>
      <c r="B4">
        <v>67.035417588914299</v>
      </c>
      <c r="C4">
        <v>2000</v>
      </c>
      <c r="Z4" s="2" t="s">
        <v>18</v>
      </c>
      <c r="AA4" s="2">
        <v>0</v>
      </c>
      <c r="AC4">
        <v>346</v>
      </c>
      <c r="AD4">
        <v>96.754191031298305</v>
      </c>
      <c r="AE4">
        <v>14</v>
      </c>
      <c r="AF4">
        <v>1.01722196789785</v>
      </c>
      <c r="AG4" t="s">
        <v>84</v>
      </c>
      <c r="AH4">
        <v>276</v>
      </c>
      <c r="AI4">
        <v>0</v>
      </c>
      <c r="AJ4">
        <v>3</v>
      </c>
      <c r="AK4">
        <f>AJ4/$AA$17</f>
        <v>1.8749999999999999E-3</v>
      </c>
      <c r="AL4">
        <f>AD4*$AA$16</f>
        <v>96.754191031298305</v>
      </c>
      <c r="AM4">
        <f>AM3+(AL4/$AA$17)</f>
        <v>0.18572062092543187</v>
      </c>
      <c r="AP4">
        <v>982</v>
      </c>
      <c r="AQ4">
        <v>1.9167665605444499</v>
      </c>
      <c r="AR4">
        <v>6</v>
      </c>
      <c r="AS4">
        <v>1.01722196789785</v>
      </c>
      <c r="AT4" t="s">
        <v>87</v>
      </c>
      <c r="AU4">
        <v>853</v>
      </c>
      <c r="AV4">
        <v>0.119945352050412</v>
      </c>
      <c r="AW4">
        <v>3</v>
      </c>
      <c r="AX4">
        <f>AW4/$AA$17</f>
        <v>1.8749999999999999E-3</v>
      </c>
      <c r="AY4">
        <f>AQ4*$AA$16</f>
        <v>1.9167665605444499</v>
      </c>
      <c r="AZ4">
        <f>AZ3+(AY4/$AA$17)</f>
        <v>3.8821981196853063E-3</v>
      </c>
    </row>
    <row r="5" spans="1:52" x14ac:dyDescent="0.25">
      <c r="A5">
        <v>50.218508012224397</v>
      </c>
      <c r="B5">
        <v>58.371385547975599</v>
      </c>
      <c r="C5">
        <v>2000</v>
      </c>
      <c r="Z5" s="2" t="s">
        <v>19</v>
      </c>
      <c r="AA5" s="2">
        <v>150</v>
      </c>
      <c r="AC5">
        <v>844</v>
      </c>
      <c r="AD5">
        <v>92.509941365845904</v>
      </c>
      <c r="AE5">
        <v>12</v>
      </c>
      <c r="AF5">
        <v>1.01722196789785</v>
      </c>
      <c r="AG5" t="s">
        <v>83</v>
      </c>
      <c r="AH5">
        <v>0</v>
      </c>
      <c r="AI5">
        <v>9.9772326816260498E-2</v>
      </c>
      <c r="AJ5">
        <v>4</v>
      </c>
      <c r="AK5">
        <f>AJ5/$AA$17</f>
        <v>2.5000000000000001E-3</v>
      </c>
      <c r="AL5">
        <f>AD5*$AA$16</f>
        <v>92.509941365845904</v>
      </c>
      <c r="AM5">
        <f>AM4+(AL5/$AA$17)</f>
        <v>0.24353933427908556</v>
      </c>
      <c r="AP5">
        <v>381</v>
      </c>
      <c r="AQ5">
        <v>1.69760472625581</v>
      </c>
      <c r="AR5">
        <v>6</v>
      </c>
      <c r="AS5">
        <v>1.01722196789785</v>
      </c>
      <c r="AT5" t="s">
        <v>87</v>
      </c>
      <c r="AU5">
        <v>796</v>
      </c>
      <c r="AV5">
        <v>0</v>
      </c>
      <c r="AW5">
        <v>4</v>
      </c>
      <c r="AX5">
        <f>AW5/$AA$17</f>
        <v>2.5000000000000001E-3</v>
      </c>
      <c r="AY5">
        <f>AQ5*$AA$16</f>
        <v>1.69760472625581</v>
      </c>
      <c r="AZ5">
        <f>AZ4+(AY5/$AA$17)</f>
        <v>4.9432010735951876E-3</v>
      </c>
    </row>
    <row r="6" spans="1:52" x14ac:dyDescent="0.25">
      <c r="A6">
        <v>41.591075240683303</v>
      </c>
      <c r="B6">
        <v>49.743952776434398</v>
      </c>
      <c r="C6">
        <v>2000</v>
      </c>
      <c r="AC6">
        <v>342</v>
      </c>
      <c r="AD6">
        <v>90.699776039036294</v>
      </c>
      <c r="AE6">
        <v>10</v>
      </c>
      <c r="AF6">
        <v>1.01722196789785</v>
      </c>
      <c r="AG6" t="s">
        <v>83</v>
      </c>
      <c r="AH6">
        <v>0</v>
      </c>
      <c r="AI6">
        <v>0</v>
      </c>
      <c r="AJ6">
        <v>5</v>
      </c>
      <c r="AK6">
        <f>AJ6/$AA$17</f>
        <v>3.1250000000000002E-3</v>
      </c>
      <c r="AL6">
        <f>AD6*$AA$16</f>
        <v>90.699776039036294</v>
      </c>
      <c r="AM6">
        <f>AM5+(AL6/$AA$17)</f>
        <v>0.30022669430348325</v>
      </c>
      <c r="AP6">
        <v>395</v>
      </c>
      <c r="AQ6">
        <v>1.60463906815552</v>
      </c>
      <c r="AR6">
        <v>6</v>
      </c>
      <c r="AS6">
        <v>1.01722196789785</v>
      </c>
      <c r="AT6" t="s">
        <v>87</v>
      </c>
      <c r="AU6">
        <v>587</v>
      </c>
      <c r="AV6">
        <v>0</v>
      </c>
      <c r="AW6">
        <v>5</v>
      </c>
      <c r="AX6">
        <f>AW6/$AA$17</f>
        <v>3.1250000000000002E-3</v>
      </c>
      <c r="AY6">
        <f>AQ6*$AA$16</f>
        <v>1.60463906815552</v>
      </c>
      <c r="AZ6">
        <f>AZ5+(AY6/$AA$17)</f>
        <v>5.9461004911923881E-3</v>
      </c>
    </row>
    <row r="7" spans="1:52" x14ac:dyDescent="0.25">
      <c r="A7">
        <v>0</v>
      </c>
      <c r="B7">
        <v>8.1528775357511591</v>
      </c>
      <c r="C7">
        <v>2000</v>
      </c>
      <c r="AC7">
        <v>821</v>
      </c>
      <c r="AD7">
        <v>89.404273057767995</v>
      </c>
      <c r="AE7">
        <v>10</v>
      </c>
      <c r="AF7">
        <v>1.01722196789785</v>
      </c>
      <c r="AG7" t="s">
        <v>83</v>
      </c>
      <c r="AH7">
        <v>0</v>
      </c>
      <c r="AI7">
        <v>9.7911421572511204E-2</v>
      </c>
      <c r="AJ7">
        <v>6</v>
      </c>
      <c r="AK7">
        <f>AJ7/$AA$17</f>
        <v>3.7499999999999999E-3</v>
      </c>
      <c r="AL7">
        <f>AD7*$AA$16</f>
        <v>89.404273057767995</v>
      </c>
      <c r="AM7">
        <f>AM6+(AL7/$AA$17)</f>
        <v>0.35610436496458825</v>
      </c>
      <c r="AP7">
        <v>397</v>
      </c>
      <c r="AQ7">
        <v>1.5481715601385</v>
      </c>
      <c r="AR7">
        <v>6</v>
      </c>
      <c r="AS7">
        <v>1.01722196789785</v>
      </c>
      <c r="AT7" t="s">
        <v>87</v>
      </c>
      <c r="AU7">
        <v>723</v>
      </c>
      <c r="AV7">
        <v>0</v>
      </c>
      <c r="AW7">
        <v>6</v>
      </c>
      <c r="AX7">
        <f>AW7/$AA$17</f>
        <v>3.7499999999999999E-3</v>
      </c>
      <c r="AY7">
        <f>AQ7*$AA$16</f>
        <v>1.5481715601385</v>
      </c>
      <c r="AZ7">
        <f>AZ6+(AY7/$AA$17)</f>
        <v>6.9137077162789509E-3</v>
      </c>
    </row>
    <row r="8" spans="1:52" x14ac:dyDescent="0.25">
      <c r="A8">
        <v>0</v>
      </c>
      <c r="B8">
        <v>9.0269095846488092</v>
      </c>
      <c r="C8">
        <v>2001</v>
      </c>
      <c r="AC8">
        <v>346</v>
      </c>
      <c r="AD8">
        <v>82.963469735785395</v>
      </c>
      <c r="AE8">
        <v>14</v>
      </c>
      <c r="AF8">
        <v>1.01722196789785</v>
      </c>
      <c r="AG8" t="s">
        <v>83</v>
      </c>
      <c r="AH8">
        <v>0</v>
      </c>
      <c r="AI8">
        <v>0</v>
      </c>
      <c r="AJ8">
        <v>7</v>
      </c>
      <c r="AK8">
        <f>AJ8/$AA$17</f>
        <v>4.3750000000000004E-3</v>
      </c>
      <c r="AL8">
        <f>AD8*$AA$16</f>
        <v>82.963469735785395</v>
      </c>
      <c r="AM8">
        <f>AM7+(AL8/$AA$17)</f>
        <v>0.4079565335494541</v>
      </c>
      <c r="AP8">
        <v>385</v>
      </c>
      <c r="AQ8">
        <v>1.48723228795607</v>
      </c>
      <c r="AR8">
        <v>6</v>
      </c>
      <c r="AS8">
        <v>1.01722196789785</v>
      </c>
      <c r="AT8" t="s">
        <v>87</v>
      </c>
      <c r="AU8">
        <v>796</v>
      </c>
      <c r="AV8">
        <v>0</v>
      </c>
      <c r="AW8">
        <v>7</v>
      </c>
      <c r="AX8">
        <f>AW8/$AA$17</f>
        <v>4.3750000000000004E-3</v>
      </c>
      <c r="AY8">
        <f>AQ8*$AA$16</f>
        <v>1.48723228795607</v>
      </c>
      <c r="AZ8">
        <f>AZ7+(AY8/$AA$17)</f>
        <v>7.8432278962514944E-3</v>
      </c>
    </row>
    <row r="9" spans="1:52" x14ac:dyDescent="0.25">
      <c r="A9">
        <v>41.229137638916797</v>
      </c>
      <c r="B9">
        <v>50.256047223565602</v>
      </c>
      <c r="C9">
        <v>2001</v>
      </c>
      <c r="Z9" t="s">
        <v>33</v>
      </c>
      <c r="AA9">
        <f>COUNTIF(A:A,"Start Points")</f>
        <v>789</v>
      </c>
      <c r="AC9">
        <v>849</v>
      </c>
      <c r="AD9">
        <v>79.983266174974005</v>
      </c>
      <c r="AE9">
        <v>12</v>
      </c>
      <c r="AF9">
        <v>1.01722196789785</v>
      </c>
      <c r="AG9" t="s">
        <v>83</v>
      </c>
      <c r="AH9">
        <v>0</v>
      </c>
      <c r="AI9">
        <v>0.10079278485724499</v>
      </c>
      <c r="AJ9">
        <v>8</v>
      </c>
      <c r="AK9">
        <f>AJ9/$AA$17</f>
        <v>5.0000000000000001E-3</v>
      </c>
      <c r="AL9">
        <f>AD9*$AA$16</f>
        <v>79.983266174974005</v>
      </c>
      <c r="AM9">
        <f>AM8+(AL9/$AA$17)</f>
        <v>0.45794607490881284</v>
      </c>
      <c r="AP9">
        <v>1018</v>
      </c>
      <c r="AQ9">
        <v>1.39542463098277</v>
      </c>
      <c r="AR9">
        <v>6</v>
      </c>
      <c r="AS9">
        <v>1.01722196789785</v>
      </c>
      <c r="AT9" t="s">
        <v>87</v>
      </c>
      <c r="AU9">
        <v>355</v>
      </c>
      <c r="AV9">
        <v>0.12083958515882</v>
      </c>
      <c r="AW9">
        <v>8</v>
      </c>
      <c r="AX9">
        <f>AW9/$AA$17</f>
        <v>5.0000000000000001E-3</v>
      </c>
      <c r="AY9">
        <f>AQ9*$AA$16</f>
        <v>1.39542463098277</v>
      </c>
      <c r="AZ9">
        <f>AZ8+(AY9/$AA$17)</f>
        <v>8.7153682906157253E-3</v>
      </c>
    </row>
    <row r="10" spans="1:52" x14ac:dyDescent="0.25">
      <c r="A10">
        <v>49.781491987775603</v>
      </c>
      <c r="B10">
        <v>58.808401572424401</v>
      </c>
      <c r="C10">
        <v>2001</v>
      </c>
      <c r="AC10">
        <v>355</v>
      </c>
      <c r="AD10">
        <v>69.801640730841598</v>
      </c>
      <c r="AE10">
        <v>10</v>
      </c>
      <c r="AF10">
        <v>1.01722196789785</v>
      </c>
      <c r="AG10" t="s">
        <v>84</v>
      </c>
      <c r="AH10">
        <v>244</v>
      </c>
      <c r="AI10">
        <v>0</v>
      </c>
      <c r="AJ10">
        <v>9</v>
      </c>
      <c r="AK10">
        <f>AJ10/$AA$17</f>
        <v>5.6249999999999998E-3</v>
      </c>
      <c r="AL10">
        <f>AD10*$AA$16</f>
        <v>69.801640730841598</v>
      </c>
      <c r="AM10">
        <f>AM9+(AL10/$AA$17)</f>
        <v>0.50157210036558886</v>
      </c>
      <c r="AP10">
        <v>965</v>
      </c>
      <c r="AQ10">
        <v>1.33766548669442</v>
      </c>
      <c r="AR10">
        <v>6</v>
      </c>
      <c r="AS10">
        <v>1.01722196789785</v>
      </c>
      <c r="AT10" t="s">
        <v>87</v>
      </c>
      <c r="AU10">
        <v>835</v>
      </c>
      <c r="AV10">
        <v>0.11931529568040899</v>
      </c>
      <c r="AW10">
        <v>9</v>
      </c>
      <c r="AX10">
        <f>AW10/$AA$17</f>
        <v>5.6249999999999998E-3</v>
      </c>
      <c r="AY10">
        <f>AQ10*$AA$16</f>
        <v>1.33766548669442</v>
      </c>
      <c r="AZ10">
        <f>AZ9+(AY10/$AA$17)</f>
        <v>9.5514092197997377E-3</v>
      </c>
    </row>
    <row r="11" spans="1:52" x14ac:dyDescent="0.25">
      <c r="A11">
        <v>58.445524028714303</v>
      </c>
      <c r="B11">
        <v>67.472433613363094</v>
      </c>
      <c r="C11">
        <v>2001</v>
      </c>
      <c r="Z11" t="s">
        <v>35</v>
      </c>
      <c r="AC11">
        <v>721</v>
      </c>
      <c r="AD11">
        <v>61.443766370711003</v>
      </c>
      <c r="AE11">
        <v>10</v>
      </c>
      <c r="AF11">
        <v>1.01722196789785</v>
      </c>
      <c r="AG11" t="s">
        <v>84</v>
      </c>
      <c r="AH11">
        <v>816</v>
      </c>
      <c r="AI11">
        <v>9.4312854387899395E-2</v>
      </c>
      <c r="AJ11">
        <v>10</v>
      </c>
      <c r="AK11">
        <f>AJ11/$AA$17</f>
        <v>6.2500000000000003E-3</v>
      </c>
      <c r="AL11">
        <f>AD11*$AA$16</f>
        <v>61.443766370711003</v>
      </c>
      <c r="AM11">
        <f>AM10+(AL11/$AA$17)</f>
        <v>0.53997445434728319</v>
      </c>
      <c r="AP11">
        <v>383</v>
      </c>
      <c r="AQ11">
        <v>1.2815700563247301</v>
      </c>
      <c r="AR11">
        <v>6</v>
      </c>
      <c r="AS11">
        <v>1.01722196789785</v>
      </c>
      <c r="AT11" t="s">
        <v>87</v>
      </c>
      <c r="AU11">
        <v>722</v>
      </c>
      <c r="AV11">
        <v>0</v>
      </c>
      <c r="AW11">
        <v>10</v>
      </c>
      <c r="AX11">
        <f>AW11/$AA$17</f>
        <v>6.2500000000000003E-3</v>
      </c>
      <c r="AY11">
        <f>AQ11*$AA$16</f>
        <v>1.2815700563247301</v>
      </c>
      <c r="AZ11">
        <f>AZ10+(AY11/$AA$17)</f>
        <v>1.0352390505002694E-2</v>
      </c>
    </row>
    <row r="12" spans="1:52" x14ac:dyDescent="0.25">
      <c r="A12">
        <v>91.191598427575599</v>
      </c>
      <c r="B12">
        <v>100.21850801222401</v>
      </c>
      <c r="C12">
        <v>2001</v>
      </c>
      <c r="Z12" s="2" t="s">
        <v>16</v>
      </c>
      <c r="AA12" s="2">
        <v>55</v>
      </c>
      <c r="AC12">
        <v>724</v>
      </c>
      <c r="AD12">
        <v>61.428256016542598</v>
      </c>
      <c r="AE12">
        <v>8</v>
      </c>
      <c r="AF12">
        <v>1.01722196789785</v>
      </c>
      <c r="AG12" t="s">
        <v>84</v>
      </c>
      <c r="AH12">
        <v>264</v>
      </c>
      <c r="AI12">
        <v>9.5418080883047596E-2</v>
      </c>
      <c r="AJ12">
        <v>11</v>
      </c>
      <c r="AK12">
        <f>AJ12/$AA$17</f>
        <v>6.875E-3</v>
      </c>
      <c r="AL12">
        <f>AD12*$AA$16</f>
        <v>61.428256016542598</v>
      </c>
      <c r="AM12">
        <f>AM11+(AL12/$AA$17)</f>
        <v>0.57836711435762234</v>
      </c>
      <c r="AP12">
        <v>400</v>
      </c>
      <c r="AQ12">
        <v>1.22727602506656</v>
      </c>
      <c r="AR12">
        <v>6</v>
      </c>
      <c r="AS12">
        <v>1.01722196789785</v>
      </c>
      <c r="AT12" t="s">
        <v>87</v>
      </c>
      <c r="AU12">
        <v>853</v>
      </c>
      <c r="AV12">
        <v>0</v>
      </c>
      <c r="AW12">
        <v>11</v>
      </c>
      <c r="AX12">
        <f>AW12/$AA$17</f>
        <v>6.875E-3</v>
      </c>
      <c r="AY12">
        <f>AQ12*$AA$16</f>
        <v>1.22727602506656</v>
      </c>
      <c r="AZ12">
        <f>AZ11+(AY12/$AA$17)</f>
        <v>1.1119438020669293E-2</v>
      </c>
    </row>
    <row r="13" spans="1:52" x14ac:dyDescent="0.25">
      <c r="A13">
        <v>99.781491987775595</v>
      </c>
      <c r="B13">
        <v>108.808401572424</v>
      </c>
      <c r="C13">
        <v>2001</v>
      </c>
      <c r="Z13" s="2" t="s">
        <v>17</v>
      </c>
      <c r="AA13" s="2">
        <v>95</v>
      </c>
      <c r="AC13">
        <v>360</v>
      </c>
      <c r="AD13">
        <v>55.079837689509397</v>
      </c>
      <c r="AE13">
        <v>10</v>
      </c>
      <c r="AF13">
        <v>1.01722196789785</v>
      </c>
      <c r="AG13" t="s">
        <v>84</v>
      </c>
      <c r="AH13">
        <v>745</v>
      </c>
      <c r="AI13">
        <v>0</v>
      </c>
      <c r="AJ13">
        <v>12</v>
      </c>
      <c r="AK13">
        <f>AJ13/$AA$17</f>
        <v>7.4999999999999997E-3</v>
      </c>
      <c r="AL13">
        <f>AD13*$AA$16</f>
        <v>55.079837689509397</v>
      </c>
      <c r="AM13">
        <f>AM12+(AL13/$AA$17)</f>
        <v>0.61279201291356566</v>
      </c>
      <c r="AP13">
        <v>1064</v>
      </c>
      <c r="AQ13">
        <v>1.21014204697711</v>
      </c>
      <c r="AR13">
        <v>6</v>
      </c>
      <c r="AS13">
        <v>1.01722196789785</v>
      </c>
      <c r="AT13" t="s">
        <v>87</v>
      </c>
      <c r="AU13">
        <v>821</v>
      </c>
      <c r="AV13">
        <v>0.122473809508668</v>
      </c>
      <c r="AW13">
        <v>12</v>
      </c>
      <c r="AX13">
        <f>AW13/$AA$17</f>
        <v>7.4999999999999997E-3</v>
      </c>
      <c r="AY13">
        <f>AQ13*$AA$16</f>
        <v>1.21014204697711</v>
      </c>
      <c r="AZ13">
        <f>AZ12+(AY13/$AA$17)</f>
        <v>1.1875776800029988E-2</v>
      </c>
    </row>
    <row r="14" spans="1:52" x14ac:dyDescent="0.25">
      <c r="A14">
        <v>126.861068615164</v>
      </c>
      <c r="B14">
        <v>135.88797819981301</v>
      </c>
      <c r="C14">
        <v>2001</v>
      </c>
      <c r="Z14" s="2" t="s">
        <v>18</v>
      </c>
      <c r="AA14" s="2">
        <v>55</v>
      </c>
      <c r="AC14">
        <v>345</v>
      </c>
      <c r="AD14">
        <v>53.249396148134103</v>
      </c>
      <c r="AE14">
        <v>10</v>
      </c>
      <c r="AF14">
        <v>1.01722196789785</v>
      </c>
      <c r="AG14" t="s">
        <v>84</v>
      </c>
      <c r="AH14">
        <v>647</v>
      </c>
      <c r="AI14">
        <v>0</v>
      </c>
      <c r="AJ14">
        <v>13</v>
      </c>
      <c r="AK14">
        <f>AJ14/$AA$17</f>
        <v>8.1250000000000003E-3</v>
      </c>
      <c r="AL14">
        <f>AD14*$AA$16</f>
        <v>53.249396148134103</v>
      </c>
      <c r="AM14">
        <f>AM13+(AL14/$AA$17)</f>
        <v>0.6460728855061495</v>
      </c>
      <c r="AP14">
        <v>1083</v>
      </c>
      <c r="AQ14">
        <v>1.1646507472340399</v>
      </c>
      <c r="AR14">
        <v>6</v>
      </c>
      <c r="AS14">
        <v>1.01722196789785</v>
      </c>
      <c r="AT14" t="s">
        <v>87</v>
      </c>
      <c r="AU14">
        <v>812</v>
      </c>
      <c r="AV14">
        <v>0.12322624704732001</v>
      </c>
      <c r="AW14">
        <v>13</v>
      </c>
      <c r="AX14">
        <f>AW14/$AA$17</f>
        <v>8.1250000000000003E-3</v>
      </c>
      <c r="AY14">
        <f>AQ14*$AA$16</f>
        <v>1.1646507472340399</v>
      </c>
      <c r="AZ14">
        <f>AZ13+(AY14/$AA$17)</f>
        <v>1.2603683517051262E-2</v>
      </c>
    </row>
    <row r="15" spans="1:52" x14ac:dyDescent="0.25">
      <c r="A15">
        <v>127.29808463961299</v>
      </c>
      <c r="B15">
        <v>135.450962175364</v>
      </c>
      <c r="C15">
        <v>2000</v>
      </c>
      <c r="Z15" s="2" t="s">
        <v>19</v>
      </c>
      <c r="AA15" s="2">
        <v>95</v>
      </c>
      <c r="AC15">
        <v>348</v>
      </c>
      <c r="AD15">
        <v>49.286382129631498</v>
      </c>
      <c r="AE15">
        <v>14</v>
      </c>
      <c r="AF15">
        <v>1.01722196789785</v>
      </c>
      <c r="AG15" t="s">
        <v>84</v>
      </c>
      <c r="AH15">
        <v>18</v>
      </c>
      <c r="AI15">
        <v>0</v>
      </c>
      <c r="AJ15">
        <v>14</v>
      </c>
      <c r="AK15">
        <f>AJ15/$AA$17</f>
        <v>8.7500000000000008E-3</v>
      </c>
      <c r="AL15">
        <f>AD15*$AA$16</f>
        <v>49.286382129631498</v>
      </c>
      <c r="AM15">
        <f>AM14+(AL15/$AA$17)</f>
        <v>0.67687687433716914</v>
      </c>
      <c r="AP15">
        <v>1105</v>
      </c>
      <c r="AQ15">
        <v>1.1241589527617399</v>
      </c>
      <c r="AR15">
        <v>6</v>
      </c>
      <c r="AS15">
        <v>1.01722196789785</v>
      </c>
      <c r="AT15" t="s">
        <v>87</v>
      </c>
      <c r="AU15">
        <v>796</v>
      </c>
      <c r="AV15">
        <v>0.123468647787635</v>
      </c>
      <c r="AW15">
        <v>14</v>
      </c>
      <c r="AX15">
        <f>AW15/$AA$17</f>
        <v>8.7500000000000008E-3</v>
      </c>
      <c r="AY15">
        <f>AQ15*$AA$16</f>
        <v>1.1241589527617399</v>
      </c>
      <c r="AZ15">
        <f>AZ14+(AY15/$AA$17)</f>
        <v>1.3306282862527349E-2</v>
      </c>
    </row>
    <row r="16" spans="1:52" x14ac:dyDescent="0.25">
      <c r="A16">
        <v>100.21850801222401</v>
      </c>
      <c r="B16">
        <v>108.371385547976</v>
      </c>
      <c r="C16">
        <v>2000</v>
      </c>
      <c r="Z16" s="2" t="s">
        <v>20</v>
      </c>
      <c r="AA16" s="2">
        <v>1</v>
      </c>
      <c r="AC16">
        <v>722</v>
      </c>
      <c r="AD16">
        <v>43.880131996391398</v>
      </c>
      <c r="AE16">
        <v>8</v>
      </c>
      <c r="AF16">
        <v>1.01722196789785</v>
      </c>
      <c r="AG16" t="s">
        <v>84</v>
      </c>
      <c r="AH16">
        <v>755</v>
      </c>
      <c r="AI16">
        <v>9.4763910412348204E-2</v>
      </c>
      <c r="AJ16">
        <v>15</v>
      </c>
      <c r="AK16">
        <f>AJ16/$AA$17</f>
        <v>9.3749999999999997E-3</v>
      </c>
      <c r="AL16">
        <f>AD16*$AA$16</f>
        <v>43.880131996391398</v>
      </c>
      <c r="AM16">
        <f>AM15+(AL16/$AA$17)</f>
        <v>0.70430195683491381</v>
      </c>
      <c r="AP16">
        <v>983</v>
      </c>
      <c r="AQ16">
        <v>1.1137553983286199</v>
      </c>
      <c r="AR16">
        <v>6</v>
      </c>
      <c r="AS16">
        <v>1.01722196789785</v>
      </c>
      <c r="AT16" t="s">
        <v>87</v>
      </c>
      <c r="AU16">
        <v>275</v>
      </c>
      <c r="AV16">
        <v>0.120547941094079</v>
      </c>
      <c r="AW16">
        <v>15</v>
      </c>
      <c r="AX16">
        <f>AW16/$AA$17</f>
        <v>9.3749999999999997E-3</v>
      </c>
      <c r="AY16">
        <f>AQ16*$AA$16</f>
        <v>1.1137553983286199</v>
      </c>
      <c r="AZ16">
        <f>AZ15+(AY16/$AA$17)</f>
        <v>1.4002379986482736E-2</v>
      </c>
    </row>
    <row r="17" spans="1:52" x14ac:dyDescent="0.25">
      <c r="A17">
        <v>91.628614452024493</v>
      </c>
      <c r="B17">
        <v>99.781491987775595</v>
      </c>
      <c r="C17">
        <v>2000</v>
      </c>
      <c r="Z17" t="s">
        <v>21</v>
      </c>
      <c r="AA17">
        <f>(AA13-AA12)*(AA15-AA14)*AA16</f>
        <v>1600</v>
      </c>
      <c r="AC17">
        <v>344</v>
      </c>
      <c r="AD17">
        <v>42.416520788835797</v>
      </c>
      <c r="AE17">
        <v>10</v>
      </c>
      <c r="AF17">
        <v>1.01722196789785</v>
      </c>
      <c r="AG17" t="s">
        <v>84</v>
      </c>
      <c r="AH17">
        <v>27</v>
      </c>
      <c r="AI17">
        <v>0</v>
      </c>
      <c r="AJ17">
        <v>16</v>
      </c>
      <c r="AK17">
        <f>AJ17/$AA$17</f>
        <v>0.01</v>
      </c>
      <c r="AL17">
        <f>AD17*$AA$16</f>
        <v>42.416520788835797</v>
      </c>
      <c r="AM17">
        <f>AM16+(AL17/$AA$17)</f>
        <v>0.73081228232793616</v>
      </c>
      <c r="AP17">
        <v>1133</v>
      </c>
      <c r="AQ17">
        <v>1.10928424331679</v>
      </c>
      <c r="AR17">
        <v>6</v>
      </c>
      <c r="AS17">
        <v>1.01722196789785</v>
      </c>
      <c r="AT17" t="s">
        <v>87</v>
      </c>
      <c r="AU17">
        <v>809</v>
      </c>
      <c r="AV17">
        <v>0.124625009531664</v>
      </c>
      <c r="AW17">
        <v>16</v>
      </c>
      <c r="AX17">
        <f>AW17/$AA$17</f>
        <v>0.01</v>
      </c>
      <c r="AY17">
        <f>AQ17*$AA$16</f>
        <v>1.10928424331679</v>
      </c>
      <c r="AZ17">
        <f>AZ16+(AY17/$AA$17)</f>
        <v>1.4695682638555731E-2</v>
      </c>
    </row>
    <row r="18" spans="1:52" x14ac:dyDescent="0.25">
      <c r="A18" t="s">
        <v>86</v>
      </c>
      <c r="AC18">
        <v>844</v>
      </c>
      <c r="AD18">
        <v>38.542540841014201</v>
      </c>
      <c r="AE18">
        <v>12</v>
      </c>
      <c r="AF18">
        <v>1.01722196789785</v>
      </c>
      <c r="AG18" t="s">
        <v>84</v>
      </c>
      <c r="AH18">
        <v>646</v>
      </c>
      <c r="AI18">
        <v>9.9772326816260498E-2</v>
      </c>
      <c r="AJ18">
        <v>17</v>
      </c>
      <c r="AK18">
        <f>AJ18/$AA$17</f>
        <v>1.0625000000000001E-2</v>
      </c>
      <c r="AL18">
        <f>AD18*$AA$16</f>
        <v>38.542540841014201</v>
      </c>
      <c r="AM18">
        <f>AM17+(AL18/$AA$17)</f>
        <v>0.75490137035357008</v>
      </c>
      <c r="AP18">
        <v>1132</v>
      </c>
      <c r="AQ18">
        <v>1.09235773967468</v>
      </c>
      <c r="AR18">
        <v>6</v>
      </c>
      <c r="AS18">
        <v>1.01722196789785</v>
      </c>
      <c r="AT18" t="s">
        <v>87</v>
      </c>
      <c r="AU18">
        <v>821</v>
      </c>
      <c r="AV18">
        <v>0.12440073496922301</v>
      </c>
      <c r="AW18">
        <v>17</v>
      </c>
      <c r="AX18">
        <f>AW18/$AA$17</f>
        <v>1.0625000000000001E-2</v>
      </c>
      <c r="AY18">
        <f>AQ18*$AA$16</f>
        <v>1.09235773967468</v>
      </c>
      <c r="AZ18">
        <f>AZ17+(AY18/$AA$17)</f>
        <v>1.5378406225852405E-2</v>
      </c>
    </row>
    <row r="19" spans="1:52" x14ac:dyDescent="0.25">
      <c r="A19">
        <v>835</v>
      </c>
      <c r="B19">
        <v>0</v>
      </c>
      <c r="C19">
        <v>112.094860113197</v>
      </c>
      <c r="D19">
        <v>66.486933849902002</v>
      </c>
      <c r="E19">
        <v>14</v>
      </c>
      <c r="F19">
        <v>1.01722196789785</v>
      </c>
      <c r="G19" t="s">
        <v>83</v>
      </c>
      <c r="H19" t="s">
        <v>83</v>
      </c>
      <c r="I19">
        <v>0</v>
      </c>
      <c r="J19">
        <v>0</v>
      </c>
      <c r="K19">
        <v>9.8881923075800807E-2</v>
      </c>
      <c r="AC19">
        <v>358</v>
      </c>
      <c r="AD19">
        <v>34.4194765030499</v>
      </c>
      <c r="AE19">
        <v>10</v>
      </c>
      <c r="AF19">
        <v>1.01722196789785</v>
      </c>
      <c r="AG19" t="s">
        <v>84</v>
      </c>
      <c r="AH19">
        <v>24</v>
      </c>
      <c r="AI19">
        <v>0</v>
      </c>
      <c r="AJ19">
        <v>18</v>
      </c>
      <c r="AK19">
        <f>AJ19/$AA$17</f>
        <v>1.125E-2</v>
      </c>
      <c r="AL19">
        <f>AD19*$AA$16</f>
        <v>34.4194765030499</v>
      </c>
      <c r="AM19">
        <f>AM18+(AL19/$AA$17)</f>
        <v>0.77641354316797628</v>
      </c>
      <c r="AP19">
        <v>394</v>
      </c>
      <c r="AQ19">
        <v>1.0359013445963901</v>
      </c>
      <c r="AR19">
        <v>6</v>
      </c>
      <c r="AS19">
        <v>1.01722196789785</v>
      </c>
      <c r="AT19" t="s">
        <v>87</v>
      </c>
      <c r="AU19">
        <v>800</v>
      </c>
      <c r="AV19">
        <v>0</v>
      </c>
      <c r="AW19">
        <v>18</v>
      </c>
      <c r="AX19">
        <f>AW19/$AA$17</f>
        <v>1.125E-2</v>
      </c>
      <c r="AY19">
        <f>AQ19*$AA$16</f>
        <v>1.0359013445963901</v>
      </c>
      <c r="AZ19">
        <f>AZ18+(AY19/$AA$17)</f>
        <v>1.6025844566225148E-2</v>
      </c>
    </row>
    <row r="20" spans="1:52" x14ac:dyDescent="0.25">
      <c r="A20" t="s">
        <v>85</v>
      </c>
      <c r="AC20">
        <v>849</v>
      </c>
      <c r="AD20">
        <v>33.113781771726103</v>
      </c>
      <c r="AE20">
        <v>12</v>
      </c>
      <c r="AF20">
        <v>1.01722196789785</v>
      </c>
      <c r="AG20" t="s">
        <v>84</v>
      </c>
      <c r="AH20">
        <v>643</v>
      </c>
      <c r="AI20">
        <v>0.10079278485724499</v>
      </c>
      <c r="AJ20">
        <v>19</v>
      </c>
      <c r="AK20">
        <f>AJ20/$AA$17</f>
        <v>1.1875E-2</v>
      </c>
      <c r="AL20">
        <f>AD20*$AA$16</f>
        <v>33.113781771726103</v>
      </c>
      <c r="AM20">
        <f>AM19+(AL20/$AA$17)</f>
        <v>0.7971096567753051</v>
      </c>
      <c r="AP20">
        <v>871</v>
      </c>
      <c r="AQ20">
        <v>0.98499639740484901</v>
      </c>
      <c r="AR20">
        <v>6</v>
      </c>
      <c r="AS20">
        <v>1.01722196789785</v>
      </c>
      <c r="AT20" t="s">
        <v>87</v>
      </c>
      <c r="AU20">
        <v>673</v>
      </c>
      <c r="AV20">
        <v>0.115162323415006</v>
      </c>
      <c r="AW20">
        <v>19</v>
      </c>
      <c r="AX20">
        <f>AW20/$AA$17</f>
        <v>1.1875E-2</v>
      </c>
      <c r="AY20">
        <f>AQ20*$AA$16</f>
        <v>0.98499639740484901</v>
      </c>
      <c r="AZ20">
        <f>AZ19+(AY20/$AA$17)</f>
        <v>1.6641467314603177E-2</v>
      </c>
    </row>
    <row r="21" spans="1:52" x14ac:dyDescent="0.25">
      <c r="A21">
        <v>79.032394010965305</v>
      </c>
      <c r="B21">
        <v>103.19301252764799</v>
      </c>
      <c r="C21">
        <v>2000</v>
      </c>
      <c r="AC21">
        <v>780</v>
      </c>
      <c r="AD21">
        <v>31.8323724173604</v>
      </c>
      <c r="AE21">
        <v>10</v>
      </c>
      <c r="AF21">
        <v>1.01722196789785</v>
      </c>
      <c r="AG21" t="s">
        <v>84</v>
      </c>
      <c r="AH21">
        <v>813</v>
      </c>
      <c r="AI21">
        <v>9.6278525939506795E-2</v>
      </c>
      <c r="AJ21">
        <v>20</v>
      </c>
      <c r="AK21">
        <f>AJ21/$AA$17</f>
        <v>1.2500000000000001E-2</v>
      </c>
      <c r="AL21">
        <f>AD21*$AA$16</f>
        <v>31.8323724173604</v>
      </c>
      <c r="AM21">
        <f>AM20+(AL21/$AA$17)</f>
        <v>0.81700488953615535</v>
      </c>
      <c r="AP21">
        <v>895</v>
      </c>
      <c r="AQ21">
        <v>0.97495170033789003</v>
      </c>
      <c r="AR21">
        <v>6</v>
      </c>
      <c r="AS21">
        <v>1.01722196789785</v>
      </c>
      <c r="AT21" t="s">
        <v>87</v>
      </c>
      <c r="AU21">
        <v>800</v>
      </c>
      <c r="AV21">
        <v>0.11685087107927999</v>
      </c>
      <c r="AW21">
        <v>20</v>
      </c>
      <c r="AX21">
        <f>AW21/$AA$17</f>
        <v>1.2500000000000001E-2</v>
      </c>
      <c r="AY21">
        <f>AQ21*$AA$16</f>
        <v>0.97495170033789003</v>
      </c>
      <c r="AZ21">
        <f>AZ20+(AY21/$AA$17)</f>
        <v>1.7250812127314358E-2</v>
      </c>
    </row>
    <row r="22" spans="1:52" x14ac:dyDescent="0.25">
      <c r="A22">
        <v>76.057889495542</v>
      </c>
      <c r="B22">
        <v>100.21850801222401</v>
      </c>
      <c r="C22">
        <v>2000</v>
      </c>
      <c r="AC22">
        <v>800</v>
      </c>
      <c r="AD22">
        <v>27.188847958890499</v>
      </c>
      <c r="AE22">
        <v>10</v>
      </c>
      <c r="AF22">
        <v>1.01722196789785</v>
      </c>
      <c r="AG22" t="s">
        <v>84</v>
      </c>
      <c r="AH22">
        <v>817</v>
      </c>
      <c r="AI22">
        <v>9.7122043571393105E-2</v>
      </c>
      <c r="AJ22">
        <v>21</v>
      </c>
      <c r="AK22">
        <f>AJ22/$AA$17</f>
        <v>1.3125E-2</v>
      </c>
      <c r="AL22">
        <f>AD22*$AA$16</f>
        <v>27.188847958890499</v>
      </c>
      <c r="AM22">
        <f>AM21+(AL22/$AA$17)</f>
        <v>0.83399791951046187</v>
      </c>
      <c r="AP22">
        <v>1132</v>
      </c>
      <c r="AQ22">
        <v>0.97242470042353801</v>
      </c>
      <c r="AR22">
        <v>6</v>
      </c>
      <c r="AS22">
        <v>1.01722196789785</v>
      </c>
      <c r="AT22" t="s">
        <v>87</v>
      </c>
      <c r="AU22">
        <v>349</v>
      </c>
      <c r="AV22">
        <v>0.12440073496922301</v>
      </c>
      <c r="AW22">
        <v>21</v>
      </c>
      <c r="AX22">
        <f>AW22/$AA$17</f>
        <v>1.3125E-2</v>
      </c>
      <c r="AY22">
        <f>AQ22*$AA$16</f>
        <v>0.97242470042353801</v>
      </c>
      <c r="AZ22">
        <f>AZ21+(AY22/$AA$17)</f>
        <v>1.7858577565079067E-2</v>
      </c>
    </row>
    <row r="23" spans="1:52" x14ac:dyDescent="0.25">
      <c r="A23">
        <v>49.781491987775603</v>
      </c>
      <c r="B23">
        <v>73.942110504458</v>
      </c>
      <c r="C23">
        <v>2000</v>
      </c>
      <c r="AC23">
        <v>353</v>
      </c>
      <c r="AD23">
        <v>25.823053498719499</v>
      </c>
      <c r="AE23">
        <v>8</v>
      </c>
      <c r="AF23">
        <v>1.01722196789785</v>
      </c>
      <c r="AG23" t="s">
        <v>84</v>
      </c>
      <c r="AH23">
        <v>406</v>
      </c>
      <c r="AI23">
        <v>0</v>
      </c>
      <c r="AJ23">
        <v>22</v>
      </c>
      <c r="AK23">
        <f>AJ23/$AA$17</f>
        <v>1.375E-2</v>
      </c>
      <c r="AL23">
        <f>AD23*$AA$16</f>
        <v>25.823053498719499</v>
      </c>
      <c r="AM23">
        <f>AM22+(AL23/$AA$17)</f>
        <v>0.85013732794716157</v>
      </c>
      <c r="AP23">
        <v>1019</v>
      </c>
      <c r="AQ23">
        <v>0.96231228851759498</v>
      </c>
      <c r="AR23">
        <v>6</v>
      </c>
      <c r="AS23">
        <v>1.01722196789785</v>
      </c>
      <c r="AT23" t="s">
        <v>87</v>
      </c>
      <c r="AU23">
        <v>346</v>
      </c>
      <c r="AV23">
        <v>0.121125394062888</v>
      </c>
      <c r="AW23">
        <v>22</v>
      </c>
      <c r="AX23">
        <f>AW23/$AA$17</f>
        <v>1.375E-2</v>
      </c>
      <c r="AY23">
        <f>AQ23*$AA$16</f>
        <v>0.96231228851759498</v>
      </c>
      <c r="AZ23">
        <f>AZ22+(AY23/$AA$17)</f>
        <v>1.8460022745402566E-2</v>
      </c>
    </row>
    <row r="24" spans="1:52" x14ac:dyDescent="0.25">
      <c r="A24">
        <v>26.1615654400096</v>
      </c>
      <c r="B24">
        <v>50.322183956692001</v>
      </c>
      <c r="C24">
        <v>2000</v>
      </c>
      <c r="AC24">
        <v>359</v>
      </c>
      <c r="AD24">
        <v>25.783707736327798</v>
      </c>
      <c r="AE24">
        <v>10</v>
      </c>
      <c r="AF24">
        <v>1.01722196789785</v>
      </c>
      <c r="AG24" t="s">
        <v>84</v>
      </c>
      <c r="AH24">
        <v>88</v>
      </c>
      <c r="AI24">
        <v>0</v>
      </c>
      <c r="AJ24">
        <v>23</v>
      </c>
      <c r="AK24">
        <f>AJ24/$AA$17</f>
        <v>1.4375000000000001E-2</v>
      </c>
      <c r="AL24">
        <f>AD24*$AA$16</f>
        <v>25.783707736327798</v>
      </c>
      <c r="AM24">
        <f>AM23+(AL24/$AA$17)</f>
        <v>0.86625214528236649</v>
      </c>
      <c r="AP24">
        <v>382</v>
      </c>
      <c r="AQ24">
        <v>0.95639572709177401</v>
      </c>
      <c r="AR24">
        <v>6</v>
      </c>
      <c r="AS24">
        <v>1.01722196789785</v>
      </c>
      <c r="AT24" t="s">
        <v>87</v>
      </c>
      <c r="AU24">
        <v>722</v>
      </c>
      <c r="AV24">
        <v>0</v>
      </c>
      <c r="AW24">
        <v>23</v>
      </c>
      <c r="AX24">
        <f>AW24/$AA$17</f>
        <v>1.4375000000000001E-2</v>
      </c>
      <c r="AY24">
        <f>AQ24*$AA$16</f>
        <v>0.95639572709177401</v>
      </c>
      <c r="AZ24">
        <f>AZ23+(AY24/$AA$17)</f>
        <v>1.9057770074834925E-2</v>
      </c>
    </row>
    <row r="25" spans="1:52" x14ac:dyDescent="0.25">
      <c r="A25">
        <v>0</v>
      </c>
      <c r="B25">
        <v>24.160618516682401</v>
      </c>
      <c r="C25">
        <v>2000</v>
      </c>
      <c r="AC25">
        <v>821</v>
      </c>
      <c r="AD25">
        <v>25.073923488046798</v>
      </c>
      <c r="AE25">
        <v>10</v>
      </c>
      <c r="AF25">
        <v>1.01722196789785</v>
      </c>
      <c r="AG25" t="s">
        <v>84</v>
      </c>
      <c r="AH25">
        <v>824</v>
      </c>
      <c r="AI25">
        <v>9.7911421572511204E-2</v>
      </c>
      <c r="AJ25">
        <v>24</v>
      </c>
      <c r="AK25">
        <f>AJ25/$AA$17</f>
        <v>1.4999999999999999E-2</v>
      </c>
      <c r="AL25">
        <f>AD25*$AA$16</f>
        <v>25.073923488046798</v>
      </c>
      <c r="AM25">
        <f>AM24+(AL25/$AA$17)</f>
        <v>0.88192334746239576</v>
      </c>
      <c r="AP25">
        <v>1020</v>
      </c>
      <c r="AQ25">
        <v>0.92961598173496196</v>
      </c>
      <c r="AR25">
        <v>6</v>
      </c>
      <c r="AS25">
        <v>1.01722196789785</v>
      </c>
      <c r="AT25" t="s">
        <v>87</v>
      </c>
      <c r="AU25">
        <v>343</v>
      </c>
      <c r="AV25">
        <v>0.12140552605247699</v>
      </c>
      <c r="AW25">
        <v>24</v>
      </c>
      <c r="AX25">
        <f>AW25/$AA$17</f>
        <v>1.4999999999999999E-2</v>
      </c>
      <c r="AY25">
        <f>AQ25*$AA$16</f>
        <v>0.92961598173496196</v>
      </c>
      <c r="AZ25">
        <f>AZ24+(AY25/$AA$17)</f>
        <v>1.9638780063419275E-2</v>
      </c>
    </row>
    <row r="26" spans="1:52" x14ac:dyDescent="0.25">
      <c r="A26">
        <v>0</v>
      </c>
      <c r="B26">
        <v>23.286586467784801</v>
      </c>
      <c r="C26">
        <v>2001</v>
      </c>
      <c r="AC26">
        <v>780</v>
      </c>
      <c r="AD26">
        <v>24.149067599903798</v>
      </c>
      <c r="AE26">
        <v>10</v>
      </c>
      <c r="AF26">
        <v>1.01722196789785</v>
      </c>
      <c r="AG26" t="s">
        <v>84</v>
      </c>
      <c r="AH26">
        <v>588</v>
      </c>
      <c r="AI26">
        <v>9.6278525939506795E-2</v>
      </c>
      <c r="AJ26">
        <v>25</v>
      </c>
      <c r="AK26">
        <f>AJ26/$AA$17</f>
        <v>1.5625E-2</v>
      </c>
      <c r="AL26">
        <f>AD26*$AA$16</f>
        <v>24.149067599903798</v>
      </c>
      <c r="AM26">
        <f>AM25+(AL26/$AA$17)</f>
        <v>0.89701651471233568</v>
      </c>
      <c r="AP26">
        <v>396</v>
      </c>
      <c r="AQ26">
        <v>0.88862604773298803</v>
      </c>
      <c r="AR26">
        <v>6</v>
      </c>
      <c r="AS26">
        <v>1.01722196789785</v>
      </c>
      <c r="AT26" t="s">
        <v>87</v>
      </c>
      <c r="AU26">
        <v>830</v>
      </c>
      <c r="AV26">
        <v>0</v>
      </c>
      <c r="AW26">
        <v>25</v>
      </c>
      <c r="AX26">
        <f>AW26/$AA$17</f>
        <v>1.5625E-2</v>
      </c>
      <c r="AY26">
        <f>AQ26*$AA$16</f>
        <v>0.88862604773298803</v>
      </c>
      <c r="AZ26">
        <f>AZ25+(AY26/$AA$17)</f>
        <v>2.0194171343252392E-2</v>
      </c>
    </row>
    <row r="27" spans="1:52" x14ac:dyDescent="0.25">
      <c r="A27">
        <v>26.391229575523202</v>
      </c>
      <c r="B27">
        <v>49.677816043307999</v>
      </c>
      <c r="C27">
        <v>2001</v>
      </c>
      <c r="AC27">
        <v>351</v>
      </c>
      <c r="AD27">
        <v>23.100822824988601</v>
      </c>
      <c r="AE27">
        <v>8</v>
      </c>
      <c r="AF27">
        <v>1.01722196789785</v>
      </c>
      <c r="AG27" t="s">
        <v>84</v>
      </c>
      <c r="AH27">
        <v>753</v>
      </c>
      <c r="AI27">
        <v>0</v>
      </c>
      <c r="AJ27">
        <v>26</v>
      </c>
      <c r="AK27">
        <f>AJ27/$AA$17</f>
        <v>1.6250000000000001E-2</v>
      </c>
      <c r="AL27">
        <f>AD27*$AA$16</f>
        <v>23.100822824988601</v>
      </c>
      <c r="AM27">
        <f>AM26+(AL27/$AA$17)</f>
        <v>0.91145452897795354</v>
      </c>
      <c r="AP27">
        <v>1105</v>
      </c>
      <c r="AQ27">
        <v>0.88546126392581603</v>
      </c>
      <c r="AR27">
        <v>6</v>
      </c>
      <c r="AS27">
        <v>1.01722196789785</v>
      </c>
      <c r="AT27" t="s">
        <v>87</v>
      </c>
      <c r="AU27">
        <v>266</v>
      </c>
      <c r="AV27">
        <v>0.123468647787635</v>
      </c>
      <c r="AW27">
        <v>26</v>
      </c>
      <c r="AX27">
        <f>AW27/$AA$17</f>
        <v>1.6250000000000001E-2</v>
      </c>
      <c r="AY27">
        <f>AQ27*$AA$16</f>
        <v>0.88546126392581603</v>
      </c>
      <c r="AZ27">
        <f>AZ26+(AY27/$AA$17)</f>
        <v>2.0747584633206029E-2</v>
      </c>
    </row>
    <row r="28" spans="1:52" x14ac:dyDescent="0.25">
      <c r="A28">
        <v>50.218508012224397</v>
      </c>
      <c r="B28">
        <v>73.505094480009205</v>
      </c>
      <c r="C28">
        <v>2001</v>
      </c>
      <c r="AC28">
        <v>771</v>
      </c>
      <c r="AD28">
        <v>22.928607104097502</v>
      </c>
      <c r="AE28">
        <v>8</v>
      </c>
      <c r="AF28">
        <v>1.01722196789785</v>
      </c>
      <c r="AG28" t="s">
        <v>84</v>
      </c>
      <c r="AH28">
        <v>817</v>
      </c>
      <c r="AI28">
        <v>9.5989877373728896E-2</v>
      </c>
      <c r="AJ28">
        <v>27</v>
      </c>
      <c r="AK28">
        <f>AJ28/$AA$17</f>
        <v>1.6875000000000001E-2</v>
      </c>
      <c r="AL28">
        <f>AD28*$AA$16</f>
        <v>22.928607104097502</v>
      </c>
      <c r="AM28">
        <f>AM27+(AL28/$AA$17)</f>
        <v>0.92578490841801453</v>
      </c>
      <c r="AP28">
        <v>390</v>
      </c>
      <c r="AQ28">
        <v>0.86996255063211703</v>
      </c>
      <c r="AR28">
        <v>6</v>
      </c>
      <c r="AS28">
        <v>1.01722196789785</v>
      </c>
      <c r="AT28" t="s">
        <v>87</v>
      </c>
      <c r="AU28">
        <v>360</v>
      </c>
      <c r="AV28">
        <v>0</v>
      </c>
      <c r="AW28">
        <v>27</v>
      </c>
      <c r="AX28">
        <f>AW28/$AA$17</f>
        <v>1.6875000000000001E-2</v>
      </c>
      <c r="AY28">
        <f>AQ28*$AA$16</f>
        <v>0.86996255063211703</v>
      </c>
      <c r="AZ28">
        <f>AZ27+(AY28/$AA$17)</f>
        <v>2.1291311227351103E-2</v>
      </c>
    </row>
    <row r="29" spans="1:52" x14ac:dyDescent="0.25">
      <c r="A29">
        <v>76.494905519990894</v>
      </c>
      <c r="B29">
        <v>99.781491987775595</v>
      </c>
      <c r="C29">
        <v>2001</v>
      </c>
      <c r="AC29">
        <v>359</v>
      </c>
      <c r="AD29">
        <v>21.4861610883362</v>
      </c>
      <c r="AE29">
        <v>10</v>
      </c>
      <c r="AF29">
        <v>1.01722196789785</v>
      </c>
      <c r="AG29" t="s">
        <v>84</v>
      </c>
      <c r="AH29">
        <v>421</v>
      </c>
      <c r="AI29">
        <v>0</v>
      </c>
      <c r="AJ29">
        <v>28</v>
      </c>
      <c r="AK29">
        <f>AJ29/$AA$17</f>
        <v>1.7500000000000002E-2</v>
      </c>
      <c r="AL29">
        <f>AD29*$AA$16</f>
        <v>21.4861610883362</v>
      </c>
      <c r="AM29">
        <f>AM28+(AL29/$AA$17)</f>
        <v>0.93921375909822469</v>
      </c>
      <c r="AP29">
        <v>1081</v>
      </c>
      <c r="AQ29">
        <v>0.82507062517325003</v>
      </c>
      <c r="AR29">
        <v>6</v>
      </c>
      <c r="AS29">
        <v>1.01722196789785</v>
      </c>
      <c r="AT29" t="s">
        <v>87</v>
      </c>
      <c r="AU29">
        <v>721</v>
      </c>
      <c r="AV29">
        <v>0.122728925384179</v>
      </c>
      <c r="AW29">
        <v>28</v>
      </c>
      <c r="AX29">
        <f>AW29/$AA$17</f>
        <v>1.7500000000000002E-2</v>
      </c>
      <c r="AY29">
        <f>AQ29*$AA$16</f>
        <v>0.82507062517325003</v>
      </c>
      <c r="AZ29">
        <f>AZ28+(AY29/$AA$17)</f>
        <v>2.1806980368084386E-2</v>
      </c>
    </row>
    <row r="30" spans="1:52" x14ac:dyDescent="0.25">
      <c r="A30">
        <v>79.493677433433504</v>
      </c>
      <c r="B30">
        <v>102.78026390121801</v>
      </c>
      <c r="C30">
        <v>2001</v>
      </c>
      <c r="AC30">
        <v>353</v>
      </c>
      <c r="AD30">
        <v>21.482739696157601</v>
      </c>
      <c r="AE30">
        <v>8</v>
      </c>
      <c r="AF30">
        <v>1.01722196789785</v>
      </c>
      <c r="AG30" t="s">
        <v>84</v>
      </c>
      <c r="AH30">
        <v>742</v>
      </c>
      <c r="AI30">
        <v>0</v>
      </c>
      <c r="AJ30">
        <v>29</v>
      </c>
      <c r="AK30">
        <f>AJ30/$AA$17</f>
        <v>1.8124999999999999E-2</v>
      </c>
      <c r="AL30">
        <f>AD30*$AA$16</f>
        <v>21.482739696157601</v>
      </c>
      <c r="AM30">
        <f>AM29+(AL30/$AA$17)</f>
        <v>0.9526404714083232</v>
      </c>
      <c r="AP30">
        <v>1131</v>
      </c>
      <c r="AQ30">
        <v>0.812359761273726</v>
      </c>
      <c r="AR30">
        <v>6</v>
      </c>
      <c r="AS30">
        <v>1.01722196789785</v>
      </c>
      <c r="AT30" t="s">
        <v>87</v>
      </c>
      <c r="AU30">
        <v>827</v>
      </c>
      <c r="AV30">
        <v>0.12417311997009001</v>
      </c>
      <c r="AW30">
        <v>29</v>
      </c>
      <c r="AX30">
        <f>AW30/$AA$17</f>
        <v>1.8124999999999999E-2</v>
      </c>
      <c r="AY30">
        <f>AQ30*$AA$16</f>
        <v>0.812359761273726</v>
      </c>
      <c r="AZ30">
        <f>AZ29+(AY30/$AA$17)</f>
        <v>2.2314705218880466E-2</v>
      </c>
    </row>
    <row r="31" spans="1:52" x14ac:dyDescent="0.25">
      <c r="A31">
        <v>100.314888970144</v>
      </c>
      <c r="B31">
        <v>123.601475437929</v>
      </c>
      <c r="C31">
        <v>2001</v>
      </c>
      <c r="AC31">
        <v>357</v>
      </c>
      <c r="AD31">
        <v>21.245286842636698</v>
      </c>
      <c r="AE31">
        <v>6</v>
      </c>
      <c r="AF31">
        <v>1.01722196789785</v>
      </c>
      <c r="AG31" t="s">
        <v>84</v>
      </c>
      <c r="AH31">
        <v>273</v>
      </c>
      <c r="AI31">
        <v>0</v>
      </c>
      <c r="AJ31">
        <v>30</v>
      </c>
      <c r="AK31">
        <f>AJ31/$AA$17</f>
        <v>1.8749999999999999E-2</v>
      </c>
      <c r="AL31">
        <f>AD31*$AA$16</f>
        <v>21.245286842636698</v>
      </c>
      <c r="AM31">
        <f>AM30+(AL31/$AA$17)</f>
        <v>0.96591877568497109</v>
      </c>
      <c r="AP31">
        <v>942</v>
      </c>
      <c r="AQ31">
        <v>0.80927968275406703</v>
      </c>
      <c r="AR31">
        <v>6</v>
      </c>
      <c r="AS31">
        <v>1.01722196789785</v>
      </c>
      <c r="AT31" t="s">
        <v>87</v>
      </c>
      <c r="AU31">
        <v>279</v>
      </c>
      <c r="AV31">
        <v>0.11865465261041699</v>
      </c>
      <c r="AW31">
        <v>30</v>
      </c>
      <c r="AX31">
        <f>AW31/$AA$17</f>
        <v>1.8749999999999999E-2</v>
      </c>
      <c r="AY31">
        <f>AQ31*$AA$16</f>
        <v>0.80927968275406703</v>
      </c>
      <c r="AZ31">
        <f>AZ30+(AY31/$AA$17)</f>
        <v>2.2820505020601758E-2</v>
      </c>
    </row>
    <row r="32" spans="1:52" x14ac:dyDescent="0.25">
      <c r="A32">
        <v>126.713413532215</v>
      </c>
      <c r="B32">
        <v>150</v>
      </c>
      <c r="C32">
        <v>2001</v>
      </c>
      <c r="AC32">
        <v>345</v>
      </c>
      <c r="AD32">
        <v>18.013854934169</v>
      </c>
      <c r="AE32">
        <v>10</v>
      </c>
      <c r="AF32">
        <v>1.01722196789785</v>
      </c>
      <c r="AG32" t="s">
        <v>84</v>
      </c>
      <c r="AH32">
        <v>596</v>
      </c>
      <c r="AI32">
        <v>0</v>
      </c>
      <c r="AJ32">
        <v>31</v>
      </c>
      <c r="AK32">
        <f>AJ32/$AA$17</f>
        <v>1.9375E-2</v>
      </c>
      <c r="AL32">
        <f>AD32*$AA$16</f>
        <v>18.013854934169</v>
      </c>
      <c r="AM32">
        <f>AM31+(AL32/$AA$17)</f>
        <v>0.9771774350188267</v>
      </c>
      <c r="AP32">
        <v>1134</v>
      </c>
      <c r="AQ32">
        <v>0.77740013579777001</v>
      </c>
      <c r="AR32">
        <v>6</v>
      </c>
      <c r="AS32">
        <v>1.01722196789785</v>
      </c>
      <c r="AT32" t="s">
        <v>87</v>
      </c>
      <c r="AU32">
        <v>357</v>
      </c>
      <c r="AV32">
        <v>0.124845976961483</v>
      </c>
      <c r="AW32">
        <v>31</v>
      </c>
      <c r="AX32">
        <f>AW32/$AA$17</f>
        <v>1.9375E-2</v>
      </c>
      <c r="AY32">
        <f>AQ32*$AA$16</f>
        <v>0.77740013579777001</v>
      </c>
      <c r="AZ32">
        <f>AZ31+(AY32/$AA$17)</f>
        <v>2.3306380105475363E-2</v>
      </c>
    </row>
    <row r="33" spans="1:52" x14ac:dyDescent="0.25">
      <c r="A33">
        <v>125.83938148331799</v>
      </c>
      <c r="B33">
        <v>150</v>
      </c>
      <c r="C33">
        <v>2000</v>
      </c>
      <c r="AC33">
        <v>360</v>
      </c>
      <c r="AD33">
        <v>14.8740453294254</v>
      </c>
      <c r="AE33">
        <v>10</v>
      </c>
      <c r="AF33">
        <v>1.01722196789785</v>
      </c>
      <c r="AG33" t="s">
        <v>84</v>
      </c>
      <c r="AH33">
        <v>118</v>
      </c>
      <c r="AI33">
        <v>0</v>
      </c>
      <c r="AJ33">
        <v>32</v>
      </c>
      <c r="AK33">
        <f>AJ33/$AA$17</f>
        <v>0.02</v>
      </c>
      <c r="AL33">
        <f>AD33*$AA$16</f>
        <v>14.8740453294254</v>
      </c>
      <c r="AM33">
        <f>AM32+(AL33/$AA$17)</f>
        <v>0.98647371334971756</v>
      </c>
      <c r="AP33">
        <v>894</v>
      </c>
      <c r="AQ33">
        <v>0.76813240600538502</v>
      </c>
      <c r="AR33">
        <v>6</v>
      </c>
      <c r="AS33">
        <v>1.01722196789785</v>
      </c>
      <c r="AT33" t="s">
        <v>87</v>
      </c>
      <c r="AU33">
        <v>771</v>
      </c>
      <c r="AV33">
        <v>0.116465549931603</v>
      </c>
      <c r="AW33">
        <v>32</v>
      </c>
      <c r="AX33">
        <f>AW33/$AA$17</f>
        <v>0.02</v>
      </c>
      <c r="AY33">
        <f>AQ33*$AA$16</f>
        <v>0.76813240600538502</v>
      </c>
      <c r="AZ33">
        <f>AZ32+(AY33/$AA$17)</f>
        <v>2.3786462859228728E-2</v>
      </c>
    </row>
    <row r="34" spans="1:52" x14ac:dyDescent="0.25">
      <c r="A34">
        <v>99.685111029856003</v>
      </c>
      <c r="B34">
        <v>123.845729546538</v>
      </c>
      <c r="C34">
        <v>2000</v>
      </c>
      <c r="AC34">
        <v>800</v>
      </c>
      <c r="AD34">
        <v>11.567786588954</v>
      </c>
      <c r="AE34">
        <v>10</v>
      </c>
      <c r="AF34">
        <v>1.01722196789785</v>
      </c>
      <c r="AG34" t="s">
        <v>84</v>
      </c>
      <c r="AH34">
        <v>277</v>
      </c>
      <c r="AI34">
        <v>9.7122043571393105E-2</v>
      </c>
      <c r="AJ34">
        <v>33</v>
      </c>
      <c r="AK34">
        <f>AJ34/$AA$17</f>
        <v>2.0625000000000001E-2</v>
      </c>
      <c r="AL34">
        <f>AD34*$AA$16</f>
        <v>11.567786588954</v>
      </c>
      <c r="AM34">
        <f>AM33+(AL34/$AA$17)</f>
        <v>0.99370357996781378</v>
      </c>
      <c r="AP34">
        <v>396</v>
      </c>
      <c r="AQ34">
        <v>0.75576875969786195</v>
      </c>
      <c r="AR34">
        <v>6</v>
      </c>
      <c r="AS34">
        <v>1.01722196789785</v>
      </c>
      <c r="AT34" t="s">
        <v>87</v>
      </c>
      <c r="AU34">
        <v>345</v>
      </c>
      <c r="AV34">
        <v>0</v>
      </c>
      <c r="AW34">
        <v>33</v>
      </c>
      <c r="AX34">
        <f>AW34/$AA$17</f>
        <v>2.0625000000000001E-2</v>
      </c>
      <c r="AY34">
        <f>AQ34*$AA$16</f>
        <v>0.75576875969786195</v>
      </c>
      <c r="AZ34">
        <f>AZ33+(AY34/$AA$17)</f>
        <v>2.4258818334039891E-2</v>
      </c>
    </row>
    <row r="35" spans="1:52" x14ac:dyDescent="0.25">
      <c r="A35" t="s">
        <v>86</v>
      </c>
      <c r="AC35">
        <v>827</v>
      </c>
      <c r="AD35">
        <v>10.829330457987901</v>
      </c>
      <c r="AE35">
        <v>6</v>
      </c>
      <c r="AF35">
        <v>1.01722196789785</v>
      </c>
      <c r="AG35" t="s">
        <v>84</v>
      </c>
      <c r="AH35">
        <v>327</v>
      </c>
      <c r="AI35">
        <v>9.8407604610444205E-2</v>
      </c>
      <c r="AJ35">
        <v>34</v>
      </c>
      <c r="AK35">
        <f>AJ35/$AA$17</f>
        <v>2.1250000000000002E-2</v>
      </c>
      <c r="AL35">
        <f>AD35*$AA$16</f>
        <v>10.829330457987901</v>
      </c>
      <c r="AM35">
        <f>AM34+(AL35/$AA$17)</f>
        <v>1.0004719115040561</v>
      </c>
      <c r="AP35">
        <v>390</v>
      </c>
      <c r="AQ35">
        <v>0.73681364262527904</v>
      </c>
      <c r="AR35">
        <v>6</v>
      </c>
      <c r="AS35">
        <v>1.01722196789785</v>
      </c>
      <c r="AT35" t="s">
        <v>87</v>
      </c>
      <c r="AU35">
        <v>355</v>
      </c>
      <c r="AV35">
        <v>0</v>
      </c>
      <c r="AW35">
        <v>34</v>
      </c>
      <c r="AX35">
        <f>AW35/$AA$17</f>
        <v>2.1250000000000002E-2</v>
      </c>
      <c r="AY35">
        <f>AQ35*$AA$16</f>
        <v>0.73681364262527904</v>
      </c>
      <c r="AZ35">
        <f>AZ34+(AY35/$AA$17)</f>
        <v>2.471932686068069E-2</v>
      </c>
    </row>
    <row r="36" spans="1:52" x14ac:dyDescent="0.25">
      <c r="A36">
        <v>352</v>
      </c>
      <c r="B36">
        <v>0</v>
      </c>
      <c r="C36">
        <v>93.868759944227406</v>
      </c>
      <c r="D36">
        <v>75.452480550633098</v>
      </c>
      <c r="E36">
        <v>14</v>
      </c>
      <c r="F36">
        <v>1.01722196789785</v>
      </c>
      <c r="G36" t="s">
        <v>83</v>
      </c>
      <c r="H36" t="s">
        <v>83</v>
      </c>
      <c r="I36">
        <v>0</v>
      </c>
      <c r="J36">
        <v>0</v>
      </c>
      <c r="K36">
        <v>0</v>
      </c>
      <c r="AC36">
        <v>341</v>
      </c>
      <c r="AD36">
        <v>10.4990188049476</v>
      </c>
      <c r="AE36">
        <v>6</v>
      </c>
      <c r="AF36">
        <v>1.01722196789785</v>
      </c>
      <c r="AG36" t="s">
        <v>84</v>
      </c>
      <c r="AH36">
        <v>358</v>
      </c>
      <c r="AI36">
        <v>0</v>
      </c>
      <c r="AJ36">
        <v>35</v>
      </c>
      <c r="AK36">
        <f>AJ36/$AA$17</f>
        <v>2.1874999999999999E-2</v>
      </c>
      <c r="AL36">
        <f>AD36*$AA$16</f>
        <v>10.4990188049476</v>
      </c>
      <c r="AM36">
        <f>AM35+(AL36/$AA$17)</f>
        <v>1.0070337982571484</v>
      </c>
      <c r="AP36">
        <v>940</v>
      </c>
      <c r="AQ36">
        <v>0.70344614727979105</v>
      </c>
      <c r="AR36">
        <v>6</v>
      </c>
      <c r="AS36">
        <v>1.01722196789785</v>
      </c>
      <c r="AT36" t="s">
        <v>87</v>
      </c>
      <c r="AU36">
        <v>853</v>
      </c>
      <c r="AV36">
        <v>0.117959963458315</v>
      </c>
      <c r="AW36">
        <v>35</v>
      </c>
      <c r="AX36">
        <f>AW36/$AA$17</f>
        <v>2.1874999999999999E-2</v>
      </c>
      <c r="AY36">
        <f>AQ36*$AA$16</f>
        <v>0.70344614727979105</v>
      </c>
      <c r="AZ36">
        <f>AZ35+(AY36/$AA$17)</f>
        <v>2.5158980702730559E-2</v>
      </c>
    </row>
    <row r="37" spans="1:52" x14ac:dyDescent="0.25">
      <c r="A37" t="s">
        <v>85</v>
      </c>
      <c r="AC37">
        <v>349</v>
      </c>
      <c r="AD37">
        <v>10.168667214452</v>
      </c>
      <c r="AE37">
        <v>6</v>
      </c>
      <c r="AF37">
        <v>1.01722196789785</v>
      </c>
      <c r="AG37" t="s">
        <v>84</v>
      </c>
      <c r="AH37">
        <v>769</v>
      </c>
      <c r="AI37">
        <v>0</v>
      </c>
      <c r="AJ37">
        <v>36</v>
      </c>
      <c r="AK37">
        <f>AJ37/$AA$17</f>
        <v>2.2499999999999999E-2</v>
      </c>
      <c r="AL37">
        <f>AD37*$AA$16</f>
        <v>10.168667214452</v>
      </c>
      <c r="AM37">
        <f>AM36+(AL37/$AA$17)</f>
        <v>1.013389215266181</v>
      </c>
      <c r="AP37">
        <v>387</v>
      </c>
      <c r="AQ37">
        <v>0.68983576097269494</v>
      </c>
      <c r="AR37">
        <v>6</v>
      </c>
      <c r="AS37">
        <v>1.01722196789785</v>
      </c>
      <c r="AT37" t="s">
        <v>87</v>
      </c>
      <c r="AU37">
        <v>673</v>
      </c>
      <c r="AV37">
        <v>0</v>
      </c>
      <c r="AW37">
        <v>36</v>
      </c>
      <c r="AX37">
        <f>AW37/$AA$17</f>
        <v>2.2499999999999999E-2</v>
      </c>
      <c r="AY37">
        <f>AQ37*$AA$16</f>
        <v>0.68983576097269494</v>
      </c>
      <c r="AZ37">
        <f>AZ36+(AY37/$AA$17)</f>
        <v>2.5590128053338494E-2</v>
      </c>
    </row>
    <row r="38" spans="1:52" x14ac:dyDescent="0.25">
      <c r="A38">
        <v>66.5937447103598</v>
      </c>
      <c r="B38">
        <v>96.428531333076805</v>
      </c>
      <c r="C38">
        <v>2000</v>
      </c>
      <c r="AC38">
        <v>358</v>
      </c>
      <c r="AD38">
        <v>10.1594348007434</v>
      </c>
      <c r="AE38">
        <v>10</v>
      </c>
      <c r="AF38">
        <v>1.01722196789785</v>
      </c>
      <c r="AG38" t="s">
        <v>84</v>
      </c>
      <c r="AH38">
        <v>853</v>
      </c>
      <c r="AI38">
        <v>0</v>
      </c>
      <c r="AJ38">
        <v>37</v>
      </c>
      <c r="AK38">
        <f>AJ38/$AA$17</f>
        <v>2.3125E-2</v>
      </c>
      <c r="AL38">
        <f>AD38*$AA$16</f>
        <v>10.1594348007434</v>
      </c>
      <c r="AM38">
        <f>AM37+(AL38/$AA$17)</f>
        <v>1.0197388620166457</v>
      </c>
      <c r="AP38">
        <v>382</v>
      </c>
      <c r="AQ38">
        <v>0.68696903441008295</v>
      </c>
      <c r="AR38">
        <v>6</v>
      </c>
      <c r="AS38">
        <v>1.01722196789785</v>
      </c>
      <c r="AT38" t="s">
        <v>87</v>
      </c>
      <c r="AU38">
        <v>275</v>
      </c>
      <c r="AV38">
        <v>0</v>
      </c>
      <c r="AW38">
        <v>37</v>
      </c>
      <c r="AX38">
        <f>AW38/$AA$17</f>
        <v>2.3125E-2</v>
      </c>
      <c r="AY38">
        <f>AQ38*$AA$16</f>
        <v>0.68696903441008295</v>
      </c>
      <c r="AZ38">
        <f>AZ37+(AY38/$AA$17)</f>
        <v>2.6019483699844796E-2</v>
      </c>
    </row>
    <row r="39" spans="1:52" x14ac:dyDescent="0.25">
      <c r="A39">
        <v>50.218508012224397</v>
      </c>
      <c r="B39">
        <v>80.053294634941494</v>
      </c>
      <c r="C39">
        <v>2000</v>
      </c>
      <c r="AC39">
        <v>809</v>
      </c>
      <c r="AD39">
        <v>9.6380981872940605</v>
      </c>
      <c r="AE39">
        <v>5</v>
      </c>
      <c r="AF39">
        <v>1.01722196789785</v>
      </c>
      <c r="AG39" t="s">
        <v>84</v>
      </c>
      <c r="AH39">
        <v>332</v>
      </c>
      <c r="AI39">
        <v>9.7391432165086E-2</v>
      </c>
      <c r="AJ39">
        <v>38</v>
      </c>
      <c r="AK39">
        <f>AJ39/$AA$17</f>
        <v>2.375E-2</v>
      </c>
      <c r="AL39">
        <f>AD39*$AA$16</f>
        <v>9.6380981872940605</v>
      </c>
      <c r="AM39">
        <f>AM38+(AL39/$AA$17)</f>
        <v>1.0257626733837044</v>
      </c>
      <c r="AP39">
        <v>393</v>
      </c>
      <c r="AQ39">
        <v>0.56114913409032896</v>
      </c>
      <c r="AR39">
        <v>6</v>
      </c>
      <c r="AS39">
        <v>1.01722196789785</v>
      </c>
      <c r="AT39" t="s">
        <v>87</v>
      </c>
      <c r="AU39">
        <v>853</v>
      </c>
      <c r="AV39">
        <v>0</v>
      </c>
      <c r="AW39">
        <v>38</v>
      </c>
      <c r="AX39">
        <f>AW39/$AA$17</f>
        <v>2.375E-2</v>
      </c>
      <c r="AY39">
        <f>AQ39*$AA$16</f>
        <v>0.56114913409032896</v>
      </c>
      <c r="AZ39">
        <f>AZ38+(AY39/$AA$17)</f>
        <v>2.6370201908651251E-2</v>
      </c>
    </row>
    <row r="40" spans="1:52" x14ac:dyDescent="0.25">
      <c r="A40">
        <v>19.8144127366009</v>
      </c>
      <c r="B40">
        <v>49.649199359317898</v>
      </c>
      <c r="C40">
        <v>2000</v>
      </c>
      <c r="AC40">
        <v>341</v>
      </c>
      <c r="AD40">
        <v>9.2714067066665802</v>
      </c>
      <c r="AE40">
        <v>6</v>
      </c>
      <c r="AF40">
        <v>1.01722196789785</v>
      </c>
      <c r="AG40" t="s">
        <v>84</v>
      </c>
      <c r="AH40">
        <v>798</v>
      </c>
      <c r="AI40">
        <v>0</v>
      </c>
      <c r="AJ40">
        <v>39</v>
      </c>
      <c r="AK40">
        <f>AJ40/$AA$17</f>
        <v>2.4375000000000001E-2</v>
      </c>
      <c r="AL40">
        <f>AD40*$AA$16</f>
        <v>9.2714067066665802</v>
      </c>
      <c r="AM40">
        <f>AM39+(AL40/$AA$17)</f>
        <v>1.031557302575371</v>
      </c>
      <c r="AP40">
        <v>940</v>
      </c>
      <c r="AQ40">
        <v>0.54968891206649995</v>
      </c>
      <c r="AR40">
        <v>6</v>
      </c>
      <c r="AS40">
        <v>1.01722196789785</v>
      </c>
      <c r="AT40" t="s">
        <v>87</v>
      </c>
      <c r="AU40">
        <v>827</v>
      </c>
      <c r="AV40">
        <v>0.117959963458315</v>
      </c>
      <c r="AW40">
        <v>39</v>
      </c>
      <c r="AX40">
        <f>AW40/$AA$17</f>
        <v>2.4375000000000001E-2</v>
      </c>
      <c r="AY40">
        <f>AQ40*$AA$16</f>
        <v>0.54968891206649995</v>
      </c>
      <c r="AZ40">
        <f>AZ39+(AY40/$AA$17)</f>
        <v>2.6713757478692812E-2</v>
      </c>
    </row>
    <row r="41" spans="1:52" x14ac:dyDescent="0.25">
      <c r="A41">
        <v>0</v>
      </c>
      <c r="B41">
        <v>29.8347866227171</v>
      </c>
      <c r="C41">
        <v>2000</v>
      </c>
      <c r="AC41">
        <v>342</v>
      </c>
      <c r="AD41">
        <v>8.8432337649264703</v>
      </c>
      <c r="AE41">
        <v>10</v>
      </c>
      <c r="AF41">
        <v>1.01722196789785</v>
      </c>
      <c r="AG41" t="s">
        <v>84</v>
      </c>
      <c r="AH41">
        <v>351</v>
      </c>
      <c r="AI41">
        <v>0</v>
      </c>
      <c r="AJ41">
        <v>40</v>
      </c>
      <c r="AK41">
        <f>AJ41/$AA$17</f>
        <v>2.5000000000000001E-2</v>
      </c>
      <c r="AL41">
        <f>AD41*$AA$16</f>
        <v>8.8432337649264703</v>
      </c>
      <c r="AM41">
        <f>AM40+(AL41/$AA$17)</f>
        <v>1.0370843236784502</v>
      </c>
      <c r="AP41">
        <v>393</v>
      </c>
      <c r="AQ41">
        <v>0.54464050986603496</v>
      </c>
      <c r="AR41">
        <v>6</v>
      </c>
      <c r="AS41">
        <v>1.01722196789785</v>
      </c>
      <c r="AT41" t="s">
        <v>87</v>
      </c>
      <c r="AU41">
        <v>341</v>
      </c>
      <c r="AV41">
        <v>0</v>
      </c>
      <c r="AW41">
        <v>40</v>
      </c>
      <c r="AX41">
        <f>AW41/$AA$17</f>
        <v>2.5000000000000001E-2</v>
      </c>
      <c r="AY41">
        <f>AQ41*$AA$16</f>
        <v>0.54464050986603496</v>
      </c>
      <c r="AZ41">
        <f>AZ40+(AY41/$AA$17)</f>
        <v>2.7054157797359084E-2</v>
      </c>
    </row>
    <row r="42" spans="1:52" x14ac:dyDescent="0.25">
      <c r="A42">
        <v>0</v>
      </c>
      <c r="B42">
        <v>30.708818671614701</v>
      </c>
      <c r="C42">
        <v>2001</v>
      </c>
      <c r="AC42">
        <v>351</v>
      </c>
      <c r="AD42">
        <v>8.6862631598222304</v>
      </c>
      <c r="AE42">
        <v>8</v>
      </c>
      <c r="AF42">
        <v>1.01722196789785</v>
      </c>
      <c r="AG42" t="s">
        <v>84</v>
      </c>
      <c r="AH42">
        <v>342</v>
      </c>
      <c r="AI42">
        <v>0</v>
      </c>
      <c r="AJ42">
        <v>41</v>
      </c>
      <c r="AK42">
        <f>AJ42/$AA$17</f>
        <v>2.5624999999999998E-2</v>
      </c>
      <c r="AL42">
        <f>AD42*$AA$16</f>
        <v>8.6862631598222304</v>
      </c>
      <c r="AM42">
        <f>AM41+(AL42/$AA$17)</f>
        <v>1.0425132381533391</v>
      </c>
      <c r="AP42">
        <v>873</v>
      </c>
      <c r="AQ42">
        <v>0.53276955363230605</v>
      </c>
      <c r="AR42">
        <v>6</v>
      </c>
      <c r="AS42">
        <v>1.01722196789785</v>
      </c>
      <c r="AT42" t="s">
        <v>87</v>
      </c>
      <c r="AU42">
        <v>359</v>
      </c>
      <c r="AV42">
        <v>0.116069536161876</v>
      </c>
      <c r="AW42">
        <v>41</v>
      </c>
      <c r="AX42">
        <f>AW42/$AA$17</f>
        <v>2.5624999999999998E-2</v>
      </c>
      <c r="AY42">
        <f>AQ42*$AA$16</f>
        <v>0.53276955363230605</v>
      </c>
      <c r="AZ42">
        <f>AZ41+(AY42/$AA$17)</f>
        <v>2.7387138768379275E-2</v>
      </c>
    </row>
    <row r="43" spans="1:52" x14ac:dyDescent="0.25">
      <c r="A43">
        <v>19.641981969067299</v>
      </c>
      <c r="B43">
        <v>50.350800640682102</v>
      </c>
      <c r="C43">
        <v>2001</v>
      </c>
      <c r="AC43">
        <v>722</v>
      </c>
      <c r="AD43">
        <v>8.0440660815066405</v>
      </c>
      <c r="AE43">
        <v>8</v>
      </c>
      <c r="AF43">
        <v>1.01722196789785</v>
      </c>
      <c r="AG43" t="s">
        <v>84</v>
      </c>
      <c r="AH43">
        <v>331</v>
      </c>
      <c r="AI43">
        <v>9.4763910412348204E-2</v>
      </c>
      <c r="AJ43">
        <v>42</v>
      </c>
      <c r="AK43">
        <f>AJ43/$AA$17</f>
        <v>2.6249999999999999E-2</v>
      </c>
      <c r="AL43">
        <f>AD43*$AA$16</f>
        <v>8.0440660815066405</v>
      </c>
      <c r="AM43">
        <f>AM42+(AL43/$AA$17)</f>
        <v>1.0475407794542808</v>
      </c>
      <c r="AP43">
        <v>983</v>
      </c>
      <c r="AQ43">
        <v>0.52960936317323304</v>
      </c>
      <c r="AR43">
        <v>6</v>
      </c>
      <c r="AS43">
        <v>1.01722196789785</v>
      </c>
      <c r="AT43" t="s">
        <v>87</v>
      </c>
      <c r="AU43">
        <v>722</v>
      </c>
      <c r="AV43">
        <v>0.120547941094079</v>
      </c>
      <c r="AW43">
        <v>42</v>
      </c>
      <c r="AX43">
        <f>AW43/$AA$17</f>
        <v>2.6249999999999999E-2</v>
      </c>
      <c r="AY43">
        <f>AQ43*$AA$16</f>
        <v>0.52960936317323304</v>
      </c>
      <c r="AZ43">
        <f>AZ42+(AY43/$AA$17)</f>
        <v>2.7718144620362546E-2</v>
      </c>
    </row>
    <row r="44" spans="1:52" x14ac:dyDescent="0.25">
      <c r="A44">
        <v>49.781491987775603</v>
      </c>
      <c r="B44">
        <v>80.490310659390303</v>
      </c>
      <c r="C44">
        <v>2001</v>
      </c>
      <c r="AC44">
        <v>355</v>
      </c>
      <c r="AD44">
        <v>7.6660160798019596</v>
      </c>
      <c r="AE44">
        <v>10</v>
      </c>
      <c r="AF44">
        <v>1.01722196789785</v>
      </c>
      <c r="AG44" t="s">
        <v>84</v>
      </c>
      <c r="AH44">
        <v>25</v>
      </c>
      <c r="AI44">
        <v>0</v>
      </c>
      <c r="AJ44">
        <v>43</v>
      </c>
      <c r="AK44">
        <f>AJ44/$AA$17</f>
        <v>2.6875E-2</v>
      </c>
      <c r="AL44">
        <f>AD44*$AA$16</f>
        <v>7.6660160798019596</v>
      </c>
      <c r="AM44">
        <f>AM43+(AL44/$AA$17)</f>
        <v>1.0523320395041571</v>
      </c>
      <c r="AP44">
        <v>1081</v>
      </c>
      <c r="AQ44">
        <v>0.47885499218350702</v>
      </c>
      <c r="AR44">
        <v>6</v>
      </c>
      <c r="AS44">
        <v>1.01722196789785</v>
      </c>
      <c r="AT44" t="s">
        <v>87</v>
      </c>
      <c r="AU44">
        <v>673</v>
      </c>
      <c r="AV44">
        <v>0.122728925384179</v>
      </c>
      <c r="AW44">
        <v>43</v>
      </c>
      <c r="AX44">
        <f>AW44/$AA$17</f>
        <v>2.6875E-2</v>
      </c>
      <c r="AY44">
        <f>AQ44*$AA$16</f>
        <v>0.47885499218350702</v>
      </c>
      <c r="AZ44">
        <f>AZ43+(AY44/$AA$17)</f>
        <v>2.8017428990477239E-2</v>
      </c>
    </row>
    <row r="45" spans="1:52" x14ac:dyDescent="0.25">
      <c r="A45">
        <v>66.156728685911006</v>
      </c>
      <c r="B45">
        <v>96.865547357525699</v>
      </c>
      <c r="C45">
        <v>2001</v>
      </c>
      <c r="AC45">
        <v>343</v>
      </c>
      <c r="AD45">
        <v>7.6422942158387199</v>
      </c>
      <c r="AE45">
        <v>10</v>
      </c>
      <c r="AF45">
        <v>1.01722196789785</v>
      </c>
      <c r="AG45" t="s">
        <v>84</v>
      </c>
      <c r="AH45">
        <v>355</v>
      </c>
      <c r="AI45">
        <v>0</v>
      </c>
      <c r="AJ45">
        <v>44</v>
      </c>
      <c r="AK45">
        <f>AJ45/$AA$17</f>
        <v>2.75E-2</v>
      </c>
      <c r="AL45">
        <f>AD45*$AA$16</f>
        <v>7.6422942158387199</v>
      </c>
      <c r="AM45">
        <f>AM44+(AL45/$AA$17)</f>
        <v>1.0571084733890563</v>
      </c>
      <c r="AP45">
        <v>1019</v>
      </c>
      <c r="AQ45">
        <v>0.46433505712879303</v>
      </c>
      <c r="AR45">
        <v>6</v>
      </c>
      <c r="AS45">
        <v>1.01722196789785</v>
      </c>
      <c r="AT45" t="s">
        <v>87</v>
      </c>
      <c r="AU45">
        <v>342</v>
      </c>
      <c r="AV45">
        <v>0.121125394062888</v>
      </c>
      <c r="AW45">
        <v>44</v>
      </c>
      <c r="AX45">
        <f>AW45/$AA$17</f>
        <v>2.75E-2</v>
      </c>
      <c r="AY45">
        <f>AQ45*$AA$16</f>
        <v>0.46433505712879303</v>
      </c>
      <c r="AZ45">
        <f>AZ44+(AY45/$AA$17)</f>
        <v>2.8307638401182736E-2</v>
      </c>
    </row>
    <row r="46" spans="1:52" x14ac:dyDescent="0.25">
      <c r="A46">
        <v>69.509689340609697</v>
      </c>
      <c r="B46">
        <v>100.21850801222401</v>
      </c>
      <c r="C46">
        <v>2001</v>
      </c>
      <c r="AC46">
        <v>349</v>
      </c>
      <c r="AD46">
        <v>7.2865524093523204</v>
      </c>
      <c r="AE46">
        <v>6</v>
      </c>
      <c r="AF46">
        <v>1.01722196789785</v>
      </c>
      <c r="AG46" t="s">
        <v>84</v>
      </c>
      <c r="AH46">
        <v>333</v>
      </c>
      <c r="AI46">
        <v>0</v>
      </c>
      <c r="AJ46">
        <v>45</v>
      </c>
      <c r="AK46">
        <f>AJ46/$AA$17</f>
        <v>2.8125000000000001E-2</v>
      </c>
      <c r="AL46">
        <f>AD46*$AA$16</f>
        <v>7.2865524093523204</v>
      </c>
      <c r="AM46">
        <f>AM45+(AL46/$AA$17)</f>
        <v>1.0616625686449015</v>
      </c>
      <c r="AP46">
        <v>873</v>
      </c>
      <c r="AQ46">
        <v>0.45907052062069897</v>
      </c>
      <c r="AR46">
        <v>6</v>
      </c>
      <c r="AS46">
        <v>1.01722196789785</v>
      </c>
      <c r="AT46" t="s">
        <v>87</v>
      </c>
      <c r="AU46">
        <v>809</v>
      </c>
      <c r="AV46">
        <v>0.116069536161876</v>
      </c>
      <c r="AW46">
        <v>45</v>
      </c>
      <c r="AX46">
        <f>AW46/$AA$17</f>
        <v>2.8125000000000001E-2</v>
      </c>
      <c r="AY46">
        <f>AQ46*$AA$16</f>
        <v>0.45907052062069897</v>
      </c>
      <c r="AZ46">
        <f>AZ45+(AY46/$AA$17)</f>
        <v>2.8594557476570671E-2</v>
      </c>
    </row>
    <row r="47" spans="1:52" x14ac:dyDescent="0.25">
      <c r="A47">
        <v>99.649199359318004</v>
      </c>
      <c r="B47">
        <v>130.35801803093301</v>
      </c>
      <c r="C47">
        <v>2001</v>
      </c>
      <c r="AC47">
        <v>357</v>
      </c>
      <c r="AD47">
        <v>2.8007141025914701</v>
      </c>
      <c r="AE47">
        <v>6</v>
      </c>
      <c r="AF47">
        <v>1.01722196789785</v>
      </c>
      <c r="AG47" t="s">
        <v>84</v>
      </c>
      <c r="AH47">
        <v>344</v>
      </c>
      <c r="AI47">
        <v>0</v>
      </c>
      <c r="AJ47">
        <v>46</v>
      </c>
      <c r="AK47">
        <f>AJ47/$AA$17</f>
        <v>2.8750000000000001E-2</v>
      </c>
      <c r="AL47">
        <f>AD47*$AA$16</f>
        <v>2.8007141025914701</v>
      </c>
      <c r="AM47">
        <f>AM46+(AL47/$AA$17)</f>
        <v>1.0634130149590211</v>
      </c>
      <c r="AP47">
        <v>1131</v>
      </c>
      <c r="AQ47">
        <v>0.44077529807256599</v>
      </c>
      <c r="AR47">
        <v>6</v>
      </c>
      <c r="AS47">
        <v>1.01722196789785</v>
      </c>
      <c r="AT47" t="s">
        <v>87</v>
      </c>
      <c r="AU47">
        <v>853</v>
      </c>
      <c r="AV47">
        <v>0.12417311997009001</v>
      </c>
      <c r="AW47">
        <v>46</v>
      </c>
      <c r="AX47">
        <f>AW47/$AA$17</f>
        <v>2.8750000000000001E-2</v>
      </c>
      <c r="AY47">
        <f>AQ47*$AA$16</f>
        <v>0.44077529807256599</v>
      </c>
      <c r="AZ47">
        <f>AZ46+(AY47/$AA$17)</f>
        <v>2.8870042037866025E-2</v>
      </c>
    </row>
    <row r="48" spans="1:52" x14ac:dyDescent="0.25">
      <c r="A48">
        <v>119.29118132838499</v>
      </c>
      <c r="B48">
        <v>150</v>
      </c>
      <c r="C48">
        <v>2001</v>
      </c>
      <c r="AC48">
        <v>344</v>
      </c>
      <c r="AD48">
        <v>2.5636174501082398</v>
      </c>
      <c r="AE48">
        <v>10</v>
      </c>
      <c r="AF48">
        <v>1.01722196789785</v>
      </c>
      <c r="AG48" t="s">
        <v>84</v>
      </c>
      <c r="AH48">
        <v>357</v>
      </c>
      <c r="AI48">
        <v>0</v>
      </c>
      <c r="AJ48">
        <v>47</v>
      </c>
      <c r="AK48">
        <f>AJ48/$AA$17</f>
        <v>2.9374999999999998E-2</v>
      </c>
      <c r="AL48">
        <f>AD48*$AA$16</f>
        <v>2.5636174501082398</v>
      </c>
      <c r="AM48">
        <f>AM47+(AL48/$AA$17)</f>
        <v>1.0650152758653386</v>
      </c>
      <c r="AP48">
        <v>964</v>
      </c>
      <c r="AQ48">
        <v>0.43716328022616602</v>
      </c>
      <c r="AR48">
        <v>4</v>
      </c>
      <c r="AS48">
        <v>1.01722196789785</v>
      </c>
      <c r="AT48" t="s">
        <v>87</v>
      </c>
      <c r="AU48">
        <v>754</v>
      </c>
      <c r="AV48">
        <v>0.118988924366406</v>
      </c>
      <c r="AW48">
        <v>47</v>
      </c>
      <c r="AX48">
        <f>AW48/$AA$17</f>
        <v>2.9374999999999998E-2</v>
      </c>
      <c r="AY48">
        <f>AQ48*$AA$16</f>
        <v>0.43716328022616602</v>
      </c>
      <c r="AZ48">
        <f>AZ47+(AY48/$AA$17)</f>
        <v>2.9143269088007379E-2</v>
      </c>
    </row>
    <row r="49" spans="1:52" x14ac:dyDescent="0.25">
      <c r="A49">
        <v>120.165213377283</v>
      </c>
      <c r="B49">
        <v>150</v>
      </c>
      <c r="C49">
        <v>2000</v>
      </c>
      <c r="AC49">
        <v>347</v>
      </c>
      <c r="AD49">
        <v>2.1451801219937598</v>
      </c>
      <c r="AE49">
        <v>6</v>
      </c>
      <c r="AF49">
        <v>1.01722196789785</v>
      </c>
      <c r="AG49" t="s">
        <v>84</v>
      </c>
      <c r="AH49">
        <v>339</v>
      </c>
      <c r="AI49">
        <v>0</v>
      </c>
      <c r="AJ49">
        <v>48</v>
      </c>
      <c r="AK49">
        <f>AJ49/$AA$17</f>
        <v>0.03</v>
      </c>
      <c r="AL49">
        <f>AD49*$AA$16</f>
        <v>2.1451801219937598</v>
      </c>
      <c r="AM49">
        <f>AM48+(AL49/$AA$17)</f>
        <v>1.0663560134415848</v>
      </c>
      <c r="AP49">
        <v>1064</v>
      </c>
      <c r="AQ49">
        <v>0.42525277839481701</v>
      </c>
      <c r="AR49">
        <v>6</v>
      </c>
      <c r="AS49">
        <v>1.01722196789785</v>
      </c>
      <c r="AT49" t="s">
        <v>87</v>
      </c>
      <c r="AU49">
        <v>723</v>
      </c>
      <c r="AV49">
        <v>0.122473809508668</v>
      </c>
      <c r="AW49">
        <v>48</v>
      </c>
      <c r="AX49">
        <f>AW49/$AA$17</f>
        <v>0.03</v>
      </c>
      <c r="AY49">
        <f>AQ49*$AA$16</f>
        <v>0.42525277839481701</v>
      </c>
      <c r="AZ49">
        <f>AZ48+(AY49/$AA$17)</f>
        <v>2.940905207450414E-2</v>
      </c>
    </row>
    <row r="50" spans="1:52" x14ac:dyDescent="0.25">
      <c r="A50">
        <v>100.350800640682</v>
      </c>
      <c r="B50">
        <v>130.18558726339899</v>
      </c>
      <c r="C50">
        <v>2000</v>
      </c>
      <c r="AC50">
        <v>347</v>
      </c>
      <c r="AD50">
        <v>1.5774667939537199</v>
      </c>
      <c r="AE50">
        <v>6</v>
      </c>
      <c r="AF50">
        <v>1.01722196789785</v>
      </c>
      <c r="AG50" t="s">
        <v>84</v>
      </c>
      <c r="AH50">
        <v>29</v>
      </c>
      <c r="AI50">
        <v>0</v>
      </c>
      <c r="AJ50">
        <v>49</v>
      </c>
      <c r="AK50">
        <f>AJ50/$AA$17</f>
        <v>3.0624999999999999E-2</v>
      </c>
      <c r="AL50">
        <f>AD50*$AA$16</f>
        <v>1.5774667939537199</v>
      </c>
      <c r="AM50">
        <f>AM49+(AL50/$AA$17)</f>
        <v>1.067341930187806</v>
      </c>
      <c r="AP50">
        <v>982</v>
      </c>
      <c r="AQ50">
        <v>0.40829680488595699</v>
      </c>
      <c r="AR50">
        <v>6</v>
      </c>
      <c r="AS50">
        <v>1.01722196789785</v>
      </c>
      <c r="AT50" t="s">
        <v>87</v>
      </c>
      <c r="AU50">
        <v>355</v>
      </c>
      <c r="AV50">
        <v>0.119945352050412</v>
      </c>
      <c r="AW50">
        <v>49</v>
      </c>
      <c r="AX50">
        <f>AW50/$AA$17</f>
        <v>3.0624999999999999E-2</v>
      </c>
      <c r="AY50">
        <f>AQ50*$AA$16</f>
        <v>0.40829680488595699</v>
      </c>
      <c r="AZ50">
        <f>AZ49+(AY50/$AA$17)</f>
        <v>2.9664237577557862E-2</v>
      </c>
    </row>
    <row r="51" spans="1:52" x14ac:dyDescent="0.25">
      <c r="A51">
        <v>69.946705365058506</v>
      </c>
      <c r="B51">
        <v>99.781491987775595</v>
      </c>
      <c r="C51">
        <v>2000</v>
      </c>
      <c r="AC51">
        <v>827</v>
      </c>
      <c r="AD51">
        <v>0.62946746334262105</v>
      </c>
      <c r="AE51">
        <v>6</v>
      </c>
      <c r="AF51">
        <v>1.01722196789785</v>
      </c>
      <c r="AG51" t="s">
        <v>84</v>
      </c>
      <c r="AH51">
        <v>323</v>
      </c>
      <c r="AI51">
        <v>9.8407604610444205E-2</v>
      </c>
      <c r="AJ51">
        <v>50</v>
      </c>
      <c r="AK51">
        <f>AJ51/$AA$17</f>
        <v>3.125E-2</v>
      </c>
      <c r="AL51">
        <f>AD51*$AA$16</f>
        <v>0.62946746334262105</v>
      </c>
      <c r="AM51">
        <f>AM50+(AL51/$AA$17)</f>
        <v>1.0677353473523952</v>
      </c>
      <c r="AP51">
        <v>383</v>
      </c>
      <c r="AQ51">
        <v>0.36179470517712498</v>
      </c>
      <c r="AR51">
        <v>6</v>
      </c>
      <c r="AS51">
        <v>1.01722196789785</v>
      </c>
      <c r="AT51" t="s">
        <v>87</v>
      </c>
      <c r="AU51">
        <v>275</v>
      </c>
      <c r="AV51">
        <v>0</v>
      </c>
      <c r="AW51">
        <v>50</v>
      </c>
      <c r="AX51">
        <f>AW51/$AA$17</f>
        <v>3.125E-2</v>
      </c>
      <c r="AY51">
        <f>AQ51*$AA$16</f>
        <v>0.36179470517712498</v>
      </c>
      <c r="AZ51">
        <f>AZ50+(AY51/$AA$17)</f>
        <v>2.9890359268293566E-2</v>
      </c>
    </row>
    <row r="52" spans="1:52" x14ac:dyDescent="0.25">
      <c r="A52" t="s">
        <v>86</v>
      </c>
      <c r="AC52">
        <v>771</v>
      </c>
      <c r="AD52">
        <v>0.58252287450581297</v>
      </c>
      <c r="AE52">
        <v>8</v>
      </c>
      <c r="AF52">
        <v>1.01722196789785</v>
      </c>
      <c r="AG52" t="s">
        <v>84</v>
      </c>
      <c r="AH52">
        <v>347</v>
      </c>
      <c r="AI52">
        <v>9.5989877373728896E-2</v>
      </c>
      <c r="AJ52">
        <v>51</v>
      </c>
      <c r="AK52">
        <f>AJ52/$AA$17</f>
        <v>3.1875000000000001E-2</v>
      </c>
      <c r="AL52">
        <f>AD52*$AA$16</f>
        <v>0.58252287450581297</v>
      </c>
      <c r="AM52">
        <f>AM51+(AL52/$AA$17)</f>
        <v>1.0680994241489612</v>
      </c>
      <c r="AP52">
        <v>385</v>
      </c>
      <c r="AQ52">
        <v>0.36155762915419498</v>
      </c>
      <c r="AR52">
        <v>6</v>
      </c>
      <c r="AS52">
        <v>1.01722196789785</v>
      </c>
      <c r="AT52" t="s">
        <v>87</v>
      </c>
      <c r="AU52">
        <v>780</v>
      </c>
      <c r="AV52">
        <v>0</v>
      </c>
      <c r="AW52">
        <v>51</v>
      </c>
      <c r="AX52">
        <f>AW52/$AA$17</f>
        <v>3.1875000000000001E-2</v>
      </c>
      <c r="AY52">
        <f>AQ52*$AA$16</f>
        <v>0.36155762915419498</v>
      </c>
      <c r="AZ52">
        <f>AZ51+(AY52/$AA$17)</f>
        <v>3.0116332786514939E-2</v>
      </c>
    </row>
    <row r="53" spans="1:52" x14ac:dyDescent="0.25">
      <c r="A53">
        <v>790</v>
      </c>
      <c r="B53">
        <v>0</v>
      </c>
      <c r="C53">
        <v>73.974489288489593</v>
      </c>
      <c r="D53">
        <v>93.238843090112397</v>
      </c>
      <c r="E53">
        <v>14</v>
      </c>
      <c r="F53">
        <v>1.01722196789785</v>
      </c>
      <c r="G53" t="s">
        <v>83</v>
      </c>
      <c r="H53" t="s">
        <v>83</v>
      </c>
      <c r="I53">
        <v>0</v>
      </c>
      <c r="J53">
        <v>0</v>
      </c>
      <c r="K53">
        <v>9.6564847345998198E-2</v>
      </c>
      <c r="AC53">
        <v>721</v>
      </c>
      <c r="AD53">
        <v>0.14600231386526699</v>
      </c>
      <c r="AE53">
        <v>10</v>
      </c>
      <c r="AF53">
        <v>1.01722196789785</v>
      </c>
      <c r="AG53" t="s">
        <v>84</v>
      </c>
      <c r="AH53">
        <v>724</v>
      </c>
      <c r="AI53">
        <v>9.4312854387899395E-2</v>
      </c>
      <c r="AJ53">
        <v>52</v>
      </c>
      <c r="AK53">
        <f>AJ53/$AA$17</f>
        <v>3.2500000000000001E-2</v>
      </c>
      <c r="AL53">
        <f>AD53*$AA$16</f>
        <v>0.14600231386526699</v>
      </c>
      <c r="AM53">
        <f>AM52+(AL53/$AA$17)</f>
        <v>1.0681906755951269</v>
      </c>
      <c r="AP53">
        <v>965</v>
      </c>
      <c r="AQ53">
        <v>0.32026514334149397</v>
      </c>
      <c r="AR53">
        <v>6</v>
      </c>
      <c r="AS53">
        <v>1.01722196789785</v>
      </c>
      <c r="AT53" t="s">
        <v>87</v>
      </c>
      <c r="AU53">
        <v>354</v>
      </c>
      <c r="AV53">
        <v>0.11931529568040899</v>
      </c>
      <c r="AW53">
        <v>52</v>
      </c>
      <c r="AX53">
        <f>AW53/$AA$17</f>
        <v>3.2500000000000001E-2</v>
      </c>
      <c r="AY53">
        <f>AQ53*$AA$16</f>
        <v>0.32026514334149397</v>
      </c>
      <c r="AZ53">
        <f>AZ52+(AY53/$AA$17)</f>
        <v>3.0316498501103371E-2</v>
      </c>
    </row>
    <row r="54" spans="1:52" x14ac:dyDescent="0.25">
      <c r="A54" t="s">
        <v>85</v>
      </c>
      <c r="AC54">
        <v>724</v>
      </c>
      <c r="AD54">
        <v>0</v>
      </c>
      <c r="AE54">
        <v>8</v>
      </c>
      <c r="AF54">
        <v>1.01722196789785</v>
      </c>
      <c r="AG54" t="s">
        <v>84</v>
      </c>
      <c r="AH54">
        <v>721</v>
      </c>
      <c r="AI54">
        <v>9.5418080883047596E-2</v>
      </c>
      <c r="AJ54">
        <v>53</v>
      </c>
      <c r="AK54">
        <f>AJ54/$AA$17</f>
        <v>3.3125000000000002E-2</v>
      </c>
      <c r="AL54">
        <f>AD54*$AA$16</f>
        <v>0</v>
      </c>
      <c r="AM54">
        <f>AM53+(AL54/$AA$17)</f>
        <v>1.0681906755951269</v>
      </c>
      <c r="AP54">
        <v>871</v>
      </c>
      <c r="AQ54">
        <v>0.31892921995190798</v>
      </c>
      <c r="AR54">
        <v>6</v>
      </c>
      <c r="AS54">
        <v>1.01722196789785</v>
      </c>
      <c r="AT54" t="s">
        <v>87</v>
      </c>
      <c r="AU54">
        <v>721</v>
      </c>
      <c r="AV54">
        <v>0.115162323415006</v>
      </c>
      <c r="AW54">
        <v>53</v>
      </c>
      <c r="AX54">
        <f>AW54/$AA$17</f>
        <v>3.3125000000000002E-2</v>
      </c>
      <c r="AY54">
        <f>AQ54*$AA$16</f>
        <v>0.31892921995190798</v>
      </c>
      <c r="AZ54">
        <f>AZ53+(AY54/$AA$17)</f>
        <v>3.0515829263573314E-2</v>
      </c>
    </row>
    <row r="55" spans="1:52" x14ac:dyDescent="0.25">
      <c r="A55">
        <v>52.0893549984782</v>
      </c>
      <c r="B55">
        <v>84.2886897932175</v>
      </c>
      <c r="C55">
        <v>2000</v>
      </c>
      <c r="AC55">
        <v>809</v>
      </c>
      <c r="AD55">
        <v>0</v>
      </c>
      <c r="AE55">
        <v>5</v>
      </c>
      <c r="AF55">
        <v>1.01722196789785</v>
      </c>
      <c r="AG55" t="s">
        <v>84</v>
      </c>
      <c r="AH55">
        <v>765</v>
      </c>
      <c r="AI55">
        <v>9.7391432165086E-2</v>
      </c>
      <c r="AJ55">
        <v>54</v>
      </c>
      <c r="AK55">
        <f>AJ55/$AA$17</f>
        <v>3.3750000000000002E-2</v>
      </c>
      <c r="AL55">
        <f>AD55*$AA$16</f>
        <v>0</v>
      </c>
      <c r="AM55">
        <f>AM54+(AL55/$AA$17)</f>
        <v>1.0681906755951269</v>
      </c>
      <c r="AP55">
        <v>1020</v>
      </c>
      <c r="AQ55">
        <v>0.25614691218136398</v>
      </c>
      <c r="AR55">
        <v>6</v>
      </c>
      <c r="AS55">
        <v>1.01722196789785</v>
      </c>
      <c r="AT55" t="s">
        <v>87</v>
      </c>
      <c r="AU55">
        <v>360</v>
      </c>
      <c r="AV55">
        <v>0.12140552605247699</v>
      </c>
      <c r="AW55">
        <v>54</v>
      </c>
      <c r="AX55">
        <f>AW55/$AA$17</f>
        <v>3.3750000000000002E-2</v>
      </c>
      <c r="AY55">
        <f>AQ55*$AA$16</f>
        <v>0.25614691218136398</v>
      </c>
      <c r="AZ55">
        <f>AZ54+(AY55/$AA$17)</f>
        <v>3.0675921083686667E-2</v>
      </c>
    </row>
    <row r="56" spans="1:52" x14ac:dyDescent="0.25">
      <c r="A56">
        <v>49.781491987775603</v>
      </c>
      <c r="B56">
        <v>81.980826782514896</v>
      </c>
      <c r="C56">
        <v>2000</v>
      </c>
      <c r="AP56">
        <v>895</v>
      </c>
      <c r="AQ56">
        <v>0.225064500425255</v>
      </c>
      <c r="AR56">
        <v>6</v>
      </c>
      <c r="AS56">
        <v>1.01722196789785</v>
      </c>
      <c r="AT56" t="s">
        <v>87</v>
      </c>
      <c r="AU56">
        <v>799</v>
      </c>
      <c r="AV56">
        <v>0.11685087107927999</v>
      </c>
      <c r="AW56">
        <v>55</v>
      </c>
      <c r="AX56">
        <f>AW56/$AA$17</f>
        <v>3.4375000000000003E-2</v>
      </c>
      <c r="AY56">
        <f>AQ56*$AA$16</f>
        <v>0.225064500425255</v>
      </c>
      <c r="AZ56">
        <f>AZ55+(AY56/$AA$17)</f>
        <v>3.0816586396452451E-2</v>
      </c>
    </row>
    <row r="57" spans="1:52" x14ac:dyDescent="0.25">
      <c r="A57">
        <v>18.157979640247799</v>
      </c>
      <c r="B57">
        <v>50.357314434987103</v>
      </c>
      <c r="C57">
        <v>2000</v>
      </c>
      <c r="AP57">
        <v>1018</v>
      </c>
      <c r="AQ57">
        <v>0.21135156227462901</v>
      </c>
      <c r="AR57">
        <v>6</v>
      </c>
      <c r="AS57">
        <v>1.01722196789785</v>
      </c>
      <c r="AT57" t="s">
        <v>87</v>
      </c>
      <c r="AU57">
        <v>360</v>
      </c>
      <c r="AV57">
        <v>0.12083958515882</v>
      </c>
      <c r="AW57">
        <v>56</v>
      </c>
      <c r="AX57">
        <f>AW57/$AA$17</f>
        <v>3.5000000000000003E-2</v>
      </c>
      <c r="AY57">
        <f>AQ57*$AA$16</f>
        <v>0.21135156227462901</v>
      </c>
      <c r="AZ57">
        <f>AZ56+(AY57/$AA$17)</f>
        <v>3.0948681122874095E-2</v>
      </c>
    </row>
    <row r="58" spans="1:52" x14ac:dyDescent="0.25">
      <c r="A58">
        <v>0</v>
      </c>
      <c r="B58">
        <v>32.1993347947394</v>
      </c>
      <c r="C58">
        <v>2000</v>
      </c>
      <c r="AP58">
        <v>1134</v>
      </c>
      <c r="AQ58">
        <v>0.199583306057114</v>
      </c>
      <c r="AR58">
        <v>6</v>
      </c>
      <c r="AS58">
        <v>1.01722196789785</v>
      </c>
      <c r="AT58" t="s">
        <v>87</v>
      </c>
      <c r="AU58">
        <v>767</v>
      </c>
      <c r="AV58">
        <v>0.124845976961483</v>
      </c>
      <c r="AW58">
        <v>57</v>
      </c>
      <c r="AX58">
        <f>AW58/$AA$17</f>
        <v>3.5624999999999997E-2</v>
      </c>
      <c r="AY58">
        <f>AQ58*$AA$16</f>
        <v>0.199583306057114</v>
      </c>
      <c r="AZ58">
        <f>AZ57+(AY58/$AA$17)</f>
        <v>3.1073420689159793E-2</v>
      </c>
    </row>
    <row r="59" spans="1:52" x14ac:dyDescent="0.25">
      <c r="A59">
        <v>0</v>
      </c>
      <c r="B59">
        <v>31.3253027458417</v>
      </c>
      <c r="C59">
        <v>2001</v>
      </c>
      <c r="AP59">
        <v>395</v>
      </c>
      <c r="AQ59">
        <v>0.19620414954888701</v>
      </c>
      <c r="AR59">
        <v>6</v>
      </c>
      <c r="AS59">
        <v>1.01722196789785</v>
      </c>
      <c r="AT59" t="s">
        <v>87</v>
      </c>
      <c r="AU59">
        <v>844</v>
      </c>
      <c r="AV59">
        <v>0</v>
      </c>
      <c r="AW59">
        <v>58</v>
      </c>
      <c r="AX59">
        <f>AW59/$AA$17</f>
        <v>3.6249999999999998E-2</v>
      </c>
      <c r="AY59">
        <f>AQ59*$AA$16</f>
        <v>0.19620414954888701</v>
      </c>
      <c r="AZ59">
        <f>AZ58+(AY59/$AA$17)</f>
        <v>3.1196048282627849E-2</v>
      </c>
    </row>
    <row r="60" spans="1:52" x14ac:dyDescent="0.25">
      <c r="A60">
        <v>18.3173828191712</v>
      </c>
      <c r="B60">
        <v>49.642685565012897</v>
      </c>
      <c r="C60">
        <v>2001</v>
      </c>
      <c r="AP60">
        <v>964</v>
      </c>
      <c r="AQ60">
        <v>0.177889104811157</v>
      </c>
      <c r="AR60">
        <v>4</v>
      </c>
      <c r="AS60">
        <v>1.01722196789785</v>
      </c>
      <c r="AT60" t="s">
        <v>87</v>
      </c>
      <c r="AU60">
        <v>812</v>
      </c>
      <c r="AV60">
        <v>0.118988924366406</v>
      </c>
      <c r="AW60">
        <v>59</v>
      </c>
      <c r="AX60">
        <f>AW60/$AA$17</f>
        <v>3.6874999999999998E-2</v>
      </c>
      <c r="AY60">
        <f>AQ60*$AA$16</f>
        <v>0.177889104811157</v>
      </c>
      <c r="AZ60">
        <f>AZ59+(AY60/$AA$17)</f>
        <v>3.1307228973134822E-2</v>
      </c>
    </row>
    <row r="61" spans="1:52" x14ac:dyDescent="0.25">
      <c r="A61">
        <v>50.218508012224397</v>
      </c>
      <c r="B61">
        <v>81.543810758066101</v>
      </c>
      <c r="C61">
        <v>2001</v>
      </c>
      <c r="AP61">
        <v>942</v>
      </c>
      <c r="AQ61">
        <v>0.169522329760461</v>
      </c>
      <c r="AR61">
        <v>6</v>
      </c>
      <c r="AS61">
        <v>1.01722196789785</v>
      </c>
      <c r="AT61" t="s">
        <v>87</v>
      </c>
      <c r="AU61">
        <v>353</v>
      </c>
      <c r="AV61">
        <v>0.11865465261041699</v>
      </c>
      <c r="AW61">
        <v>60</v>
      </c>
      <c r="AX61">
        <f>AW61/$AA$17</f>
        <v>3.7499999999999999E-2</v>
      </c>
      <c r="AY61">
        <f>AQ61*$AA$16</f>
        <v>0.169522329760461</v>
      </c>
      <c r="AZ61">
        <f>AZ60+(AY61/$AA$17)</f>
        <v>3.1413180429235112E-2</v>
      </c>
    </row>
    <row r="62" spans="1:52" x14ac:dyDescent="0.25">
      <c r="A62">
        <v>52.526371022927002</v>
      </c>
      <c r="B62">
        <v>83.851673768768705</v>
      </c>
      <c r="C62">
        <v>2001</v>
      </c>
      <c r="AP62">
        <v>381</v>
      </c>
      <c r="AQ62">
        <v>0.15118519085444901</v>
      </c>
      <c r="AR62">
        <v>6</v>
      </c>
      <c r="AS62">
        <v>1.01722196789785</v>
      </c>
      <c r="AT62" t="s">
        <v>87</v>
      </c>
      <c r="AU62">
        <v>780</v>
      </c>
      <c r="AV62">
        <v>0</v>
      </c>
      <c r="AW62">
        <v>61</v>
      </c>
      <c r="AX62">
        <f>AW62/$AA$17</f>
        <v>3.8124999999999999E-2</v>
      </c>
      <c r="AY62">
        <f>AQ62*$AA$16</f>
        <v>0.15118519085444901</v>
      </c>
      <c r="AZ62">
        <f>AZ61+(AY62/$AA$17)</f>
        <v>3.1507671173519144E-2</v>
      </c>
    </row>
    <row r="63" spans="1:52" x14ac:dyDescent="0.25">
      <c r="A63">
        <v>68.456189241933899</v>
      </c>
      <c r="B63">
        <v>99.781491987775595</v>
      </c>
      <c r="C63">
        <v>2001</v>
      </c>
      <c r="AP63">
        <v>394</v>
      </c>
      <c r="AQ63">
        <v>0.13867435984923299</v>
      </c>
      <c r="AR63">
        <v>6</v>
      </c>
      <c r="AS63">
        <v>1.01722196789785</v>
      </c>
      <c r="AT63" t="s">
        <v>87</v>
      </c>
      <c r="AU63">
        <v>352</v>
      </c>
      <c r="AV63">
        <v>0</v>
      </c>
      <c r="AW63">
        <v>62</v>
      </c>
      <c r="AX63">
        <f>AW63/$AA$17</f>
        <v>3.875E-2</v>
      </c>
      <c r="AY63">
        <f>AQ63*$AA$16</f>
        <v>0.13867435984923299</v>
      </c>
      <c r="AZ63">
        <f>AZ62+(AY63/$AA$17)</f>
        <v>3.1594342648424915E-2</v>
      </c>
    </row>
    <row r="64" spans="1:52" x14ac:dyDescent="0.25">
      <c r="A64">
        <v>100.357314434987</v>
      </c>
      <c r="B64">
        <v>131.682617180829</v>
      </c>
      <c r="C64">
        <v>2001</v>
      </c>
      <c r="AP64">
        <v>387</v>
      </c>
      <c r="AQ64">
        <v>0.123112294573932</v>
      </c>
      <c r="AR64">
        <v>6</v>
      </c>
      <c r="AS64">
        <v>1.01722196789785</v>
      </c>
      <c r="AT64" t="s">
        <v>87</v>
      </c>
      <c r="AU64">
        <v>348</v>
      </c>
      <c r="AV64">
        <v>0</v>
      </c>
      <c r="AW64">
        <v>63</v>
      </c>
      <c r="AX64">
        <f>AW64/$AA$17</f>
        <v>3.9375E-2</v>
      </c>
      <c r="AY64">
        <f>AQ64*$AA$16</f>
        <v>0.123112294573932</v>
      </c>
      <c r="AZ64">
        <f>AZ63+(AY64/$AA$17)</f>
        <v>3.1671287832533625E-2</v>
      </c>
    </row>
    <row r="65" spans="1:52" x14ac:dyDescent="0.25">
      <c r="A65">
        <v>118.674697254158</v>
      </c>
      <c r="B65">
        <v>150</v>
      </c>
      <c r="C65">
        <v>2001</v>
      </c>
      <c r="AP65">
        <v>397</v>
      </c>
      <c r="AQ65">
        <v>8.7223265233436806E-2</v>
      </c>
      <c r="AR65">
        <v>6</v>
      </c>
      <c r="AS65">
        <v>1.01722196789785</v>
      </c>
      <c r="AT65" t="s">
        <v>87</v>
      </c>
      <c r="AU65">
        <v>821</v>
      </c>
      <c r="AV65">
        <v>0</v>
      </c>
      <c r="AW65">
        <v>64</v>
      </c>
      <c r="AX65">
        <f>AW65/$AA$17</f>
        <v>0.04</v>
      </c>
      <c r="AY65">
        <f>AQ65*$AA$16</f>
        <v>8.7223265233436806E-2</v>
      </c>
      <c r="AZ65">
        <f>AZ64+(AY65/$AA$17)</f>
        <v>3.1725802373304524E-2</v>
      </c>
    </row>
    <row r="66" spans="1:52" x14ac:dyDescent="0.25">
      <c r="A66">
        <v>117.800665205261</v>
      </c>
      <c r="B66">
        <v>150</v>
      </c>
      <c r="C66">
        <v>2000</v>
      </c>
      <c r="AP66">
        <v>1083</v>
      </c>
      <c r="AQ66">
        <v>6.8726264647885699E-2</v>
      </c>
      <c r="AR66">
        <v>6</v>
      </c>
      <c r="AS66">
        <v>1.01722196789785</v>
      </c>
      <c r="AT66" t="s">
        <v>87</v>
      </c>
      <c r="AU66">
        <v>279</v>
      </c>
      <c r="AV66">
        <v>0.12322624704732001</v>
      </c>
      <c r="AW66">
        <v>65</v>
      </c>
      <c r="AX66">
        <f>AW66/$AA$17</f>
        <v>4.0625000000000001E-2</v>
      </c>
      <c r="AY66">
        <f>AQ66*$AA$16</f>
        <v>6.8726264647885699E-2</v>
      </c>
      <c r="AZ66">
        <f>AZ65+(AY66/$AA$17)</f>
        <v>3.1768756288709454E-2</v>
      </c>
    </row>
    <row r="67" spans="1:52" x14ac:dyDescent="0.25">
      <c r="A67">
        <v>99.642685565012897</v>
      </c>
      <c r="B67">
        <v>131.84202035975201</v>
      </c>
      <c r="C67">
        <v>2000</v>
      </c>
      <c r="AP67">
        <v>1082</v>
      </c>
      <c r="AQ67">
        <v>5.26043377587442E-2</v>
      </c>
      <c r="AR67">
        <v>6</v>
      </c>
      <c r="AS67">
        <v>1.01722196789785</v>
      </c>
      <c r="AT67" t="s">
        <v>87</v>
      </c>
      <c r="AU67">
        <v>25</v>
      </c>
      <c r="AV67">
        <v>0.12297972043158099</v>
      </c>
      <c r="AW67">
        <v>66</v>
      </c>
      <c r="AX67">
        <f>AW67/$AA$17</f>
        <v>4.1250000000000002E-2</v>
      </c>
      <c r="AY67">
        <f>AQ67*$AA$16</f>
        <v>5.26043377587442E-2</v>
      </c>
      <c r="AZ67">
        <f>AZ66+(AY67/$AA$17)</f>
        <v>3.1801633999808669E-2</v>
      </c>
    </row>
    <row r="68" spans="1:52" x14ac:dyDescent="0.25">
      <c r="A68">
        <v>68.019173217485104</v>
      </c>
      <c r="B68">
        <v>100.21850801222401</v>
      </c>
      <c r="C68">
        <v>2000</v>
      </c>
      <c r="AP68">
        <v>1133</v>
      </c>
      <c r="AQ68">
        <v>3.05360832321355E-2</v>
      </c>
      <c r="AR68">
        <v>6</v>
      </c>
      <c r="AS68">
        <v>1.01722196789785</v>
      </c>
      <c r="AT68" t="s">
        <v>87</v>
      </c>
      <c r="AU68">
        <v>353</v>
      </c>
      <c r="AV68">
        <v>0.124625009531664</v>
      </c>
      <c r="AW68">
        <v>67</v>
      </c>
      <c r="AX68">
        <f>AW68/$AA$17</f>
        <v>4.1875000000000002E-2</v>
      </c>
      <c r="AY68">
        <f>AQ68*$AA$16</f>
        <v>3.05360832321355E-2</v>
      </c>
      <c r="AZ68">
        <f>AZ67+(AY68/$AA$17)</f>
        <v>3.1820719051828754E-2</v>
      </c>
    </row>
    <row r="69" spans="1:52" x14ac:dyDescent="0.25">
      <c r="A69" t="s">
        <v>86</v>
      </c>
      <c r="AP69">
        <v>400</v>
      </c>
      <c r="AQ69">
        <v>2.5859034279733399E-2</v>
      </c>
      <c r="AR69">
        <v>6</v>
      </c>
      <c r="AS69">
        <v>1.01722196789785</v>
      </c>
      <c r="AT69" t="s">
        <v>87</v>
      </c>
      <c r="AU69">
        <v>827</v>
      </c>
      <c r="AV69">
        <v>0</v>
      </c>
      <c r="AW69">
        <v>68</v>
      </c>
      <c r="AX69">
        <f>AW69/$AA$17</f>
        <v>4.2500000000000003E-2</v>
      </c>
      <c r="AY69">
        <f>AQ69*$AA$16</f>
        <v>2.5859034279733399E-2</v>
      </c>
      <c r="AZ69">
        <f>AZ68+(AY69/$AA$17)</f>
        <v>3.1836880948253585E-2</v>
      </c>
    </row>
    <row r="70" spans="1:52" x14ac:dyDescent="0.25">
      <c r="A70">
        <v>815</v>
      </c>
      <c r="B70">
        <v>0</v>
      </c>
      <c r="C70">
        <v>123.929618756477</v>
      </c>
      <c r="D70">
        <v>32.820685639400303</v>
      </c>
      <c r="E70">
        <v>14</v>
      </c>
      <c r="F70">
        <v>1.01722196789785</v>
      </c>
      <c r="G70" t="s">
        <v>84</v>
      </c>
      <c r="H70" t="s">
        <v>83</v>
      </c>
      <c r="I70">
        <v>5</v>
      </c>
      <c r="J70">
        <v>0</v>
      </c>
      <c r="K70">
        <v>9.7654513304302804E-2</v>
      </c>
      <c r="AP70">
        <v>894</v>
      </c>
      <c r="AQ70">
        <v>1.19331557625131E-2</v>
      </c>
      <c r="AR70">
        <v>6</v>
      </c>
      <c r="AS70">
        <v>1.01722196789785</v>
      </c>
      <c r="AT70" t="s">
        <v>87</v>
      </c>
      <c r="AU70">
        <v>29</v>
      </c>
      <c r="AV70">
        <v>0.116465549931603</v>
      </c>
      <c r="AW70">
        <v>69</v>
      </c>
      <c r="AX70">
        <f>AW70/$AA$17</f>
        <v>4.3124999999999997E-2</v>
      </c>
      <c r="AY70">
        <f>AQ70*$AA$16</f>
        <v>1.19331557625131E-2</v>
      </c>
      <c r="AZ70">
        <f>AZ69+(AY70/$AA$17)</f>
        <v>3.1844339170605154E-2</v>
      </c>
    </row>
    <row r="71" spans="1:52" x14ac:dyDescent="0.25">
      <c r="A71" t="s">
        <v>85</v>
      </c>
      <c r="AP71">
        <v>870</v>
      </c>
      <c r="AQ71">
        <v>2.8258144851243099E-3</v>
      </c>
      <c r="AR71">
        <v>6</v>
      </c>
      <c r="AS71">
        <v>1.01722196789785</v>
      </c>
      <c r="AT71" t="s">
        <v>87</v>
      </c>
      <c r="AU71">
        <v>796</v>
      </c>
      <c r="AV71">
        <v>0.114536792619501</v>
      </c>
      <c r="AW71">
        <v>70</v>
      </c>
      <c r="AX71">
        <f>AW71/$AA$17</f>
        <v>4.3749999999999997E-2</v>
      </c>
      <c r="AY71">
        <f>AQ71*$AA$16</f>
        <v>2.8258144851243099E-3</v>
      </c>
      <c r="AZ71">
        <f>AZ70+(AY71/$AA$17)</f>
        <v>3.1846105304658354E-2</v>
      </c>
    </row>
    <row r="72" spans="1:52" x14ac:dyDescent="0.25">
      <c r="A72">
        <v>94.335608918777297</v>
      </c>
      <c r="B72">
        <v>126.61946846335201</v>
      </c>
      <c r="C72">
        <v>2000</v>
      </c>
    </row>
    <row r="73" spans="1:52" x14ac:dyDescent="0.25">
      <c r="A73">
        <v>67.4976324432008</v>
      </c>
      <c r="B73">
        <v>99.781491987775595</v>
      </c>
      <c r="C73">
        <v>2000</v>
      </c>
    </row>
    <row r="74" spans="1:52" x14ac:dyDescent="0.25">
      <c r="A74">
        <v>50.218508012224397</v>
      </c>
      <c r="B74">
        <v>82.5023675567992</v>
      </c>
      <c r="C74">
        <v>2000</v>
      </c>
    </row>
    <row r="75" spans="1:52" x14ac:dyDescent="0.25">
      <c r="A75">
        <v>17.4976324432008</v>
      </c>
      <c r="B75">
        <v>49.781491987775603</v>
      </c>
      <c r="C75">
        <v>2000</v>
      </c>
    </row>
    <row r="76" spans="1:52" x14ac:dyDescent="0.25">
      <c r="A76">
        <v>6.6584292518202099</v>
      </c>
      <c r="B76">
        <v>38.942288796395097</v>
      </c>
      <c r="C76">
        <v>2000</v>
      </c>
    </row>
    <row r="77" spans="1:52" x14ac:dyDescent="0.25">
      <c r="A77">
        <v>6.2214132273713902</v>
      </c>
      <c r="B77">
        <v>39.379304820843899</v>
      </c>
      <c r="C77">
        <v>2001</v>
      </c>
    </row>
    <row r="78" spans="1:52" x14ac:dyDescent="0.25">
      <c r="A78">
        <v>17.060616418751898</v>
      </c>
      <c r="B78">
        <v>50.218508012224397</v>
      </c>
      <c r="C78">
        <v>2001</v>
      </c>
    </row>
    <row r="79" spans="1:52" x14ac:dyDescent="0.25">
      <c r="A79">
        <v>49.781491987775603</v>
      </c>
      <c r="B79">
        <v>82.939383581247995</v>
      </c>
      <c r="C79">
        <v>2001</v>
      </c>
    </row>
    <row r="80" spans="1:52" x14ac:dyDescent="0.25">
      <c r="A80">
        <v>67.060616418752005</v>
      </c>
      <c r="B80">
        <v>100.21850801222401</v>
      </c>
      <c r="C80">
        <v>2001</v>
      </c>
    </row>
    <row r="81" spans="1:11" x14ac:dyDescent="0.25">
      <c r="A81">
        <v>93.807181185551698</v>
      </c>
      <c r="B81">
        <v>126.965072779024</v>
      </c>
      <c r="C81">
        <v>2001</v>
      </c>
    </row>
    <row r="82" spans="1:11" x14ac:dyDescent="0.25">
      <c r="A82">
        <v>99.725672322642893</v>
      </c>
      <c r="B82">
        <v>132.88356391611501</v>
      </c>
      <c r="C82">
        <v>2001</v>
      </c>
    </row>
    <row r="83" spans="1:11" x14ac:dyDescent="0.25">
      <c r="A83">
        <v>116.842108406528</v>
      </c>
      <c r="B83">
        <v>150</v>
      </c>
      <c r="C83">
        <v>2001</v>
      </c>
    </row>
    <row r="84" spans="1:11" x14ac:dyDescent="0.25">
      <c r="A84">
        <v>117.71614045542501</v>
      </c>
      <c r="B84">
        <v>150</v>
      </c>
      <c r="C84">
        <v>2000</v>
      </c>
    </row>
    <row r="85" spans="1:11" x14ac:dyDescent="0.25">
      <c r="A85">
        <v>100.27432767735699</v>
      </c>
      <c r="B85">
        <v>132.558187221932</v>
      </c>
      <c r="C85">
        <v>2000</v>
      </c>
    </row>
    <row r="86" spans="1:11" x14ac:dyDescent="0.25">
      <c r="A86" t="s">
        <v>86</v>
      </c>
    </row>
    <row r="87" spans="1:11" x14ac:dyDescent="0.25">
      <c r="A87">
        <v>587</v>
      </c>
      <c r="B87">
        <v>0</v>
      </c>
      <c r="C87">
        <v>96.356277855737801</v>
      </c>
      <c r="D87">
        <v>57.155685036008101</v>
      </c>
      <c r="E87">
        <v>14</v>
      </c>
      <c r="F87">
        <v>1.01722196789785</v>
      </c>
      <c r="G87" t="s">
        <v>84</v>
      </c>
      <c r="H87" t="s">
        <v>83</v>
      </c>
      <c r="I87">
        <v>37</v>
      </c>
      <c r="J87">
        <v>0</v>
      </c>
      <c r="K87">
        <v>0</v>
      </c>
    </row>
    <row r="88" spans="1:11" x14ac:dyDescent="0.25">
      <c r="A88" t="s">
        <v>85</v>
      </c>
    </row>
    <row r="89" spans="1:11" x14ac:dyDescent="0.25">
      <c r="A89">
        <v>109.38061039868001</v>
      </c>
      <c r="B89">
        <v>96.583062779441093</v>
      </c>
      <c r="C89">
        <v>2000</v>
      </c>
    </row>
    <row r="90" spans="1:11" x14ac:dyDescent="0.25">
      <c r="A90">
        <v>99.781491987775595</v>
      </c>
      <c r="B90">
        <v>86.983944368536797</v>
      </c>
      <c r="C90">
        <v>2000</v>
      </c>
    </row>
    <row r="91" spans="1:11" x14ac:dyDescent="0.25">
      <c r="A91">
        <v>63.016055631463203</v>
      </c>
      <c r="B91">
        <v>50.218508012224397</v>
      </c>
      <c r="C91">
        <v>2000</v>
      </c>
    </row>
    <row r="92" spans="1:11" x14ac:dyDescent="0.25">
      <c r="A92">
        <v>49.781491987775603</v>
      </c>
      <c r="B92">
        <v>36.983944368536797</v>
      </c>
      <c r="C92">
        <v>2000</v>
      </c>
    </row>
    <row r="93" spans="1:11" x14ac:dyDescent="0.25">
      <c r="A93">
        <v>41.232142033764397</v>
      </c>
      <c r="B93">
        <v>28.434594414525598</v>
      </c>
      <c r="C93">
        <v>2000</v>
      </c>
    </row>
    <row r="94" spans="1:11" x14ac:dyDescent="0.25">
      <c r="A94">
        <v>41.669158058213199</v>
      </c>
      <c r="B94">
        <v>27.997578390076701</v>
      </c>
      <c r="C94">
        <v>2001</v>
      </c>
    </row>
    <row r="95" spans="1:11" x14ac:dyDescent="0.25">
      <c r="A95">
        <v>50.218508012224397</v>
      </c>
      <c r="B95">
        <v>36.546928344088002</v>
      </c>
      <c r="C95">
        <v>2001</v>
      </c>
    </row>
    <row r="96" spans="1:11" x14ac:dyDescent="0.25">
      <c r="A96">
        <v>63.453071655912098</v>
      </c>
      <c r="B96">
        <v>49.781491987775603</v>
      </c>
      <c r="C96">
        <v>2001</v>
      </c>
    </row>
    <row r="97" spans="1:11" x14ac:dyDescent="0.25">
      <c r="A97">
        <v>100.21850801222401</v>
      </c>
      <c r="B97">
        <v>86.546928344087902</v>
      </c>
      <c r="C97">
        <v>2001</v>
      </c>
    </row>
    <row r="98" spans="1:11" x14ac:dyDescent="0.25">
      <c r="A98">
        <v>109.789044656672</v>
      </c>
      <c r="B98">
        <v>96.1174649885359</v>
      </c>
      <c r="C98">
        <v>2001</v>
      </c>
    </row>
    <row r="99" spans="1:11" x14ac:dyDescent="0.25">
      <c r="A99">
        <v>113.43333905216301</v>
      </c>
      <c r="B99">
        <v>99.761759384026305</v>
      </c>
      <c r="C99">
        <v>2001</v>
      </c>
    </row>
    <row r="100" spans="1:11" x14ac:dyDescent="0.25">
      <c r="A100">
        <v>150</v>
      </c>
      <c r="B100">
        <v>136.32842033186299</v>
      </c>
      <c r="C100">
        <v>2001</v>
      </c>
    </row>
    <row r="101" spans="1:11" x14ac:dyDescent="0.25">
      <c r="A101">
        <v>150</v>
      </c>
      <c r="B101">
        <v>137.202452380761</v>
      </c>
      <c r="C101">
        <v>2000</v>
      </c>
    </row>
    <row r="102" spans="1:11" x14ac:dyDescent="0.25">
      <c r="A102">
        <v>113.035788235212</v>
      </c>
      <c r="B102">
        <v>100.23824061597399</v>
      </c>
      <c r="C102">
        <v>2000</v>
      </c>
    </row>
    <row r="103" spans="1:11" x14ac:dyDescent="0.25">
      <c r="A103" t="s">
        <v>86</v>
      </c>
    </row>
    <row r="104" spans="1:11" x14ac:dyDescent="0.25">
      <c r="A104">
        <v>756</v>
      </c>
      <c r="B104">
        <v>0</v>
      </c>
      <c r="C104">
        <v>7.6414515443740099</v>
      </c>
      <c r="D104">
        <v>145.38589528025699</v>
      </c>
      <c r="E104">
        <v>14</v>
      </c>
      <c r="F104">
        <v>1.01722196789785</v>
      </c>
      <c r="G104" t="s">
        <v>83</v>
      </c>
      <c r="H104" t="s">
        <v>83</v>
      </c>
      <c r="I104">
        <v>0</v>
      </c>
      <c r="J104">
        <v>0</v>
      </c>
      <c r="K104">
        <v>9.5418080883047596E-2</v>
      </c>
    </row>
    <row r="105" spans="1:11" x14ac:dyDescent="0.25">
      <c r="A105" t="s">
        <v>85</v>
      </c>
    </row>
    <row r="106" spans="1:11" x14ac:dyDescent="0.25">
      <c r="A106">
        <v>46.903498477106197</v>
      </c>
      <c r="B106">
        <v>5.5471891482374298</v>
      </c>
      <c r="C106">
        <v>2000</v>
      </c>
    </row>
    <row r="107" spans="1:11" x14ac:dyDescent="0.25">
      <c r="A107">
        <v>41.356309328868697</v>
      </c>
      <c r="B107">
        <v>0</v>
      </c>
      <c r="C107">
        <v>2000</v>
      </c>
    </row>
    <row r="108" spans="1:11" x14ac:dyDescent="0.25">
      <c r="A108">
        <v>42.230341377766401</v>
      </c>
      <c r="B108">
        <v>0</v>
      </c>
      <c r="C108">
        <v>2001</v>
      </c>
    </row>
    <row r="109" spans="1:11" x14ac:dyDescent="0.25">
      <c r="A109">
        <v>47.489796639799501</v>
      </c>
      <c r="B109">
        <v>5.2594552620331303</v>
      </c>
      <c r="C109">
        <v>2001</v>
      </c>
    </row>
    <row r="110" spans="1:11" x14ac:dyDescent="0.25">
      <c r="A110">
        <v>50.218508012224397</v>
      </c>
      <c r="B110">
        <v>7.9881666344579996</v>
      </c>
      <c r="C110">
        <v>2001</v>
      </c>
    </row>
    <row r="111" spans="1:11" x14ac:dyDescent="0.25">
      <c r="A111">
        <v>92.011833365542003</v>
      </c>
      <c r="B111">
        <v>49.781491987775603</v>
      </c>
      <c r="C111">
        <v>2001</v>
      </c>
    </row>
    <row r="112" spans="1:11" x14ac:dyDescent="0.25">
      <c r="A112">
        <v>100.21850801222401</v>
      </c>
      <c r="B112">
        <v>57.988166634457997</v>
      </c>
      <c r="C112">
        <v>2001</v>
      </c>
    </row>
    <row r="113" spans="1:11" x14ac:dyDescent="0.25">
      <c r="A113">
        <v>141.829189836598</v>
      </c>
      <c r="B113">
        <v>99.598848458831597</v>
      </c>
      <c r="C113">
        <v>2001</v>
      </c>
    </row>
    <row r="114" spans="1:11" x14ac:dyDescent="0.25">
      <c r="A114">
        <v>150</v>
      </c>
      <c r="B114">
        <v>107.769658622234</v>
      </c>
      <c r="C114">
        <v>2001</v>
      </c>
    </row>
    <row r="115" spans="1:11" x14ac:dyDescent="0.25">
      <c r="A115">
        <v>150</v>
      </c>
      <c r="B115">
        <v>108.643690671131</v>
      </c>
      <c r="C115">
        <v>2000</v>
      </c>
    </row>
    <row r="116" spans="1:11" x14ac:dyDescent="0.25">
      <c r="A116">
        <v>141.75746087003699</v>
      </c>
      <c r="B116">
        <v>100.40115154116801</v>
      </c>
      <c r="C116">
        <v>2000</v>
      </c>
    </row>
    <row r="117" spans="1:11" x14ac:dyDescent="0.25">
      <c r="A117">
        <v>99.781491987775595</v>
      </c>
      <c r="B117">
        <v>58.425182658906799</v>
      </c>
      <c r="C117">
        <v>2000</v>
      </c>
    </row>
    <row r="118" spans="1:11" x14ac:dyDescent="0.25">
      <c r="A118">
        <v>91.574817341093194</v>
      </c>
      <c r="B118">
        <v>50.218508012224397</v>
      </c>
      <c r="C118">
        <v>2000</v>
      </c>
    </row>
    <row r="119" spans="1:11" x14ac:dyDescent="0.25">
      <c r="A119">
        <v>49.781491987775603</v>
      </c>
      <c r="B119">
        <v>8.4251826589068308</v>
      </c>
      <c r="C119">
        <v>2000</v>
      </c>
    </row>
    <row r="120" spans="1:11" x14ac:dyDescent="0.25">
      <c r="A120" t="s">
        <v>86</v>
      </c>
    </row>
    <row r="121" spans="1:11" x14ac:dyDescent="0.25">
      <c r="A121">
        <v>348</v>
      </c>
      <c r="B121">
        <v>0</v>
      </c>
      <c r="C121">
        <v>49.286382129631498</v>
      </c>
      <c r="D121">
        <v>98.352293419591703</v>
      </c>
      <c r="E121">
        <v>14</v>
      </c>
      <c r="F121">
        <v>1.01722196789785</v>
      </c>
      <c r="G121" t="s">
        <v>84</v>
      </c>
      <c r="H121" t="s">
        <v>83</v>
      </c>
      <c r="I121">
        <v>18</v>
      </c>
      <c r="J121">
        <v>0</v>
      </c>
      <c r="K121">
        <v>0</v>
      </c>
    </row>
    <row r="122" spans="1:11" x14ac:dyDescent="0.25">
      <c r="A122" t="s">
        <v>85</v>
      </c>
    </row>
    <row r="123" spans="1:11" x14ac:dyDescent="0.25">
      <c r="A123">
        <v>80.235918365533195</v>
      </c>
      <c r="B123">
        <v>71.123355011974397</v>
      </c>
      <c r="C123">
        <v>2000</v>
      </c>
    </row>
    <row r="124" spans="1:11" x14ac:dyDescent="0.25">
      <c r="A124">
        <v>59.331071365783302</v>
      </c>
      <c r="B124">
        <v>50.218508012224397</v>
      </c>
      <c r="C124">
        <v>2000</v>
      </c>
    </row>
    <row r="125" spans="1:11" x14ac:dyDescent="0.25">
      <c r="A125">
        <v>49.781491987775603</v>
      </c>
      <c r="B125">
        <v>40.668928634216698</v>
      </c>
      <c r="C125">
        <v>2000</v>
      </c>
    </row>
    <row r="126" spans="1:11" x14ac:dyDescent="0.25">
      <c r="A126">
        <v>45.385183341519301</v>
      </c>
      <c r="B126">
        <v>36.272619987960503</v>
      </c>
      <c r="C126">
        <v>2000</v>
      </c>
    </row>
    <row r="127" spans="1:11" x14ac:dyDescent="0.25">
      <c r="A127">
        <v>45.822199365968103</v>
      </c>
      <c r="B127">
        <v>35.835603963511602</v>
      </c>
      <c r="C127">
        <v>2001</v>
      </c>
    </row>
    <row r="128" spans="1:11" x14ac:dyDescent="0.25">
      <c r="A128">
        <v>50.218508012224397</v>
      </c>
      <c r="B128">
        <v>40.231912609767903</v>
      </c>
      <c r="C128">
        <v>2001</v>
      </c>
    </row>
    <row r="129" spans="1:11" x14ac:dyDescent="0.25">
      <c r="A129">
        <v>59.768087390232097</v>
      </c>
      <c r="B129">
        <v>49.781491987775603</v>
      </c>
      <c r="C129">
        <v>2001</v>
      </c>
    </row>
    <row r="130" spans="1:11" x14ac:dyDescent="0.25">
      <c r="A130">
        <v>80.672934389982004</v>
      </c>
      <c r="B130">
        <v>70.686338987525502</v>
      </c>
      <c r="C130">
        <v>2001</v>
      </c>
    </row>
    <row r="131" spans="1:11" x14ac:dyDescent="0.25">
      <c r="A131">
        <v>100.21850801222401</v>
      </c>
      <c r="B131">
        <v>90.231912609767903</v>
      </c>
      <c r="C131">
        <v>2001</v>
      </c>
    </row>
    <row r="132" spans="1:11" x14ac:dyDescent="0.25">
      <c r="A132">
        <v>109.726354198083</v>
      </c>
      <c r="B132">
        <v>99.739758795626202</v>
      </c>
      <c r="C132">
        <v>2001</v>
      </c>
    </row>
    <row r="133" spans="1:11" x14ac:dyDescent="0.25">
      <c r="A133">
        <v>150</v>
      </c>
      <c r="B133">
        <v>140.013404597543</v>
      </c>
      <c r="C133">
        <v>2001</v>
      </c>
    </row>
    <row r="134" spans="1:11" x14ac:dyDescent="0.25">
      <c r="A134">
        <v>150</v>
      </c>
      <c r="B134">
        <v>140.88743664644099</v>
      </c>
      <c r="C134">
        <v>2000</v>
      </c>
    </row>
    <row r="135" spans="1:11" x14ac:dyDescent="0.25">
      <c r="A135">
        <v>109.37280455793299</v>
      </c>
      <c r="B135">
        <v>100.260241204374</v>
      </c>
      <c r="C135">
        <v>2000</v>
      </c>
    </row>
    <row r="136" spans="1:11" x14ac:dyDescent="0.25">
      <c r="A136">
        <v>99.781491987775595</v>
      </c>
      <c r="B136">
        <v>90.668928634216698</v>
      </c>
      <c r="C136">
        <v>2000</v>
      </c>
    </row>
    <row r="137" spans="1:11" x14ac:dyDescent="0.25">
      <c r="A137" t="s">
        <v>86</v>
      </c>
    </row>
    <row r="138" spans="1:11" x14ac:dyDescent="0.25">
      <c r="A138">
        <v>841</v>
      </c>
      <c r="B138">
        <v>0</v>
      </c>
      <c r="C138">
        <v>139.72575248207801</v>
      </c>
      <c r="D138">
        <v>7.2249796996710201</v>
      </c>
      <c r="E138">
        <v>14</v>
      </c>
      <c r="F138">
        <v>1.01722196789785</v>
      </c>
      <c r="G138" t="s">
        <v>83</v>
      </c>
      <c r="H138" t="s">
        <v>83</v>
      </c>
      <c r="I138">
        <v>0</v>
      </c>
      <c r="J138">
        <v>0</v>
      </c>
      <c r="K138">
        <v>9.9556456091539305E-2</v>
      </c>
    </row>
    <row r="139" spans="1:11" x14ac:dyDescent="0.25">
      <c r="A139" t="s">
        <v>85</v>
      </c>
    </row>
    <row r="140" spans="1:11" x14ac:dyDescent="0.25">
      <c r="A140">
        <v>98.532572239159805</v>
      </c>
      <c r="B140">
        <v>145.05972903756501</v>
      </c>
      <c r="C140">
        <v>2000</v>
      </c>
    </row>
    <row r="141" spans="1:11" x14ac:dyDescent="0.25">
      <c r="A141">
        <v>53.691351213818798</v>
      </c>
      <c r="B141">
        <v>100.21850801222401</v>
      </c>
      <c r="C141">
        <v>2000</v>
      </c>
    </row>
    <row r="142" spans="1:11" x14ac:dyDescent="0.25">
      <c r="A142">
        <v>49.781491987775603</v>
      </c>
      <c r="B142">
        <v>96.308648786181095</v>
      </c>
      <c r="C142">
        <v>2000</v>
      </c>
    </row>
    <row r="143" spans="1:11" x14ac:dyDescent="0.25">
      <c r="A143">
        <v>3.8927725146920298</v>
      </c>
      <c r="B143">
        <v>50.419929313097597</v>
      </c>
      <c r="C143">
        <v>2000</v>
      </c>
    </row>
    <row r="144" spans="1:11" x14ac:dyDescent="0.25">
      <c r="A144">
        <v>0</v>
      </c>
      <c r="B144">
        <v>46.527156798405599</v>
      </c>
      <c r="C144">
        <v>2000</v>
      </c>
    </row>
    <row r="145" spans="1:11" x14ac:dyDescent="0.25">
      <c r="A145">
        <v>0</v>
      </c>
      <c r="B145">
        <v>45.653124749507903</v>
      </c>
      <c r="C145">
        <v>2001</v>
      </c>
    </row>
    <row r="146" spans="1:11" x14ac:dyDescent="0.25">
      <c r="A146">
        <v>3.92694593739443</v>
      </c>
      <c r="B146">
        <v>49.580070686902403</v>
      </c>
      <c r="C146">
        <v>2001</v>
      </c>
    </row>
    <row r="147" spans="1:11" x14ac:dyDescent="0.25">
      <c r="A147">
        <v>50.218508012224397</v>
      </c>
      <c r="B147">
        <v>95.8716327617323</v>
      </c>
      <c r="C147">
        <v>2001</v>
      </c>
    </row>
    <row r="148" spans="1:11" x14ac:dyDescent="0.25">
      <c r="A148">
        <v>54.1283672382676</v>
      </c>
      <c r="B148">
        <v>99.781491987775595</v>
      </c>
      <c r="C148">
        <v>2001</v>
      </c>
    </row>
    <row r="149" spans="1:11" x14ac:dyDescent="0.25">
      <c r="A149">
        <v>99.069481933781702</v>
      </c>
      <c r="B149">
        <v>144.72260668329</v>
      </c>
      <c r="C149">
        <v>2001</v>
      </c>
    </row>
    <row r="150" spans="1:11" x14ac:dyDescent="0.25">
      <c r="A150">
        <v>100.269788849192</v>
      </c>
      <c r="B150">
        <v>145.92291359870001</v>
      </c>
      <c r="C150">
        <v>2001</v>
      </c>
    </row>
    <row r="151" spans="1:11" x14ac:dyDescent="0.25">
      <c r="A151">
        <v>104.346875250492</v>
      </c>
      <c r="B151">
        <v>150</v>
      </c>
      <c r="C151">
        <v>2001</v>
      </c>
    </row>
    <row r="152" spans="1:11" x14ac:dyDescent="0.25">
      <c r="A152">
        <v>103.472843201594</v>
      </c>
      <c r="B152">
        <v>150</v>
      </c>
      <c r="C152">
        <v>2000</v>
      </c>
    </row>
    <row r="153" spans="1:11" x14ac:dyDescent="0.25">
      <c r="A153">
        <v>99.730211150807605</v>
      </c>
      <c r="B153">
        <v>146.25736794921301</v>
      </c>
      <c r="C153">
        <v>2000</v>
      </c>
    </row>
    <row r="154" spans="1:11" x14ac:dyDescent="0.25">
      <c r="A154" t="s">
        <v>86</v>
      </c>
    </row>
    <row r="155" spans="1:11" x14ac:dyDescent="0.25">
      <c r="A155">
        <v>743</v>
      </c>
      <c r="B155">
        <v>0</v>
      </c>
      <c r="C155">
        <v>51.914000219842201</v>
      </c>
      <c r="D155">
        <v>83.726929060569205</v>
      </c>
      <c r="E155">
        <v>12</v>
      </c>
      <c r="F155">
        <v>1.01722196789785</v>
      </c>
      <c r="G155" t="s">
        <v>83</v>
      </c>
      <c r="H155" t="s">
        <v>84</v>
      </c>
      <c r="I155">
        <v>0</v>
      </c>
      <c r="J155">
        <v>407</v>
      </c>
      <c r="K155">
        <v>9.5111036399799301E-2</v>
      </c>
    </row>
    <row r="156" spans="1:11" x14ac:dyDescent="0.25">
      <c r="A156" t="s">
        <v>85</v>
      </c>
    </row>
    <row r="157" spans="1:11" x14ac:dyDescent="0.25">
      <c r="A157">
        <v>36.874415722140299</v>
      </c>
      <c r="B157">
        <v>76.447607002427304</v>
      </c>
      <c r="C157">
        <v>2000</v>
      </c>
    </row>
    <row r="158" spans="1:11" x14ac:dyDescent="0.25">
      <c r="A158">
        <v>10.049256726162399</v>
      </c>
      <c r="B158">
        <v>49.622448006449297</v>
      </c>
      <c r="C158">
        <v>2000</v>
      </c>
    </row>
    <row r="159" spans="1:11" x14ac:dyDescent="0.25">
      <c r="A159">
        <v>0</v>
      </c>
      <c r="B159">
        <v>39.573191280286999</v>
      </c>
      <c r="C159">
        <v>2000</v>
      </c>
    </row>
    <row r="160" spans="1:11" x14ac:dyDescent="0.25">
      <c r="A160">
        <v>0</v>
      </c>
      <c r="B160">
        <v>40.447223329184602</v>
      </c>
      <c r="C160">
        <v>2001</v>
      </c>
    </row>
    <row r="161" spans="1:11" x14ac:dyDescent="0.25">
      <c r="A161">
        <v>9.9303286643660709</v>
      </c>
      <c r="B161">
        <v>50.377551993550703</v>
      </c>
      <c r="C161">
        <v>2001</v>
      </c>
    </row>
    <row r="162" spans="1:11" x14ac:dyDescent="0.25">
      <c r="A162">
        <v>36.543067465800299</v>
      </c>
      <c r="B162">
        <v>76.990290794984901</v>
      </c>
      <c r="C162">
        <v>2001</v>
      </c>
    </row>
    <row r="163" spans="1:11" x14ac:dyDescent="0.25">
      <c r="A163">
        <v>49.781491987775603</v>
      </c>
      <c r="B163">
        <v>90.228715316960105</v>
      </c>
      <c r="C163">
        <v>2001</v>
      </c>
    </row>
    <row r="164" spans="1:11" x14ac:dyDescent="0.25">
      <c r="A164">
        <v>59.771284683039802</v>
      </c>
      <c r="B164">
        <v>100.21850801222401</v>
      </c>
      <c r="C164">
        <v>2001</v>
      </c>
    </row>
    <row r="165" spans="1:11" x14ac:dyDescent="0.25">
      <c r="A165">
        <v>95.694112888399403</v>
      </c>
      <c r="B165">
        <v>136.14133621758401</v>
      </c>
      <c r="C165">
        <v>2001</v>
      </c>
    </row>
    <row r="166" spans="1:11" x14ac:dyDescent="0.25">
      <c r="A166">
        <v>96.131128912848197</v>
      </c>
      <c r="B166">
        <v>135.704320193135</v>
      </c>
      <c r="C166">
        <v>2000</v>
      </c>
    </row>
    <row r="167" spans="1:11" x14ac:dyDescent="0.25">
      <c r="A167">
        <v>60.208300707488704</v>
      </c>
      <c r="B167">
        <v>99.781491987775595</v>
      </c>
      <c r="C167">
        <v>2000</v>
      </c>
    </row>
    <row r="168" spans="1:11" x14ac:dyDescent="0.25">
      <c r="A168">
        <v>50.218508012224397</v>
      </c>
      <c r="B168">
        <v>89.791699292511296</v>
      </c>
      <c r="C168">
        <v>2000</v>
      </c>
    </row>
    <row r="169" spans="1:11" x14ac:dyDescent="0.25">
      <c r="A169" t="s">
        <v>86</v>
      </c>
    </row>
    <row r="170" spans="1:11" x14ac:dyDescent="0.25">
      <c r="A170">
        <v>110</v>
      </c>
      <c r="B170">
        <v>0</v>
      </c>
      <c r="C170">
        <v>51.609862502236503</v>
      </c>
      <c r="D170">
        <v>80.554723012344297</v>
      </c>
      <c r="E170">
        <v>10</v>
      </c>
      <c r="F170">
        <v>1.01722196789785</v>
      </c>
      <c r="G170" t="s">
        <v>83</v>
      </c>
      <c r="H170" t="s">
        <v>83</v>
      </c>
      <c r="I170">
        <v>0</v>
      </c>
      <c r="J170">
        <v>0</v>
      </c>
      <c r="K170">
        <v>0</v>
      </c>
    </row>
    <row r="171" spans="1:11" x14ac:dyDescent="0.25">
      <c r="A171" t="s">
        <v>85</v>
      </c>
    </row>
    <row r="172" spans="1:11" x14ac:dyDescent="0.25">
      <c r="A172">
        <v>36.310177625554701</v>
      </c>
      <c r="B172">
        <v>93.292718999934195</v>
      </c>
      <c r="C172">
        <v>2000</v>
      </c>
    </row>
    <row r="173" spans="1:11" x14ac:dyDescent="0.25">
      <c r="A173">
        <v>0</v>
      </c>
      <c r="B173">
        <v>56.982541374379501</v>
      </c>
      <c r="C173">
        <v>2000</v>
      </c>
    </row>
    <row r="174" spans="1:11" x14ac:dyDescent="0.25">
      <c r="A174">
        <v>0</v>
      </c>
      <c r="B174">
        <v>56.108509325481798</v>
      </c>
      <c r="C174">
        <v>2001</v>
      </c>
    </row>
    <row r="175" spans="1:11" x14ac:dyDescent="0.25">
      <c r="A175">
        <v>36.677189877318803</v>
      </c>
      <c r="B175">
        <v>92.7856992028006</v>
      </c>
      <c r="C175">
        <v>2001</v>
      </c>
    </row>
    <row r="176" spans="1:11" x14ac:dyDescent="0.25">
      <c r="A176">
        <v>43.672982662293798</v>
      </c>
      <c r="B176">
        <v>99.781491987775595</v>
      </c>
      <c r="C176">
        <v>2001</v>
      </c>
    </row>
    <row r="177" spans="1:11" x14ac:dyDescent="0.25">
      <c r="A177">
        <v>50.247113006888</v>
      </c>
      <c r="B177">
        <v>106.35562233237</v>
      </c>
      <c r="C177">
        <v>2001</v>
      </c>
    </row>
    <row r="178" spans="1:11" x14ac:dyDescent="0.25">
      <c r="A178">
        <v>93.891490674518195</v>
      </c>
      <c r="B178">
        <v>150</v>
      </c>
      <c r="C178">
        <v>2001</v>
      </c>
    </row>
    <row r="179" spans="1:11" x14ac:dyDescent="0.25">
      <c r="A179">
        <v>93.017458625620606</v>
      </c>
      <c r="B179">
        <v>150</v>
      </c>
      <c r="C179">
        <v>2000</v>
      </c>
    </row>
    <row r="180" spans="1:11" x14ac:dyDescent="0.25">
      <c r="A180">
        <v>49.752886993112</v>
      </c>
      <c r="B180">
        <v>106.735428367491</v>
      </c>
      <c r="C180">
        <v>2000</v>
      </c>
    </row>
    <row r="181" spans="1:11" x14ac:dyDescent="0.25">
      <c r="A181">
        <v>43.235966637845003</v>
      </c>
      <c r="B181">
        <v>100.21850801222401</v>
      </c>
      <c r="C181">
        <v>2000</v>
      </c>
    </row>
    <row r="182" spans="1:11" x14ac:dyDescent="0.25">
      <c r="A182" t="s">
        <v>86</v>
      </c>
    </row>
    <row r="183" spans="1:11" x14ac:dyDescent="0.25">
      <c r="A183">
        <v>844</v>
      </c>
      <c r="B183">
        <v>0</v>
      </c>
      <c r="C183">
        <v>38.542540841014201</v>
      </c>
      <c r="D183">
        <v>92.509941365845904</v>
      </c>
      <c r="E183">
        <v>12</v>
      </c>
      <c r="F183">
        <v>1.01722196789785</v>
      </c>
      <c r="G183" t="s">
        <v>84</v>
      </c>
      <c r="H183" t="s">
        <v>83</v>
      </c>
      <c r="I183">
        <v>646</v>
      </c>
      <c r="J183">
        <v>0</v>
      </c>
      <c r="K183">
        <v>9.9772326816260498E-2</v>
      </c>
    </row>
    <row r="184" spans="1:11" x14ac:dyDescent="0.25">
      <c r="A184" t="s">
        <v>85</v>
      </c>
    </row>
    <row r="185" spans="1:11" x14ac:dyDescent="0.25">
      <c r="A185">
        <v>84.804101145264895</v>
      </c>
      <c r="B185">
        <v>73.679298379313593</v>
      </c>
      <c r="C185">
        <v>2000</v>
      </c>
    </row>
    <row r="186" spans="1:11" x14ac:dyDescent="0.25">
      <c r="A186">
        <v>60.906294753726897</v>
      </c>
      <c r="B186">
        <v>49.781491987775603</v>
      </c>
      <c r="C186">
        <v>2000</v>
      </c>
    </row>
    <row r="187" spans="1:11" x14ac:dyDescent="0.25">
      <c r="A187">
        <v>57.550409152424301</v>
      </c>
      <c r="B187">
        <v>46.425606386473</v>
      </c>
      <c r="C187">
        <v>2000</v>
      </c>
    </row>
    <row r="188" spans="1:11" x14ac:dyDescent="0.25">
      <c r="A188">
        <v>57.113393127975499</v>
      </c>
      <c r="B188">
        <v>46.862622410921901</v>
      </c>
      <c r="C188">
        <v>2001</v>
      </c>
    </row>
    <row r="189" spans="1:11" x14ac:dyDescent="0.25">
      <c r="A189">
        <v>60.469278729278102</v>
      </c>
      <c r="B189">
        <v>50.218508012224397</v>
      </c>
      <c r="C189">
        <v>2001</v>
      </c>
    </row>
    <row r="190" spans="1:11" x14ac:dyDescent="0.25">
      <c r="A190">
        <v>84.3670851208161</v>
      </c>
      <c r="B190">
        <v>74.116314403762402</v>
      </c>
      <c r="C190">
        <v>2001</v>
      </c>
    </row>
    <row r="191" spans="1:11" x14ac:dyDescent="0.25">
      <c r="A191">
        <v>99.781491987775595</v>
      </c>
      <c r="B191">
        <v>89.530721270721898</v>
      </c>
      <c r="C191">
        <v>2001</v>
      </c>
    </row>
    <row r="192" spans="1:11" x14ac:dyDescent="0.25">
      <c r="A192">
        <v>110.515986069997</v>
      </c>
      <c r="B192">
        <v>100.265215352944</v>
      </c>
      <c r="C192">
        <v>2001</v>
      </c>
    </row>
    <row r="193" spans="1:11" x14ac:dyDescent="0.25">
      <c r="A193">
        <v>150</v>
      </c>
      <c r="B193">
        <v>139.749229282946</v>
      </c>
      <c r="C193">
        <v>2001</v>
      </c>
    </row>
    <row r="194" spans="1:11" x14ac:dyDescent="0.25">
      <c r="A194">
        <v>150</v>
      </c>
      <c r="B194">
        <v>138.87519723404901</v>
      </c>
      <c r="C194">
        <v>2000</v>
      </c>
    </row>
    <row r="195" spans="1:11" x14ac:dyDescent="0.25">
      <c r="A195">
        <v>110.859587413008</v>
      </c>
      <c r="B195">
        <v>99.734784647056301</v>
      </c>
      <c r="C195">
        <v>2000</v>
      </c>
    </row>
    <row r="196" spans="1:11" x14ac:dyDescent="0.25">
      <c r="A196">
        <v>100.21850801222401</v>
      </c>
      <c r="B196">
        <v>89.093705246273103</v>
      </c>
      <c r="C196">
        <v>2000</v>
      </c>
    </row>
    <row r="197" spans="1:11" x14ac:dyDescent="0.25">
      <c r="A197" t="s">
        <v>86</v>
      </c>
    </row>
    <row r="198" spans="1:11" x14ac:dyDescent="0.25">
      <c r="A198">
        <v>782</v>
      </c>
      <c r="B198">
        <v>0</v>
      </c>
      <c r="C198">
        <v>5.6158049885327399</v>
      </c>
      <c r="D198">
        <v>118.818207544213</v>
      </c>
      <c r="E198">
        <v>12</v>
      </c>
      <c r="F198">
        <v>1.01722196789785</v>
      </c>
      <c r="G198" t="s">
        <v>83</v>
      </c>
      <c r="H198" t="s">
        <v>84</v>
      </c>
      <c r="I198">
        <v>0</v>
      </c>
      <c r="J198">
        <v>585</v>
      </c>
      <c r="K198">
        <v>9.6278525939506795E-2</v>
      </c>
    </row>
    <row r="199" spans="1:11" x14ac:dyDescent="0.25">
      <c r="A199" t="s">
        <v>85</v>
      </c>
    </row>
    <row r="200" spans="1:11" x14ac:dyDescent="0.25">
      <c r="A200">
        <v>40.513253410653697</v>
      </c>
      <c r="B200">
        <v>4.0372754010203504</v>
      </c>
      <c r="C200">
        <v>2000</v>
      </c>
    </row>
    <row r="201" spans="1:11" x14ac:dyDescent="0.25">
      <c r="A201">
        <v>36.475978009633302</v>
      </c>
      <c r="B201">
        <v>0</v>
      </c>
      <c r="C201">
        <v>2000</v>
      </c>
    </row>
    <row r="202" spans="1:11" x14ac:dyDescent="0.25">
      <c r="A202">
        <v>37.350010058530998</v>
      </c>
      <c r="B202">
        <v>0</v>
      </c>
      <c r="C202">
        <v>2001</v>
      </c>
    </row>
    <row r="203" spans="1:11" x14ac:dyDescent="0.25">
      <c r="A203">
        <v>41.254682235936102</v>
      </c>
      <c r="B203">
        <v>3.9046721774051401</v>
      </c>
      <c r="C203">
        <v>2001</v>
      </c>
    </row>
    <row r="204" spans="1:11" x14ac:dyDescent="0.25">
      <c r="A204">
        <v>50.218508012224397</v>
      </c>
      <c r="B204">
        <v>12.868497953693399</v>
      </c>
      <c r="C204">
        <v>2001</v>
      </c>
    </row>
    <row r="205" spans="1:11" x14ac:dyDescent="0.25">
      <c r="A205">
        <v>87.131502046306593</v>
      </c>
      <c r="B205">
        <v>49.781491987775603</v>
      </c>
      <c r="C205">
        <v>2001</v>
      </c>
    </row>
    <row r="206" spans="1:11" x14ac:dyDescent="0.25">
      <c r="A206">
        <v>100.21850801222401</v>
      </c>
      <c r="B206">
        <v>62.868497953693399</v>
      </c>
      <c r="C206">
        <v>2001</v>
      </c>
    </row>
    <row r="207" spans="1:11" x14ac:dyDescent="0.25">
      <c r="A207">
        <v>125.11963611846301</v>
      </c>
      <c r="B207">
        <v>87.769626059932307</v>
      </c>
      <c r="C207">
        <v>2001</v>
      </c>
    </row>
    <row r="208" spans="1:11" x14ac:dyDescent="0.25">
      <c r="A208">
        <v>124.682620094014</v>
      </c>
      <c r="B208">
        <v>88.206642084381102</v>
      </c>
      <c r="C208">
        <v>2000</v>
      </c>
    </row>
    <row r="209" spans="1:11" x14ac:dyDescent="0.25">
      <c r="A209">
        <v>99.781491987775595</v>
      </c>
      <c r="B209">
        <v>63.305513978142201</v>
      </c>
      <c r="C209">
        <v>2000</v>
      </c>
    </row>
    <row r="210" spans="1:11" x14ac:dyDescent="0.25">
      <c r="A210">
        <v>86.694486021857699</v>
      </c>
      <c r="B210">
        <v>50.218508012224397</v>
      </c>
      <c r="C210">
        <v>2000</v>
      </c>
    </row>
    <row r="211" spans="1:11" x14ac:dyDescent="0.25">
      <c r="A211">
        <v>49.781491987775603</v>
      </c>
      <c r="B211">
        <v>13.3055139781422</v>
      </c>
      <c r="C211">
        <v>2000</v>
      </c>
    </row>
    <row r="212" spans="1:11" x14ac:dyDescent="0.25">
      <c r="A212" t="s">
        <v>86</v>
      </c>
    </row>
    <row r="213" spans="1:11" x14ac:dyDescent="0.25">
      <c r="A213">
        <v>582</v>
      </c>
      <c r="B213">
        <v>0</v>
      </c>
      <c r="C213">
        <v>119.071092059828</v>
      </c>
      <c r="D213">
        <v>2.9166036700337901</v>
      </c>
      <c r="E213">
        <v>12</v>
      </c>
      <c r="F213">
        <v>1.01722196789785</v>
      </c>
      <c r="G213" t="s">
        <v>83</v>
      </c>
      <c r="H213" t="s">
        <v>84</v>
      </c>
      <c r="I213">
        <v>0</v>
      </c>
      <c r="J213">
        <v>562</v>
      </c>
      <c r="K213">
        <v>0</v>
      </c>
    </row>
    <row r="214" spans="1:11" x14ac:dyDescent="0.25">
      <c r="A214" t="s">
        <v>85</v>
      </c>
    </row>
    <row r="215" spans="1:11" x14ac:dyDescent="0.25">
      <c r="A215">
        <v>127.55382806973699</v>
      </c>
      <c r="B215">
        <v>84.414484651016494</v>
      </c>
      <c r="C215">
        <v>2000</v>
      </c>
    </row>
    <row r="216" spans="1:11" x14ac:dyDescent="0.25">
      <c r="A216">
        <v>99.781491987775595</v>
      </c>
      <c r="B216">
        <v>56.642148569055202</v>
      </c>
      <c r="C216">
        <v>2000</v>
      </c>
    </row>
    <row r="217" spans="1:11" x14ac:dyDescent="0.25">
      <c r="A217">
        <v>93.357851430944805</v>
      </c>
      <c r="B217">
        <v>50.218508012224397</v>
      </c>
      <c r="C217">
        <v>2000</v>
      </c>
    </row>
    <row r="218" spans="1:11" x14ac:dyDescent="0.25">
      <c r="A218">
        <v>49.591056314137496</v>
      </c>
      <c r="B218">
        <v>6.4517128954171001</v>
      </c>
      <c r="C218">
        <v>2000</v>
      </c>
    </row>
    <row r="219" spans="1:11" x14ac:dyDescent="0.25">
      <c r="A219">
        <v>43.139343418720401</v>
      </c>
      <c r="B219">
        <v>0</v>
      </c>
      <c r="C219">
        <v>2000</v>
      </c>
    </row>
    <row r="220" spans="1:11" x14ac:dyDescent="0.25">
      <c r="A220">
        <v>44.013375467618097</v>
      </c>
      <c r="B220">
        <v>0</v>
      </c>
      <c r="C220">
        <v>2001</v>
      </c>
    </row>
    <row r="221" spans="1:11" x14ac:dyDescent="0.25">
      <c r="A221">
        <v>50.408943685862504</v>
      </c>
      <c r="B221">
        <v>6.39556821824441</v>
      </c>
      <c r="C221">
        <v>2001</v>
      </c>
    </row>
    <row r="222" spans="1:11" x14ac:dyDescent="0.25">
      <c r="A222">
        <v>93.7948674553936</v>
      </c>
      <c r="B222">
        <v>49.781491987775603</v>
      </c>
      <c r="C222">
        <v>2001</v>
      </c>
    </row>
    <row r="223" spans="1:11" x14ac:dyDescent="0.25">
      <c r="A223">
        <v>100.21850801222401</v>
      </c>
      <c r="B223">
        <v>56.2051325446063</v>
      </c>
      <c r="C223">
        <v>2001</v>
      </c>
    </row>
    <row r="224" spans="1:11" x14ac:dyDescent="0.25">
      <c r="A224">
        <v>127.990844094186</v>
      </c>
      <c r="B224">
        <v>83.977468626567699</v>
      </c>
      <c r="C224">
        <v>2001</v>
      </c>
    </row>
    <row r="225" spans="1:11" x14ac:dyDescent="0.25">
      <c r="A225">
        <v>130.05319432729999</v>
      </c>
      <c r="B225">
        <v>86.0398188596821</v>
      </c>
      <c r="C225">
        <v>2001</v>
      </c>
    </row>
    <row r="226" spans="1:11" x14ac:dyDescent="0.25">
      <c r="A226">
        <v>129.61617830285101</v>
      </c>
      <c r="B226">
        <v>86.476834884130895</v>
      </c>
      <c r="C226">
        <v>2000</v>
      </c>
    </row>
    <row r="227" spans="1:11" x14ac:dyDescent="0.25">
      <c r="A227" t="s">
        <v>86</v>
      </c>
    </row>
    <row r="228" spans="1:11" x14ac:dyDescent="0.25">
      <c r="A228">
        <v>275</v>
      </c>
      <c r="B228">
        <v>0</v>
      </c>
      <c r="C228">
        <v>111.909140502593</v>
      </c>
      <c r="D228">
        <v>8.3348510215094205</v>
      </c>
      <c r="E228">
        <v>14</v>
      </c>
      <c r="F228">
        <v>1.01722196789785</v>
      </c>
      <c r="G228" t="s">
        <v>84</v>
      </c>
      <c r="H228" t="s">
        <v>84</v>
      </c>
      <c r="I228">
        <v>20</v>
      </c>
      <c r="J228">
        <v>263</v>
      </c>
      <c r="K228">
        <v>0</v>
      </c>
    </row>
    <row r="229" spans="1:11" x14ac:dyDescent="0.25">
      <c r="A229" t="s">
        <v>85</v>
      </c>
    </row>
    <row r="230" spans="1:11" x14ac:dyDescent="0.25">
      <c r="A230">
        <v>122.16240106157601</v>
      </c>
      <c r="B230">
        <v>118.45024440458999</v>
      </c>
      <c r="C230">
        <v>2000</v>
      </c>
    </row>
    <row r="231" spans="1:11" x14ac:dyDescent="0.25">
      <c r="A231">
        <v>103.493648644762</v>
      </c>
      <c r="B231">
        <v>99.781491987775595</v>
      </c>
      <c r="C231">
        <v>2000</v>
      </c>
    </row>
    <row r="232" spans="1:11" x14ac:dyDescent="0.25">
      <c r="A232">
        <v>100.21850801222401</v>
      </c>
      <c r="B232">
        <v>96.506351355237896</v>
      </c>
      <c r="C232">
        <v>2000</v>
      </c>
    </row>
    <row r="233" spans="1:11" x14ac:dyDescent="0.25">
      <c r="A233">
        <v>53.493648644762096</v>
      </c>
      <c r="B233">
        <v>49.781491987775603</v>
      </c>
      <c r="C233">
        <v>2000</v>
      </c>
    </row>
    <row r="234" spans="1:11" x14ac:dyDescent="0.25">
      <c r="A234">
        <v>50.218508012224397</v>
      </c>
      <c r="B234">
        <v>46.506351355237904</v>
      </c>
      <c r="C234">
        <v>2000</v>
      </c>
    </row>
    <row r="235" spans="1:11" x14ac:dyDescent="0.25">
      <c r="A235">
        <v>43.030688935434902</v>
      </c>
      <c r="B235">
        <v>39.318532278448401</v>
      </c>
      <c r="C235">
        <v>2000</v>
      </c>
    </row>
    <row r="236" spans="1:11" x14ac:dyDescent="0.25">
      <c r="A236">
        <v>42.593672910986101</v>
      </c>
      <c r="B236">
        <v>39.755548302897303</v>
      </c>
      <c r="C236">
        <v>2001</v>
      </c>
    </row>
    <row r="237" spans="1:11" x14ac:dyDescent="0.25">
      <c r="A237">
        <v>49.781491987775603</v>
      </c>
      <c r="B237">
        <v>46.943367379686698</v>
      </c>
      <c r="C237">
        <v>2001</v>
      </c>
    </row>
    <row r="238" spans="1:11" x14ac:dyDescent="0.25">
      <c r="A238">
        <v>53.056632620313302</v>
      </c>
      <c r="B238">
        <v>50.218508012224397</v>
      </c>
      <c r="C238">
        <v>2001</v>
      </c>
    </row>
    <row r="239" spans="1:11" x14ac:dyDescent="0.25">
      <c r="A239">
        <v>99.781491987775595</v>
      </c>
      <c r="B239">
        <v>96.943367379686705</v>
      </c>
      <c r="C239">
        <v>2001</v>
      </c>
    </row>
    <row r="240" spans="1:11" x14ac:dyDescent="0.25">
      <c r="A240">
        <v>103.056632620313</v>
      </c>
      <c r="B240">
        <v>100.21850801222401</v>
      </c>
      <c r="C240">
        <v>2001</v>
      </c>
    </row>
    <row r="241" spans="1:11" x14ac:dyDescent="0.25">
      <c r="A241">
        <v>121.725385037127</v>
      </c>
      <c r="B241">
        <v>118.887260429039</v>
      </c>
      <c r="C241">
        <v>2001</v>
      </c>
    </row>
    <row r="242" spans="1:11" x14ac:dyDescent="0.25">
      <c r="A242">
        <v>127.619014714616</v>
      </c>
      <c r="B242">
        <v>124.780890106527</v>
      </c>
      <c r="C242">
        <v>2001</v>
      </c>
    </row>
    <row r="243" spans="1:11" x14ac:dyDescent="0.25">
      <c r="A243">
        <v>128.05603073906499</v>
      </c>
      <c r="B243">
        <v>124.343874082079</v>
      </c>
      <c r="C243">
        <v>2000</v>
      </c>
    </row>
    <row r="244" spans="1:11" x14ac:dyDescent="0.25">
      <c r="A244" t="s">
        <v>86</v>
      </c>
    </row>
    <row r="245" spans="1:11" x14ac:dyDescent="0.25">
      <c r="A245">
        <v>857</v>
      </c>
      <c r="B245">
        <v>0</v>
      </c>
      <c r="C245">
        <v>6.8835274672821596</v>
      </c>
      <c r="D245">
        <v>112.917915641566</v>
      </c>
      <c r="E245">
        <v>10</v>
      </c>
      <c r="F245">
        <v>1.01722196789785</v>
      </c>
      <c r="G245" t="s">
        <v>83</v>
      </c>
      <c r="H245" t="s">
        <v>84</v>
      </c>
      <c r="I245">
        <v>0</v>
      </c>
      <c r="J245">
        <v>564</v>
      </c>
      <c r="K245">
        <v>0.10154742324603699</v>
      </c>
    </row>
    <row r="246" spans="1:11" x14ac:dyDescent="0.25">
      <c r="A246" t="s">
        <v>85</v>
      </c>
    </row>
    <row r="247" spans="1:11" x14ac:dyDescent="0.25">
      <c r="A247">
        <v>63.950340128284999</v>
      </c>
      <c r="B247">
        <v>4.8416544610824399</v>
      </c>
      <c r="C247">
        <v>2000</v>
      </c>
    </row>
    <row r="248" spans="1:11" x14ac:dyDescent="0.25">
      <c r="A248">
        <v>59.1086856672026</v>
      </c>
      <c r="B248">
        <v>0</v>
      </c>
      <c r="C248">
        <v>2000</v>
      </c>
    </row>
    <row r="249" spans="1:11" x14ac:dyDescent="0.25">
      <c r="A249">
        <v>58.234653618304897</v>
      </c>
      <c r="B249">
        <v>0</v>
      </c>
      <c r="C249">
        <v>2001</v>
      </c>
    </row>
    <row r="250" spans="1:11" x14ac:dyDescent="0.25">
      <c r="A250">
        <v>63.127777058420598</v>
      </c>
      <c r="B250">
        <v>4.8931234401157004</v>
      </c>
      <c r="C250">
        <v>2001</v>
      </c>
    </row>
    <row r="251" spans="1:11" x14ac:dyDescent="0.25">
      <c r="A251">
        <v>99.781491987775595</v>
      </c>
      <c r="B251">
        <v>41.546838369470699</v>
      </c>
      <c r="C251">
        <v>2001</v>
      </c>
    </row>
    <row r="252" spans="1:11" x14ac:dyDescent="0.25">
      <c r="A252">
        <v>108.453161630529</v>
      </c>
      <c r="B252">
        <v>50.218508012224397</v>
      </c>
      <c r="C252">
        <v>2001</v>
      </c>
    </row>
    <row r="253" spans="1:11" x14ac:dyDescent="0.25">
      <c r="A253">
        <v>143.16557444873001</v>
      </c>
      <c r="B253">
        <v>84.930920830425507</v>
      </c>
      <c r="C253">
        <v>2001</v>
      </c>
    </row>
    <row r="254" spans="1:11" x14ac:dyDescent="0.25">
      <c r="A254">
        <v>143.60259047317899</v>
      </c>
      <c r="B254">
        <v>84.493904805976698</v>
      </c>
      <c r="C254">
        <v>2000</v>
      </c>
    </row>
    <row r="255" spans="1:11" x14ac:dyDescent="0.25">
      <c r="A255">
        <v>108.890177654978</v>
      </c>
      <c r="B255">
        <v>49.781491987775603</v>
      </c>
      <c r="C255">
        <v>2000</v>
      </c>
    </row>
    <row r="256" spans="1:11" x14ac:dyDescent="0.25">
      <c r="A256">
        <v>100.21850801222401</v>
      </c>
      <c r="B256">
        <v>41.109822345021797</v>
      </c>
      <c r="C256">
        <v>2000</v>
      </c>
    </row>
    <row r="257" spans="1:11" x14ac:dyDescent="0.25">
      <c r="A257" t="s">
        <v>86</v>
      </c>
    </row>
    <row r="258" spans="1:11" x14ac:dyDescent="0.25">
      <c r="A258">
        <v>586</v>
      </c>
      <c r="B258">
        <v>0</v>
      </c>
      <c r="C258">
        <v>70.723958623553997</v>
      </c>
      <c r="D258">
        <v>44.941224281863903</v>
      </c>
      <c r="E258">
        <v>10</v>
      </c>
      <c r="F258">
        <v>1.01722196789785</v>
      </c>
      <c r="G258" t="s">
        <v>84</v>
      </c>
      <c r="H258" t="s">
        <v>83</v>
      </c>
      <c r="I258">
        <v>655</v>
      </c>
      <c r="J258">
        <v>0</v>
      </c>
      <c r="K258">
        <v>0</v>
      </c>
    </row>
    <row r="259" spans="1:11" x14ac:dyDescent="0.25">
      <c r="A259" t="s">
        <v>85</v>
      </c>
    </row>
    <row r="260" spans="1:11" x14ac:dyDescent="0.25">
      <c r="A260">
        <v>118.06386003269</v>
      </c>
      <c r="B260">
        <v>62.478063651526803</v>
      </c>
      <c r="C260">
        <v>2000</v>
      </c>
    </row>
    <row r="261" spans="1:11" x14ac:dyDescent="0.25">
      <c r="A261">
        <v>105.804304393387</v>
      </c>
      <c r="B261">
        <v>50.218508012224397</v>
      </c>
      <c r="C261">
        <v>2000</v>
      </c>
    </row>
    <row r="262" spans="1:11" x14ac:dyDescent="0.25">
      <c r="A262">
        <v>99.781491987775595</v>
      </c>
      <c r="B262">
        <v>44.195695606612603</v>
      </c>
      <c r="C262">
        <v>2000</v>
      </c>
    </row>
    <row r="263" spans="1:11" x14ac:dyDescent="0.25">
      <c r="A263">
        <v>67.993856808172296</v>
      </c>
      <c r="B263">
        <v>12.408060427009399</v>
      </c>
      <c r="C263">
        <v>2000</v>
      </c>
    </row>
    <row r="264" spans="1:11" x14ac:dyDescent="0.25">
      <c r="A264">
        <v>68.430872832621105</v>
      </c>
      <c r="B264">
        <v>11.9710444025605</v>
      </c>
      <c r="C264">
        <v>2001</v>
      </c>
    </row>
    <row r="265" spans="1:11" x14ac:dyDescent="0.25">
      <c r="A265">
        <v>100.21850801222401</v>
      </c>
      <c r="B265">
        <v>43.758679582163801</v>
      </c>
      <c r="C265">
        <v>2001</v>
      </c>
    </row>
    <row r="266" spans="1:11" x14ac:dyDescent="0.25">
      <c r="A266">
        <v>106.24132041783599</v>
      </c>
      <c r="B266">
        <v>49.781491987775603</v>
      </c>
      <c r="C266">
        <v>2001</v>
      </c>
    </row>
    <row r="267" spans="1:11" x14ac:dyDescent="0.25">
      <c r="A267">
        <v>118.37965107824699</v>
      </c>
      <c r="B267">
        <v>61.919822648186702</v>
      </c>
      <c r="C267">
        <v>2001</v>
      </c>
    </row>
    <row r="268" spans="1:11" x14ac:dyDescent="0.25">
      <c r="A268">
        <v>150</v>
      </c>
      <c r="B268">
        <v>93.540171569939403</v>
      </c>
      <c r="C268">
        <v>2001</v>
      </c>
    </row>
    <row r="269" spans="1:11" x14ac:dyDescent="0.25">
      <c r="A269">
        <v>150</v>
      </c>
      <c r="B269">
        <v>94.414203618837107</v>
      </c>
      <c r="C269">
        <v>2000</v>
      </c>
    </row>
    <row r="270" spans="1:11" x14ac:dyDescent="0.25">
      <c r="A270" t="s">
        <v>86</v>
      </c>
    </row>
    <row r="271" spans="1:11" x14ac:dyDescent="0.25">
      <c r="A271">
        <v>432</v>
      </c>
      <c r="B271">
        <v>0</v>
      </c>
      <c r="C271">
        <v>112.243032528781</v>
      </c>
      <c r="D271">
        <v>3.1087550921219198</v>
      </c>
      <c r="E271">
        <v>10</v>
      </c>
      <c r="F271">
        <v>1.01722196789785</v>
      </c>
      <c r="G271" t="s">
        <v>83</v>
      </c>
      <c r="H271" t="s">
        <v>84</v>
      </c>
      <c r="I271">
        <v>0</v>
      </c>
      <c r="J271">
        <v>726</v>
      </c>
      <c r="K271">
        <v>0</v>
      </c>
    </row>
    <row r="272" spans="1:11" x14ac:dyDescent="0.25">
      <c r="A272" t="s">
        <v>85</v>
      </c>
    </row>
    <row r="273" spans="1:11" x14ac:dyDescent="0.25">
      <c r="A273">
        <v>79.586317454267601</v>
      </c>
      <c r="B273">
        <v>143.169838439291</v>
      </c>
      <c r="C273">
        <v>2000</v>
      </c>
    </row>
    <row r="274" spans="1:11" x14ac:dyDescent="0.25">
      <c r="A274">
        <v>50.218508012224397</v>
      </c>
      <c r="B274">
        <v>113.802028997248</v>
      </c>
      <c r="C274">
        <v>2000</v>
      </c>
    </row>
    <row r="275" spans="1:11" x14ac:dyDescent="0.25">
      <c r="A275">
        <v>36.136699009306902</v>
      </c>
      <c r="B275">
        <v>99.720219994330407</v>
      </c>
      <c r="C275">
        <v>2000</v>
      </c>
    </row>
    <row r="276" spans="1:11" x14ac:dyDescent="0.25">
      <c r="A276">
        <v>0</v>
      </c>
      <c r="B276">
        <v>63.583520985023497</v>
      </c>
      <c r="C276">
        <v>2000</v>
      </c>
    </row>
    <row r="277" spans="1:11" x14ac:dyDescent="0.25">
      <c r="A277">
        <v>0</v>
      </c>
      <c r="B277">
        <v>64.457553033921101</v>
      </c>
      <c r="C277">
        <v>2001</v>
      </c>
    </row>
    <row r="278" spans="1:11" x14ac:dyDescent="0.25">
      <c r="A278">
        <v>35.822226971748499</v>
      </c>
      <c r="B278">
        <v>100.27978000567001</v>
      </c>
      <c r="C278">
        <v>2001</v>
      </c>
    </row>
    <row r="279" spans="1:11" x14ac:dyDescent="0.25">
      <c r="A279">
        <v>49.781491987775603</v>
      </c>
      <c r="B279">
        <v>114.239045021697</v>
      </c>
      <c r="C279">
        <v>2001</v>
      </c>
    </row>
    <row r="280" spans="1:11" x14ac:dyDescent="0.25">
      <c r="A280">
        <v>79.149301429818806</v>
      </c>
      <c r="B280">
        <v>143.60685446374001</v>
      </c>
      <c r="C280">
        <v>2001</v>
      </c>
    </row>
    <row r="281" spans="1:11" x14ac:dyDescent="0.25">
      <c r="A281">
        <v>81.347523236506404</v>
      </c>
      <c r="B281">
        <v>145.805076270428</v>
      </c>
      <c r="C281">
        <v>2001</v>
      </c>
    </row>
    <row r="282" spans="1:11" x14ac:dyDescent="0.25">
      <c r="A282">
        <v>81.784539260955299</v>
      </c>
      <c r="B282">
        <v>145.368060245979</v>
      </c>
      <c r="C282">
        <v>2000</v>
      </c>
    </row>
    <row r="283" spans="1:11" x14ac:dyDescent="0.25">
      <c r="A283" t="s">
        <v>86</v>
      </c>
    </row>
    <row r="284" spans="1:11" x14ac:dyDescent="0.25">
      <c r="A284">
        <v>821</v>
      </c>
      <c r="B284">
        <v>0</v>
      </c>
      <c r="C284">
        <v>25.073923488046798</v>
      </c>
      <c r="D284">
        <v>89.404273057767995</v>
      </c>
      <c r="E284">
        <v>10</v>
      </c>
      <c r="F284">
        <v>1.01722196789785</v>
      </c>
      <c r="G284" t="s">
        <v>84</v>
      </c>
      <c r="H284" t="s">
        <v>83</v>
      </c>
      <c r="I284">
        <v>824</v>
      </c>
      <c r="J284">
        <v>0</v>
      </c>
      <c r="K284">
        <v>9.7911421572511204E-2</v>
      </c>
    </row>
    <row r="285" spans="1:11" x14ac:dyDescent="0.25">
      <c r="A285" t="s">
        <v>85</v>
      </c>
    </row>
    <row r="286" spans="1:11" x14ac:dyDescent="0.25">
      <c r="A286">
        <v>87.000140266022896</v>
      </c>
      <c r="B286">
        <v>69.830268510542794</v>
      </c>
      <c r="C286">
        <v>2000</v>
      </c>
    </row>
    <row r="287" spans="1:11" x14ac:dyDescent="0.25">
      <c r="A287">
        <v>69.270198936672301</v>
      </c>
      <c r="B287">
        <v>52.100327181192199</v>
      </c>
      <c r="C287">
        <v>2000</v>
      </c>
    </row>
    <row r="288" spans="1:11" x14ac:dyDescent="0.25">
      <c r="A288">
        <v>68.833182912223506</v>
      </c>
      <c r="B288">
        <v>52.537343205641001</v>
      </c>
      <c r="C288">
        <v>2001</v>
      </c>
    </row>
    <row r="289" spans="1:11" x14ac:dyDescent="0.25">
      <c r="A289">
        <v>86.563124241574101</v>
      </c>
      <c r="B289">
        <v>70.267284534991603</v>
      </c>
      <c r="C289">
        <v>2001</v>
      </c>
    </row>
    <row r="290" spans="1:11" x14ac:dyDescent="0.25">
      <c r="A290">
        <v>99.781491987775595</v>
      </c>
      <c r="B290">
        <v>83.485652281193097</v>
      </c>
      <c r="C290">
        <v>2001</v>
      </c>
    </row>
    <row r="291" spans="1:11" x14ac:dyDescent="0.25">
      <c r="A291">
        <v>116.587472979699</v>
      </c>
      <c r="B291">
        <v>100.291633273117</v>
      </c>
      <c r="C291">
        <v>2001</v>
      </c>
    </row>
    <row r="292" spans="1:11" x14ac:dyDescent="0.25">
      <c r="A292">
        <v>150</v>
      </c>
      <c r="B292">
        <v>133.704160293417</v>
      </c>
      <c r="C292">
        <v>2001</v>
      </c>
    </row>
    <row r="293" spans="1:11" x14ac:dyDescent="0.25">
      <c r="A293">
        <v>150</v>
      </c>
      <c r="B293">
        <v>132.83012824452001</v>
      </c>
      <c r="C293">
        <v>2000</v>
      </c>
    </row>
    <row r="294" spans="1:11" x14ac:dyDescent="0.25">
      <c r="A294">
        <v>116.878238482363</v>
      </c>
      <c r="B294">
        <v>99.708366726883099</v>
      </c>
      <c r="C294">
        <v>2000</v>
      </c>
    </row>
    <row r="295" spans="1:11" x14ac:dyDescent="0.25">
      <c r="A295">
        <v>100.21850801222401</v>
      </c>
      <c r="B295">
        <v>83.048636256744302</v>
      </c>
      <c r="C295">
        <v>2000</v>
      </c>
    </row>
    <row r="296" spans="1:11" x14ac:dyDescent="0.25">
      <c r="A296" t="s">
        <v>86</v>
      </c>
    </row>
    <row r="297" spans="1:11" x14ac:dyDescent="0.25">
      <c r="A297">
        <v>849</v>
      </c>
      <c r="B297">
        <v>0</v>
      </c>
      <c r="C297">
        <v>33.113781771726103</v>
      </c>
      <c r="D297">
        <v>79.983266174974005</v>
      </c>
      <c r="E297">
        <v>12</v>
      </c>
      <c r="F297">
        <v>1.01722196789785</v>
      </c>
      <c r="G297" t="s">
        <v>84</v>
      </c>
      <c r="H297" t="s">
        <v>83</v>
      </c>
      <c r="I297">
        <v>643</v>
      </c>
      <c r="J297">
        <v>0</v>
      </c>
      <c r="K297">
        <v>0.10079278485724499</v>
      </c>
    </row>
    <row r="298" spans="1:11" x14ac:dyDescent="0.25">
      <c r="A298" t="s">
        <v>85</v>
      </c>
    </row>
    <row r="299" spans="1:11" x14ac:dyDescent="0.25">
      <c r="A299">
        <v>93.661798118451699</v>
      </c>
      <c r="B299">
        <v>58.838523156404598</v>
      </c>
      <c r="C299">
        <v>2000</v>
      </c>
    </row>
    <row r="300" spans="1:11" x14ac:dyDescent="0.25">
      <c r="A300">
        <v>84.604766949822704</v>
      </c>
      <c r="B300">
        <v>49.781491987775603</v>
      </c>
      <c r="C300">
        <v>2000</v>
      </c>
    </row>
    <row r="301" spans="1:11" x14ac:dyDescent="0.25">
      <c r="A301">
        <v>70.246818476932702</v>
      </c>
      <c r="B301">
        <v>35.423543514885502</v>
      </c>
      <c r="C301">
        <v>2000</v>
      </c>
    </row>
    <row r="302" spans="1:11" x14ac:dyDescent="0.25">
      <c r="A302">
        <v>69.809802452483893</v>
      </c>
      <c r="B302">
        <v>35.860559539334403</v>
      </c>
      <c r="C302">
        <v>2001</v>
      </c>
    </row>
    <row r="303" spans="1:11" x14ac:dyDescent="0.25">
      <c r="A303">
        <v>84.167750925373895</v>
      </c>
      <c r="B303">
        <v>50.218508012224397</v>
      </c>
      <c r="C303">
        <v>2001</v>
      </c>
    </row>
    <row r="304" spans="1:11" x14ac:dyDescent="0.25">
      <c r="A304">
        <v>93.224782094002904</v>
      </c>
      <c r="B304">
        <v>59.2755391808534</v>
      </c>
      <c r="C304">
        <v>2001</v>
      </c>
    </row>
    <row r="305" spans="1:11" x14ac:dyDescent="0.25">
      <c r="A305">
        <v>99.781491987775595</v>
      </c>
      <c r="B305">
        <v>65.832249074626105</v>
      </c>
      <c r="C305">
        <v>2001</v>
      </c>
    </row>
    <row r="306" spans="1:11" x14ac:dyDescent="0.25">
      <c r="A306">
        <v>134.31802438714001</v>
      </c>
      <c r="B306">
        <v>100.36878147399</v>
      </c>
      <c r="C306">
        <v>2001</v>
      </c>
    </row>
    <row r="307" spans="1:11" x14ac:dyDescent="0.25">
      <c r="A307">
        <v>150</v>
      </c>
      <c r="B307">
        <v>116.05075708685</v>
      </c>
      <c r="C307">
        <v>2001</v>
      </c>
    </row>
    <row r="308" spans="1:11" x14ac:dyDescent="0.25">
      <c r="A308">
        <v>150</v>
      </c>
      <c r="B308">
        <v>115.17672503795301</v>
      </c>
      <c r="C308">
        <v>2000</v>
      </c>
    </row>
    <row r="309" spans="1:11" x14ac:dyDescent="0.25">
      <c r="A309">
        <v>134.45449348805701</v>
      </c>
      <c r="B309">
        <v>99.631218526009803</v>
      </c>
      <c r="C309">
        <v>2000</v>
      </c>
    </row>
    <row r="310" spans="1:11" x14ac:dyDescent="0.25">
      <c r="A310">
        <v>100.21850801222401</v>
      </c>
      <c r="B310">
        <v>65.395233050177296</v>
      </c>
      <c r="C310">
        <v>2000</v>
      </c>
    </row>
    <row r="311" spans="1:11" x14ac:dyDescent="0.25">
      <c r="A311" t="s">
        <v>86</v>
      </c>
    </row>
    <row r="312" spans="1:11" x14ac:dyDescent="0.25">
      <c r="A312">
        <v>115</v>
      </c>
      <c r="B312">
        <v>0</v>
      </c>
      <c r="C312">
        <v>17.104046619759401</v>
      </c>
      <c r="D312">
        <v>93.468998304222893</v>
      </c>
      <c r="E312">
        <v>10</v>
      </c>
      <c r="F312">
        <v>1.01722196789785</v>
      </c>
      <c r="G312" t="s">
        <v>84</v>
      </c>
      <c r="H312" t="s">
        <v>83</v>
      </c>
      <c r="I312">
        <v>107</v>
      </c>
      <c r="J312">
        <v>0</v>
      </c>
      <c r="K312">
        <v>0</v>
      </c>
    </row>
    <row r="313" spans="1:11" x14ac:dyDescent="0.25">
      <c r="A313" t="s">
        <v>85</v>
      </c>
    </row>
    <row r="314" spans="1:11" x14ac:dyDescent="0.25">
      <c r="A314">
        <v>24.0540056172965</v>
      </c>
      <c r="B314">
        <v>83.6889294561458</v>
      </c>
      <c r="C314">
        <v>2000</v>
      </c>
    </row>
    <row r="315" spans="1:11" x14ac:dyDescent="0.25">
      <c r="A315">
        <v>11.9596182667338</v>
      </c>
      <c r="B315">
        <v>71.594542105583002</v>
      </c>
      <c r="C315">
        <v>2000</v>
      </c>
    </row>
    <row r="316" spans="1:11" x14ac:dyDescent="0.25">
      <c r="A316">
        <v>11.522602242284901</v>
      </c>
      <c r="B316">
        <v>72.031558130031797</v>
      </c>
      <c r="C316">
        <v>2001</v>
      </c>
    </row>
    <row r="317" spans="1:11" x14ac:dyDescent="0.25">
      <c r="A317">
        <v>23.616989592847698</v>
      </c>
      <c r="B317">
        <v>84.125945480594595</v>
      </c>
      <c r="C317">
        <v>2001</v>
      </c>
    </row>
    <row r="318" spans="1:11" x14ac:dyDescent="0.25">
      <c r="A318">
        <v>39.709552124477497</v>
      </c>
      <c r="B318">
        <v>100.21850801222401</v>
      </c>
      <c r="C318">
        <v>2001</v>
      </c>
    </row>
    <row r="319" spans="1:11" x14ac:dyDescent="0.25">
      <c r="A319">
        <v>49.737475996600097</v>
      </c>
      <c r="B319">
        <v>110.246431884347</v>
      </c>
      <c r="C319">
        <v>2001</v>
      </c>
    </row>
    <row r="320" spans="1:11" x14ac:dyDescent="0.25">
      <c r="A320">
        <v>89.491044112253206</v>
      </c>
      <c r="B320">
        <v>150</v>
      </c>
      <c r="C320">
        <v>2001</v>
      </c>
    </row>
    <row r="321" spans="1:11" x14ac:dyDescent="0.25">
      <c r="A321">
        <v>90.365076161150796</v>
      </c>
      <c r="B321">
        <v>150</v>
      </c>
      <c r="C321">
        <v>2000</v>
      </c>
    </row>
    <row r="322" spans="1:11" x14ac:dyDescent="0.25">
      <c r="A322">
        <v>50.262524003399903</v>
      </c>
      <c r="B322">
        <v>109.89744784224899</v>
      </c>
      <c r="C322">
        <v>2000</v>
      </c>
    </row>
    <row r="323" spans="1:11" x14ac:dyDescent="0.25">
      <c r="A323">
        <v>40.146568148926299</v>
      </c>
      <c r="B323">
        <v>99.781491987775595</v>
      </c>
      <c r="C323">
        <v>2000</v>
      </c>
    </row>
    <row r="324" spans="1:11" x14ac:dyDescent="0.25">
      <c r="A324" t="s">
        <v>86</v>
      </c>
    </row>
    <row r="325" spans="1:11" x14ac:dyDescent="0.25">
      <c r="A325">
        <v>778</v>
      </c>
      <c r="B325">
        <v>0</v>
      </c>
      <c r="C325">
        <v>105.055958766252</v>
      </c>
      <c r="D325">
        <v>4.7165636478436896</v>
      </c>
      <c r="E325">
        <v>10</v>
      </c>
      <c r="F325">
        <v>1.01722196789785</v>
      </c>
      <c r="G325" t="s">
        <v>83</v>
      </c>
      <c r="H325" t="s">
        <v>83</v>
      </c>
      <c r="I325">
        <v>0</v>
      </c>
      <c r="J325">
        <v>0</v>
      </c>
      <c r="K325">
        <v>9.6278525939506795E-2</v>
      </c>
    </row>
    <row r="326" spans="1:11" x14ac:dyDescent="0.25">
      <c r="A326" t="s">
        <v>85</v>
      </c>
    </row>
    <row r="327" spans="1:11" x14ac:dyDescent="0.25">
      <c r="A327">
        <v>146.63850187998</v>
      </c>
      <c r="B327">
        <v>74.696412891388803</v>
      </c>
      <c r="C327">
        <v>2000</v>
      </c>
    </row>
    <row r="328" spans="1:11" x14ac:dyDescent="0.25">
      <c r="A328">
        <v>122.160597000816</v>
      </c>
      <c r="B328">
        <v>50.218508012224397</v>
      </c>
      <c r="C328">
        <v>2000</v>
      </c>
    </row>
    <row r="329" spans="1:11" x14ac:dyDescent="0.25">
      <c r="A329">
        <v>99.683691712740398</v>
      </c>
      <c r="B329">
        <v>27.741602724148802</v>
      </c>
      <c r="C329">
        <v>2000</v>
      </c>
    </row>
    <row r="330" spans="1:11" x14ac:dyDescent="0.25">
      <c r="A330">
        <v>71.942088988591607</v>
      </c>
      <c r="B330">
        <v>0</v>
      </c>
      <c r="C330">
        <v>2000</v>
      </c>
    </row>
    <row r="331" spans="1:11" x14ac:dyDescent="0.25">
      <c r="A331">
        <v>72.816121037489197</v>
      </c>
      <c r="B331">
        <v>0</v>
      </c>
      <c r="C331">
        <v>2001</v>
      </c>
    </row>
    <row r="332" spans="1:11" x14ac:dyDescent="0.25">
      <c r="A332">
        <v>100.31630828726</v>
      </c>
      <c r="B332">
        <v>27.500187249770399</v>
      </c>
      <c r="C332">
        <v>2001</v>
      </c>
    </row>
    <row r="333" spans="1:11" x14ac:dyDescent="0.25">
      <c r="A333">
        <v>122.59761302526501</v>
      </c>
      <c r="B333">
        <v>49.781491987775603</v>
      </c>
      <c r="C333">
        <v>2001</v>
      </c>
    </row>
    <row r="334" spans="1:11" x14ac:dyDescent="0.25">
      <c r="A334">
        <v>146.69126984144299</v>
      </c>
      <c r="B334">
        <v>73.875148803953806</v>
      </c>
      <c r="C334">
        <v>2001</v>
      </c>
    </row>
    <row r="335" spans="1:11" x14ac:dyDescent="0.25">
      <c r="A335">
        <v>150</v>
      </c>
      <c r="B335">
        <v>77.183878962510704</v>
      </c>
      <c r="C335">
        <v>2001</v>
      </c>
    </row>
    <row r="336" spans="1:11" x14ac:dyDescent="0.25">
      <c r="A336">
        <v>150</v>
      </c>
      <c r="B336">
        <v>78.057911011408393</v>
      </c>
      <c r="C336">
        <v>2000</v>
      </c>
    </row>
    <row r="337" spans="1:11" x14ac:dyDescent="0.25">
      <c r="A337" t="s">
        <v>86</v>
      </c>
    </row>
    <row r="338" spans="1:11" x14ac:dyDescent="0.25">
      <c r="A338">
        <v>343</v>
      </c>
      <c r="B338">
        <v>0</v>
      </c>
      <c r="C338">
        <v>102.046509029801</v>
      </c>
      <c r="D338">
        <v>7.6422942158387199</v>
      </c>
      <c r="E338">
        <v>10</v>
      </c>
      <c r="F338">
        <v>1.01722196789785</v>
      </c>
      <c r="G338" t="s">
        <v>84</v>
      </c>
      <c r="H338" t="s">
        <v>84</v>
      </c>
      <c r="I338">
        <v>15</v>
      </c>
      <c r="J338">
        <v>355</v>
      </c>
      <c r="K338">
        <v>0</v>
      </c>
    </row>
    <row r="339" spans="1:11" x14ac:dyDescent="0.25">
      <c r="A339" t="s">
        <v>85</v>
      </c>
    </row>
    <row r="340" spans="1:11" x14ac:dyDescent="0.25">
      <c r="A340">
        <v>72.979497947250394</v>
      </c>
      <c r="B340">
        <v>78.216688367643499</v>
      </c>
      <c r="C340">
        <v>2000</v>
      </c>
    </row>
    <row r="341" spans="1:11" x14ac:dyDescent="0.25">
      <c r="A341">
        <v>50.218508012224397</v>
      </c>
      <c r="B341">
        <v>55.455698432617503</v>
      </c>
      <c r="C341">
        <v>2000</v>
      </c>
    </row>
    <row r="342" spans="1:11" x14ac:dyDescent="0.25">
      <c r="A342">
        <v>44.544301567382497</v>
      </c>
      <c r="B342">
        <v>49.781491987775603</v>
      </c>
      <c r="C342">
        <v>2000</v>
      </c>
    </row>
    <row r="343" spans="1:11" x14ac:dyDescent="0.25">
      <c r="A343">
        <v>0.82171941586401598</v>
      </c>
      <c r="B343">
        <v>6.0589098362571496</v>
      </c>
      <c r="C343">
        <v>2000</v>
      </c>
    </row>
    <row r="344" spans="1:11" x14ac:dyDescent="0.25">
      <c r="A344">
        <v>0.384703391415195</v>
      </c>
      <c r="B344">
        <v>6.4959258607059702</v>
      </c>
      <c r="C344">
        <v>2001</v>
      </c>
    </row>
    <row r="345" spans="1:11" x14ac:dyDescent="0.25">
      <c r="A345">
        <v>44.107285542933703</v>
      </c>
      <c r="B345">
        <v>50.218508012224397</v>
      </c>
      <c r="C345">
        <v>2001</v>
      </c>
    </row>
    <row r="346" spans="1:11" x14ac:dyDescent="0.25">
      <c r="A346">
        <v>49.781491987775603</v>
      </c>
      <c r="B346">
        <v>55.892714457066297</v>
      </c>
      <c r="C346">
        <v>2001</v>
      </c>
    </row>
    <row r="347" spans="1:11" x14ac:dyDescent="0.25">
      <c r="A347">
        <v>72.542481922801599</v>
      </c>
      <c r="B347">
        <v>78.653704392092294</v>
      </c>
      <c r="C347">
        <v>2001</v>
      </c>
    </row>
    <row r="348" spans="1:11" x14ac:dyDescent="0.25">
      <c r="A348">
        <v>77.946399986643897</v>
      </c>
      <c r="B348">
        <v>84.057622455934606</v>
      </c>
      <c r="C348">
        <v>2001</v>
      </c>
    </row>
    <row r="349" spans="1:11" x14ac:dyDescent="0.25">
      <c r="A349">
        <v>78.383416011092706</v>
      </c>
      <c r="B349">
        <v>83.620606431485797</v>
      </c>
      <c r="C349">
        <v>2000</v>
      </c>
    </row>
    <row r="350" spans="1:11" x14ac:dyDescent="0.25">
      <c r="A350" t="s">
        <v>86</v>
      </c>
    </row>
    <row r="351" spans="1:11" x14ac:dyDescent="0.25">
      <c r="A351">
        <v>723</v>
      </c>
      <c r="B351">
        <v>0</v>
      </c>
      <c r="C351">
        <v>32.502484998797797</v>
      </c>
      <c r="D351">
        <v>74.530621564661303</v>
      </c>
      <c r="E351">
        <v>10</v>
      </c>
      <c r="F351">
        <v>1.01722196789785</v>
      </c>
      <c r="G351" t="s">
        <v>84</v>
      </c>
      <c r="H351" t="s">
        <v>83</v>
      </c>
      <c r="I351">
        <v>676</v>
      </c>
      <c r="J351">
        <v>0</v>
      </c>
      <c r="K351">
        <v>9.5111036399799301E-2</v>
      </c>
    </row>
    <row r="352" spans="1:11" x14ac:dyDescent="0.25">
      <c r="A352" t="s">
        <v>85</v>
      </c>
    </row>
    <row r="353" spans="1:11" x14ac:dyDescent="0.25">
      <c r="A353">
        <v>97.080384073355205</v>
      </c>
      <c r="B353">
        <v>83.097341908648502</v>
      </c>
      <c r="C353">
        <v>2000</v>
      </c>
    </row>
    <row r="354" spans="1:11" x14ac:dyDescent="0.25">
      <c r="A354">
        <v>74.097656525291299</v>
      </c>
      <c r="B354">
        <v>60.114614360584604</v>
      </c>
      <c r="C354">
        <v>2000</v>
      </c>
    </row>
    <row r="355" spans="1:11" x14ac:dyDescent="0.25">
      <c r="A355">
        <v>74.534672549740094</v>
      </c>
      <c r="B355">
        <v>59.677598336135702</v>
      </c>
      <c r="C355">
        <v>2001</v>
      </c>
    </row>
    <row r="356" spans="1:11" x14ac:dyDescent="0.25">
      <c r="A356">
        <v>97.517400097804</v>
      </c>
      <c r="B356">
        <v>82.660325884199693</v>
      </c>
      <c r="C356">
        <v>2001</v>
      </c>
    </row>
    <row r="357" spans="1:11" x14ac:dyDescent="0.25">
      <c r="A357">
        <v>100.21850801222401</v>
      </c>
      <c r="B357">
        <v>85.361433798619998</v>
      </c>
      <c r="C357">
        <v>2001</v>
      </c>
    </row>
    <row r="358" spans="1:11" x14ac:dyDescent="0.25">
      <c r="A358">
        <v>114.575548236359</v>
      </c>
      <c r="B358">
        <v>99.718474022754094</v>
      </c>
      <c r="C358">
        <v>2001</v>
      </c>
    </row>
    <row r="359" spans="1:11" x14ac:dyDescent="0.25">
      <c r="A359">
        <v>150</v>
      </c>
      <c r="B359">
        <v>135.14292578639601</v>
      </c>
      <c r="C359">
        <v>2001</v>
      </c>
    </row>
    <row r="360" spans="1:11" x14ac:dyDescent="0.25">
      <c r="A360">
        <v>150</v>
      </c>
      <c r="B360">
        <v>136.016957835293</v>
      </c>
      <c r="C360">
        <v>2000</v>
      </c>
    </row>
    <row r="361" spans="1:11" x14ac:dyDescent="0.25">
      <c r="A361">
        <v>114.26456814195301</v>
      </c>
      <c r="B361">
        <v>100.28152597724601</v>
      </c>
      <c r="C361">
        <v>2000</v>
      </c>
    </row>
    <row r="362" spans="1:11" x14ac:dyDescent="0.25">
      <c r="A362">
        <v>99.781491987775595</v>
      </c>
      <c r="B362">
        <v>85.798449823068793</v>
      </c>
      <c r="C362">
        <v>2000</v>
      </c>
    </row>
    <row r="363" spans="1:11" x14ac:dyDescent="0.25">
      <c r="A363" t="s">
        <v>86</v>
      </c>
    </row>
    <row r="364" spans="1:11" x14ac:dyDescent="0.25">
      <c r="A364">
        <v>767</v>
      </c>
      <c r="B364">
        <v>0</v>
      </c>
      <c r="C364">
        <v>103.59771156835301</v>
      </c>
      <c r="D364">
        <v>1.4571272918475699</v>
      </c>
      <c r="E364">
        <v>14</v>
      </c>
      <c r="F364">
        <v>1.01722196789785</v>
      </c>
      <c r="G364" t="s">
        <v>84</v>
      </c>
      <c r="H364" t="s">
        <v>84</v>
      </c>
      <c r="I364">
        <v>27</v>
      </c>
      <c r="J364">
        <v>746</v>
      </c>
      <c r="K364">
        <v>9.5989877373728896E-2</v>
      </c>
    </row>
    <row r="365" spans="1:11" x14ac:dyDescent="0.25">
      <c r="A365" t="s">
        <v>85</v>
      </c>
    </row>
    <row r="366" spans="1:11" x14ac:dyDescent="0.25">
      <c r="A366">
        <v>114.336211120871</v>
      </c>
      <c r="B366">
        <v>112.660769406078</v>
      </c>
      <c r="C366">
        <v>2000</v>
      </c>
    </row>
    <row r="367" spans="1:11" x14ac:dyDescent="0.25">
      <c r="A367">
        <v>101.893949727017</v>
      </c>
      <c r="B367">
        <v>100.21850801222401</v>
      </c>
      <c r="C367">
        <v>2000</v>
      </c>
    </row>
    <row r="368" spans="1:11" x14ac:dyDescent="0.25">
      <c r="A368">
        <v>99.781491987775595</v>
      </c>
      <c r="B368">
        <v>98.106050272982799</v>
      </c>
      <c r="C368">
        <v>2000</v>
      </c>
    </row>
    <row r="369" spans="1:11" x14ac:dyDescent="0.25">
      <c r="A369">
        <v>51.893949727017201</v>
      </c>
      <c r="B369">
        <v>50.218508012224397</v>
      </c>
      <c r="C369">
        <v>2000</v>
      </c>
    </row>
    <row r="370" spans="1:11" x14ac:dyDescent="0.25">
      <c r="A370">
        <v>49.781491987775603</v>
      </c>
      <c r="B370">
        <v>48.106050272982799</v>
      </c>
      <c r="C370">
        <v>2000</v>
      </c>
    </row>
    <row r="371" spans="1:11" x14ac:dyDescent="0.25">
      <c r="A371">
        <v>41.081566755480502</v>
      </c>
      <c r="B371">
        <v>39.406125040687698</v>
      </c>
      <c r="C371">
        <v>2000</v>
      </c>
    </row>
    <row r="372" spans="1:11" x14ac:dyDescent="0.25">
      <c r="A372">
        <v>41.518582779929297</v>
      </c>
      <c r="B372">
        <v>38.969109016238903</v>
      </c>
      <c r="C372">
        <v>2001</v>
      </c>
    </row>
    <row r="373" spans="1:11" x14ac:dyDescent="0.25">
      <c r="A373">
        <v>50.218508012224397</v>
      </c>
      <c r="B373">
        <v>47.669034248533997</v>
      </c>
      <c r="C373">
        <v>2001</v>
      </c>
    </row>
    <row r="374" spans="1:11" x14ac:dyDescent="0.25">
      <c r="A374">
        <v>52.330965751466003</v>
      </c>
      <c r="B374">
        <v>49.781491987775603</v>
      </c>
      <c r="C374">
        <v>2001</v>
      </c>
    </row>
    <row r="375" spans="1:11" x14ac:dyDescent="0.25">
      <c r="A375">
        <v>100.21850801222401</v>
      </c>
      <c r="B375">
        <v>97.669034248534004</v>
      </c>
      <c r="C375">
        <v>2001</v>
      </c>
    </row>
    <row r="376" spans="1:11" x14ac:dyDescent="0.25">
      <c r="A376">
        <v>102.330965751466</v>
      </c>
      <c r="B376">
        <v>99.781491987775595</v>
      </c>
      <c r="C376">
        <v>2001</v>
      </c>
    </row>
    <row r="377" spans="1:11" x14ac:dyDescent="0.25">
      <c r="A377">
        <v>114.77322714532001</v>
      </c>
      <c r="B377">
        <v>112.223753381629</v>
      </c>
      <c r="C377">
        <v>2001</v>
      </c>
    </row>
    <row r="378" spans="1:11" x14ac:dyDescent="0.25">
      <c r="A378">
        <v>115.803571734437</v>
      </c>
      <c r="B378">
        <v>113.254097970747</v>
      </c>
      <c r="C378">
        <v>2001</v>
      </c>
    </row>
    <row r="379" spans="1:11" x14ac:dyDescent="0.25">
      <c r="A379">
        <v>115.36655570998801</v>
      </c>
      <c r="B379">
        <v>113.691113995195</v>
      </c>
      <c r="C379">
        <v>2000</v>
      </c>
    </row>
    <row r="380" spans="1:11" x14ac:dyDescent="0.25">
      <c r="A380" t="s">
        <v>86</v>
      </c>
    </row>
    <row r="381" spans="1:11" x14ac:dyDescent="0.25">
      <c r="A381">
        <v>677</v>
      </c>
      <c r="B381">
        <v>0</v>
      </c>
      <c r="C381">
        <v>59.346967916320999</v>
      </c>
      <c r="D381">
        <v>40.708489407642602</v>
      </c>
      <c r="E381">
        <v>12</v>
      </c>
      <c r="F381">
        <v>1.01722196789785</v>
      </c>
      <c r="G381" t="s">
        <v>83</v>
      </c>
      <c r="H381" t="s">
        <v>84</v>
      </c>
      <c r="I381">
        <v>0</v>
      </c>
      <c r="J381">
        <v>589</v>
      </c>
      <c r="K381">
        <v>0</v>
      </c>
    </row>
    <row r="382" spans="1:11" x14ac:dyDescent="0.25">
      <c r="A382" t="s">
        <v>85</v>
      </c>
    </row>
    <row r="383" spans="1:11" x14ac:dyDescent="0.25">
      <c r="A383">
        <v>90.629280980289806</v>
      </c>
      <c r="B383">
        <v>42.148184381737103</v>
      </c>
      <c r="C383">
        <v>2000</v>
      </c>
    </row>
    <row r="384" spans="1:11" x14ac:dyDescent="0.25">
      <c r="A384">
        <v>49.5686173144938</v>
      </c>
      <c r="B384">
        <v>1.0875207159411999</v>
      </c>
      <c r="C384">
        <v>2000</v>
      </c>
    </row>
    <row r="385" spans="1:11" x14ac:dyDescent="0.25">
      <c r="A385">
        <v>48.481096598552597</v>
      </c>
      <c r="B385">
        <v>0</v>
      </c>
      <c r="C385">
        <v>2000</v>
      </c>
    </row>
    <row r="386" spans="1:11" x14ac:dyDescent="0.25">
      <c r="A386">
        <v>49.3551286474503</v>
      </c>
      <c r="B386">
        <v>0</v>
      </c>
      <c r="C386">
        <v>2001</v>
      </c>
    </row>
    <row r="387" spans="1:11" x14ac:dyDescent="0.25">
      <c r="A387">
        <v>50.4313826855062</v>
      </c>
      <c r="B387">
        <v>1.0762540380558601</v>
      </c>
      <c r="C387">
        <v>2001</v>
      </c>
    </row>
    <row r="388" spans="1:11" x14ac:dyDescent="0.25">
      <c r="A388">
        <v>91.136231178695198</v>
      </c>
      <c r="B388">
        <v>41.781102531244898</v>
      </c>
      <c r="C388">
        <v>2001</v>
      </c>
    </row>
    <row r="389" spans="1:11" x14ac:dyDescent="0.25">
      <c r="A389">
        <v>99.136620635225896</v>
      </c>
      <c r="B389">
        <v>49.781491987775603</v>
      </c>
      <c r="C389">
        <v>2001</v>
      </c>
    </row>
    <row r="390" spans="1:11" x14ac:dyDescent="0.25">
      <c r="A390">
        <v>100.21850801222401</v>
      </c>
      <c r="B390">
        <v>50.863379364774097</v>
      </c>
      <c r="C390">
        <v>2001</v>
      </c>
    </row>
    <row r="391" spans="1:11" x14ac:dyDescent="0.25">
      <c r="A391">
        <v>119.886513003722</v>
      </c>
      <c r="B391">
        <v>70.531384356271403</v>
      </c>
      <c r="C391">
        <v>2001</v>
      </c>
    </row>
    <row r="392" spans="1:11" x14ac:dyDescent="0.25">
      <c r="A392">
        <v>119.44949697927299</v>
      </c>
      <c r="B392">
        <v>70.968400380720198</v>
      </c>
      <c r="C392">
        <v>2000</v>
      </c>
    </row>
    <row r="393" spans="1:11" x14ac:dyDescent="0.25">
      <c r="A393">
        <v>99.781491987775595</v>
      </c>
      <c r="B393">
        <v>51.300395389222899</v>
      </c>
      <c r="C393">
        <v>2000</v>
      </c>
    </row>
    <row r="394" spans="1:11" x14ac:dyDescent="0.25">
      <c r="A394">
        <v>98.699604610777101</v>
      </c>
      <c r="B394">
        <v>50.218508012224397</v>
      </c>
      <c r="C394">
        <v>2000</v>
      </c>
    </row>
    <row r="395" spans="1:11" x14ac:dyDescent="0.25">
      <c r="A395" t="s">
        <v>86</v>
      </c>
    </row>
    <row r="396" spans="1:11" x14ac:dyDescent="0.25">
      <c r="A396">
        <v>342</v>
      </c>
      <c r="B396">
        <v>0</v>
      </c>
      <c r="C396">
        <v>8.8432337649264703</v>
      </c>
      <c r="D396">
        <v>90.699776039036294</v>
      </c>
      <c r="E396">
        <v>10</v>
      </c>
      <c r="F396">
        <v>1.01722196789785</v>
      </c>
      <c r="G396" t="s">
        <v>84</v>
      </c>
      <c r="H396" t="s">
        <v>83</v>
      </c>
      <c r="I396">
        <v>351</v>
      </c>
      <c r="J396">
        <v>0</v>
      </c>
      <c r="K396">
        <v>0</v>
      </c>
    </row>
    <row r="397" spans="1:11" x14ac:dyDescent="0.25">
      <c r="A397" t="s">
        <v>85</v>
      </c>
    </row>
    <row r="398" spans="1:11" x14ac:dyDescent="0.25">
      <c r="A398">
        <v>75.476603737784103</v>
      </c>
      <c r="B398">
        <v>85.647065298471901</v>
      </c>
      <c r="C398">
        <v>2000</v>
      </c>
    </row>
    <row r="399" spans="1:11" x14ac:dyDescent="0.25">
      <c r="A399">
        <v>69.2234931749867</v>
      </c>
      <c r="B399">
        <v>79.393954735674598</v>
      </c>
      <c r="C399">
        <v>2000</v>
      </c>
    </row>
    <row r="400" spans="1:11" x14ac:dyDescent="0.25">
      <c r="A400">
        <v>68.786477150537905</v>
      </c>
      <c r="B400">
        <v>79.830970760123407</v>
      </c>
      <c r="C400">
        <v>2001</v>
      </c>
    </row>
    <row r="401" spans="1:11" x14ac:dyDescent="0.25">
      <c r="A401">
        <v>75.039587713335294</v>
      </c>
      <c r="B401">
        <v>86.084081322920696</v>
      </c>
      <c r="C401">
        <v>2001</v>
      </c>
    </row>
    <row r="402" spans="1:11" x14ac:dyDescent="0.25">
      <c r="A402">
        <v>89.174014402639003</v>
      </c>
      <c r="B402">
        <v>100.21850801222401</v>
      </c>
      <c r="C402">
        <v>2001</v>
      </c>
    </row>
    <row r="403" spans="1:11" x14ac:dyDescent="0.25">
      <c r="A403">
        <v>99.735135610938698</v>
      </c>
      <c r="B403">
        <v>110.779629220524</v>
      </c>
      <c r="C403">
        <v>2001</v>
      </c>
    </row>
    <row r="404" spans="1:11" x14ac:dyDescent="0.25">
      <c r="A404">
        <v>138.955506390415</v>
      </c>
      <c r="B404">
        <v>150</v>
      </c>
      <c r="C404">
        <v>2001</v>
      </c>
    </row>
    <row r="405" spans="1:11" x14ac:dyDescent="0.25">
      <c r="A405">
        <v>139.82953843931199</v>
      </c>
      <c r="B405">
        <v>150</v>
      </c>
      <c r="C405">
        <v>2000</v>
      </c>
    </row>
    <row r="406" spans="1:11" x14ac:dyDescent="0.25">
      <c r="A406">
        <v>100.264864389061</v>
      </c>
      <c r="B406">
        <v>110.435325949749</v>
      </c>
      <c r="C406">
        <v>2000</v>
      </c>
    </row>
    <row r="407" spans="1:11" x14ac:dyDescent="0.25">
      <c r="A407">
        <v>89.611030427087798</v>
      </c>
      <c r="B407">
        <v>99.781491987775595</v>
      </c>
      <c r="C407">
        <v>2000</v>
      </c>
    </row>
    <row r="408" spans="1:11" x14ac:dyDescent="0.25">
      <c r="A408" t="s">
        <v>86</v>
      </c>
    </row>
    <row r="409" spans="1:11" x14ac:dyDescent="0.25">
      <c r="A409">
        <v>795</v>
      </c>
      <c r="B409">
        <v>0</v>
      </c>
      <c r="C409">
        <v>55.095981850920701</v>
      </c>
      <c r="D409">
        <v>44.199534965593799</v>
      </c>
      <c r="E409">
        <v>12</v>
      </c>
      <c r="F409">
        <v>1.01722196789785</v>
      </c>
      <c r="G409" t="s">
        <v>83</v>
      </c>
      <c r="H409" t="s">
        <v>84</v>
      </c>
      <c r="I409">
        <v>0</v>
      </c>
      <c r="J409">
        <v>589</v>
      </c>
      <c r="K409">
        <v>9.6846384952709502E-2</v>
      </c>
    </row>
    <row r="410" spans="1:11" x14ac:dyDescent="0.25">
      <c r="A410" t="s">
        <v>85</v>
      </c>
    </row>
    <row r="411" spans="1:11" x14ac:dyDescent="0.25">
      <c r="A411">
        <v>88.684815061906406</v>
      </c>
      <c r="B411">
        <v>39.129000291122601</v>
      </c>
      <c r="C411">
        <v>2000</v>
      </c>
    </row>
    <row r="412" spans="1:11" x14ac:dyDescent="0.25">
      <c r="A412">
        <v>49.563024185490796</v>
      </c>
      <c r="B412">
        <v>7.20941470714913E-3</v>
      </c>
      <c r="C412">
        <v>2000</v>
      </c>
    </row>
    <row r="413" spans="1:11" x14ac:dyDescent="0.25">
      <c r="A413">
        <v>49.555814770783599</v>
      </c>
      <c r="B413">
        <v>0</v>
      </c>
      <c r="C413">
        <v>2000</v>
      </c>
    </row>
    <row r="414" spans="1:11" x14ac:dyDescent="0.25">
      <c r="A414">
        <v>50.211338807456997</v>
      </c>
      <c r="B414">
        <v>-0.21850801222441099</v>
      </c>
      <c r="C414">
        <v>2001</v>
      </c>
    </row>
    <row r="415" spans="1:11" x14ac:dyDescent="0.25">
      <c r="A415">
        <v>50.218508012224397</v>
      </c>
      <c r="B415">
        <v>-0.21133880745698599</v>
      </c>
      <c r="C415">
        <v>2001</v>
      </c>
    </row>
    <row r="416" spans="1:11" x14ac:dyDescent="0.25">
      <c r="A416">
        <v>89.170081190374006</v>
      </c>
      <c r="B416">
        <v>38.740234370692498</v>
      </c>
      <c r="C416">
        <v>2001</v>
      </c>
    </row>
    <row r="417" spans="1:11" x14ac:dyDescent="0.25">
      <c r="A417">
        <v>100.211338807457</v>
      </c>
      <c r="B417">
        <v>49.781491987775603</v>
      </c>
      <c r="C417">
        <v>2001</v>
      </c>
    </row>
    <row r="418" spans="1:11" x14ac:dyDescent="0.25">
      <c r="A418">
        <v>100.21850801222401</v>
      </c>
      <c r="B418">
        <v>49.788661192543003</v>
      </c>
      <c r="C418">
        <v>2001</v>
      </c>
    </row>
    <row r="419" spans="1:11" x14ac:dyDescent="0.25">
      <c r="A419">
        <v>120.423872089837</v>
      </c>
      <c r="B419">
        <v>69.994025270155802</v>
      </c>
      <c r="C419">
        <v>2001</v>
      </c>
    </row>
    <row r="420" spans="1:11" x14ac:dyDescent="0.25">
      <c r="A420">
        <v>119.986856065388</v>
      </c>
      <c r="B420">
        <v>70.431041294604597</v>
      </c>
      <c r="C420">
        <v>2000</v>
      </c>
    </row>
    <row r="421" spans="1:11" x14ac:dyDescent="0.25">
      <c r="A421">
        <v>99.781491987775595</v>
      </c>
      <c r="B421">
        <v>50.225677216991798</v>
      </c>
      <c r="C421">
        <v>2000</v>
      </c>
    </row>
    <row r="422" spans="1:11" x14ac:dyDescent="0.25">
      <c r="A422">
        <v>99.774322783008202</v>
      </c>
      <c r="B422">
        <v>50.218508012224397</v>
      </c>
      <c r="C422">
        <v>2000</v>
      </c>
    </row>
    <row r="423" spans="1:11" x14ac:dyDescent="0.25">
      <c r="A423" t="s">
        <v>86</v>
      </c>
    </row>
    <row r="424" spans="1:11" x14ac:dyDescent="0.25">
      <c r="A424">
        <v>675</v>
      </c>
      <c r="B424">
        <v>0</v>
      </c>
      <c r="C424">
        <v>16.220204362378801</v>
      </c>
      <c r="D424">
        <v>82.957061933083594</v>
      </c>
      <c r="E424">
        <v>10</v>
      </c>
      <c r="F424">
        <v>1.01722196789785</v>
      </c>
      <c r="G424" t="s">
        <v>84</v>
      </c>
      <c r="H424" t="s">
        <v>83</v>
      </c>
      <c r="I424">
        <v>672</v>
      </c>
      <c r="J424">
        <v>0</v>
      </c>
      <c r="K424">
        <v>0</v>
      </c>
    </row>
    <row r="425" spans="1:11" x14ac:dyDescent="0.25">
      <c r="A425" t="s">
        <v>85</v>
      </c>
    </row>
    <row r="426" spans="1:11" x14ac:dyDescent="0.25">
      <c r="A426">
        <v>91.559006972028598</v>
      </c>
      <c r="B426">
        <v>31.500904063466201</v>
      </c>
      <c r="C426">
        <v>2000</v>
      </c>
    </row>
    <row r="427" spans="1:11" x14ac:dyDescent="0.25">
      <c r="A427">
        <v>80.0895904751589</v>
      </c>
      <c r="B427">
        <v>20.031487566596599</v>
      </c>
      <c r="C427">
        <v>2000</v>
      </c>
    </row>
    <row r="428" spans="1:11" x14ac:dyDescent="0.25">
      <c r="A428">
        <v>79.652574450710105</v>
      </c>
      <c r="B428">
        <v>20.468503591045401</v>
      </c>
      <c r="C428">
        <v>2001</v>
      </c>
    </row>
    <row r="429" spans="1:11" x14ac:dyDescent="0.25">
      <c r="A429">
        <v>91.121990947579803</v>
      </c>
      <c r="B429">
        <v>31.937920087915099</v>
      </c>
      <c r="C429">
        <v>2001</v>
      </c>
    </row>
    <row r="430" spans="1:11" x14ac:dyDescent="0.25">
      <c r="A430">
        <v>99.781491987775595</v>
      </c>
      <c r="B430">
        <v>40.597421128110902</v>
      </c>
      <c r="C430">
        <v>2001</v>
      </c>
    </row>
    <row r="431" spans="1:11" x14ac:dyDescent="0.25">
      <c r="A431">
        <v>109.444624563299</v>
      </c>
      <c r="B431">
        <v>50.260553703634102</v>
      </c>
      <c r="C431">
        <v>2001</v>
      </c>
    </row>
    <row r="432" spans="1:11" x14ac:dyDescent="0.25">
      <c r="A432">
        <v>150</v>
      </c>
      <c r="B432">
        <v>90.8159291403353</v>
      </c>
      <c r="C432">
        <v>2001</v>
      </c>
    </row>
    <row r="433" spans="1:11" x14ac:dyDescent="0.25">
      <c r="A433">
        <v>150</v>
      </c>
      <c r="B433">
        <v>89.941897091437596</v>
      </c>
      <c r="C433">
        <v>2000</v>
      </c>
    </row>
    <row r="434" spans="1:11" x14ac:dyDescent="0.25">
      <c r="A434">
        <v>109.797549204928</v>
      </c>
      <c r="B434">
        <v>49.739446296365898</v>
      </c>
      <c r="C434">
        <v>2000</v>
      </c>
    </row>
    <row r="435" spans="1:11" x14ac:dyDescent="0.25">
      <c r="A435">
        <v>100.21850801222401</v>
      </c>
      <c r="B435">
        <v>40.1604051036621</v>
      </c>
      <c r="C435">
        <v>2000</v>
      </c>
    </row>
    <row r="436" spans="1:11" x14ac:dyDescent="0.25">
      <c r="A436" t="s">
        <v>86</v>
      </c>
    </row>
    <row r="437" spans="1:11" x14ac:dyDescent="0.25">
      <c r="A437">
        <v>830</v>
      </c>
      <c r="B437">
        <v>0</v>
      </c>
      <c r="C437">
        <v>97.494013349754994</v>
      </c>
      <c r="D437">
        <v>1.58009061976527</v>
      </c>
      <c r="E437">
        <v>12</v>
      </c>
      <c r="F437">
        <v>1.01722196789785</v>
      </c>
      <c r="G437" t="s">
        <v>83</v>
      </c>
      <c r="H437" t="s">
        <v>84</v>
      </c>
      <c r="I437">
        <v>0</v>
      </c>
      <c r="J437">
        <v>856</v>
      </c>
      <c r="K437">
        <v>9.8647374787755204E-2</v>
      </c>
    </row>
    <row r="438" spans="1:11" x14ac:dyDescent="0.25">
      <c r="A438" t="s">
        <v>85</v>
      </c>
    </row>
    <row r="439" spans="1:11" x14ac:dyDescent="0.25">
      <c r="A439">
        <v>100.511279791836</v>
      </c>
      <c r="B439">
        <v>69.157185976927906</v>
      </c>
      <c r="C439">
        <v>2000</v>
      </c>
    </row>
    <row r="440" spans="1:11" x14ac:dyDescent="0.25">
      <c r="A440">
        <v>99.781491987775595</v>
      </c>
      <c r="B440">
        <v>68.427398172867399</v>
      </c>
      <c r="C440">
        <v>2000</v>
      </c>
    </row>
    <row r="441" spans="1:11" x14ac:dyDescent="0.25">
      <c r="A441">
        <v>81.572601827132601</v>
      </c>
      <c r="B441">
        <v>50.218508012224397</v>
      </c>
      <c r="C441">
        <v>2000</v>
      </c>
    </row>
    <row r="442" spans="1:11" x14ac:dyDescent="0.25">
      <c r="A442">
        <v>49.642559743427498</v>
      </c>
      <c r="B442">
        <v>18.288465928519301</v>
      </c>
      <c r="C442">
        <v>2000</v>
      </c>
    </row>
    <row r="443" spans="1:11" x14ac:dyDescent="0.25">
      <c r="A443">
        <v>31.3540938149082</v>
      </c>
      <c r="B443">
        <v>0</v>
      </c>
      <c r="C443">
        <v>2000</v>
      </c>
    </row>
    <row r="444" spans="1:11" x14ac:dyDescent="0.25">
      <c r="A444">
        <v>32.228125863805801</v>
      </c>
      <c r="B444">
        <v>0</v>
      </c>
      <c r="C444">
        <v>2001</v>
      </c>
    </row>
    <row r="445" spans="1:11" x14ac:dyDescent="0.25">
      <c r="A445">
        <v>50.357440256572502</v>
      </c>
      <c r="B445">
        <v>18.129314392766702</v>
      </c>
      <c r="C445">
        <v>2001</v>
      </c>
    </row>
    <row r="446" spans="1:11" x14ac:dyDescent="0.25">
      <c r="A446">
        <v>82.009617851581396</v>
      </c>
      <c r="B446">
        <v>49.781491987775603</v>
      </c>
      <c r="C446">
        <v>2001</v>
      </c>
    </row>
    <row r="447" spans="1:11" x14ac:dyDescent="0.25">
      <c r="A447">
        <v>100.21850801222401</v>
      </c>
      <c r="B447">
        <v>67.990382148418604</v>
      </c>
      <c r="C447">
        <v>2001</v>
      </c>
    </row>
    <row r="448" spans="1:11" x14ac:dyDescent="0.25">
      <c r="A448">
        <v>100.948295816285</v>
      </c>
      <c r="B448">
        <v>68.720169952479097</v>
      </c>
      <c r="C448">
        <v>2001</v>
      </c>
    </row>
    <row r="449" spans="1:11" x14ac:dyDescent="0.25">
      <c r="A449">
        <v>102.06558860841</v>
      </c>
      <c r="B449">
        <v>69.837462744604395</v>
      </c>
      <c r="C449">
        <v>2001</v>
      </c>
    </row>
    <row r="450" spans="1:11" x14ac:dyDescent="0.25">
      <c r="A450">
        <v>101.628572583961</v>
      </c>
      <c r="B450">
        <v>70.274478769053204</v>
      </c>
      <c r="C450">
        <v>2000</v>
      </c>
    </row>
    <row r="451" spans="1:11" x14ac:dyDescent="0.25">
      <c r="A451" t="s">
        <v>86</v>
      </c>
    </row>
    <row r="452" spans="1:11" x14ac:dyDescent="0.25">
      <c r="A452">
        <v>807</v>
      </c>
      <c r="B452">
        <v>0</v>
      </c>
      <c r="C452">
        <v>60.252007692268101</v>
      </c>
      <c r="D452">
        <v>38.768349562588298</v>
      </c>
      <c r="E452">
        <v>10</v>
      </c>
      <c r="F452">
        <v>1.01722196789785</v>
      </c>
      <c r="G452" t="s">
        <v>84</v>
      </c>
      <c r="H452" t="s">
        <v>83</v>
      </c>
      <c r="I452">
        <v>104</v>
      </c>
      <c r="J452">
        <v>0</v>
      </c>
      <c r="K452">
        <v>9.7122043571393105E-2</v>
      </c>
    </row>
    <row r="453" spans="1:11" x14ac:dyDescent="0.25">
      <c r="A453" t="s">
        <v>85</v>
      </c>
    </row>
    <row r="454" spans="1:11" x14ac:dyDescent="0.25">
      <c r="A454">
        <v>61.0290105383963</v>
      </c>
      <c r="B454">
        <v>122.741319757196</v>
      </c>
      <c r="C454">
        <v>2000</v>
      </c>
    </row>
    <row r="455" spans="1:11" x14ac:dyDescent="0.25">
      <c r="A455">
        <v>49.781491987775603</v>
      </c>
      <c r="B455">
        <v>111.49380120657599</v>
      </c>
      <c r="C455">
        <v>2000</v>
      </c>
    </row>
    <row r="456" spans="1:11" x14ac:dyDescent="0.25">
      <c r="A456">
        <v>38.506198793424197</v>
      </c>
      <c r="B456">
        <v>100.21850801222401</v>
      </c>
      <c r="C456">
        <v>2000</v>
      </c>
    </row>
    <row r="457" spans="1:11" x14ac:dyDescent="0.25">
      <c r="A457">
        <v>18.488232703000701</v>
      </c>
      <c r="B457">
        <v>80.200541921800905</v>
      </c>
      <c r="C457">
        <v>2000</v>
      </c>
    </row>
    <row r="458" spans="1:11" x14ac:dyDescent="0.25">
      <c r="A458">
        <v>18.9252487274495</v>
      </c>
      <c r="B458">
        <v>79.763525897352096</v>
      </c>
      <c r="C458">
        <v>2001</v>
      </c>
    </row>
    <row r="459" spans="1:11" x14ac:dyDescent="0.25">
      <c r="A459">
        <v>38.943214817872999</v>
      </c>
      <c r="B459">
        <v>99.781491987775595</v>
      </c>
      <c r="C459">
        <v>2001</v>
      </c>
    </row>
    <row r="460" spans="1:11" x14ac:dyDescent="0.25">
      <c r="A460">
        <v>50.218508012224397</v>
      </c>
      <c r="B460">
        <v>111.056785182127</v>
      </c>
      <c r="C460">
        <v>2001</v>
      </c>
    </row>
    <row r="461" spans="1:11" x14ac:dyDescent="0.25">
      <c r="A461">
        <v>61.593677330667603</v>
      </c>
      <c r="B461">
        <v>122.43195450057</v>
      </c>
      <c r="C461">
        <v>2001</v>
      </c>
    </row>
    <row r="462" spans="1:11" x14ac:dyDescent="0.25">
      <c r="A462">
        <v>89.161722830097503</v>
      </c>
      <c r="B462">
        <v>150</v>
      </c>
      <c r="C462">
        <v>2001</v>
      </c>
    </row>
    <row r="463" spans="1:11" x14ac:dyDescent="0.25">
      <c r="A463">
        <v>88.2876907811998</v>
      </c>
      <c r="B463">
        <v>150</v>
      </c>
      <c r="C463">
        <v>2000</v>
      </c>
    </row>
    <row r="464" spans="1:11" x14ac:dyDescent="0.25">
      <c r="A464" t="s">
        <v>86</v>
      </c>
    </row>
    <row r="465" spans="1:11" x14ac:dyDescent="0.25">
      <c r="A465">
        <v>663</v>
      </c>
      <c r="B465">
        <v>0</v>
      </c>
      <c r="C465">
        <v>3.2018121629956702</v>
      </c>
      <c r="D465">
        <v>94.910995466249503</v>
      </c>
      <c r="E465">
        <v>10</v>
      </c>
      <c r="F465">
        <v>1.01722196789785</v>
      </c>
      <c r="G465" t="s">
        <v>84</v>
      </c>
      <c r="H465" t="s">
        <v>83</v>
      </c>
      <c r="I465">
        <v>672</v>
      </c>
      <c r="J465">
        <v>0</v>
      </c>
      <c r="K465">
        <v>0</v>
      </c>
    </row>
    <row r="466" spans="1:11" x14ac:dyDescent="0.25">
      <c r="A466" t="s">
        <v>85</v>
      </c>
    </row>
    <row r="467" spans="1:11" x14ac:dyDescent="0.25">
      <c r="A467">
        <v>82.669283484424895</v>
      </c>
      <c r="B467">
        <v>21.9798407424103</v>
      </c>
      <c r="C467">
        <v>2000</v>
      </c>
    </row>
    <row r="468" spans="1:11" x14ac:dyDescent="0.25">
      <c r="A468">
        <v>80.405260391885093</v>
      </c>
      <c r="B468">
        <v>19.715817649870498</v>
      </c>
      <c r="C468">
        <v>2000</v>
      </c>
    </row>
    <row r="469" spans="1:11" x14ac:dyDescent="0.25">
      <c r="A469">
        <v>80.842276416333902</v>
      </c>
      <c r="B469">
        <v>19.2788016254216</v>
      </c>
      <c r="C469">
        <v>2001</v>
      </c>
    </row>
    <row r="470" spans="1:11" x14ac:dyDescent="0.25">
      <c r="A470">
        <v>83.106299508873704</v>
      </c>
      <c r="B470">
        <v>21.542824717961398</v>
      </c>
      <c r="C470">
        <v>2001</v>
      </c>
    </row>
    <row r="471" spans="1:11" x14ac:dyDescent="0.25">
      <c r="A471">
        <v>100.21850801222401</v>
      </c>
      <c r="B471">
        <v>38.655033221312202</v>
      </c>
      <c r="C471">
        <v>2001</v>
      </c>
    </row>
    <row r="472" spans="1:11" x14ac:dyDescent="0.25">
      <c r="A472">
        <v>111.296342370925</v>
      </c>
      <c r="B472">
        <v>49.732867580012403</v>
      </c>
      <c r="C472">
        <v>2001</v>
      </c>
    </row>
    <row r="473" spans="1:11" x14ac:dyDescent="0.25">
      <c r="A473">
        <v>150</v>
      </c>
      <c r="B473">
        <v>88.436525209087705</v>
      </c>
      <c r="C473">
        <v>2001</v>
      </c>
    </row>
    <row r="474" spans="1:11" x14ac:dyDescent="0.25">
      <c r="A474">
        <v>150</v>
      </c>
      <c r="B474">
        <v>89.310557257985394</v>
      </c>
      <c r="C474">
        <v>2000</v>
      </c>
    </row>
    <row r="475" spans="1:11" x14ac:dyDescent="0.25">
      <c r="A475">
        <v>110.956575162002</v>
      </c>
      <c r="B475">
        <v>50.267132419987497</v>
      </c>
      <c r="C475">
        <v>2000</v>
      </c>
    </row>
    <row r="476" spans="1:11" x14ac:dyDescent="0.25">
      <c r="A476">
        <v>99.781491987775595</v>
      </c>
      <c r="B476">
        <v>39.092049245760997</v>
      </c>
      <c r="C476">
        <v>2000</v>
      </c>
    </row>
    <row r="477" spans="1:11" x14ac:dyDescent="0.25">
      <c r="A477" t="s">
        <v>86</v>
      </c>
    </row>
    <row r="478" spans="1:11" x14ac:dyDescent="0.25">
      <c r="A478">
        <v>434</v>
      </c>
      <c r="B478">
        <v>0</v>
      </c>
      <c r="C478">
        <v>42.380680568870901</v>
      </c>
      <c r="D478">
        <v>54.642366713006702</v>
      </c>
      <c r="E478">
        <v>12</v>
      </c>
      <c r="F478">
        <v>1.01722196789785</v>
      </c>
      <c r="G478" t="s">
        <v>84</v>
      </c>
      <c r="H478" t="s">
        <v>83</v>
      </c>
      <c r="I478">
        <v>116</v>
      </c>
      <c r="J478">
        <v>0</v>
      </c>
      <c r="K478">
        <v>0</v>
      </c>
    </row>
    <row r="479" spans="1:11" x14ac:dyDescent="0.25">
      <c r="A479" t="s">
        <v>85</v>
      </c>
    </row>
    <row r="480" spans="1:11" x14ac:dyDescent="0.25">
      <c r="A480">
        <v>73.531708885315595</v>
      </c>
      <c r="B480">
        <v>111.535698568773</v>
      </c>
      <c r="C480">
        <v>2000</v>
      </c>
    </row>
    <row r="481" spans="1:11" x14ac:dyDescent="0.25">
      <c r="A481">
        <v>62.214518328767298</v>
      </c>
      <c r="B481">
        <v>100.21850801222401</v>
      </c>
      <c r="C481">
        <v>2000</v>
      </c>
    </row>
    <row r="482" spans="1:11" x14ac:dyDescent="0.25">
      <c r="A482">
        <v>49.781491987775603</v>
      </c>
      <c r="B482">
        <v>87.785481671232702</v>
      </c>
      <c r="C482">
        <v>2000</v>
      </c>
    </row>
    <row r="483" spans="1:11" x14ac:dyDescent="0.25">
      <c r="A483">
        <v>43.608863664368599</v>
      </c>
      <c r="B483">
        <v>81.612853347825705</v>
      </c>
      <c r="C483">
        <v>2000</v>
      </c>
    </row>
    <row r="484" spans="1:11" x14ac:dyDescent="0.25">
      <c r="A484">
        <v>44.0458796888175</v>
      </c>
      <c r="B484">
        <v>81.175837323376896</v>
      </c>
      <c r="C484">
        <v>2001</v>
      </c>
    </row>
    <row r="485" spans="1:11" x14ac:dyDescent="0.25">
      <c r="A485">
        <v>50.218508012224397</v>
      </c>
      <c r="B485">
        <v>87.348465646783893</v>
      </c>
      <c r="C485">
        <v>2001</v>
      </c>
    </row>
    <row r="486" spans="1:11" x14ac:dyDescent="0.25">
      <c r="A486">
        <v>62.6515343532161</v>
      </c>
      <c r="B486">
        <v>99.781491987775595</v>
      </c>
      <c r="C486">
        <v>2001</v>
      </c>
    </row>
    <row r="487" spans="1:11" x14ac:dyDescent="0.25">
      <c r="A487">
        <v>74.058367710969705</v>
      </c>
      <c r="B487">
        <v>111.18832534552899</v>
      </c>
      <c r="C487">
        <v>2001</v>
      </c>
    </row>
    <row r="488" spans="1:11" x14ac:dyDescent="0.25">
      <c r="A488">
        <v>100.366703981578</v>
      </c>
      <c r="B488">
        <v>137.496661616138</v>
      </c>
      <c r="C488">
        <v>2001</v>
      </c>
    </row>
    <row r="489" spans="1:11" x14ac:dyDescent="0.25">
      <c r="A489">
        <v>112.87004236544099</v>
      </c>
      <c r="B489">
        <v>150</v>
      </c>
      <c r="C489">
        <v>2001</v>
      </c>
    </row>
    <row r="490" spans="1:11" x14ac:dyDescent="0.25">
      <c r="A490">
        <v>111.99601031654301</v>
      </c>
      <c r="B490">
        <v>150</v>
      </c>
      <c r="C490">
        <v>2000</v>
      </c>
    </row>
    <row r="491" spans="1:11" x14ac:dyDescent="0.25">
      <c r="A491">
        <v>99.633296018421802</v>
      </c>
      <c r="B491">
        <v>137.63728570187899</v>
      </c>
      <c r="C491">
        <v>2000</v>
      </c>
    </row>
    <row r="492" spans="1:11" x14ac:dyDescent="0.25">
      <c r="A492" t="s">
        <v>86</v>
      </c>
    </row>
    <row r="493" spans="1:11" x14ac:dyDescent="0.25">
      <c r="A493">
        <v>191</v>
      </c>
      <c r="B493">
        <v>0</v>
      </c>
      <c r="C493">
        <v>51.147632087501698</v>
      </c>
      <c r="D493">
        <v>45.794313736813599</v>
      </c>
      <c r="E493">
        <v>10</v>
      </c>
      <c r="F493">
        <v>1.01722196789785</v>
      </c>
      <c r="G493" t="s">
        <v>83</v>
      </c>
      <c r="H493" t="s">
        <v>83</v>
      </c>
      <c r="I493">
        <v>0</v>
      </c>
      <c r="J493">
        <v>0</v>
      </c>
      <c r="K493">
        <v>0</v>
      </c>
    </row>
    <row r="494" spans="1:11" x14ac:dyDescent="0.25">
      <c r="A494" t="s">
        <v>85</v>
      </c>
    </row>
    <row r="495" spans="1:11" x14ac:dyDescent="0.25">
      <c r="A495">
        <v>35.942856604130398</v>
      </c>
      <c r="B495">
        <v>117.831565354787</v>
      </c>
      <c r="C495">
        <v>2000</v>
      </c>
    </row>
    <row r="496" spans="1:11" x14ac:dyDescent="0.25">
      <c r="A496">
        <v>18.436244565694899</v>
      </c>
      <c r="B496">
        <v>100.324953316351</v>
      </c>
      <c r="C496">
        <v>2000</v>
      </c>
    </row>
    <row r="497" spans="1:11" x14ac:dyDescent="0.25">
      <c r="A497">
        <v>0</v>
      </c>
      <c r="B497">
        <v>81.888708750656605</v>
      </c>
      <c r="C497">
        <v>2000</v>
      </c>
    </row>
    <row r="498" spans="1:11" x14ac:dyDescent="0.25">
      <c r="A498">
        <v>0</v>
      </c>
      <c r="B498">
        <v>81.014676701758901</v>
      </c>
      <c r="C498">
        <v>2001</v>
      </c>
    </row>
    <row r="499" spans="1:11" x14ac:dyDescent="0.25">
      <c r="A499">
        <v>18.660369981889499</v>
      </c>
      <c r="B499">
        <v>99.675046683648503</v>
      </c>
      <c r="C499">
        <v>2001</v>
      </c>
    </row>
    <row r="500" spans="1:11" x14ac:dyDescent="0.25">
      <c r="A500">
        <v>36.3908183772838</v>
      </c>
      <c r="B500">
        <v>117.40549507904301</v>
      </c>
      <c r="C500">
        <v>2001</v>
      </c>
    </row>
    <row r="501" spans="1:11" x14ac:dyDescent="0.25">
      <c r="A501">
        <v>50.311853276134002</v>
      </c>
      <c r="B501">
        <v>131.32652997789299</v>
      </c>
      <c r="C501">
        <v>2001</v>
      </c>
    </row>
    <row r="502" spans="1:11" x14ac:dyDescent="0.25">
      <c r="A502">
        <v>68.985323298241099</v>
      </c>
      <c r="B502">
        <v>150</v>
      </c>
      <c r="C502">
        <v>2001</v>
      </c>
    </row>
    <row r="503" spans="1:11" x14ac:dyDescent="0.25">
      <c r="A503">
        <v>68.111291249343395</v>
      </c>
      <c r="B503">
        <v>150</v>
      </c>
      <c r="C503">
        <v>2000</v>
      </c>
    </row>
    <row r="504" spans="1:11" x14ac:dyDescent="0.25">
      <c r="A504">
        <v>49.688146723865998</v>
      </c>
      <c r="B504">
        <v>131.576855474523</v>
      </c>
      <c r="C504">
        <v>2000</v>
      </c>
    </row>
    <row r="505" spans="1:11" x14ac:dyDescent="0.25">
      <c r="A505" t="s">
        <v>86</v>
      </c>
    </row>
    <row r="506" spans="1:11" x14ac:dyDescent="0.25">
      <c r="A506">
        <v>736</v>
      </c>
      <c r="B506">
        <v>0</v>
      </c>
      <c r="C506">
        <v>61.265927407209503</v>
      </c>
      <c r="D506">
        <v>33.378954036393601</v>
      </c>
      <c r="E506">
        <v>12</v>
      </c>
      <c r="F506">
        <v>1.01722196789785</v>
      </c>
      <c r="G506" t="s">
        <v>84</v>
      </c>
      <c r="H506" t="s">
        <v>83</v>
      </c>
      <c r="I506">
        <v>30</v>
      </c>
      <c r="J506">
        <v>0</v>
      </c>
      <c r="K506">
        <v>9.5418080883047596E-2</v>
      </c>
    </row>
    <row r="507" spans="1:11" x14ac:dyDescent="0.25">
      <c r="A507" t="s">
        <v>85</v>
      </c>
    </row>
    <row r="508" spans="1:11" x14ac:dyDescent="0.25">
      <c r="A508">
        <v>126.541550583388</v>
      </c>
      <c r="B508">
        <v>88.136899967679796</v>
      </c>
      <c r="C508">
        <v>2000</v>
      </c>
    </row>
    <row r="509" spans="1:11" x14ac:dyDescent="0.25">
      <c r="A509">
        <v>100.21850801222401</v>
      </c>
      <c r="B509">
        <v>61.813857396516703</v>
      </c>
      <c r="C509">
        <v>2000</v>
      </c>
    </row>
    <row r="510" spans="1:11" x14ac:dyDescent="0.25">
      <c r="A510">
        <v>88.186142603483304</v>
      </c>
      <c r="B510">
        <v>49.781491987775603</v>
      </c>
      <c r="C510">
        <v>2000</v>
      </c>
    </row>
    <row r="511" spans="1:11" x14ac:dyDescent="0.25">
      <c r="A511">
        <v>83.294470538855805</v>
      </c>
      <c r="B511">
        <v>44.889819923148103</v>
      </c>
      <c r="C511">
        <v>2000</v>
      </c>
    </row>
    <row r="512" spans="1:11" x14ac:dyDescent="0.25">
      <c r="A512">
        <v>82.857454514406996</v>
      </c>
      <c r="B512">
        <v>45.326835947596898</v>
      </c>
      <c r="C512">
        <v>2001</v>
      </c>
    </row>
    <row r="513" spans="1:11" x14ac:dyDescent="0.25">
      <c r="A513">
        <v>87.749126579034495</v>
      </c>
      <c r="B513">
        <v>50.218508012224397</v>
      </c>
      <c r="C513">
        <v>2001</v>
      </c>
    </row>
    <row r="514" spans="1:11" x14ac:dyDescent="0.25">
      <c r="A514">
        <v>99.781491987775595</v>
      </c>
      <c r="B514">
        <v>62.250873420965497</v>
      </c>
      <c r="C514">
        <v>2001</v>
      </c>
    </row>
    <row r="515" spans="1:11" x14ac:dyDescent="0.25">
      <c r="A515">
        <v>126.253479920516</v>
      </c>
      <c r="B515">
        <v>88.722861353706406</v>
      </c>
      <c r="C515">
        <v>2001</v>
      </c>
    </row>
    <row r="516" spans="1:11" x14ac:dyDescent="0.25">
      <c r="A516">
        <v>137.85624088521999</v>
      </c>
      <c r="B516">
        <v>100.32562231841</v>
      </c>
      <c r="C516">
        <v>2001</v>
      </c>
    </row>
    <row r="517" spans="1:11" x14ac:dyDescent="0.25">
      <c r="A517">
        <v>150</v>
      </c>
      <c r="B517">
        <v>112.46938143318999</v>
      </c>
      <c r="C517">
        <v>2001</v>
      </c>
    </row>
    <row r="518" spans="1:11" x14ac:dyDescent="0.25">
      <c r="A518">
        <v>150</v>
      </c>
      <c r="B518">
        <v>111.59534938429201</v>
      </c>
      <c r="C518">
        <v>2000</v>
      </c>
    </row>
    <row r="519" spans="1:11" x14ac:dyDescent="0.25">
      <c r="A519">
        <v>138.07902829729801</v>
      </c>
      <c r="B519">
        <v>99.674377681590499</v>
      </c>
      <c r="C519">
        <v>2000</v>
      </c>
    </row>
    <row r="520" spans="1:11" x14ac:dyDescent="0.25">
      <c r="A520" t="s">
        <v>86</v>
      </c>
    </row>
    <row r="521" spans="1:11" x14ac:dyDescent="0.25">
      <c r="A521">
        <v>431</v>
      </c>
      <c r="B521">
        <v>0</v>
      </c>
      <c r="C521">
        <v>86.644863764299501</v>
      </c>
      <c r="D521">
        <v>5.6342846364704302</v>
      </c>
      <c r="E521">
        <v>10</v>
      </c>
      <c r="F521">
        <v>1.01722196789785</v>
      </c>
      <c r="G521" t="s">
        <v>83</v>
      </c>
      <c r="H521" t="s">
        <v>83</v>
      </c>
      <c r="I521">
        <v>0</v>
      </c>
      <c r="J521">
        <v>0</v>
      </c>
      <c r="K521">
        <v>0</v>
      </c>
    </row>
    <row r="522" spans="1:11" x14ac:dyDescent="0.25">
      <c r="A522" t="s">
        <v>85</v>
      </c>
    </row>
    <row r="523" spans="1:11" x14ac:dyDescent="0.25">
      <c r="A523">
        <v>61.647106373822801</v>
      </c>
      <c r="B523">
        <v>145.95887875307</v>
      </c>
      <c r="C523">
        <v>2000</v>
      </c>
    </row>
    <row r="524" spans="1:11" x14ac:dyDescent="0.25">
      <c r="A524">
        <v>50.218508012224397</v>
      </c>
      <c r="B524">
        <v>134.530280391471</v>
      </c>
      <c r="C524">
        <v>2000</v>
      </c>
    </row>
    <row r="525" spans="1:11" x14ac:dyDescent="0.25">
      <c r="A525">
        <v>15.317861834902599</v>
      </c>
      <c r="B525">
        <v>99.629634214149604</v>
      </c>
      <c r="C525">
        <v>2000</v>
      </c>
    </row>
    <row r="526" spans="1:11" x14ac:dyDescent="0.25">
      <c r="A526">
        <v>0</v>
      </c>
      <c r="B526">
        <v>84.311772379247003</v>
      </c>
      <c r="C526">
        <v>2000</v>
      </c>
    </row>
    <row r="527" spans="1:11" x14ac:dyDescent="0.25">
      <c r="A527">
        <v>0</v>
      </c>
      <c r="B527">
        <v>85.185804428144706</v>
      </c>
      <c r="C527">
        <v>2001</v>
      </c>
    </row>
    <row r="528" spans="1:11" x14ac:dyDescent="0.25">
      <c r="A528">
        <v>15.1845613577057</v>
      </c>
      <c r="B528">
        <v>100.37036578585</v>
      </c>
      <c r="C528">
        <v>2001</v>
      </c>
    </row>
    <row r="529" spans="1:11" x14ac:dyDescent="0.25">
      <c r="A529">
        <v>49.781491987775603</v>
      </c>
      <c r="B529">
        <v>134.96729641592</v>
      </c>
      <c r="C529">
        <v>2001</v>
      </c>
    </row>
    <row r="530" spans="1:11" x14ac:dyDescent="0.25">
      <c r="A530">
        <v>60.887235071618697</v>
      </c>
      <c r="B530">
        <v>146.07303949976301</v>
      </c>
      <c r="C530">
        <v>2001</v>
      </c>
    </row>
    <row r="531" spans="1:11" x14ac:dyDescent="0.25">
      <c r="A531">
        <v>64.814195571855393</v>
      </c>
      <c r="B531">
        <v>150</v>
      </c>
      <c r="C531">
        <v>2001</v>
      </c>
    </row>
    <row r="532" spans="1:11" x14ac:dyDescent="0.25">
      <c r="A532">
        <v>65.688227620752997</v>
      </c>
      <c r="B532">
        <v>150</v>
      </c>
      <c r="C532">
        <v>2000</v>
      </c>
    </row>
    <row r="533" spans="1:11" x14ac:dyDescent="0.25">
      <c r="A533" t="s">
        <v>86</v>
      </c>
    </row>
    <row r="534" spans="1:11" x14ac:dyDescent="0.25">
      <c r="A534">
        <v>775</v>
      </c>
      <c r="B534">
        <v>0</v>
      </c>
      <c r="C534">
        <v>31.777403995990198</v>
      </c>
      <c r="D534">
        <v>60.440820189829999</v>
      </c>
      <c r="E534">
        <v>10</v>
      </c>
      <c r="F534">
        <v>1.01722196789785</v>
      </c>
      <c r="G534" t="s">
        <v>84</v>
      </c>
      <c r="H534" t="s">
        <v>83</v>
      </c>
      <c r="I534">
        <v>109</v>
      </c>
      <c r="J534">
        <v>0</v>
      </c>
      <c r="K534">
        <v>9.6278525939506795E-2</v>
      </c>
    </row>
    <row r="535" spans="1:11" x14ac:dyDescent="0.25">
      <c r="A535" t="s">
        <v>85</v>
      </c>
    </row>
    <row r="536" spans="1:11" x14ac:dyDescent="0.25">
      <c r="A536">
        <v>55.181691440126002</v>
      </c>
      <c r="B536">
        <v>107.06602033346699</v>
      </c>
      <c r="C536">
        <v>2000</v>
      </c>
    </row>
    <row r="537" spans="1:11" x14ac:dyDescent="0.25">
      <c r="A537">
        <v>50.218508012224397</v>
      </c>
      <c r="B537">
        <v>102.102836905565</v>
      </c>
      <c r="C537">
        <v>2000</v>
      </c>
    </row>
    <row r="538" spans="1:11" x14ac:dyDescent="0.25">
      <c r="A538">
        <v>47.897163094434703</v>
      </c>
      <c r="B538">
        <v>99.781491987775595</v>
      </c>
      <c r="C538">
        <v>2000</v>
      </c>
    </row>
    <row r="539" spans="1:11" x14ac:dyDescent="0.25">
      <c r="A539">
        <v>32.689031423659898</v>
      </c>
      <c r="B539">
        <v>84.573360317000905</v>
      </c>
      <c r="C539">
        <v>2000</v>
      </c>
    </row>
    <row r="540" spans="1:11" x14ac:dyDescent="0.25">
      <c r="A540">
        <v>32.252015399211103</v>
      </c>
      <c r="B540">
        <v>85.0103763414497</v>
      </c>
      <c r="C540">
        <v>2001</v>
      </c>
    </row>
    <row r="541" spans="1:11" x14ac:dyDescent="0.25">
      <c r="A541">
        <v>47.460147069985801</v>
      </c>
      <c r="B541">
        <v>100.21850801222401</v>
      </c>
      <c r="C541">
        <v>2001</v>
      </c>
    </row>
    <row r="542" spans="1:11" x14ac:dyDescent="0.25">
      <c r="A542">
        <v>49.781491987775603</v>
      </c>
      <c r="B542">
        <v>102.53985293001401</v>
      </c>
      <c r="C542">
        <v>2001</v>
      </c>
    </row>
    <row r="543" spans="1:11" x14ac:dyDescent="0.25">
      <c r="A543">
        <v>54.699391090883402</v>
      </c>
      <c r="B543">
        <v>107.45775203312201</v>
      </c>
      <c r="C543">
        <v>2001</v>
      </c>
    </row>
    <row r="544" spans="1:11" x14ac:dyDescent="0.25">
      <c r="A544">
        <v>97.241639057761503</v>
      </c>
      <c r="B544">
        <v>150</v>
      </c>
      <c r="C544">
        <v>2001</v>
      </c>
    </row>
    <row r="545" spans="1:11" x14ac:dyDescent="0.25">
      <c r="A545">
        <v>98.115671106659093</v>
      </c>
      <c r="B545">
        <v>150</v>
      </c>
      <c r="C545">
        <v>2000</v>
      </c>
    </row>
    <row r="546" spans="1:11" x14ac:dyDescent="0.25">
      <c r="A546" t="s">
        <v>86</v>
      </c>
    </row>
    <row r="547" spans="1:11" x14ac:dyDescent="0.25">
      <c r="A547">
        <v>29</v>
      </c>
      <c r="B547">
        <v>0</v>
      </c>
      <c r="C547">
        <v>18.668304887288599</v>
      </c>
      <c r="D547">
        <v>71.958835095281202</v>
      </c>
      <c r="E547">
        <v>10</v>
      </c>
      <c r="F547">
        <v>1.01722196789785</v>
      </c>
      <c r="G547" t="s">
        <v>83</v>
      </c>
      <c r="H547" t="s">
        <v>84</v>
      </c>
      <c r="I547">
        <v>0</v>
      </c>
      <c r="J547">
        <v>347</v>
      </c>
      <c r="K547">
        <v>0</v>
      </c>
    </row>
    <row r="548" spans="1:11" x14ac:dyDescent="0.25">
      <c r="A548" t="s">
        <v>85</v>
      </c>
    </row>
    <row r="549" spans="1:11" x14ac:dyDescent="0.25">
      <c r="A549">
        <v>13.0784726493679</v>
      </c>
      <c r="B549">
        <v>39.875158713250599</v>
      </c>
      <c r="C549">
        <v>2000</v>
      </c>
    </row>
    <row r="550" spans="1:11" x14ac:dyDescent="0.25">
      <c r="A550">
        <v>0</v>
      </c>
      <c r="B550">
        <v>26.796686063882699</v>
      </c>
      <c r="C550">
        <v>2000</v>
      </c>
    </row>
    <row r="551" spans="1:11" x14ac:dyDescent="0.25">
      <c r="A551">
        <v>0</v>
      </c>
      <c r="B551">
        <v>25.922654014985</v>
      </c>
      <c r="C551">
        <v>2001</v>
      </c>
    </row>
    <row r="552" spans="1:11" x14ac:dyDescent="0.25">
      <c r="A552">
        <v>13.322497308751601</v>
      </c>
      <c r="B552">
        <v>39.2451513237366</v>
      </c>
      <c r="C552">
        <v>2001</v>
      </c>
    </row>
    <row r="553" spans="1:11" x14ac:dyDescent="0.25">
      <c r="A553">
        <v>23.858837972790599</v>
      </c>
      <c r="B553">
        <v>49.781491987775603</v>
      </c>
      <c r="C553">
        <v>2001</v>
      </c>
    </row>
    <row r="554" spans="1:11" x14ac:dyDescent="0.25">
      <c r="A554">
        <v>50.218508012224397</v>
      </c>
      <c r="B554">
        <v>76.141162027209404</v>
      </c>
      <c r="C554">
        <v>2001</v>
      </c>
    </row>
    <row r="555" spans="1:11" x14ac:dyDescent="0.25">
      <c r="A555">
        <v>64.301573253442001</v>
      </c>
      <c r="B555">
        <v>90.224227268427001</v>
      </c>
      <c r="C555">
        <v>2001</v>
      </c>
    </row>
    <row r="556" spans="1:11" x14ac:dyDescent="0.25">
      <c r="A556">
        <v>63.864557228993199</v>
      </c>
      <c r="B556">
        <v>90.661243292875795</v>
      </c>
      <c r="C556">
        <v>2000</v>
      </c>
    </row>
    <row r="557" spans="1:11" x14ac:dyDescent="0.25">
      <c r="A557">
        <v>49.781491987775603</v>
      </c>
      <c r="B557">
        <v>76.578178051658199</v>
      </c>
      <c r="C557">
        <v>2000</v>
      </c>
    </row>
    <row r="558" spans="1:11" x14ac:dyDescent="0.25">
      <c r="A558">
        <v>23.421821948341801</v>
      </c>
      <c r="B558">
        <v>50.218508012224397</v>
      </c>
      <c r="C558">
        <v>2000</v>
      </c>
    </row>
    <row r="559" spans="1:11" x14ac:dyDescent="0.25">
      <c r="A559" t="s">
        <v>86</v>
      </c>
    </row>
    <row r="560" spans="1:11" x14ac:dyDescent="0.25">
      <c r="A560">
        <v>25</v>
      </c>
      <c r="B560">
        <v>0</v>
      </c>
      <c r="C560">
        <v>0.53685451339978796</v>
      </c>
      <c r="D560">
        <v>88.556982118053</v>
      </c>
      <c r="E560">
        <v>10</v>
      </c>
      <c r="F560">
        <v>1.01722196789785</v>
      </c>
      <c r="G560" t="s">
        <v>84</v>
      </c>
      <c r="H560" t="s">
        <v>84</v>
      </c>
      <c r="I560">
        <v>34</v>
      </c>
      <c r="J560">
        <v>355</v>
      </c>
      <c r="K560">
        <v>0</v>
      </c>
    </row>
    <row r="561" spans="1:11" x14ac:dyDescent="0.25">
      <c r="A561" t="s">
        <v>85</v>
      </c>
    </row>
    <row r="562" spans="1:11" x14ac:dyDescent="0.25">
      <c r="A562">
        <v>15.963085721234201</v>
      </c>
      <c r="B562">
        <v>20.802451567162201</v>
      </c>
      <c r="C562">
        <v>2000</v>
      </c>
    </row>
    <row r="563" spans="1:11" x14ac:dyDescent="0.25">
      <c r="A563">
        <v>15.5834722542986</v>
      </c>
      <c r="B563">
        <v>20.422838100226599</v>
      </c>
      <c r="C563">
        <v>2000</v>
      </c>
    </row>
    <row r="564" spans="1:11" x14ac:dyDescent="0.25">
      <c r="A564">
        <v>16.020488278747401</v>
      </c>
      <c r="B564">
        <v>19.985822075777801</v>
      </c>
      <c r="C564">
        <v>2001</v>
      </c>
    </row>
    <row r="565" spans="1:11" x14ac:dyDescent="0.25">
      <c r="A565">
        <v>16.400101745682999</v>
      </c>
      <c r="B565">
        <v>20.365435542713399</v>
      </c>
      <c r="C565">
        <v>2001</v>
      </c>
    </row>
    <row r="566" spans="1:11" x14ac:dyDescent="0.25">
      <c r="A566">
        <v>45.816158190745199</v>
      </c>
      <c r="B566">
        <v>49.781491987775603</v>
      </c>
      <c r="C566">
        <v>2001</v>
      </c>
    </row>
    <row r="567" spans="1:11" x14ac:dyDescent="0.25">
      <c r="A567">
        <v>50.218508012224397</v>
      </c>
      <c r="B567">
        <v>54.183841809254801</v>
      </c>
      <c r="C567">
        <v>2001</v>
      </c>
    </row>
    <row r="568" spans="1:11" x14ac:dyDescent="0.25">
      <c r="A568">
        <v>79.019344322774103</v>
      </c>
      <c r="B568">
        <v>82.984678119804499</v>
      </c>
      <c r="C568">
        <v>2001</v>
      </c>
    </row>
    <row r="569" spans="1:11" x14ac:dyDescent="0.25">
      <c r="A569">
        <v>78.582328298325294</v>
      </c>
      <c r="B569">
        <v>83.421694144253294</v>
      </c>
      <c r="C569">
        <v>2000</v>
      </c>
    </row>
    <row r="570" spans="1:11" x14ac:dyDescent="0.25">
      <c r="A570">
        <v>49.781491987775603</v>
      </c>
      <c r="B570">
        <v>54.620857833703603</v>
      </c>
      <c r="C570">
        <v>2000</v>
      </c>
    </row>
    <row r="571" spans="1:11" x14ac:dyDescent="0.25">
      <c r="A571">
        <v>45.379142166296397</v>
      </c>
      <c r="B571">
        <v>50.218508012224397</v>
      </c>
      <c r="C571">
        <v>2000</v>
      </c>
    </row>
    <row r="572" spans="1:11" x14ac:dyDescent="0.25">
      <c r="A572" t="s">
        <v>86</v>
      </c>
    </row>
    <row r="573" spans="1:11" x14ac:dyDescent="0.25">
      <c r="A573">
        <v>266</v>
      </c>
      <c r="B573">
        <v>0</v>
      </c>
      <c r="C573">
        <v>60.796919752708597</v>
      </c>
      <c r="D573">
        <v>27.831302428177398</v>
      </c>
      <c r="E573">
        <v>10</v>
      </c>
      <c r="F573">
        <v>1.01722196789785</v>
      </c>
      <c r="G573" t="s">
        <v>84</v>
      </c>
      <c r="H573" t="s">
        <v>83</v>
      </c>
      <c r="I573">
        <v>333</v>
      </c>
      <c r="J573">
        <v>0</v>
      </c>
      <c r="K573">
        <v>0</v>
      </c>
    </row>
    <row r="574" spans="1:11" x14ac:dyDescent="0.25">
      <c r="A574" t="s">
        <v>85</v>
      </c>
    </row>
    <row r="575" spans="1:11" x14ac:dyDescent="0.25">
      <c r="A575">
        <v>130.17849617724499</v>
      </c>
      <c r="B575">
        <v>110.940885571115</v>
      </c>
      <c r="C575">
        <v>2000</v>
      </c>
    </row>
    <row r="576" spans="1:11" x14ac:dyDescent="0.25">
      <c r="A576">
        <v>119.45611861835501</v>
      </c>
      <c r="B576">
        <v>100.21850801222401</v>
      </c>
      <c r="C576">
        <v>2000</v>
      </c>
    </row>
    <row r="577" spans="1:11" x14ac:dyDescent="0.25">
      <c r="A577">
        <v>99.781491987775595</v>
      </c>
      <c r="B577">
        <v>80.543881381644994</v>
      </c>
      <c r="C577">
        <v>2000</v>
      </c>
    </row>
    <row r="578" spans="1:11" x14ac:dyDescent="0.25">
      <c r="A578">
        <v>87.111875079163099</v>
      </c>
      <c r="B578">
        <v>67.874264473032497</v>
      </c>
      <c r="C578">
        <v>2000</v>
      </c>
    </row>
    <row r="579" spans="1:11" x14ac:dyDescent="0.25">
      <c r="A579">
        <v>87.548891103611894</v>
      </c>
      <c r="B579">
        <v>67.437248448583702</v>
      </c>
      <c r="C579">
        <v>2001</v>
      </c>
    </row>
    <row r="580" spans="1:11" x14ac:dyDescent="0.25">
      <c r="A580">
        <v>100.21850801222401</v>
      </c>
      <c r="B580">
        <v>80.106865357196199</v>
      </c>
      <c r="C580">
        <v>2001</v>
      </c>
    </row>
    <row r="581" spans="1:11" x14ac:dyDescent="0.25">
      <c r="A581">
        <v>119.893134642804</v>
      </c>
      <c r="B581">
        <v>99.781491987775595</v>
      </c>
      <c r="C581">
        <v>2001</v>
      </c>
    </row>
    <row r="582" spans="1:11" x14ac:dyDescent="0.25">
      <c r="A582">
        <v>130.46209847031901</v>
      </c>
      <c r="B582">
        <v>110.350455815291</v>
      </c>
      <c r="C582">
        <v>2001</v>
      </c>
    </row>
    <row r="583" spans="1:11" x14ac:dyDescent="0.25">
      <c r="A583">
        <v>150</v>
      </c>
      <c r="B583">
        <v>129.88835734497201</v>
      </c>
      <c r="C583">
        <v>2001</v>
      </c>
    </row>
    <row r="584" spans="1:11" x14ac:dyDescent="0.25">
      <c r="A584">
        <v>150</v>
      </c>
      <c r="B584">
        <v>130.762389393869</v>
      </c>
      <c r="C584">
        <v>2000</v>
      </c>
    </row>
    <row r="585" spans="1:11" x14ac:dyDescent="0.25">
      <c r="A585" t="s">
        <v>86</v>
      </c>
    </row>
    <row r="586" spans="1:11" x14ac:dyDescent="0.25">
      <c r="A586">
        <v>847</v>
      </c>
      <c r="B586">
        <v>0</v>
      </c>
      <c r="C586">
        <v>43.090592596863701</v>
      </c>
      <c r="D586">
        <v>43.7856697465051</v>
      </c>
      <c r="E586">
        <v>10</v>
      </c>
      <c r="F586">
        <v>1.01722196789785</v>
      </c>
      <c r="G586" t="s">
        <v>84</v>
      </c>
      <c r="H586" t="s">
        <v>83</v>
      </c>
      <c r="I586">
        <v>321</v>
      </c>
      <c r="J586">
        <v>0</v>
      </c>
      <c r="K586">
        <v>0.100395727473879</v>
      </c>
    </row>
    <row r="587" spans="1:11" x14ac:dyDescent="0.25">
      <c r="A587" t="s">
        <v>85</v>
      </c>
    </row>
    <row r="588" spans="1:11" x14ac:dyDescent="0.25">
      <c r="A588">
        <v>118.86090711592099</v>
      </c>
      <c r="B588">
        <v>107.315907544607</v>
      </c>
      <c r="C588">
        <v>2000</v>
      </c>
    </row>
    <row r="589" spans="1:11" x14ac:dyDescent="0.25">
      <c r="A589">
        <v>111.763507583539</v>
      </c>
      <c r="B589">
        <v>100.21850801222401</v>
      </c>
      <c r="C589">
        <v>2000</v>
      </c>
    </row>
    <row r="590" spans="1:11" x14ac:dyDescent="0.25">
      <c r="A590">
        <v>99.781491987775595</v>
      </c>
      <c r="B590">
        <v>88.236492416461402</v>
      </c>
      <c r="C590">
        <v>2000</v>
      </c>
    </row>
    <row r="591" spans="1:11" x14ac:dyDescent="0.25">
      <c r="A591">
        <v>88.350697760637999</v>
      </c>
      <c r="B591">
        <v>76.805698189323806</v>
      </c>
      <c r="C591">
        <v>2000</v>
      </c>
    </row>
    <row r="592" spans="1:11" x14ac:dyDescent="0.25">
      <c r="A592">
        <v>88.787713785086794</v>
      </c>
      <c r="B592">
        <v>76.368682164874997</v>
      </c>
      <c r="C592">
        <v>2001</v>
      </c>
    </row>
    <row r="593" spans="1:11" x14ac:dyDescent="0.25">
      <c r="A593">
        <v>100.21850801222401</v>
      </c>
      <c r="B593">
        <v>87.799476392012593</v>
      </c>
      <c r="C593">
        <v>2001</v>
      </c>
    </row>
    <row r="594" spans="1:11" x14ac:dyDescent="0.25">
      <c r="A594">
        <v>112.20052360798699</v>
      </c>
      <c r="B594">
        <v>99.781491987775595</v>
      </c>
      <c r="C594">
        <v>2001</v>
      </c>
    </row>
    <row r="595" spans="1:11" x14ac:dyDescent="0.25">
      <c r="A595">
        <v>119.216804890982</v>
      </c>
      <c r="B595">
        <v>106.79777327076999</v>
      </c>
      <c r="C595">
        <v>2001</v>
      </c>
    </row>
    <row r="596" spans="1:11" x14ac:dyDescent="0.25">
      <c r="A596">
        <v>150</v>
      </c>
      <c r="B596">
        <v>137.580968379788</v>
      </c>
      <c r="C596">
        <v>2001</v>
      </c>
    </row>
    <row r="597" spans="1:11" x14ac:dyDescent="0.25">
      <c r="A597">
        <v>150</v>
      </c>
      <c r="B597">
        <v>138.45500042868599</v>
      </c>
      <c r="C597">
        <v>2000</v>
      </c>
    </row>
    <row r="598" spans="1:11" x14ac:dyDescent="0.25">
      <c r="A598" t="s">
        <v>86</v>
      </c>
    </row>
    <row r="599" spans="1:11" x14ac:dyDescent="0.25">
      <c r="A599">
        <v>810</v>
      </c>
      <c r="B599">
        <v>0</v>
      </c>
      <c r="C599">
        <v>23.4682735428431</v>
      </c>
      <c r="D599">
        <v>61.891297561198897</v>
      </c>
      <c r="E599">
        <v>10</v>
      </c>
      <c r="F599">
        <v>1.01722196789785</v>
      </c>
      <c r="G599" t="s">
        <v>83</v>
      </c>
      <c r="H599" t="s">
        <v>83</v>
      </c>
      <c r="I599">
        <v>0</v>
      </c>
      <c r="J599">
        <v>0</v>
      </c>
      <c r="K599">
        <v>9.7391432165086E-2</v>
      </c>
    </row>
    <row r="600" spans="1:11" x14ac:dyDescent="0.25">
      <c r="A600" t="s">
        <v>85</v>
      </c>
    </row>
    <row r="601" spans="1:11" x14ac:dyDescent="0.25">
      <c r="A601">
        <v>105.974777065694</v>
      </c>
      <c r="B601">
        <v>16.7701246569865</v>
      </c>
      <c r="C601">
        <v>2000</v>
      </c>
    </row>
    <row r="602" spans="1:11" x14ac:dyDescent="0.25">
      <c r="A602">
        <v>99.699376645496898</v>
      </c>
      <c r="B602">
        <v>10.4947242367891</v>
      </c>
      <c r="C602">
        <v>2000</v>
      </c>
    </row>
    <row r="603" spans="1:11" x14ac:dyDescent="0.25">
      <c r="A603">
        <v>89.204652408707801</v>
      </c>
      <c r="B603">
        <v>0</v>
      </c>
      <c r="C603">
        <v>2000</v>
      </c>
    </row>
    <row r="604" spans="1:11" x14ac:dyDescent="0.25">
      <c r="A604">
        <v>90.078684457605405</v>
      </c>
      <c r="B604">
        <v>0</v>
      </c>
      <c r="C604">
        <v>2001</v>
      </c>
    </row>
    <row r="605" spans="1:11" x14ac:dyDescent="0.25">
      <c r="A605">
        <v>100.300623354503</v>
      </c>
      <c r="B605">
        <v>10.221938896897599</v>
      </c>
      <c r="C605">
        <v>2001</v>
      </c>
    </row>
    <row r="606" spans="1:11" x14ac:dyDescent="0.25">
      <c r="A606">
        <v>106.497710530389</v>
      </c>
      <c r="B606">
        <v>16.4190260727839</v>
      </c>
      <c r="C606">
        <v>2001</v>
      </c>
    </row>
    <row r="607" spans="1:11" x14ac:dyDescent="0.25">
      <c r="A607">
        <v>139.693386535922</v>
      </c>
      <c r="B607">
        <v>49.6147020783161</v>
      </c>
      <c r="C607">
        <v>2001</v>
      </c>
    </row>
    <row r="608" spans="1:11" x14ac:dyDescent="0.25">
      <c r="A608">
        <v>150</v>
      </c>
      <c r="B608">
        <v>59.921315542394503</v>
      </c>
      <c r="C608">
        <v>2001</v>
      </c>
    </row>
    <row r="609" spans="1:11" x14ac:dyDescent="0.25">
      <c r="A609">
        <v>150</v>
      </c>
      <c r="B609">
        <v>60.795347591292099</v>
      </c>
      <c r="C609">
        <v>2000</v>
      </c>
    </row>
    <row r="610" spans="1:11" x14ac:dyDescent="0.25">
      <c r="A610">
        <v>139.58995033039201</v>
      </c>
      <c r="B610">
        <v>50.3852979216839</v>
      </c>
      <c r="C610">
        <v>2000</v>
      </c>
    </row>
    <row r="611" spans="1:11" x14ac:dyDescent="0.25">
      <c r="A611" t="s">
        <v>86</v>
      </c>
    </row>
    <row r="612" spans="1:11" x14ac:dyDescent="0.25">
      <c r="A612">
        <v>437</v>
      </c>
      <c r="B612">
        <v>0</v>
      </c>
      <c r="C612">
        <v>52.370065439671997</v>
      </c>
      <c r="D612">
        <v>32.579034378444803</v>
      </c>
      <c r="E612">
        <v>10</v>
      </c>
      <c r="F612">
        <v>1.01722196789785</v>
      </c>
      <c r="G612" t="s">
        <v>84</v>
      </c>
      <c r="H612" t="s">
        <v>83</v>
      </c>
      <c r="I612">
        <v>330</v>
      </c>
      <c r="J612">
        <v>0</v>
      </c>
      <c r="K612">
        <v>0</v>
      </c>
    </row>
    <row r="613" spans="1:11" x14ac:dyDescent="0.25">
      <c r="A613" t="s">
        <v>85</v>
      </c>
    </row>
    <row r="614" spans="1:11" x14ac:dyDescent="0.25">
      <c r="A614">
        <v>92.552630494644205</v>
      </c>
      <c r="B614">
        <v>127.127898981418</v>
      </c>
      <c r="C614">
        <v>2000</v>
      </c>
    </row>
    <row r="615" spans="1:11" x14ac:dyDescent="0.25">
      <c r="A615">
        <v>65.643239525450795</v>
      </c>
      <c r="B615">
        <v>100.21850801222401</v>
      </c>
      <c r="C615">
        <v>2000</v>
      </c>
    </row>
    <row r="616" spans="1:11" x14ac:dyDescent="0.25">
      <c r="A616">
        <v>55.575154988367501</v>
      </c>
      <c r="B616">
        <v>90.150423475141096</v>
      </c>
      <c r="C616">
        <v>2000</v>
      </c>
    </row>
    <row r="617" spans="1:11" x14ac:dyDescent="0.25">
      <c r="A617">
        <v>56.012171012816303</v>
      </c>
      <c r="B617">
        <v>89.713407450692301</v>
      </c>
      <c r="C617">
        <v>2001</v>
      </c>
    </row>
    <row r="618" spans="1:11" x14ac:dyDescent="0.25">
      <c r="A618">
        <v>66.080255549899604</v>
      </c>
      <c r="B618">
        <v>99.781491987775595</v>
      </c>
      <c r="C618">
        <v>2001</v>
      </c>
    </row>
    <row r="619" spans="1:11" x14ac:dyDescent="0.25">
      <c r="A619">
        <v>93.097152313690302</v>
      </c>
      <c r="B619">
        <v>126.79838875156599</v>
      </c>
      <c r="C619">
        <v>2001</v>
      </c>
    </row>
    <row r="620" spans="1:11" x14ac:dyDescent="0.25">
      <c r="A620">
        <v>100.286564986131</v>
      </c>
      <c r="B620">
        <v>133.98780142400699</v>
      </c>
      <c r="C620">
        <v>2001</v>
      </c>
    </row>
    <row r="621" spans="1:11" x14ac:dyDescent="0.25">
      <c r="A621">
        <v>116.29876356212399</v>
      </c>
      <c r="B621">
        <v>150</v>
      </c>
      <c r="C621">
        <v>2001</v>
      </c>
    </row>
    <row r="622" spans="1:11" x14ac:dyDescent="0.25">
      <c r="A622">
        <v>115.42473151322601</v>
      </c>
      <c r="B622">
        <v>150</v>
      </c>
      <c r="C622">
        <v>2000</v>
      </c>
    </row>
    <row r="623" spans="1:11" x14ac:dyDescent="0.25">
      <c r="A623">
        <v>99.713435013868903</v>
      </c>
      <c r="B623">
        <v>134.28870350064301</v>
      </c>
      <c r="C623">
        <v>2000</v>
      </c>
    </row>
    <row r="624" spans="1:11" x14ac:dyDescent="0.25">
      <c r="A624" t="s">
        <v>86</v>
      </c>
    </row>
    <row r="625" spans="1:11" x14ac:dyDescent="0.25">
      <c r="A625">
        <v>117</v>
      </c>
      <c r="B625">
        <v>0</v>
      </c>
      <c r="C625">
        <v>0.176451436295054</v>
      </c>
      <c r="D625">
        <v>83.525619182520202</v>
      </c>
      <c r="E625">
        <v>10</v>
      </c>
      <c r="F625">
        <v>1.01722196789785</v>
      </c>
      <c r="G625" t="s">
        <v>84</v>
      </c>
      <c r="H625" t="s">
        <v>84</v>
      </c>
      <c r="I625">
        <v>98</v>
      </c>
      <c r="J625">
        <v>412</v>
      </c>
      <c r="K625">
        <v>0</v>
      </c>
    </row>
    <row r="626" spans="1:11" x14ac:dyDescent="0.25">
      <c r="A626" t="s">
        <v>85</v>
      </c>
    </row>
    <row r="627" spans="1:11" x14ac:dyDescent="0.25">
      <c r="A627">
        <v>7.4286365180454297</v>
      </c>
      <c r="B627">
        <v>58.142525780076603</v>
      </c>
      <c r="C627">
        <v>2000</v>
      </c>
    </row>
    <row r="628" spans="1:11" x14ac:dyDescent="0.25">
      <c r="A628">
        <v>7.3038665108910896</v>
      </c>
      <c r="B628">
        <v>58.0177557729223</v>
      </c>
      <c r="C628">
        <v>2000</v>
      </c>
    </row>
    <row r="629" spans="1:11" x14ac:dyDescent="0.25">
      <c r="A629">
        <v>7.7408825353399102</v>
      </c>
      <c r="B629">
        <v>57.580739748473398</v>
      </c>
      <c r="C629">
        <v>2001</v>
      </c>
    </row>
    <row r="630" spans="1:11" x14ac:dyDescent="0.25">
      <c r="A630">
        <v>7.8656525424942503</v>
      </c>
      <c r="B630">
        <v>57.705509755627801</v>
      </c>
      <c r="C630">
        <v>2001</v>
      </c>
    </row>
    <row r="631" spans="1:11" x14ac:dyDescent="0.25">
      <c r="A631">
        <v>49.941634774642097</v>
      </c>
      <c r="B631">
        <v>99.781491987775595</v>
      </c>
      <c r="C631">
        <v>2001</v>
      </c>
    </row>
    <row r="632" spans="1:11" x14ac:dyDescent="0.25">
      <c r="A632">
        <v>50.218508012224397</v>
      </c>
      <c r="B632">
        <v>100.058365225358</v>
      </c>
      <c r="C632">
        <v>2001</v>
      </c>
    </row>
    <row r="633" spans="1:11" x14ac:dyDescent="0.25">
      <c r="A633">
        <v>66.927184269259499</v>
      </c>
      <c r="B633">
        <v>116.767041482393</v>
      </c>
      <c r="C633">
        <v>2001</v>
      </c>
    </row>
    <row r="634" spans="1:11" x14ac:dyDescent="0.25">
      <c r="A634">
        <v>66.490168244810704</v>
      </c>
      <c r="B634">
        <v>117.20405750684201</v>
      </c>
      <c r="C634">
        <v>2000</v>
      </c>
    </row>
    <row r="635" spans="1:11" x14ac:dyDescent="0.25">
      <c r="A635">
        <v>49.781491987775603</v>
      </c>
      <c r="B635">
        <v>100.495381249807</v>
      </c>
      <c r="C635">
        <v>2000</v>
      </c>
    </row>
    <row r="636" spans="1:11" x14ac:dyDescent="0.25">
      <c r="A636">
        <v>49.504618750193302</v>
      </c>
      <c r="B636">
        <v>100.21850801222401</v>
      </c>
      <c r="C636">
        <v>2000</v>
      </c>
    </row>
    <row r="637" spans="1:11" x14ac:dyDescent="0.25">
      <c r="A637" t="s">
        <v>86</v>
      </c>
    </row>
    <row r="638" spans="1:11" x14ac:dyDescent="0.25">
      <c r="A638">
        <v>829</v>
      </c>
      <c r="B638">
        <v>0</v>
      </c>
      <c r="C638">
        <v>31.370074122515099</v>
      </c>
      <c r="D638">
        <v>52.026283490839901</v>
      </c>
      <c r="E638">
        <v>10</v>
      </c>
      <c r="F638">
        <v>1.01722196789785</v>
      </c>
      <c r="G638" t="s">
        <v>83</v>
      </c>
      <c r="H638" t="s">
        <v>84</v>
      </c>
      <c r="I638">
        <v>0</v>
      </c>
      <c r="J638">
        <v>848</v>
      </c>
      <c r="K638">
        <v>9.8407604610444205E-2</v>
      </c>
    </row>
    <row r="639" spans="1:11" x14ac:dyDescent="0.25">
      <c r="A639" t="s">
        <v>85</v>
      </c>
    </row>
    <row r="640" spans="1:11" x14ac:dyDescent="0.25">
      <c r="A640">
        <v>74.843606491520703</v>
      </c>
      <c r="B640">
        <v>22.080323090377899</v>
      </c>
      <c r="C640">
        <v>2000</v>
      </c>
    </row>
    <row r="641" spans="1:11" x14ac:dyDescent="0.25">
      <c r="A641">
        <v>52.7632834011428</v>
      </c>
      <c r="B641">
        <v>0</v>
      </c>
      <c r="C641">
        <v>2000</v>
      </c>
    </row>
    <row r="642" spans="1:11" x14ac:dyDescent="0.25">
      <c r="A642">
        <v>51.889251352245203</v>
      </c>
      <c r="B642">
        <v>0</v>
      </c>
      <c r="C642">
        <v>2001</v>
      </c>
    </row>
    <row r="643" spans="1:11" x14ac:dyDescent="0.25">
      <c r="A643">
        <v>74.172912538577407</v>
      </c>
      <c r="B643">
        <v>22.2836611863322</v>
      </c>
      <c r="C643">
        <v>2001</v>
      </c>
    </row>
    <row r="644" spans="1:11" x14ac:dyDescent="0.25">
      <c r="A644">
        <v>99.781491987775595</v>
      </c>
      <c r="B644">
        <v>47.892240635530399</v>
      </c>
      <c r="C644">
        <v>2001</v>
      </c>
    </row>
    <row r="645" spans="1:11" x14ac:dyDescent="0.25">
      <c r="A645">
        <v>102.10775936447</v>
      </c>
      <c r="B645">
        <v>50.218508012224397</v>
      </c>
      <c r="C645">
        <v>2001</v>
      </c>
    </row>
    <row r="646" spans="1:11" x14ac:dyDescent="0.25">
      <c r="A646">
        <v>111.07788935913101</v>
      </c>
      <c r="B646">
        <v>59.188638006886002</v>
      </c>
      <c r="C646">
        <v>2001</v>
      </c>
    </row>
    <row r="647" spans="1:11" x14ac:dyDescent="0.25">
      <c r="A647">
        <v>111.51490538358</v>
      </c>
      <c r="B647">
        <v>58.7516219824372</v>
      </c>
      <c r="C647">
        <v>2000</v>
      </c>
    </row>
    <row r="648" spans="1:11" x14ac:dyDescent="0.25">
      <c r="A648">
        <v>102.544775388918</v>
      </c>
      <c r="B648">
        <v>49.781491987775603</v>
      </c>
      <c r="C648">
        <v>2000</v>
      </c>
    </row>
    <row r="649" spans="1:11" x14ac:dyDescent="0.25">
      <c r="A649">
        <v>100.21850801222401</v>
      </c>
      <c r="B649">
        <v>47.455224611081498</v>
      </c>
      <c r="C649">
        <v>2000</v>
      </c>
    </row>
    <row r="650" spans="1:11" x14ac:dyDescent="0.25">
      <c r="A650" t="s">
        <v>86</v>
      </c>
    </row>
    <row r="651" spans="1:11" x14ac:dyDescent="0.25">
      <c r="A651">
        <v>747</v>
      </c>
      <c r="B651">
        <v>0</v>
      </c>
      <c r="C651">
        <v>69.708160769534402</v>
      </c>
      <c r="D651">
        <v>13.3452632520781</v>
      </c>
      <c r="E651">
        <v>10</v>
      </c>
      <c r="F651">
        <v>1.01722196789785</v>
      </c>
      <c r="G651" t="s">
        <v>84</v>
      </c>
      <c r="H651" t="s">
        <v>83</v>
      </c>
      <c r="I651">
        <v>812</v>
      </c>
      <c r="J651">
        <v>0</v>
      </c>
      <c r="K651">
        <v>9.5111036399799301E-2</v>
      </c>
    </row>
    <row r="652" spans="1:11" x14ac:dyDescent="0.25">
      <c r="A652" t="s">
        <v>85</v>
      </c>
    </row>
    <row r="653" spans="1:11" x14ac:dyDescent="0.25">
      <c r="A653">
        <v>128.014385465229</v>
      </c>
      <c r="B653">
        <v>140.50784981430601</v>
      </c>
      <c r="C653">
        <v>2000</v>
      </c>
    </row>
    <row r="654" spans="1:11" x14ac:dyDescent="0.25">
      <c r="A654">
        <v>100.21850801222401</v>
      </c>
      <c r="B654">
        <v>112.71197236130099</v>
      </c>
      <c r="C654">
        <v>2000</v>
      </c>
    </row>
    <row r="655" spans="1:11" x14ac:dyDescent="0.25">
      <c r="A655">
        <v>87.288027638699106</v>
      </c>
      <c r="B655">
        <v>99.781491987775595</v>
      </c>
      <c r="C655">
        <v>2000</v>
      </c>
    </row>
    <row r="656" spans="1:11" x14ac:dyDescent="0.25">
      <c r="A656">
        <v>78.560388312255199</v>
      </c>
      <c r="B656">
        <v>91.053852661331703</v>
      </c>
      <c r="C656">
        <v>2000</v>
      </c>
    </row>
    <row r="657" spans="1:11" x14ac:dyDescent="0.25">
      <c r="A657">
        <v>78.123372287806404</v>
      </c>
      <c r="B657">
        <v>91.490868685780498</v>
      </c>
      <c r="C657">
        <v>2001</v>
      </c>
    </row>
    <row r="658" spans="1:11" x14ac:dyDescent="0.25">
      <c r="A658">
        <v>86.851011614250297</v>
      </c>
      <c r="B658">
        <v>100.21850801222401</v>
      </c>
      <c r="C658">
        <v>2001</v>
      </c>
    </row>
    <row r="659" spans="1:11" x14ac:dyDescent="0.25">
      <c r="A659">
        <v>99.781491987775595</v>
      </c>
      <c r="B659">
        <v>113.14898838575</v>
      </c>
      <c r="C659">
        <v>2001</v>
      </c>
    </row>
    <row r="660" spans="1:11" x14ac:dyDescent="0.25">
      <c r="A660">
        <v>127.25160150319201</v>
      </c>
      <c r="B660">
        <v>140.61909790116599</v>
      </c>
      <c r="C660">
        <v>2001</v>
      </c>
    </row>
    <row r="661" spans="1:11" x14ac:dyDescent="0.25">
      <c r="A661">
        <v>136.63250360202599</v>
      </c>
      <c r="B661">
        <v>150</v>
      </c>
      <c r="C661">
        <v>2001</v>
      </c>
    </row>
    <row r="662" spans="1:11" x14ac:dyDescent="0.25">
      <c r="A662">
        <v>137.50653565092401</v>
      </c>
      <c r="B662">
        <v>150</v>
      </c>
      <c r="C662">
        <v>2000</v>
      </c>
    </row>
    <row r="663" spans="1:11" x14ac:dyDescent="0.25">
      <c r="A663" t="s">
        <v>86</v>
      </c>
    </row>
    <row r="664" spans="1:11" x14ac:dyDescent="0.25">
      <c r="A664">
        <v>508</v>
      </c>
      <c r="B664">
        <v>0</v>
      </c>
      <c r="C664">
        <v>43.949727671499197</v>
      </c>
      <c r="D664">
        <v>39.05801747684</v>
      </c>
      <c r="E664">
        <v>10</v>
      </c>
      <c r="F664">
        <v>1.01722196789785</v>
      </c>
      <c r="G664" t="s">
        <v>83</v>
      </c>
      <c r="H664" t="s">
        <v>83</v>
      </c>
      <c r="I664">
        <v>0</v>
      </c>
      <c r="J664">
        <v>0</v>
      </c>
      <c r="K664">
        <v>0</v>
      </c>
    </row>
    <row r="665" spans="1:11" x14ac:dyDescent="0.25">
      <c r="A665" t="s">
        <v>85</v>
      </c>
    </row>
    <row r="666" spans="1:11" x14ac:dyDescent="0.25">
      <c r="A666">
        <v>122.172332380806</v>
      </c>
      <c r="B666">
        <v>31.304687890650602</v>
      </c>
      <c r="C666">
        <v>2000</v>
      </c>
    </row>
    <row r="667" spans="1:11" x14ac:dyDescent="0.25">
      <c r="A667">
        <v>99.624122185392395</v>
      </c>
      <c r="B667">
        <v>8.7564776952366596</v>
      </c>
      <c r="C667">
        <v>2000</v>
      </c>
    </row>
    <row r="668" spans="1:11" x14ac:dyDescent="0.25">
      <c r="A668">
        <v>90.867644490155797</v>
      </c>
      <c r="B668">
        <v>0</v>
      </c>
      <c r="C668">
        <v>2000</v>
      </c>
    </row>
    <row r="669" spans="1:11" x14ac:dyDescent="0.25">
      <c r="A669">
        <v>91.741676539053401</v>
      </c>
      <c r="B669">
        <v>0</v>
      </c>
      <c r="C669">
        <v>2001</v>
      </c>
    </row>
    <row r="670" spans="1:11" x14ac:dyDescent="0.25">
      <c r="A670">
        <v>100.375877814608</v>
      </c>
      <c r="B670">
        <v>8.6342012755541298</v>
      </c>
      <c r="C670">
        <v>2001</v>
      </c>
    </row>
    <row r="671" spans="1:11" x14ac:dyDescent="0.25">
      <c r="A671">
        <v>122.59128958404099</v>
      </c>
      <c r="B671">
        <v>30.849613044987599</v>
      </c>
      <c r="C671">
        <v>2001</v>
      </c>
    </row>
    <row r="672" spans="1:11" x14ac:dyDescent="0.25">
      <c r="A672">
        <v>141.37345580546699</v>
      </c>
      <c r="B672">
        <v>49.6317792664141</v>
      </c>
      <c r="C672">
        <v>2001</v>
      </c>
    </row>
    <row r="673" spans="1:11" x14ac:dyDescent="0.25">
      <c r="A673">
        <v>150</v>
      </c>
      <c r="B673">
        <v>58.258323460946499</v>
      </c>
      <c r="C673">
        <v>2001</v>
      </c>
    </row>
    <row r="674" spans="1:11" x14ac:dyDescent="0.25">
      <c r="A674">
        <v>150</v>
      </c>
      <c r="B674">
        <v>59.132355509844203</v>
      </c>
      <c r="C674">
        <v>2000</v>
      </c>
    </row>
    <row r="675" spans="1:11" x14ac:dyDescent="0.25">
      <c r="A675">
        <v>141.235865223742</v>
      </c>
      <c r="B675">
        <v>50.3682207335859</v>
      </c>
      <c r="C675">
        <v>2000</v>
      </c>
    </row>
    <row r="676" spans="1:11" x14ac:dyDescent="0.25">
      <c r="A676" t="s">
        <v>86</v>
      </c>
    </row>
    <row r="677" spans="1:11" x14ac:dyDescent="0.25">
      <c r="A677">
        <v>270</v>
      </c>
      <c r="B677">
        <v>0</v>
      </c>
      <c r="C677">
        <v>29.8054774909866</v>
      </c>
      <c r="D677">
        <v>52.313756690272399</v>
      </c>
      <c r="E677">
        <v>10</v>
      </c>
      <c r="F677">
        <v>1.01722196789785</v>
      </c>
      <c r="G677" t="s">
        <v>84</v>
      </c>
      <c r="H677" t="s">
        <v>83</v>
      </c>
      <c r="I677">
        <v>331</v>
      </c>
      <c r="J677">
        <v>0</v>
      </c>
      <c r="K677">
        <v>0</v>
      </c>
    </row>
    <row r="678" spans="1:11" x14ac:dyDescent="0.25">
      <c r="A678" t="s">
        <v>85</v>
      </c>
    </row>
    <row r="679" spans="1:11" x14ac:dyDescent="0.25">
      <c r="A679">
        <v>113.19076290841799</v>
      </c>
      <c r="B679">
        <v>107.122729079995</v>
      </c>
      <c r="C679">
        <v>2000</v>
      </c>
    </row>
    <row r="680" spans="1:11" x14ac:dyDescent="0.25">
      <c r="A680">
        <v>105.849525816198</v>
      </c>
      <c r="B680">
        <v>99.781491987775595</v>
      </c>
      <c r="C680">
        <v>2000</v>
      </c>
    </row>
    <row r="681" spans="1:11" x14ac:dyDescent="0.25">
      <c r="A681">
        <v>100.21850801222401</v>
      </c>
      <c r="B681">
        <v>94.150474183801606</v>
      </c>
      <c r="C681">
        <v>2000</v>
      </c>
    </row>
    <row r="682" spans="1:11" x14ac:dyDescent="0.25">
      <c r="A682">
        <v>92.151440656809996</v>
      </c>
      <c r="B682">
        <v>86.083406828387197</v>
      </c>
      <c r="C682">
        <v>2000</v>
      </c>
    </row>
    <row r="683" spans="1:11" x14ac:dyDescent="0.25">
      <c r="A683">
        <v>91.714424632361201</v>
      </c>
      <c r="B683">
        <v>86.520422852836006</v>
      </c>
      <c r="C683">
        <v>2001</v>
      </c>
    </row>
    <row r="684" spans="1:11" x14ac:dyDescent="0.25">
      <c r="A684">
        <v>99.781491987775595</v>
      </c>
      <c r="B684">
        <v>94.587490208250401</v>
      </c>
      <c r="C684">
        <v>2001</v>
      </c>
    </row>
    <row r="685" spans="1:11" x14ac:dyDescent="0.25">
      <c r="A685">
        <v>105.41250979175</v>
      </c>
      <c r="B685">
        <v>100.21850801222401</v>
      </c>
      <c r="C685">
        <v>2001</v>
      </c>
    </row>
    <row r="686" spans="1:11" x14ac:dyDescent="0.25">
      <c r="A686">
        <v>112.826412881512</v>
      </c>
      <c r="B686">
        <v>107.632411101987</v>
      </c>
      <c r="C686">
        <v>2001</v>
      </c>
    </row>
    <row r="687" spans="1:11" x14ac:dyDescent="0.25">
      <c r="A687">
        <v>150</v>
      </c>
      <c r="B687">
        <v>144.805998220475</v>
      </c>
      <c r="C687">
        <v>2001</v>
      </c>
    </row>
    <row r="688" spans="1:11" x14ac:dyDescent="0.25">
      <c r="A688">
        <v>150</v>
      </c>
      <c r="B688">
        <v>143.93196617157699</v>
      </c>
      <c r="C688">
        <v>2000</v>
      </c>
    </row>
    <row r="689" spans="1:11" x14ac:dyDescent="0.25">
      <c r="A689" t="s">
        <v>86</v>
      </c>
    </row>
    <row r="690" spans="1:11" x14ac:dyDescent="0.25">
      <c r="A690">
        <v>425</v>
      </c>
      <c r="B690">
        <v>0</v>
      </c>
      <c r="C690">
        <v>67.304883161448103</v>
      </c>
      <c r="D690">
        <v>14.3723899850098</v>
      </c>
      <c r="E690">
        <v>10</v>
      </c>
      <c r="F690">
        <v>1.01722196789785</v>
      </c>
      <c r="G690" t="s">
        <v>84</v>
      </c>
      <c r="H690" t="s">
        <v>83</v>
      </c>
      <c r="I690">
        <v>825</v>
      </c>
      <c r="J690">
        <v>0</v>
      </c>
      <c r="K690">
        <v>0</v>
      </c>
    </row>
    <row r="691" spans="1:11" x14ac:dyDescent="0.25">
      <c r="A691" t="s">
        <v>85</v>
      </c>
    </row>
    <row r="692" spans="1:11" x14ac:dyDescent="0.25">
      <c r="A692">
        <v>52.6125899259467</v>
      </c>
      <c r="B692">
        <v>139.65975757034801</v>
      </c>
      <c r="C692">
        <v>2000</v>
      </c>
    </row>
    <row r="693" spans="1:11" x14ac:dyDescent="0.25">
      <c r="A693">
        <v>50.218508012224397</v>
      </c>
      <c r="B693">
        <v>137.265675656626</v>
      </c>
      <c r="C693">
        <v>2000</v>
      </c>
    </row>
    <row r="694" spans="1:11" x14ac:dyDescent="0.25">
      <c r="A694">
        <v>12.734324343374301</v>
      </c>
      <c r="B694">
        <v>99.781491987775595</v>
      </c>
      <c r="C694">
        <v>2000</v>
      </c>
    </row>
    <row r="695" spans="1:11" x14ac:dyDescent="0.25">
      <c r="A695">
        <v>4.9797706326880196</v>
      </c>
      <c r="B695">
        <v>92.0269382770893</v>
      </c>
      <c r="C695">
        <v>2000</v>
      </c>
    </row>
    <row r="696" spans="1:11" x14ac:dyDescent="0.25">
      <c r="A696">
        <v>4.5427546082391999</v>
      </c>
      <c r="B696">
        <v>92.463954301538095</v>
      </c>
      <c r="C696">
        <v>2001</v>
      </c>
    </row>
    <row r="697" spans="1:11" x14ac:dyDescent="0.25">
      <c r="A697">
        <v>12.2973083189255</v>
      </c>
      <c r="B697">
        <v>100.21850801222401</v>
      </c>
      <c r="C697">
        <v>2001</v>
      </c>
    </row>
    <row r="698" spans="1:11" x14ac:dyDescent="0.25">
      <c r="A698">
        <v>49.781491987775603</v>
      </c>
      <c r="B698">
        <v>137.70269168107399</v>
      </c>
      <c r="C698">
        <v>2001</v>
      </c>
    </row>
    <row r="699" spans="1:11" x14ac:dyDescent="0.25">
      <c r="A699">
        <v>52.093413895837003</v>
      </c>
      <c r="B699">
        <v>140.01461358913599</v>
      </c>
      <c r="C699">
        <v>2001</v>
      </c>
    </row>
    <row r="700" spans="1:11" x14ac:dyDescent="0.25">
      <c r="A700">
        <v>62.078800306701098</v>
      </c>
      <c r="B700">
        <v>150</v>
      </c>
      <c r="C700">
        <v>2001</v>
      </c>
    </row>
    <row r="701" spans="1:11" x14ac:dyDescent="0.25">
      <c r="A701">
        <v>62.952832355598701</v>
      </c>
      <c r="B701">
        <v>150</v>
      </c>
      <c r="C701">
        <v>2000</v>
      </c>
    </row>
    <row r="702" spans="1:11" x14ac:dyDescent="0.25">
      <c r="A702" t="s">
        <v>86</v>
      </c>
    </row>
    <row r="703" spans="1:11" x14ac:dyDescent="0.25">
      <c r="A703">
        <v>796</v>
      </c>
      <c r="B703">
        <v>0</v>
      </c>
      <c r="C703">
        <v>16.620192826409699</v>
      </c>
      <c r="D703">
        <v>64.8595664680591</v>
      </c>
      <c r="E703">
        <v>10</v>
      </c>
      <c r="F703">
        <v>1.01722196789785</v>
      </c>
      <c r="G703" t="s">
        <v>84</v>
      </c>
      <c r="H703" t="s">
        <v>84</v>
      </c>
      <c r="I703">
        <v>7</v>
      </c>
      <c r="J703">
        <v>322</v>
      </c>
      <c r="K703">
        <v>9.6846384952709502E-2</v>
      </c>
    </row>
    <row r="704" spans="1:11" x14ac:dyDescent="0.25">
      <c r="A704" t="s">
        <v>85</v>
      </c>
    </row>
    <row r="705" spans="1:11" x14ac:dyDescent="0.25">
      <c r="A705">
        <v>49.577648056469897</v>
      </c>
      <c r="B705">
        <v>26.623973235783001</v>
      </c>
      <c r="C705">
        <v>2000</v>
      </c>
    </row>
    <row r="706" spans="1:11" x14ac:dyDescent="0.25">
      <c r="A706">
        <v>37.825397004287602</v>
      </c>
      <c r="B706">
        <v>14.871722183600699</v>
      </c>
      <c r="C706">
        <v>2000</v>
      </c>
    </row>
    <row r="707" spans="1:11" x14ac:dyDescent="0.25">
      <c r="A707">
        <v>37.3883809798388</v>
      </c>
      <c r="B707">
        <v>15.308738208049499</v>
      </c>
      <c r="C707">
        <v>2001</v>
      </c>
    </row>
    <row r="708" spans="1:11" x14ac:dyDescent="0.25">
      <c r="A708">
        <v>49.140632032021102</v>
      </c>
      <c r="B708">
        <v>27.0609892602318</v>
      </c>
      <c r="C708">
        <v>2001</v>
      </c>
    </row>
    <row r="709" spans="1:11" x14ac:dyDescent="0.25">
      <c r="A709">
        <v>49.781491987775603</v>
      </c>
      <c r="B709">
        <v>27.7018492159863</v>
      </c>
      <c r="C709">
        <v>2001</v>
      </c>
    </row>
    <row r="710" spans="1:11" x14ac:dyDescent="0.25">
      <c r="A710">
        <v>72.2981507840137</v>
      </c>
      <c r="B710">
        <v>50.218508012224397</v>
      </c>
      <c r="C710">
        <v>2001</v>
      </c>
    </row>
    <row r="711" spans="1:11" x14ac:dyDescent="0.25">
      <c r="A711">
        <v>95.003271306405296</v>
      </c>
      <c r="B711">
        <v>72.923628534616</v>
      </c>
      <c r="C711">
        <v>2001</v>
      </c>
    </row>
    <row r="712" spans="1:11" x14ac:dyDescent="0.25">
      <c r="A712">
        <v>95.440287330854105</v>
      </c>
      <c r="B712">
        <v>72.486612510167106</v>
      </c>
      <c r="C712">
        <v>2000</v>
      </c>
    </row>
    <row r="713" spans="1:11" x14ac:dyDescent="0.25">
      <c r="A713">
        <v>72.735166808462495</v>
      </c>
      <c r="B713">
        <v>49.781491987775603</v>
      </c>
      <c r="C713">
        <v>2000</v>
      </c>
    </row>
    <row r="714" spans="1:11" x14ac:dyDescent="0.25">
      <c r="A714">
        <v>50.218508012224397</v>
      </c>
      <c r="B714">
        <v>27.264833191537502</v>
      </c>
      <c r="C714">
        <v>2000</v>
      </c>
    </row>
    <row r="715" spans="1:11" x14ac:dyDescent="0.25">
      <c r="A715" t="s">
        <v>86</v>
      </c>
    </row>
    <row r="716" spans="1:11" x14ac:dyDescent="0.25">
      <c r="A716">
        <v>504</v>
      </c>
      <c r="B716">
        <v>0</v>
      </c>
      <c r="C716">
        <v>64.156617439564997</v>
      </c>
      <c r="D716">
        <v>17.1234393522906</v>
      </c>
      <c r="E716">
        <v>10</v>
      </c>
      <c r="F716">
        <v>1.01722196789785</v>
      </c>
      <c r="G716" t="s">
        <v>83</v>
      </c>
      <c r="H716" t="s">
        <v>83</v>
      </c>
      <c r="I716">
        <v>0</v>
      </c>
      <c r="J716">
        <v>0</v>
      </c>
      <c r="K716">
        <v>0</v>
      </c>
    </row>
    <row r="717" spans="1:11" x14ac:dyDescent="0.25">
      <c r="A717" t="s">
        <v>85</v>
      </c>
    </row>
    <row r="718" spans="1:11" x14ac:dyDescent="0.25">
      <c r="A718">
        <v>137.72802279296701</v>
      </c>
      <c r="B718">
        <v>45.638718150164401</v>
      </c>
      <c r="C718">
        <v>2000</v>
      </c>
    </row>
    <row r="719" spans="1:11" x14ac:dyDescent="0.25">
      <c r="A719">
        <v>99.598981726313298</v>
      </c>
      <c r="B719">
        <v>7.5096770835109199</v>
      </c>
      <c r="C719">
        <v>2000</v>
      </c>
    </row>
    <row r="720" spans="1:11" x14ac:dyDescent="0.25">
      <c r="A720">
        <v>92.089304642802304</v>
      </c>
      <c r="B720">
        <v>0</v>
      </c>
      <c r="C720">
        <v>2000</v>
      </c>
    </row>
    <row r="721" spans="1:11" x14ac:dyDescent="0.25">
      <c r="A721">
        <v>92.963336691699993</v>
      </c>
      <c r="B721">
        <v>0</v>
      </c>
      <c r="C721">
        <v>2001</v>
      </c>
    </row>
    <row r="722" spans="1:11" x14ac:dyDescent="0.25">
      <c r="A722">
        <v>100.401018273687</v>
      </c>
      <c r="B722">
        <v>7.4376815819867401</v>
      </c>
      <c r="C722">
        <v>2001</v>
      </c>
    </row>
    <row r="723" spans="1:11" x14ac:dyDescent="0.25">
      <c r="A723">
        <v>138.05577704055099</v>
      </c>
      <c r="B723">
        <v>45.092440348850701</v>
      </c>
      <c r="C723">
        <v>2001</v>
      </c>
    </row>
    <row r="724" spans="1:11" x14ac:dyDescent="0.25">
      <c r="A724">
        <v>142.66119391770101</v>
      </c>
      <c r="B724">
        <v>49.697857226001197</v>
      </c>
      <c r="C724">
        <v>2001</v>
      </c>
    </row>
    <row r="725" spans="1:11" x14ac:dyDescent="0.25">
      <c r="A725">
        <v>150</v>
      </c>
      <c r="B725">
        <v>57.0366633083</v>
      </c>
      <c r="C725">
        <v>2001</v>
      </c>
    </row>
    <row r="726" spans="1:11" x14ac:dyDescent="0.25">
      <c r="A726">
        <v>150</v>
      </c>
      <c r="B726">
        <v>57.910695357197604</v>
      </c>
      <c r="C726">
        <v>2000</v>
      </c>
    </row>
    <row r="727" spans="1:11" x14ac:dyDescent="0.25">
      <c r="A727">
        <v>142.39144741680099</v>
      </c>
      <c r="B727">
        <v>50.302142773998703</v>
      </c>
      <c r="C727">
        <v>2000</v>
      </c>
    </row>
    <row r="728" spans="1:11" x14ac:dyDescent="0.25">
      <c r="A728" t="s">
        <v>86</v>
      </c>
    </row>
    <row r="729" spans="1:11" x14ac:dyDescent="0.25">
      <c r="A729">
        <v>799</v>
      </c>
      <c r="B729">
        <v>0</v>
      </c>
      <c r="C729">
        <v>56.403053236611903</v>
      </c>
      <c r="D729">
        <v>23.7092877607685</v>
      </c>
      <c r="E729">
        <v>10</v>
      </c>
      <c r="F729">
        <v>1.01722196789785</v>
      </c>
      <c r="G729" t="s">
        <v>84</v>
      </c>
      <c r="H729" t="s">
        <v>83</v>
      </c>
      <c r="I729">
        <v>339</v>
      </c>
      <c r="J729">
        <v>0</v>
      </c>
      <c r="K729">
        <v>9.6846384952709502E-2</v>
      </c>
    </row>
    <row r="730" spans="1:11" x14ac:dyDescent="0.25">
      <c r="A730" t="s">
        <v>85</v>
      </c>
    </row>
    <row r="731" spans="1:11" x14ac:dyDescent="0.25">
      <c r="A731">
        <v>106.599717898729</v>
      </c>
      <c r="B731">
        <v>133.076324443998</v>
      </c>
      <c r="C731">
        <v>2000</v>
      </c>
    </row>
    <row r="732" spans="1:11" x14ac:dyDescent="0.25">
      <c r="A732">
        <v>100.21850801222401</v>
      </c>
      <c r="B732">
        <v>126.69511455749399</v>
      </c>
      <c r="C732">
        <v>2000</v>
      </c>
    </row>
    <row r="733" spans="1:11" x14ac:dyDescent="0.25">
      <c r="A733">
        <v>73.304885442506105</v>
      </c>
      <c r="B733">
        <v>99.781491987775595</v>
      </c>
      <c r="C733">
        <v>2000</v>
      </c>
    </row>
    <row r="734" spans="1:11" x14ac:dyDescent="0.25">
      <c r="A734">
        <v>66.656905866529499</v>
      </c>
      <c r="B734">
        <v>93.133512411798904</v>
      </c>
      <c r="C734">
        <v>2000</v>
      </c>
    </row>
    <row r="735" spans="1:11" x14ac:dyDescent="0.25">
      <c r="A735">
        <v>66.219889842080605</v>
      </c>
      <c r="B735">
        <v>93.570528436247699</v>
      </c>
      <c r="C735">
        <v>2001</v>
      </c>
    </row>
    <row r="736" spans="1:11" x14ac:dyDescent="0.25">
      <c r="A736">
        <v>72.867869418057296</v>
      </c>
      <c r="B736">
        <v>100.21850801222401</v>
      </c>
      <c r="C736">
        <v>2001</v>
      </c>
    </row>
    <row r="737" spans="1:11" x14ac:dyDescent="0.25">
      <c r="A737">
        <v>99.781491987775595</v>
      </c>
      <c r="B737">
        <v>127.132130581943</v>
      </c>
      <c r="C737">
        <v>2001</v>
      </c>
    </row>
    <row r="738" spans="1:11" x14ac:dyDescent="0.25">
      <c r="A738">
        <v>106.04304065635</v>
      </c>
      <c r="B738">
        <v>133.39367925051701</v>
      </c>
      <c r="C738">
        <v>2001</v>
      </c>
    </row>
    <row r="739" spans="1:11" x14ac:dyDescent="0.25">
      <c r="A739">
        <v>122.64936140583301</v>
      </c>
      <c r="B739">
        <v>150</v>
      </c>
      <c r="C739">
        <v>2001</v>
      </c>
    </row>
    <row r="740" spans="1:11" x14ac:dyDescent="0.25">
      <c r="A740">
        <v>123.52339345473101</v>
      </c>
      <c r="B740">
        <v>150</v>
      </c>
      <c r="C740">
        <v>2000</v>
      </c>
    </row>
    <row r="741" spans="1:11" x14ac:dyDescent="0.25">
      <c r="A741" t="s">
        <v>86</v>
      </c>
    </row>
    <row r="742" spans="1:11" x14ac:dyDescent="0.25">
      <c r="A742">
        <v>102</v>
      </c>
      <c r="B742">
        <v>0</v>
      </c>
      <c r="C742">
        <v>43.4303251884416</v>
      </c>
      <c r="D742">
        <v>35.767548968608899</v>
      </c>
      <c r="E742">
        <v>10</v>
      </c>
      <c r="F742">
        <v>1.01722196789785</v>
      </c>
      <c r="G742" t="s">
        <v>83</v>
      </c>
      <c r="H742" t="s">
        <v>84</v>
      </c>
      <c r="I742">
        <v>0</v>
      </c>
      <c r="J742">
        <v>330</v>
      </c>
      <c r="K742">
        <v>0</v>
      </c>
    </row>
    <row r="743" spans="1:11" x14ac:dyDescent="0.25">
      <c r="A743" t="s">
        <v>85</v>
      </c>
    </row>
    <row r="744" spans="1:11" x14ac:dyDescent="0.25">
      <c r="A744">
        <v>30.869643457113199</v>
      </c>
      <c r="B744">
        <v>64.155498152154493</v>
      </c>
      <c r="C744">
        <v>2000</v>
      </c>
    </row>
    <row r="745" spans="1:11" x14ac:dyDescent="0.25">
      <c r="A745">
        <v>16.392944889660701</v>
      </c>
      <c r="B745">
        <v>49.678799584701999</v>
      </c>
      <c r="C745">
        <v>2000</v>
      </c>
    </row>
    <row r="746" spans="1:11" x14ac:dyDescent="0.25">
      <c r="A746">
        <v>0</v>
      </c>
      <c r="B746">
        <v>33.285854695041202</v>
      </c>
      <c r="C746">
        <v>2000</v>
      </c>
    </row>
    <row r="747" spans="1:11" x14ac:dyDescent="0.25">
      <c r="A747">
        <v>0</v>
      </c>
      <c r="B747">
        <v>34.159886743938898</v>
      </c>
      <c r="C747">
        <v>2001</v>
      </c>
    </row>
    <row r="748" spans="1:11" x14ac:dyDescent="0.25">
      <c r="A748">
        <v>16.161313671359199</v>
      </c>
      <c r="B748">
        <v>50.321200415298101</v>
      </c>
      <c r="C748">
        <v>2001</v>
      </c>
    </row>
    <row r="749" spans="1:11" x14ac:dyDescent="0.25">
      <c r="A749">
        <v>30.550111442654799</v>
      </c>
      <c r="B749">
        <v>64.709998186593694</v>
      </c>
      <c r="C749">
        <v>2001</v>
      </c>
    </row>
    <row r="750" spans="1:11" x14ac:dyDescent="0.25">
      <c r="A750">
        <v>49.781491987775603</v>
      </c>
      <c r="B750">
        <v>83.941378731714394</v>
      </c>
      <c r="C750">
        <v>2001</v>
      </c>
    </row>
    <row r="751" spans="1:11" x14ac:dyDescent="0.25">
      <c r="A751">
        <v>55.782845859784899</v>
      </c>
      <c r="B751">
        <v>89.942732603723698</v>
      </c>
      <c r="C751">
        <v>2001</v>
      </c>
    </row>
    <row r="752" spans="1:11" x14ac:dyDescent="0.25">
      <c r="A752">
        <v>56.219861884233701</v>
      </c>
      <c r="B752">
        <v>89.505716579274903</v>
      </c>
      <c r="C752">
        <v>2000</v>
      </c>
    </row>
    <row r="753" spans="1:11" x14ac:dyDescent="0.25">
      <c r="A753">
        <v>50.218508012224397</v>
      </c>
      <c r="B753">
        <v>83.504362707265599</v>
      </c>
      <c r="C753">
        <v>2000</v>
      </c>
    </row>
    <row r="754" spans="1:11" x14ac:dyDescent="0.25">
      <c r="A754" t="s">
        <v>86</v>
      </c>
    </row>
    <row r="755" spans="1:11" x14ac:dyDescent="0.25">
      <c r="A755">
        <v>760</v>
      </c>
      <c r="B755">
        <v>0</v>
      </c>
      <c r="C755">
        <v>58.970140154671903</v>
      </c>
      <c r="D755">
        <v>19.468252352279301</v>
      </c>
      <c r="E755">
        <v>12</v>
      </c>
      <c r="F755">
        <v>1.01722196789785</v>
      </c>
      <c r="G755" t="s">
        <v>83</v>
      </c>
      <c r="H755" t="s">
        <v>84</v>
      </c>
      <c r="I755">
        <v>0</v>
      </c>
      <c r="J755">
        <v>579</v>
      </c>
      <c r="K755">
        <v>9.5703858509913295E-2</v>
      </c>
    </row>
    <row r="756" spans="1:11" x14ac:dyDescent="0.25">
      <c r="A756" t="s">
        <v>85</v>
      </c>
    </row>
    <row r="757" spans="1:11" x14ac:dyDescent="0.25">
      <c r="A757">
        <v>86.963707181887102</v>
      </c>
      <c r="B757">
        <v>41.881124704825197</v>
      </c>
      <c r="C757">
        <v>2000</v>
      </c>
    </row>
    <row r="758" spans="1:11" x14ac:dyDescent="0.25">
      <c r="A758">
        <v>49.5864623020572</v>
      </c>
      <c r="B758">
        <v>4.5038798249953</v>
      </c>
      <c r="C758">
        <v>2000</v>
      </c>
    </row>
    <row r="759" spans="1:11" x14ac:dyDescent="0.25">
      <c r="A759">
        <v>45.082582477061898</v>
      </c>
      <c r="B759">
        <v>0</v>
      </c>
      <c r="C759">
        <v>2000</v>
      </c>
    </row>
    <row r="760" spans="1:11" x14ac:dyDescent="0.25">
      <c r="A760">
        <v>45.956614525959502</v>
      </c>
      <c r="B760">
        <v>0</v>
      </c>
      <c r="C760">
        <v>2001</v>
      </c>
    </row>
    <row r="761" spans="1:11" x14ac:dyDescent="0.25">
      <c r="A761">
        <v>50.4135376979428</v>
      </c>
      <c r="B761">
        <v>4.4569231719832896</v>
      </c>
      <c r="C761">
        <v>2001</v>
      </c>
    </row>
    <row r="762" spans="1:11" x14ac:dyDescent="0.25">
      <c r="A762">
        <v>87.471861802913693</v>
      </c>
      <c r="B762">
        <v>41.515247276954099</v>
      </c>
      <c r="C762">
        <v>2001</v>
      </c>
    </row>
    <row r="763" spans="1:11" x14ac:dyDescent="0.25">
      <c r="A763">
        <v>95.738106513735104</v>
      </c>
      <c r="B763">
        <v>49.781491987775603</v>
      </c>
      <c r="C763">
        <v>2001</v>
      </c>
    </row>
    <row r="764" spans="1:11" x14ac:dyDescent="0.25">
      <c r="A764">
        <v>100.21850801222401</v>
      </c>
      <c r="B764">
        <v>54.261893486264803</v>
      </c>
      <c r="C764">
        <v>2001</v>
      </c>
    </row>
    <row r="765" spans="1:11" x14ac:dyDescent="0.25">
      <c r="A765">
        <v>101.202425760772</v>
      </c>
      <c r="B765">
        <v>55.245811234812898</v>
      </c>
      <c r="C765">
        <v>2001</v>
      </c>
    </row>
    <row r="766" spans="1:11" x14ac:dyDescent="0.25">
      <c r="A766">
        <v>100.765409736324</v>
      </c>
      <c r="B766">
        <v>55.6828272592617</v>
      </c>
      <c r="C766">
        <v>2000</v>
      </c>
    </row>
    <row r="767" spans="1:11" x14ac:dyDescent="0.25">
      <c r="A767">
        <v>99.781491987775595</v>
      </c>
      <c r="B767">
        <v>54.698909510713698</v>
      </c>
      <c r="C767">
        <v>2000</v>
      </c>
    </row>
    <row r="768" spans="1:11" x14ac:dyDescent="0.25">
      <c r="A768">
        <v>95.301090489286295</v>
      </c>
      <c r="B768">
        <v>50.218508012224397</v>
      </c>
      <c r="C768">
        <v>2000</v>
      </c>
    </row>
    <row r="769" spans="1:11" x14ac:dyDescent="0.25">
      <c r="A769" t="s">
        <v>86</v>
      </c>
    </row>
    <row r="770" spans="1:11" x14ac:dyDescent="0.25">
      <c r="A770">
        <v>355</v>
      </c>
      <c r="B770">
        <v>0</v>
      </c>
      <c r="C770">
        <v>7.6660160798019596</v>
      </c>
      <c r="D770">
        <v>69.801640730841598</v>
      </c>
      <c r="E770">
        <v>10</v>
      </c>
      <c r="F770">
        <v>1.01722196789785</v>
      </c>
      <c r="G770" t="s">
        <v>84</v>
      </c>
      <c r="H770" t="s">
        <v>84</v>
      </c>
      <c r="I770">
        <v>25</v>
      </c>
      <c r="J770">
        <v>244</v>
      </c>
      <c r="K770">
        <v>0</v>
      </c>
    </row>
    <row r="771" spans="1:11" x14ac:dyDescent="0.25">
      <c r="A771" t="s">
        <v>85</v>
      </c>
    </row>
    <row r="772" spans="1:11" x14ac:dyDescent="0.25">
      <c r="A772">
        <v>83.664793300290796</v>
      </c>
      <c r="B772">
        <v>89.180613051713905</v>
      </c>
      <c r="C772">
        <v>2000</v>
      </c>
    </row>
    <row r="773" spans="1:11" x14ac:dyDescent="0.25">
      <c r="A773">
        <v>78.244101345577704</v>
      </c>
      <c r="B773">
        <v>83.759921097000799</v>
      </c>
      <c r="C773">
        <v>2000</v>
      </c>
    </row>
    <row r="774" spans="1:11" x14ac:dyDescent="0.25">
      <c r="A774">
        <v>78.681117370026499</v>
      </c>
      <c r="B774">
        <v>83.322905072552004</v>
      </c>
      <c r="C774">
        <v>2001</v>
      </c>
    </row>
    <row r="775" spans="1:11" x14ac:dyDescent="0.25">
      <c r="A775">
        <v>84.101809324739605</v>
      </c>
      <c r="B775">
        <v>88.743597027265096</v>
      </c>
      <c r="C775">
        <v>2001</v>
      </c>
    </row>
    <row r="776" spans="1:11" x14ac:dyDescent="0.25">
      <c r="A776">
        <v>95.139704285250104</v>
      </c>
      <c r="B776">
        <v>99.781491987775595</v>
      </c>
      <c r="C776">
        <v>2001</v>
      </c>
    </row>
    <row r="777" spans="1:11" x14ac:dyDescent="0.25">
      <c r="A777">
        <v>100.21850801222401</v>
      </c>
      <c r="B777">
        <v>104.86029571474999</v>
      </c>
      <c r="C777">
        <v>2001</v>
      </c>
    </row>
    <row r="778" spans="1:11" x14ac:dyDescent="0.25">
      <c r="A778">
        <v>133.45902282346501</v>
      </c>
      <c r="B778">
        <v>138.10081052599</v>
      </c>
      <c r="C778">
        <v>2001</v>
      </c>
    </row>
    <row r="779" spans="1:11" x14ac:dyDescent="0.25">
      <c r="A779">
        <v>133.022006799016</v>
      </c>
      <c r="B779">
        <v>138.53782655043901</v>
      </c>
      <c r="C779">
        <v>2000</v>
      </c>
    </row>
    <row r="780" spans="1:11" x14ac:dyDescent="0.25">
      <c r="A780">
        <v>99.781491987775595</v>
      </c>
      <c r="B780">
        <v>105.297311739199</v>
      </c>
      <c r="C780">
        <v>2000</v>
      </c>
    </row>
    <row r="781" spans="1:11" x14ac:dyDescent="0.25">
      <c r="A781">
        <v>94.702688260801295</v>
      </c>
      <c r="B781">
        <v>100.21850801222401</v>
      </c>
      <c r="C781">
        <v>2000</v>
      </c>
    </row>
    <row r="782" spans="1:11" x14ac:dyDescent="0.25">
      <c r="A782" t="s">
        <v>86</v>
      </c>
    </row>
    <row r="783" spans="1:11" x14ac:dyDescent="0.25">
      <c r="A783">
        <v>118</v>
      </c>
      <c r="B783">
        <v>0</v>
      </c>
      <c r="C783">
        <v>61.055638594003497</v>
      </c>
      <c r="D783">
        <v>14.728836722314099</v>
      </c>
      <c r="E783">
        <v>10</v>
      </c>
      <c r="F783">
        <v>1.01722196789785</v>
      </c>
      <c r="G783" t="s">
        <v>83</v>
      </c>
      <c r="H783" t="s">
        <v>84</v>
      </c>
      <c r="I783">
        <v>0</v>
      </c>
      <c r="J783">
        <v>360</v>
      </c>
      <c r="K783">
        <v>0</v>
      </c>
    </row>
    <row r="784" spans="1:11" x14ac:dyDescent="0.25">
      <c r="A784" t="s">
        <v>85</v>
      </c>
    </row>
    <row r="785" spans="1:11" x14ac:dyDescent="0.25">
      <c r="A785">
        <v>42.956079240354399</v>
      </c>
      <c r="B785">
        <v>50.580325314988599</v>
      </c>
      <c r="C785">
        <v>2000</v>
      </c>
    </row>
    <row r="786" spans="1:11" x14ac:dyDescent="0.25">
      <c r="A786">
        <v>42.596084418463001</v>
      </c>
      <c r="B786">
        <v>50.220330493097102</v>
      </c>
      <c r="C786">
        <v>2000</v>
      </c>
    </row>
    <row r="787" spans="1:11" x14ac:dyDescent="0.25">
      <c r="A787">
        <v>0</v>
      </c>
      <c r="B787">
        <v>7.6242460746341703</v>
      </c>
      <c r="C787">
        <v>2000</v>
      </c>
    </row>
    <row r="788" spans="1:11" x14ac:dyDescent="0.25">
      <c r="A788">
        <v>0</v>
      </c>
      <c r="B788">
        <v>6.7502140257365397</v>
      </c>
      <c r="C788">
        <v>2001</v>
      </c>
    </row>
    <row r="789" spans="1:11" x14ac:dyDescent="0.25">
      <c r="A789">
        <v>43.029455481166302</v>
      </c>
      <c r="B789">
        <v>49.779669506902898</v>
      </c>
      <c r="C789">
        <v>2001</v>
      </c>
    </row>
    <row r="790" spans="1:11" x14ac:dyDescent="0.25">
      <c r="A790">
        <v>43.389632918635499</v>
      </c>
      <c r="B790">
        <v>50.139846944372003</v>
      </c>
      <c r="C790">
        <v>2001</v>
      </c>
    </row>
    <row r="791" spans="1:11" x14ac:dyDescent="0.25">
      <c r="A791">
        <v>50.218508012224397</v>
      </c>
      <c r="B791">
        <v>56.968722037960902</v>
      </c>
      <c r="C791">
        <v>2001</v>
      </c>
    </row>
    <row r="792" spans="1:11" x14ac:dyDescent="0.25">
      <c r="A792">
        <v>53.806224417057102</v>
      </c>
      <c r="B792">
        <v>60.556438442793599</v>
      </c>
      <c r="C792">
        <v>2001</v>
      </c>
    </row>
    <row r="793" spans="1:11" x14ac:dyDescent="0.25">
      <c r="A793">
        <v>53.3692083926083</v>
      </c>
      <c r="B793">
        <v>60.993454467242401</v>
      </c>
      <c r="C793">
        <v>2000</v>
      </c>
    </row>
    <row r="794" spans="1:11" x14ac:dyDescent="0.25">
      <c r="A794">
        <v>49.781491987775603</v>
      </c>
      <c r="B794">
        <v>57.405738062409696</v>
      </c>
      <c r="C794">
        <v>2000</v>
      </c>
    </row>
    <row r="795" spans="1:11" x14ac:dyDescent="0.25">
      <c r="A795" t="s">
        <v>86</v>
      </c>
    </row>
    <row r="796" spans="1:11" x14ac:dyDescent="0.25">
      <c r="A796">
        <v>196</v>
      </c>
      <c r="B796">
        <v>0</v>
      </c>
      <c r="C796">
        <v>62.411849533695602</v>
      </c>
      <c r="D796">
        <v>13.156815867801701</v>
      </c>
      <c r="E796">
        <v>10</v>
      </c>
      <c r="F796">
        <v>1.01722196789785</v>
      </c>
      <c r="G796" t="s">
        <v>83</v>
      </c>
      <c r="H796" t="s">
        <v>84</v>
      </c>
      <c r="I796">
        <v>0</v>
      </c>
      <c r="J796">
        <v>831</v>
      </c>
      <c r="K796">
        <v>0</v>
      </c>
    </row>
    <row r="797" spans="1:11" x14ac:dyDescent="0.25">
      <c r="A797" t="s">
        <v>85</v>
      </c>
    </row>
    <row r="798" spans="1:11" x14ac:dyDescent="0.25">
      <c r="A798">
        <v>43.931614949387601</v>
      </c>
      <c r="B798">
        <v>110.19383366978001</v>
      </c>
      <c r="C798">
        <v>2000</v>
      </c>
    </row>
    <row r="799" spans="1:11" x14ac:dyDescent="0.25">
      <c r="A799">
        <v>34.005589161288697</v>
      </c>
      <c r="B799">
        <v>100.26780788168099</v>
      </c>
      <c r="C799">
        <v>2000</v>
      </c>
    </row>
    <row r="800" spans="1:11" x14ac:dyDescent="0.25">
      <c r="A800">
        <v>0</v>
      </c>
      <c r="B800">
        <v>66.262218720392795</v>
      </c>
      <c r="C800">
        <v>2000</v>
      </c>
    </row>
    <row r="801" spans="1:11" x14ac:dyDescent="0.25">
      <c r="A801">
        <v>0</v>
      </c>
      <c r="B801">
        <v>65.388186671495205</v>
      </c>
      <c r="C801">
        <v>2001</v>
      </c>
    </row>
    <row r="802" spans="1:11" x14ac:dyDescent="0.25">
      <c r="A802">
        <v>34.344005446823402</v>
      </c>
      <c r="B802">
        <v>99.732192118318494</v>
      </c>
      <c r="C802">
        <v>2001</v>
      </c>
    </row>
    <row r="803" spans="1:11" x14ac:dyDescent="0.25">
      <c r="A803">
        <v>44.3320691139537</v>
      </c>
      <c r="B803">
        <v>109.720255785449</v>
      </c>
      <c r="C803">
        <v>2001</v>
      </c>
    </row>
    <row r="804" spans="1:11" x14ac:dyDescent="0.25">
      <c r="A804">
        <v>50.218508012224397</v>
      </c>
      <c r="B804">
        <v>115.60669468371999</v>
      </c>
      <c r="C804">
        <v>2001</v>
      </c>
    </row>
    <row r="805" spans="1:11" x14ac:dyDescent="0.25">
      <c r="A805">
        <v>53.653623762840397</v>
      </c>
      <c r="B805">
        <v>119.041810434336</v>
      </c>
      <c r="C805">
        <v>2001</v>
      </c>
    </row>
    <row r="806" spans="1:11" x14ac:dyDescent="0.25">
      <c r="A806">
        <v>53.216607738391602</v>
      </c>
      <c r="B806">
        <v>119.478826458784</v>
      </c>
      <c r="C806">
        <v>2000</v>
      </c>
    </row>
    <row r="807" spans="1:11" x14ac:dyDescent="0.25">
      <c r="A807">
        <v>49.781491987775603</v>
      </c>
      <c r="B807">
        <v>116.04371070816801</v>
      </c>
      <c r="C807">
        <v>2000</v>
      </c>
    </row>
    <row r="808" spans="1:11" x14ac:dyDescent="0.25">
      <c r="A808" t="s">
        <v>86</v>
      </c>
    </row>
    <row r="809" spans="1:11" x14ac:dyDescent="0.25">
      <c r="A809">
        <v>786</v>
      </c>
      <c r="B809">
        <v>0</v>
      </c>
      <c r="C809">
        <v>73.227751149633804</v>
      </c>
      <c r="D809">
        <v>1.9583100341328099</v>
      </c>
      <c r="E809">
        <v>10</v>
      </c>
      <c r="F809">
        <v>1.01722196789785</v>
      </c>
      <c r="G809" t="s">
        <v>83</v>
      </c>
      <c r="H809" t="s">
        <v>83</v>
      </c>
      <c r="I809">
        <v>0</v>
      </c>
      <c r="J809">
        <v>0</v>
      </c>
      <c r="K809">
        <v>9.6564847345998198E-2</v>
      </c>
    </row>
    <row r="810" spans="1:11" x14ac:dyDescent="0.25">
      <c r="A810" t="s">
        <v>85</v>
      </c>
    </row>
    <row r="811" spans="1:11" x14ac:dyDescent="0.25">
      <c r="A811">
        <v>52.121242068762797</v>
      </c>
      <c r="B811">
        <v>148.519652330566</v>
      </c>
      <c r="C811">
        <v>2000</v>
      </c>
    </row>
    <row r="812" spans="1:11" x14ac:dyDescent="0.25">
      <c r="A812">
        <v>50.218508012224397</v>
      </c>
      <c r="B812">
        <v>146.616918274028</v>
      </c>
      <c r="C812">
        <v>2000</v>
      </c>
    </row>
    <row r="813" spans="1:11" x14ac:dyDescent="0.25">
      <c r="A813">
        <v>3.17840340798258</v>
      </c>
      <c r="B813">
        <v>99.576813669785807</v>
      </c>
      <c r="C813">
        <v>2000</v>
      </c>
    </row>
    <row r="814" spans="1:11" x14ac:dyDescent="0.25">
      <c r="A814">
        <v>0</v>
      </c>
      <c r="B814">
        <v>96.398410261803207</v>
      </c>
      <c r="C814">
        <v>2000</v>
      </c>
    </row>
    <row r="815" spans="1:11" x14ac:dyDescent="0.25">
      <c r="A815">
        <v>0</v>
      </c>
      <c r="B815">
        <v>97.272442310700796</v>
      </c>
      <c r="C815">
        <v>2001</v>
      </c>
    </row>
    <row r="816" spans="1:11" x14ac:dyDescent="0.25">
      <c r="A816">
        <v>3.15074401951343</v>
      </c>
      <c r="B816">
        <v>100.42318633021399</v>
      </c>
      <c r="C816">
        <v>2001</v>
      </c>
    </row>
    <row r="817" spans="1:11" x14ac:dyDescent="0.25">
      <c r="A817">
        <v>49.781491987775603</v>
      </c>
      <c r="B817">
        <v>147.05393429847601</v>
      </c>
      <c r="C817">
        <v>2001</v>
      </c>
    </row>
    <row r="818" spans="1:11" x14ac:dyDescent="0.25">
      <c r="A818">
        <v>51.438436749131398</v>
      </c>
      <c r="B818">
        <v>148.710879059832</v>
      </c>
      <c r="C818">
        <v>2001</v>
      </c>
    </row>
    <row r="819" spans="1:11" x14ac:dyDescent="0.25">
      <c r="A819">
        <v>52.727557689299204</v>
      </c>
      <c r="B819">
        <v>150</v>
      </c>
      <c r="C819">
        <v>2001</v>
      </c>
    </row>
    <row r="820" spans="1:11" x14ac:dyDescent="0.25">
      <c r="A820">
        <v>53.6015897381969</v>
      </c>
      <c r="B820">
        <v>150</v>
      </c>
      <c r="C820">
        <v>2000</v>
      </c>
    </row>
    <row r="821" spans="1:11" x14ac:dyDescent="0.25">
      <c r="A821" t="s">
        <v>86</v>
      </c>
    </row>
    <row r="822" spans="1:11" x14ac:dyDescent="0.25">
      <c r="A822">
        <v>280</v>
      </c>
      <c r="B822">
        <v>0</v>
      </c>
      <c r="C822">
        <v>61.240456241850602</v>
      </c>
      <c r="D822">
        <v>13.2629009672781</v>
      </c>
      <c r="E822">
        <v>10</v>
      </c>
      <c r="F822">
        <v>1.01722196789785</v>
      </c>
      <c r="G822" t="s">
        <v>84</v>
      </c>
      <c r="H822" t="s">
        <v>83</v>
      </c>
      <c r="I822">
        <v>662</v>
      </c>
      <c r="J822">
        <v>0</v>
      </c>
      <c r="K822">
        <v>0</v>
      </c>
    </row>
    <row r="823" spans="1:11" x14ac:dyDescent="0.25">
      <c r="A823" t="s">
        <v>85</v>
      </c>
    </row>
    <row r="824" spans="1:11" x14ac:dyDescent="0.25">
      <c r="A824">
        <v>140.83126965043999</v>
      </c>
      <c r="B824">
        <v>100.173131164517</v>
      </c>
      <c r="C824">
        <v>2000</v>
      </c>
    </row>
    <row r="825" spans="1:11" x14ac:dyDescent="0.25">
      <c r="A825">
        <v>140.439630473699</v>
      </c>
      <c r="B825">
        <v>99.781491987775595</v>
      </c>
      <c r="C825">
        <v>2000</v>
      </c>
    </row>
    <row r="826" spans="1:11" x14ac:dyDescent="0.25">
      <c r="A826">
        <v>100.21850801222401</v>
      </c>
      <c r="B826">
        <v>59.5603695263015</v>
      </c>
      <c r="C826">
        <v>2000</v>
      </c>
    </row>
    <row r="827" spans="1:11" x14ac:dyDescent="0.25">
      <c r="A827">
        <v>97.536678908485797</v>
      </c>
      <c r="B827">
        <v>56.878540422562899</v>
      </c>
      <c r="C827">
        <v>2000</v>
      </c>
    </row>
    <row r="828" spans="1:11" x14ac:dyDescent="0.25">
      <c r="A828">
        <v>97.099662884037002</v>
      </c>
      <c r="B828">
        <v>57.315556447011701</v>
      </c>
      <c r="C828">
        <v>2001</v>
      </c>
    </row>
    <row r="829" spans="1:11" x14ac:dyDescent="0.25">
      <c r="A829">
        <v>99.781491987775595</v>
      </c>
      <c r="B829">
        <v>59.997385550750302</v>
      </c>
      <c r="C829">
        <v>2001</v>
      </c>
    </row>
    <row r="830" spans="1:11" x14ac:dyDescent="0.25">
      <c r="A830">
        <v>140.00261444924999</v>
      </c>
      <c r="B830">
        <v>100.21850801222401</v>
      </c>
      <c r="C830">
        <v>2001</v>
      </c>
    </row>
    <row r="831" spans="1:11" x14ac:dyDescent="0.25">
      <c r="A831">
        <v>140.412155925224</v>
      </c>
      <c r="B831">
        <v>100.628049488199</v>
      </c>
      <c r="C831">
        <v>2001</v>
      </c>
    </row>
    <row r="832" spans="1:11" x14ac:dyDescent="0.25">
      <c r="A832">
        <v>150</v>
      </c>
      <c r="B832">
        <v>110.215893562975</v>
      </c>
      <c r="C832">
        <v>2001</v>
      </c>
    </row>
    <row r="833" spans="1:11" x14ac:dyDescent="0.25">
      <c r="A833">
        <v>150</v>
      </c>
      <c r="B833">
        <v>109.341861514077</v>
      </c>
      <c r="C833">
        <v>2000</v>
      </c>
    </row>
    <row r="834" spans="1:11" x14ac:dyDescent="0.25">
      <c r="A834" t="s">
        <v>86</v>
      </c>
    </row>
    <row r="835" spans="1:11" x14ac:dyDescent="0.25">
      <c r="A835">
        <v>824</v>
      </c>
      <c r="B835">
        <v>0</v>
      </c>
      <c r="C835">
        <v>71.664803760508406</v>
      </c>
      <c r="D835">
        <v>2.0342336357290902</v>
      </c>
      <c r="E835">
        <v>10</v>
      </c>
      <c r="F835">
        <v>1.01722196789785</v>
      </c>
      <c r="G835" t="s">
        <v>83</v>
      </c>
      <c r="H835" t="s">
        <v>84</v>
      </c>
      <c r="I835">
        <v>0</v>
      </c>
      <c r="J835">
        <v>821</v>
      </c>
      <c r="K835">
        <v>9.8162370459708201E-2</v>
      </c>
    </row>
    <row r="836" spans="1:11" x14ac:dyDescent="0.25">
      <c r="A836" t="s">
        <v>85</v>
      </c>
    </row>
    <row r="837" spans="1:11" x14ac:dyDescent="0.25">
      <c r="A837">
        <v>67.600508597497907</v>
      </c>
      <c r="B837">
        <v>50.893176723683098</v>
      </c>
      <c r="C837">
        <v>2000</v>
      </c>
    </row>
    <row r="838" spans="1:11" x14ac:dyDescent="0.25">
      <c r="A838">
        <v>66.925839886039199</v>
      </c>
      <c r="B838">
        <v>50.218508012224397</v>
      </c>
      <c r="C838">
        <v>2000</v>
      </c>
    </row>
    <row r="839" spans="1:11" x14ac:dyDescent="0.25">
      <c r="A839">
        <v>49.706568440172902</v>
      </c>
      <c r="B839">
        <v>32.9992365663581</v>
      </c>
      <c r="C839">
        <v>2000</v>
      </c>
    </row>
    <row r="840" spans="1:11" x14ac:dyDescent="0.25">
      <c r="A840">
        <v>16.707331873814798</v>
      </c>
      <c r="B840">
        <v>0</v>
      </c>
      <c r="C840">
        <v>2000</v>
      </c>
    </row>
    <row r="841" spans="1:11" x14ac:dyDescent="0.25">
      <c r="A841">
        <v>17.581363922712399</v>
      </c>
      <c r="B841">
        <v>0</v>
      </c>
      <c r="C841">
        <v>2001</v>
      </c>
    </row>
    <row r="842" spans="1:11" x14ac:dyDescent="0.25">
      <c r="A842">
        <v>50.293431559827098</v>
      </c>
      <c r="B842">
        <v>32.7120676371147</v>
      </c>
      <c r="C842">
        <v>2001</v>
      </c>
    </row>
    <row r="843" spans="1:11" x14ac:dyDescent="0.25">
      <c r="A843">
        <v>67.362855910487994</v>
      </c>
      <c r="B843">
        <v>49.781491987775603</v>
      </c>
      <c r="C843">
        <v>2001</v>
      </c>
    </row>
    <row r="844" spans="1:11" x14ac:dyDescent="0.25">
      <c r="A844">
        <v>68.037524621946702</v>
      </c>
      <c r="B844">
        <v>50.456160699234204</v>
      </c>
      <c r="C844">
        <v>2001</v>
      </c>
    </row>
    <row r="845" spans="1:11" x14ac:dyDescent="0.25">
      <c r="A845">
        <v>69.475945020288506</v>
      </c>
      <c r="B845">
        <v>51.894581097576001</v>
      </c>
      <c r="C845">
        <v>2001</v>
      </c>
    </row>
    <row r="846" spans="1:11" x14ac:dyDescent="0.25">
      <c r="A846">
        <v>69.038928995839697</v>
      </c>
      <c r="B846">
        <v>52.331597122024903</v>
      </c>
      <c r="C846">
        <v>2000</v>
      </c>
    </row>
    <row r="847" spans="1:11" x14ac:dyDescent="0.25">
      <c r="A847" t="s">
        <v>86</v>
      </c>
    </row>
    <row r="848" spans="1:11" x14ac:dyDescent="0.25">
      <c r="A848">
        <v>592</v>
      </c>
      <c r="B848">
        <v>0</v>
      </c>
      <c r="C848">
        <v>30.300581222747599</v>
      </c>
      <c r="D848">
        <v>42.857589128364097</v>
      </c>
      <c r="E848">
        <v>10</v>
      </c>
      <c r="F848">
        <v>1.01722196789785</v>
      </c>
      <c r="G848" t="s">
        <v>84</v>
      </c>
      <c r="H848" t="s">
        <v>83</v>
      </c>
      <c r="I848">
        <v>661</v>
      </c>
      <c r="J848">
        <v>0</v>
      </c>
      <c r="K848">
        <v>0</v>
      </c>
    </row>
    <row r="849" spans="1:11" x14ac:dyDescent="0.25">
      <c r="A849" t="s">
        <v>85</v>
      </c>
    </row>
    <row r="850" spans="1:11" x14ac:dyDescent="0.25">
      <c r="A850">
        <v>119.560046829059</v>
      </c>
      <c r="B850">
        <v>72.237482917577594</v>
      </c>
      <c r="C850">
        <v>2000</v>
      </c>
    </row>
    <row r="851" spans="1:11" x14ac:dyDescent="0.25">
      <c r="A851">
        <v>99.781491987775595</v>
      </c>
      <c r="B851">
        <v>52.458928076293901</v>
      </c>
      <c r="C851">
        <v>2000</v>
      </c>
    </row>
    <row r="852" spans="1:11" x14ac:dyDescent="0.25">
      <c r="A852">
        <v>98.050853633303902</v>
      </c>
      <c r="B852">
        <v>50.7282897218222</v>
      </c>
      <c r="C852">
        <v>2000</v>
      </c>
    </row>
    <row r="853" spans="1:11" x14ac:dyDescent="0.25">
      <c r="A853">
        <v>98.487869657752697</v>
      </c>
      <c r="B853">
        <v>50.291273697373398</v>
      </c>
      <c r="C853">
        <v>2001</v>
      </c>
    </row>
    <row r="854" spans="1:11" x14ac:dyDescent="0.25">
      <c r="A854">
        <v>100.21850801222401</v>
      </c>
      <c r="B854">
        <v>52.021912051845099</v>
      </c>
      <c r="C854">
        <v>2001</v>
      </c>
    </row>
    <row r="855" spans="1:11" x14ac:dyDescent="0.25">
      <c r="A855">
        <v>119.830169374994</v>
      </c>
      <c r="B855">
        <v>71.633573414615199</v>
      </c>
      <c r="C855">
        <v>2001</v>
      </c>
    </row>
    <row r="856" spans="1:11" x14ac:dyDescent="0.25">
      <c r="A856">
        <v>147.775734084785</v>
      </c>
      <c r="B856">
        <v>99.579138124405901</v>
      </c>
      <c r="C856">
        <v>2001</v>
      </c>
    </row>
    <row r="857" spans="1:11" x14ac:dyDescent="0.25">
      <c r="A857">
        <v>150</v>
      </c>
      <c r="B857">
        <v>101.803404039621</v>
      </c>
      <c r="C857">
        <v>2001</v>
      </c>
    </row>
    <row r="858" spans="1:11" x14ac:dyDescent="0.25">
      <c r="A858">
        <v>150</v>
      </c>
      <c r="B858">
        <v>102.67743608851799</v>
      </c>
      <c r="C858">
        <v>2000</v>
      </c>
    </row>
    <row r="859" spans="1:11" x14ac:dyDescent="0.25">
      <c r="A859">
        <v>147.74342578707601</v>
      </c>
      <c r="B859">
        <v>100.420861875594</v>
      </c>
      <c r="C859">
        <v>2000</v>
      </c>
    </row>
    <row r="860" spans="1:11" x14ac:dyDescent="0.25">
      <c r="A860" t="s">
        <v>86</v>
      </c>
    </row>
    <row r="861" spans="1:11" x14ac:dyDescent="0.25">
      <c r="A861">
        <v>784</v>
      </c>
      <c r="B861">
        <v>0</v>
      </c>
      <c r="C861">
        <v>9.7047194638120704</v>
      </c>
      <c r="D861">
        <v>62.236752690526899</v>
      </c>
      <c r="E861">
        <v>10</v>
      </c>
      <c r="F861">
        <v>1.01722196789785</v>
      </c>
      <c r="G861" t="s">
        <v>83</v>
      </c>
      <c r="H861" t="s">
        <v>83</v>
      </c>
      <c r="I861">
        <v>0</v>
      </c>
      <c r="J861">
        <v>0</v>
      </c>
      <c r="K861">
        <v>9.6564847345998198E-2</v>
      </c>
    </row>
    <row r="862" spans="1:11" x14ac:dyDescent="0.25">
      <c r="A862" t="s">
        <v>85</v>
      </c>
    </row>
    <row r="863" spans="1:11" x14ac:dyDescent="0.25">
      <c r="A863">
        <v>106.351881422963</v>
      </c>
      <c r="B863">
        <v>6.7851682073906998</v>
      </c>
      <c r="C863">
        <v>2000</v>
      </c>
    </row>
    <row r="864" spans="1:11" x14ac:dyDescent="0.25">
      <c r="A864">
        <v>100.40930390363999</v>
      </c>
      <c r="B864">
        <v>0.84259068806766402</v>
      </c>
      <c r="C864">
        <v>2000</v>
      </c>
    </row>
    <row r="865" spans="1:11" x14ac:dyDescent="0.25">
      <c r="A865">
        <v>99.566713215572506</v>
      </c>
      <c r="B865">
        <v>0</v>
      </c>
      <c r="C865">
        <v>2000</v>
      </c>
    </row>
    <row r="866" spans="1:11" x14ac:dyDescent="0.25">
      <c r="A866">
        <v>98.692681166674902</v>
      </c>
      <c r="B866">
        <v>0</v>
      </c>
      <c r="C866">
        <v>2001</v>
      </c>
    </row>
    <row r="867" spans="1:11" x14ac:dyDescent="0.25">
      <c r="A867">
        <v>99.590696096359807</v>
      </c>
      <c r="B867">
        <v>0.89801492968492502</v>
      </c>
      <c r="C867">
        <v>2001</v>
      </c>
    </row>
    <row r="868" spans="1:11" x14ac:dyDescent="0.25">
      <c r="A868">
        <v>105.632058844033</v>
      </c>
      <c r="B868">
        <v>6.9393776773584701</v>
      </c>
      <c r="C868">
        <v>2001</v>
      </c>
    </row>
    <row r="869" spans="1:11" x14ac:dyDescent="0.25">
      <c r="A869">
        <v>149.12537597662299</v>
      </c>
      <c r="B869">
        <v>50.432694809948202</v>
      </c>
      <c r="C869">
        <v>2001</v>
      </c>
    </row>
    <row r="870" spans="1:11" x14ac:dyDescent="0.25">
      <c r="A870">
        <v>150</v>
      </c>
      <c r="B870">
        <v>51.307318833325098</v>
      </c>
      <c r="C870">
        <v>2001</v>
      </c>
    </row>
    <row r="871" spans="1:11" x14ac:dyDescent="0.25">
      <c r="A871">
        <v>150</v>
      </c>
      <c r="B871">
        <v>50.433286784427402</v>
      </c>
      <c r="C871">
        <v>2000</v>
      </c>
    </row>
    <row r="872" spans="1:11" x14ac:dyDescent="0.25">
      <c r="A872">
        <v>149.134018405624</v>
      </c>
      <c r="B872">
        <v>49.567305190051698</v>
      </c>
      <c r="C872">
        <v>2000</v>
      </c>
    </row>
    <row r="873" spans="1:11" x14ac:dyDescent="0.25">
      <c r="A873" t="s">
        <v>86</v>
      </c>
    </row>
    <row r="874" spans="1:11" x14ac:dyDescent="0.25">
      <c r="A874">
        <v>345</v>
      </c>
      <c r="B874">
        <v>0</v>
      </c>
      <c r="C874">
        <v>53.249396148134103</v>
      </c>
      <c r="D874">
        <v>18.013854934169</v>
      </c>
      <c r="E874">
        <v>10</v>
      </c>
      <c r="F874">
        <v>1.01722196789785</v>
      </c>
      <c r="G874" t="s">
        <v>84</v>
      </c>
      <c r="H874" t="s">
        <v>84</v>
      </c>
      <c r="I874">
        <v>647</v>
      </c>
      <c r="J874">
        <v>596</v>
      </c>
      <c r="K874">
        <v>0</v>
      </c>
    </row>
    <row r="875" spans="1:11" x14ac:dyDescent="0.25">
      <c r="A875" t="s">
        <v>85</v>
      </c>
    </row>
    <row r="876" spans="1:11" x14ac:dyDescent="0.25">
      <c r="A876">
        <v>92.547287396405693</v>
      </c>
      <c r="B876">
        <v>62.644686971164397</v>
      </c>
      <c r="C876">
        <v>2000</v>
      </c>
    </row>
    <row r="877" spans="1:11" x14ac:dyDescent="0.25">
      <c r="A877">
        <v>79.684092413016799</v>
      </c>
      <c r="B877">
        <v>49.781491987775603</v>
      </c>
      <c r="C877">
        <v>2000</v>
      </c>
    </row>
    <row r="878" spans="1:11" x14ac:dyDescent="0.25">
      <c r="A878">
        <v>54.894278285971197</v>
      </c>
      <c r="B878">
        <v>24.99167786073</v>
      </c>
      <c r="C878">
        <v>2000</v>
      </c>
    </row>
    <row r="879" spans="1:11" x14ac:dyDescent="0.25">
      <c r="A879">
        <v>54.457262261522402</v>
      </c>
      <c r="B879">
        <v>25.428693885178799</v>
      </c>
      <c r="C879">
        <v>2001</v>
      </c>
    </row>
    <row r="880" spans="1:11" x14ac:dyDescent="0.25">
      <c r="A880">
        <v>79.247076388568004</v>
      </c>
      <c r="B880">
        <v>50.218508012224397</v>
      </c>
      <c r="C880">
        <v>2001</v>
      </c>
    </row>
    <row r="881" spans="1:11" x14ac:dyDescent="0.25">
      <c r="A881">
        <v>92.110271371956898</v>
      </c>
      <c r="B881">
        <v>63.081702995613298</v>
      </c>
      <c r="C881">
        <v>2001</v>
      </c>
    </row>
    <row r="882" spans="1:11" x14ac:dyDescent="0.25">
      <c r="A882">
        <v>99.781491987775595</v>
      </c>
      <c r="B882">
        <v>70.752923611431996</v>
      </c>
      <c r="C882">
        <v>2001</v>
      </c>
    </row>
    <row r="883" spans="1:11" x14ac:dyDescent="0.25">
      <c r="A883">
        <v>104.847990351219</v>
      </c>
      <c r="B883">
        <v>75.819421974874899</v>
      </c>
      <c r="C883">
        <v>2001</v>
      </c>
    </row>
    <row r="884" spans="1:11" x14ac:dyDescent="0.25">
      <c r="A884">
        <v>105.285006375667</v>
      </c>
      <c r="B884">
        <v>75.382405950426104</v>
      </c>
      <c r="C884">
        <v>2000</v>
      </c>
    </row>
    <row r="885" spans="1:11" x14ac:dyDescent="0.25">
      <c r="A885">
        <v>100.21850801222401</v>
      </c>
      <c r="B885">
        <v>70.315907586983201</v>
      </c>
      <c r="C885">
        <v>2000</v>
      </c>
    </row>
    <row r="886" spans="1:11" x14ac:dyDescent="0.25">
      <c r="A886" t="s">
        <v>86</v>
      </c>
    </row>
    <row r="887" spans="1:11" x14ac:dyDescent="0.25">
      <c r="A887">
        <v>593</v>
      </c>
      <c r="B887">
        <v>0</v>
      </c>
      <c r="C887">
        <v>28.5309591961732</v>
      </c>
      <c r="D887">
        <v>41.990996580471403</v>
      </c>
      <c r="E887">
        <v>8</v>
      </c>
      <c r="F887">
        <v>1.01722196789785</v>
      </c>
      <c r="G887" t="s">
        <v>84</v>
      </c>
      <c r="H887" t="s">
        <v>83</v>
      </c>
      <c r="I887">
        <v>665</v>
      </c>
      <c r="J887">
        <v>0</v>
      </c>
      <c r="K887">
        <v>0</v>
      </c>
    </row>
    <row r="888" spans="1:11" x14ac:dyDescent="0.25">
      <c r="A888" t="s">
        <v>85</v>
      </c>
    </row>
    <row r="889" spans="1:11" x14ac:dyDescent="0.25">
      <c r="A889">
        <v>120.13533854411899</v>
      </c>
      <c r="B889">
        <v>58.174371660900597</v>
      </c>
      <c r="C889">
        <v>2000</v>
      </c>
    </row>
    <row r="890" spans="1:11" x14ac:dyDescent="0.25">
      <c r="A890">
        <v>112.179474895442</v>
      </c>
      <c r="B890">
        <v>50.218508012224397</v>
      </c>
      <c r="C890">
        <v>2000</v>
      </c>
    </row>
    <row r="891" spans="1:11" x14ac:dyDescent="0.25">
      <c r="A891">
        <v>99.9149388355724</v>
      </c>
      <c r="B891">
        <v>37.953971952354401</v>
      </c>
      <c r="C891">
        <v>2000</v>
      </c>
    </row>
    <row r="892" spans="1:11" x14ac:dyDescent="0.25">
      <c r="A892">
        <v>100.351954860021</v>
      </c>
      <c r="B892">
        <v>37.516955927905499</v>
      </c>
      <c r="C892">
        <v>2001</v>
      </c>
    </row>
    <row r="893" spans="1:11" x14ac:dyDescent="0.25">
      <c r="A893">
        <v>112.61649091989101</v>
      </c>
      <c r="B893">
        <v>49.781491987775603</v>
      </c>
      <c r="C893">
        <v>2001</v>
      </c>
    </row>
    <row r="894" spans="1:11" x14ac:dyDescent="0.25">
      <c r="A894">
        <v>120.480424594216</v>
      </c>
      <c r="B894">
        <v>57.645425662100799</v>
      </c>
      <c r="C894">
        <v>2001</v>
      </c>
    </row>
    <row r="895" spans="1:11" x14ac:dyDescent="0.25">
      <c r="A895">
        <v>150</v>
      </c>
      <c r="B895">
        <v>87.165001067884305</v>
      </c>
      <c r="C895">
        <v>2001</v>
      </c>
    </row>
    <row r="896" spans="1:11" x14ac:dyDescent="0.25">
      <c r="A896">
        <v>150</v>
      </c>
      <c r="B896">
        <v>88.039033116781994</v>
      </c>
      <c r="C896">
        <v>2000</v>
      </c>
    </row>
    <row r="897" spans="1:11" x14ac:dyDescent="0.25">
      <c r="A897" t="s">
        <v>86</v>
      </c>
    </row>
    <row r="898" spans="1:11" x14ac:dyDescent="0.25">
      <c r="A898">
        <v>279</v>
      </c>
      <c r="B898">
        <v>0</v>
      </c>
      <c r="C898">
        <v>50.557263553403601</v>
      </c>
      <c r="D898">
        <v>19.8055501237104</v>
      </c>
      <c r="E898">
        <v>10</v>
      </c>
      <c r="F898">
        <v>1.01722196789785</v>
      </c>
      <c r="G898" t="s">
        <v>84</v>
      </c>
      <c r="H898" t="s">
        <v>84</v>
      </c>
      <c r="I898">
        <v>754</v>
      </c>
      <c r="J898">
        <v>248</v>
      </c>
      <c r="K898">
        <v>0</v>
      </c>
    </row>
    <row r="899" spans="1:11" x14ac:dyDescent="0.25">
      <c r="A899" t="s">
        <v>85</v>
      </c>
    </row>
    <row r="900" spans="1:11" x14ac:dyDescent="0.25">
      <c r="A900">
        <v>105.998276592236</v>
      </c>
      <c r="B900">
        <v>120.88619220483901</v>
      </c>
      <c r="C900">
        <v>2000</v>
      </c>
    </row>
    <row r="901" spans="1:11" x14ac:dyDescent="0.25">
      <c r="A901">
        <v>99.781491987775595</v>
      </c>
      <c r="B901">
        <v>114.669407600379</v>
      </c>
      <c r="C901">
        <v>2000</v>
      </c>
    </row>
    <row r="902" spans="1:11" x14ac:dyDescent="0.25">
      <c r="A902">
        <v>85.330592399621494</v>
      </c>
      <c r="B902">
        <v>100.21850801222401</v>
      </c>
      <c r="C902">
        <v>2000</v>
      </c>
    </row>
    <row r="903" spans="1:11" x14ac:dyDescent="0.25">
      <c r="A903">
        <v>70.248892695388804</v>
      </c>
      <c r="B903">
        <v>85.1368083079917</v>
      </c>
      <c r="C903">
        <v>2000</v>
      </c>
    </row>
    <row r="904" spans="1:11" x14ac:dyDescent="0.25">
      <c r="A904">
        <v>70.685908719837599</v>
      </c>
      <c r="B904">
        <v>84.699792283542905</v>
      </c>
      <c r="C904">
        <v>2001</v>
      </c>
    </row>
    <row r="905" spans="1:11" x14ac:dyDescent="0.25">
      <c r="A905">
        <v>85.767608424070303</v>
      </c>
      <c r="B905">
        <v>99.781491987775595</v>
      </c>
      <c r="C905">
        <v>2001</v>
      </c>
    </row>
    <row r="906" spans="1:11" x14ac:dyDescent="0.25">
      <c r="A906">
        <v>100.21850801222401</v>
      </c>
      <c r="B906">
        <v>114.23239157593</v>
      </c>
      <c r="C906">
        <v>2001</v>
      </c>
    </row>
    <row r="907" spans="1:11" x14ac:dyDescent="0.25">
      <c r="A907">
        <v>106.435292616685</v>
      </c>
      <c r="B907">
        <v>120.44917618039</v>
      </c>
      <c r="C907">
        <v>2001</v>
      </c>
    </row>
    <row r="908" spans="1:11" x14ac:dyDescent="0.25">
      <c r="A908">
        <v>120.43993141429</v>
      </c>
      <c r="B908">
        <v>134.45381497799599</v>
      </c>
      <c r="C908">
        <v>2001</v>
      </c>
    </row>
    <row r="909" spans="1:11" x14ac:dyDescent="0.25">
      <c r="A909">
        <v>120.002915389842</v>
      </c>
      <c r="B909">
        <v>134.890831002445</v>
      </c>
      <c r="C909">
        <v>2000</v>
      </c>
    </row>
    <row r="910" spans="1:11" x14ac:dyDescent="0.25">
      <c r="A910" t="s">
        <v>86</v>
      </c>
    </row>
    <row r="911" spans="1:11" x14ac:dyDescent="0.25">
      <c r="A911">
        <v>188</v>
      </c>
      <c r="B911">
        <v>0</v>
      </c>
      <c r="C911">
        <v>2.9730913756061699</v>
      </c>
      <c r="D911">
        <v>67.365887212360803</v>
      </c>
      <c r="E911">
        <v>8</v>
      </c>
      <c r="F911">
        <v>1.01722196789785</v>
      </c>
      <c r="G911" t="s">
        <v>84</v>
      </c>
      <c r="H911" t="s">
        <v>83</v>
      </c>
      <c r="I911">
        <v>762</v>
      </c>
      <c r="J911">
        <v>0</v>
      </c>
      <c r="K911">
        <v>0</v>
      </c>
    </row>
    <row r="912" spans="1:11" x14ac:dyDescent="0.25">
      <c r="A912" t="s">
        <v>85</v>
      </c>
    </row>
    <row r="913" spans="1:11" x14ac:dyDescent="0.25">
      <c r="A913">
        <v>48.642642365084299</v>
      </c>
      <c r="B913">
        <v>102.15075417051899</v>
      </c>
      <c r="C913">
        <v>2000</v>
      </c>
    </row>
    <row r="914" spans="1:11" x14ac:dyDescent="0.25">
      <c r="A914">
        <v>46.536211441053901</v>
      </c>
      <c r="B914">
        <v>100.044323246489</v>
      </c>
      <c r="C914">
        <v>2000</v>
      </c>
    </row>
    <row r="915" spans="1:11" x14ac:dyDescent="0.25">
      <c r="A915">
        <v>46.099195416604999</v>
      </c>
      <c r="B915">
        <v>100.48133927093799</v>
      </c>
      <c r="C915">
        <v>2001</v>
      </c>
    </row>
    <row r="916" spans="1:11" x14ac:dyDescent="0.25">
      <c r="A916">
        <v>48.197350638131397</v>
      </c>
      <c r="B916">
        <v>102.57949449246399</v>
      </c>
      <c r="C916">
        <v>2001</v>
      </c>
    </row>
    <row r="917" spans="1:11" x14ac:dyDescent="0.25">
      <c r="A917">
        <v>49.774244284933999</v>
      </c>
      <c r="B917">
        <v>104.15638813926699</v>
      </c>
      <c r="C917">
        <v>2001</v>
      </c>
    </row>
    <row r="918" spans="1:11" x14ac:dyDescent="0.25">
      <c r="A918">
        <v>95.617856145667403</v>
      </c>
      <c r="B918">
        <v>150</v>
      </c>
      <c r="C918">
        <v>2001</v>
      </c>
    </row>
    <row r="919" spans="1:11" x14ac:dyDescent="0.25">
      <c r="A919">
        <v>96.491888194565107</v>
      </c>
      <c r="B919">
        <v>150</v>
      </c>
      <c r="C919">
        <v>2000</v>
      </c>
    </row>
    <row r="920" spans="1:11" x14ac:dyDescent="0.25">
      <c r="A920">
        <v>50.225755715066001</v>
      </c>
      <c r="B920">
        <v>103.73386752050099</v>
      </c>
      <c r="C920">
        <v>2000</v>
      </c>
    </row>
    <row r="921" spans="1:11" x14ac:dyDescent="0.25">
      <c r="A921" t="s">
        <v>86</v>
      </c>
    </row>
    <row r="922" spans="1:11" x14ac:dyDescent="0.25">
      <c r="A922">
        <v>834</v>
      </c>
      <c r="B922">
        <v>0</v>
      </c>
      <c r="C922">
        <v>26.385653933197201</v>
      </c>
      <c r="D922">
        <v>43.697465875571702</v>
      </c>
      <c r="E922">
        <v>6</v>
      </c>
      <c r="F922">
        <v>1.01722196789785</v>
      </c>
      <c r="G922" t="s">
        <v>83</v>
      </c>
      <c r="H922" t="s">
        <v>83</v>
      </c>
      <c r="I922">
        <v>0</v>
      </c>
      <c r="J922">
        <v>0</v>
      </c>
      <c r="K922">
        <v>9.8881923075800807E-2</v>
      </c>
    </row>
    <row r="923" spans="1:11" x14ac:dyDescent="0.25">
      <c r="A923" t="s">
        <v>85</v>
      </c>
    </row>
    <row r="924" spans="1:11" x14ac:dyDescent="0.25">
      <c r="A924">
        <v>119.373709045003</v>
      </c>
      <c r="B924">
        <v>18.4929422840444</v>
      </c>
      <c r="C924">
        <v>2000</v>
      </c>
    </row>
    <row r="925" spans="1:11" x14ac:dyDescent="0.25">
      <c r="A925">
        <v>100.88076676095901</v>
      </c>
      <c r="B925">
        <v>0</v>
      </c>
      <c r="C925">
        <v>2000</v>
      </c>
    </row>
    <row r="926" spans="1:11" x14ac:dyDescent="0.25">
      <c r="A926">
        <v>100.006734712061</v>
      </c>
      <c r="B926">
        <v>0</v>
      </c>
      <c r="C926">
        <v>2001</v>
      </c>
    </row>
    <row r="927" spans="1:11" x14ac:dyDescent="0.25">
      <c r="A927">
        <v>118.828742072428</v>
      </c>
      <c r="B927">
        <v>18.822007360366101</v>
      </c>
      <c r="C927">
        <v>2001</v>
      </c>
    </row>
    <row r="928" spans="1:11" x14ac:dyDescent="0.25">
      <c r="A928">
        <v>150</v>
      </c>
      <c r="B928">
        <v>49.993265287938499</v>
      </c>
      <c r="C928">
        <v>2001</v>
      </c>
    </row>
    <row r="929" spans="1:11" x14ac:dyDescent="0.25">
      <c r="A929">
        <v>150</v>
      </c>
      <c r="B929">
        <v>49.119233239040902</v>
      </c>
      <c r="C929">
        <v>2000</v>
      </c>
    </row>
    <row r="930" spans="1:11" x14ac:dyDescent="0.25">
      <c r="A930" t="s">
        <v>86</v>
      </c>
    </row>
    <row r="931" spans="1:11" x14ac:dyDescent="0.25">
      <c r="A931">
        <v>360</v>
      </c>
      <c r="B931">
        <v>0</v>
      </c>
      <c r="C931">
        <v>14.8740453294254</v>
      </c>
      <c r="D931">
        <v>55.079837689509397</v>
      </c>
      <c r="E931">
        <v>10</v>
      </c>
      <c r="F931">
        <v>1.01722196789785</v>
      </c>
      <c r="G931" t="s">
        <v>84</v>
      </c>
      <c r="H931" t="s">
        <v>84</v>
      </c>
      <c r="I931">
        <v>118</v>
      </c>
      <c r="J931">
        <v>745</v>
      </c>
      <c r="K931">
        <v>0</v>
      </c>
    </row>
    <row r="932" spans="1:11" x14ac:dyDescent="0.25">
      <c r="A932" t="s">
        <v>85</v>
      </c>
    </row>
    <row r="933" spans="1:11" x14ac:dyDescent="0.25">
      <c r="A933">
        <v>63.804797528225201</v>
      </c>
      <c r="B933">
        <v>71.592941963851104</v>
      </c>
      <c r="C933">
        <v>2000</v>
      </c>
    </row>
    <row r="934" spans="1:11" x14ac:dyDescent="0.25">
      <c r="A934">
        <v>53.287259212112403</v>
      </c>
      <c r="B934">
        <v>61.075403647738398</v>
      </c>
      <c r="C934">
        <v>2000</v>
      </c>
    </row>
    <row r="935" spans="1:11" x14ac:dyDescent="0.25">
      <c r="A935">
        <v>53.724275236561198</v>
      </c>
      <c r="B935">
        <v>60.638387623289503</v>
      </c>
      <c r="C935">
        <v>2001</v>
      </c>
    </row>
    <row r="936" spans="1:11" x14ac:dyDescent="0.25">
      <c r="A936">
        <v>64.241813552674003</v>
      </c>
      <c r="B936">
        <v>71.155925939402294</v>
      </c>
      <c r="C936">
        <v>2001</v>
      </c>
    </row>
    <row r="937" spans="1:11" x14ac:dyDescent="0.25">
      <c r="A937">
        <v>92.867379601047304</v>
      </c>
      <c r="B937">
        <v>99.781491987775595</v>
      </c>
      <c r="C937">
        <v>2001</v>
      </c>
    </row>
    <row r="938" spans="1:11" x14ac:dyDescent="0.25">
      <c r="A938">
        <v>100.21850801222401</v>
      </c>
      <c r="B938">
        <v>107.13262039895299</v>
      </c>
      <c r="C938">
        <v>2001</v>
      </c>
    </row>
    <row r="939" spans="1:11" x14ac:dyDescent="0.25">
      <c r="A939">
        <v>103.189140289581</v>
      </c>
      <c r="B939">
        <v>110.103252676309</v>
      </c>
      <c r="C939">
        <v>2001</v>
      </c>
    </row>
    <row r="940" spans="1:11" x14ac:dyDescent="0.25">
      <c r="A940">
        <v>102.752124265132</v>
      </c>
      <c r="B940">
        <v>110.54026870075801</v>
      </c>
      <c r="C940">
        <v>2000</v>
      </c>
    </row>
    <row r="941" spans="1:11" x14ac:dyDescent="0.25">
      <c r="A941">
        <v>99.781491987775595</v>
      </c>
      <c r="B941">
        <v>107.569636423402</v>
      </c>
      <c r="C941">
        <v>2000</v>
      </c>
    </row>
    <row r="942" spans="1:11" x14ac:dyDescent="0.25">
      <c r="A942">
        <v>92.430363576598495</v>
      </c>
      <c r="B942">
        <v>100.21850801222401</v>
      </c>
      <c r="C942">
        <v>2000</v>
      </c>
    </row>
    <row r="943" spans="1:11" x14ac:dyDescent="0.25">
      <c r="A943" t="s">
        <v>86</v>
      </c>
    </row>
    <row r="944" spans="1:11" x14ac:dyDescent="0.25">
      <c r="A944">
        <v>856</v>
      </c>
      <c r="B944">
        <v>0</v>
      </c>
      <c r="C944">
        <v>42.370969221419799</v>
      </c>
      <c r="D944">
        <v>26.214618827919502</v>
      </c>
      <c r="E944">
        <v>8</v>
      </c>
      <c r="F944">
        <v>1.01722196789785</v>
      </c>
      <c r="G944" t="s">
        <v>84</v>
      </c>
      <c r="H944" t="s">
        <v>83</v>
      </c>
      <c r="I944">
        <v>830</v>
      </c>
      <c r="J944">
        <v>0</v>
      </c>
      <c r="K944">
        <v>0.101728559140616</v>
      </c>
    </row>
    <row r="945" spans="1:11" x14ac:dyDescent="0.25">
      <c r="A945" t="s">
        <v>85</v>
      </c>
    </row>
    <row r="946" spans="1:11" x14ac:dyDescent="0.25">
      <c r="A946">
        <v>131.677797006719</v>
      </c>
      <c r="B946">
        <v>100.138501137994</v>
      </c>
      <c r="C946">
        <v>2000</v>
      </c>
    </row>
    <row r="947" spans="1:11" x14ac:dyDescent="0.25">
      <c r="A947">
        <v>131.3207878565</v>
      </c>
      <c r="B947">
        <v>99.781491987775595</v>
      </c>
      <c r="C947">
        <v>2000</v>
      </c>
    </row>
    <row r="948" spans="1:11" x14ac:dyDescent="0.25">
      <c r="A948">
        <v>101.72117361087</v>
      </c>
      <c r="B948">
        <v>70.181877742145005</v>
      </c>
      <c r="C948">
        <v>2000</v>
      </c>
    </row>
    <row r="949" spans="1:11" x14ac:dyDescent="0.25">
      <c r="A949">
        <v>101.284157586421</v>
      </c>
      <c r="B949">
        <v>70.6188937665938</v>
      </c>
      <c r="C949">
        <v>2001</v>
      </c>
    </row>
    <row r="950" spans="1:11" x14ac:dyDescent="0.25">
      <c r="A950">
        <v>130.883771832051</v>
      </c>
      <c r="B950">
        <v>100.21850801222401</v>
      </c>
      <c r="C950">
        <v>2001</v>
      </c>
    </row>
    <row r="951" spans="1:11" x14ac:dyDescent="0.25">
      <c r="A951">
        <v>131.24913351439599</v>
      </c>
      <c r="B951">
        <v>100.583869694569</v>
      </c>
      <c r="C951">
        <v>2001</v>
      </c>
    </row>
    <row r="952" spans="1:11" x14ac:dyDescent="0.25">
      <c r="A952">
        <v>150</v>
      </c>
      <c r="B952">
        <v>119.334736180173</v>
      </c>
      <c r="C952">
        <v>2001</v>
      </c>
    </row>
    <row r="953" spans="1:11" x14ac:dyDescent="0.25">
      <c r="A953">
        <v>150</v>
      </c>
      <c r="B953">
        <v>118.46070413127499</v>
      </c>
      <c r="C953">
        <v>2000</v>
      </c>
    </row>
    <row r="954" spans="1:11" x14ac:dyDescent="0.25">
      <c r="A954" t="s">
        <v>86</v>
      </c>
    </row>
    <row r="955" spans="1:11" x14ac:dyDescent="0.25">
      <c r="A955">
        <v>735</v>
      </c>
      <c r="B955">
        <v>0</v>
      </c>
      <c r="C955">
        <v>47.931781775779697</v>
      </c>
      <c r="D955">
        <v>20.3457500514934</v>
      </c>
      <c r="E955">
        <v>8</v>
      </c>
      <c r="F955">
        <v>1.01722196789785</v>
      </c>
      <c r="G955" t="s">
        <v>84</v>
      </c>
      <c r="H955" t="s">
        <v>83</v>
      </c>
      <c r="I955">
        <v>494</v>
      </c>
      <c r="J955">
        <v>0</v>
      </c>
      <c r="K955">
        <v>9.5111036399799301E-2</v>
      </c>
    </row>
    <row r="956" spans="1:11" x14ac:dyDescent="0.25">
      <c r="A956" t="s">
        <v>85</v>
      </c>
    </row>
    <row r="957" spans="1:11" x14ac:dyDescent="0.25">
      <c r="A957">
        <v>135.78467593658601</v>
      </c>
      <c r="B957">
        <v>53.699706995268699</v>
      </c>
      <c r="C957">
        <v>2000</v>
      </c>
    </row>
    <row r="958" spans="1:11" x14ac:dyDescent="0.25">
      <c r="A958">
        <v>131.866460929092</v>
      </c>
      <c r="B958">
        <v>49.781491987775603</v>
      </c>
      <c r="C958">
        <v>2000</v>
      </c>
    </row>
    <row r="959" spans="1:11" x14ac:dyDescent="0.25">
      <c r="A959">
        <v>101.93900225447901</v>
      </c>
      <c r="B959">
        <v>19.8540333131624</v>
      </c>
      <c r="C959">
        <v>2000</v>
      </c>
    </row>
    <row r="960" spans="1:11" x14ac:dyDescent="0.25">
      <c r="A960">
        <v>101.50198623003</v>
      </c>
      <c r="B960">
        <v>20.291049337611302</v>
      </c>
      <c r="C960">
        <v>2001</v>
      </c>
    </row>
    <row r="961" spans="1:11" x14ac:dyDescent="0.25">
      <c r="A961">
        <v>131.42944490464399</v>
      </c>
      <c r="B961">
        <v>50.218508012224397</v>
      </c>
      <c r="C961">
        <v>2001</v>
      </c>
    </row>
    <row r="962" spans="1:11" x14ac:dyDescent="0.25">
      <c r="A962">
        <v>135.44208840393901</v>
      </c>
      <c r="B962">
        <v>54.231151511520203</v>
      </c>
      <c r="C962">
        <v>2001</v>
      </c>
    </row>
    <row r="963" spans="1:11" x14ac:dyDescent="0.25">
      <c r="A963">
        <v>150</v>
      </c>
      <c r="B963">
        <v>68.789063107580802</v>
      </c>
      <c r="C963">
        <v>2001</v>
      </c>
    </row>
    <row r="964" spans="1:11" x14ac:dyDescent="0.25">
      <c r="A964">
        <v>150</v>
      </c>
      <c r="B964">
        <v>67.915031058683198</v>
      </c>
      <c r="C964">
        <v>2000</v>
      </c>
    </row>
    <row r="965" spans="1:11" x14ac:dyDescent="0.25">
      <c r="A965" t="s">
        <v>86</v>
      </c>
    </row>
    <row r="966" spans="1:11" x14ac:dyDescent="0.25">
      <c r="A966">
        <v>421</v>
      </c>
      <c r="B966">
        <v>0</v>
      </c>
      <c r="C966">
        <v>22.012803535659899</v>
      </c>
      <c r="D966">
        <v>45.659637598237502</v>
      </c>
      <c r="E966">
        <v>8</v>
      </c>
      <c r="F966">
        <v>1.01722196789785</v>
      </c>
      <c r="G966" t="s">
        <v>84</v>
      </c>
      <c r="H966" t="s">
        <v>83</v>
      </c>
      <c r="I966">
        <v>359</v>
      </c>
      <c r="J966">
        <v>0</v>
      </c>
      <c r="K966">
        <v>0</v>
      </c>
    </row>
    <row r="967" spans="1:11" x14ac:dyDescent="0.25">
      <c r="A967" t="s">
        <v>85</v>
      </c>
    </row>
    <row r="968" spans="1:11" x14ac:dyDescent="0.25">
      <c r="A968">
        <v>98.0079463601176</v>
      </c>
      <c r="B968">
        <v>117.921551814446</v>
      </c>
      <c r="C968">
        <v>2000</v>
      </c>
    </row>
    <row r="969" spans="1:11" x14ac:dyDescent="0.25">
      <c r="A969">
        <v>82.453260532669404</v>
      </c>
      <c r="B969">
        <v>102.36686598699799</v>
      </c>
      <c r="C969">
        <v>2000</v>
      </c>
    </row>
    <row r="970" spans="1:11" x14ac:dyDescent="0.25">
      <c r="A970">
        <v>82.890276557118199</v>
      </c>
      <c r="B970">
        <v>101.929849962549</v>
      </c>
      <c r="C970">
        <v>2001</v>
      </c>
    </row>
    <row r="971" spans="1:11" x14ac:dyDescent="0.25">
      <c r="A971">
        <v>98.466396035654796</v>
      </c>
      <c r="B971">
        <v>117.50596944108599</v>
      </c>
      <c r="C971">
        <v>2001</v>
      </c>
    </row>
    <row r="972" spans="1:11" x14ac:dyDescent="0.25">
      <c r="A972">
        <v>100.230438550588</v>
      </c>
      <c r="B972">
        <v>119.270011956019</v>
      </c>
      <c r="C972">
        <v>2001</v>
      </c>
    </row>
    <row r="973" spans="1:11" x14ac:dyDescent="0.25">
      <c r="A973">
        <v>130.96042659456899</v>
      </c>
      <c r="B973">
        <v>150</v>
      </c>
      <c r="C973">
        <v>2001</v>
      </c>
    </row>
    <row r="974" spans="1:11" x14ac:dyDescent="0.25">
      <c r="A974">
        <v>130.086394545671</v>
      </c>
      <c r="B974">
        <v>150</v>
      </c>
      <c r="C974">
        <v>2000</v>
      </c>
    </row>
    <row r="975" spans="1:11" x14ac:dyDescent="0.25">
      <c r="A975">
        <v>99.769561449412194</v>
      </c>
      <c r="B975">
        <v>119.683166903741</v>
      </c>
      <c r="C975">
        <v>2000</v>
      </c>
    </row>
    <row r="976" spans="1:11" x14ac:dyDescent="0.25">
      <c r="A976" t="s">
        <v>86</v>
      </c>
    </row>
    <row r="977" spans="1:11" x14ac:dyDescent="0.25">
      <c r="A977">
        <v>774</v>
      </c>
      <c r="B977">
        <v>0</v>
      </c>
      <c r="C977">
        <v>18.717445894068302</v>
      </c>
      <c r="D977">
        <v>48.1718517725892</v>
      </c>
      <c r="E977">
        <v>8</v>
      </c>
      <c r="F977">
        <v>1.01722196789785</v>
      </c>
      <c r="G977" t="s">
        <v>84</v>
      </c>
      <c r="H977" t="s">
        <v>83</v>
      </c>
      <c r="I977">
        <v>800</v>
      </c>
      <c r="J977">
        <v>0</v>
      </c>
      <c r="K977">
        <v>9.5989877373728896E-2</v>
      </c>
    </row>
    <row r="978" spans="1:11" x14ac:dyDescent="0.25">
      <c r="A978" t="s">
        <v>85</v>
      </c>
    </row>
    <row r="979" spans="1:11" x14ac:dyDescent="0.25">
      <c r="A979">
        <v>86.880500011061102</v>
      </c>
      <c r="B979">
        <v>115.761532199903</v>
      </c>
      <c r="C979">
        <v>2000</v>
      </c>
    </row>
    <row r="980" spans="1:11" x14ac:dyDescent="0.25">
      <c r="A980">
        <v>73.602583830034405</v>
      </c>
      <c r="B980">
        <v>102.483616018877</v>
      </c>
      <c r="C980">
        <v>2000</v>
      </c>
    </row>
    <row r="981" spans="1:11" x14ac:dyDescent="0.25">
      <c r="A981">
        <v>73.165567805585596</v>
      </c>
      <c r="B981">
        <v>102.920632043325</v>
      </c>
      <c r="C981">
        <v>2001</v>
      </c>
    </row>
    <row r="982" spans="1:11" x14ac:dyDescent="0.25">
      <c r="A982">
        <v>86.358117460934906</v>
      </c>
      <c r="B982">
        <v>116.11318169867501</v>
      </c>
      <c r="C982">
        <v>2001</v>
      </c>
    </row>
    <row r="983" spans="1:11" x14ac:dyDescent="0.25">
      <c r="A983">
        <v>99.695656362926002</v>
      </c>
      <c r="B983">
        <v>129.45072060066599</v>
      </c>
      <c r="C983">
        <v>2001</v>
      </c>
    </row>
    <row r="984" spans="1:11" x14ac:dyDescent="0.25">
      <c r="A984">
        <v>120.24493576226</v>
      </c>
      <c r="B984">
        <v>150</v>
      </c>
      <c r="C984">
        <v>2001</v>
      </c>
    </row>
    <row r="985" spans="1:11" x14ac:dyDescent="0.25">
      <c r="A985">
        <v>121.118967811158</v>
      </c>
      <c r="B985">
        <v>150</v>
      </c>
      <c r="C985">
        <v>2000</v>
      </c>
    </row>
    <row r="986" spans="1:11" x14ac:dyDescent="0.25">
      <c r="A986">
        <v>100.304343637074</v>
      </c>
      <c r="B986">
        <v>129.185375825916</v>
      </c>
      <c r="C986">
        <v>2000</v>
      </c>
    </row>
    <row r="987" spans="1:11" x14ac:dyDescent="0.25">
      <c r="A987" t="s">
        <v>86</v>
      </c>
    </row>
    <row r="988" spans="1:11" x14ac:dyDescent="0.25">
      <c r="A988">
        <v>738</v>
      </c>
      <c r="B988">
        <v>0</v>
      </c>
      <c r="C988">
        <v>5.1593040262653602</v>
      </c>
      <c r="D988">
        <v>61.3546506621379</v>
      </c>
      <c r="E988">
        <v>6</v>
      </c>
      <c r="F988">
        <v>1.01722196789785</v>
      </c>
      <c r="G988" t="s">
        <v>84</v>
      </c>
      <c r="H988" t="s">
        <v>83</v>
      </c>
      <c r="I988">
        <v>179</v>
      </c>
      <c r="J988">
        <v>0</v>
      </c>
      <c r="K988">
        <v>9.4763910412348204E-2</v>
      </c>
    </row>
    <row r="989" spans="1:11" x14ac:dyDescent="0.25">
      <c r="A989" t="s">
        <v>85</v>
      </c>
    </row>
    <row r="990" spans="1:11" x14ac:dyDescent="0.25">
      <c r="A990">
        <v>6.1611923205882002</v>
      </c>
      <c r="B990">
        <v>106.81726940781</v>
      </c>
      <c r="C990">
        <v>2000</v>
      </c>
    </row>
    <row r="991" spans="1:11" x14ac:dyDescent="0.25">
      <c r="A991">
        <v>2.5299625212976502</v>
      </c>
      <c r="B991">
        <v>103.18603960852001</v>
      </c>
      <c r="C991">
        <v>2000</v>
      </c>
    </row>
    <row r="992" spans="1:11" x14ac:dyDescent="0.25">
      <c r="A992">
        <v>2.9669785457464699</v>
      </c>
      <c r="B992">
        <v>102.749023584071</v>
      </c>
      <c r="C992">
        <v>2001</v>
      </c>
    </row>
    <row r="993" spans="1:11" x14ac:dyDescent="0.25">
      <c r="A993">
        <v>6.6151574089217604</v>
      </c>
      <c r="B993">
        <v>106.397202447246</v>
      </c>
      <c r="C993">
        <v>2001</v>
      </c>
    </row>
    <row r="994" spans="1:11" x14ac:dyDescent="0.25">
      <c r="A994">
        <v>49.999446949451197</v>
      </c>
      <c r="B994">
        <v>149.78149198777601</v>
      </c>
      <c r="C994">
        <v>2001</v>
      </c>
    </row>
    <row r="995" spans="1:11" x14ac:dyDescent="0.25">
      <c r="A995">
        <v>49.343922912777899</v>
      </c>
      <c r="B995">
        <v>150</v>
      </c>
      <c r="C995">
        <v>2000</v>
      </c>
    </row>
    <row r="996" spans="1:11" x14ac:dyDescent="0.25">
      <c r="A996" t="s">
        <v>86</v>
      </c>
    </row>
    <row r="997" spans="1:11" x14ac:dyDescent="0.25">
      <c r="A997">
        <v>753</v>
      </c>
      <c r="B997">
        <v>0</v>
      </c>
      <c r="C997">
        <v>42.731021022701199</v>
      </c>
      <c r="D997">
        <v>23.533000273515</v>
      </c>
      <c r="E997">
        <v>8</v>
      </c>
      <c r="F997">
        <v>1.01722196789785</v>
      </c>
      <c r="G997" t="s">
        <v>83</v>
      </c>
      <c r="H997" t="s">
        <v>84</v>
      </c>
      <c r="I997">
        <v>0</v>
      </c>
      <c r="J997">
        <v>351</v>
      </c>
      <c r="K997">
        <v>9.4312854387899395E-2</v>
      </c>
    </row>
    <row r="998" spans="1:11" x14ac:dyDescent="0.25">
      <c r="A998" t="s">
        <v>85</v>
      </c>
    </row>
    <row r="999" spans="1:11" x14ac:dyDescent="0.25">
      <c r="A999">
        <v>30.050533920929599</v>
      </c>
      <c r="B999">
        <v>40.439792133511801</v>
      </c>
      <c r="C999">
        <v>2000</v>
      </c>
    </row>
    <row r="1000" spans="1:11" x14ac:dyDescent="0.25">
      <c r="A1000">
        <v>0</v>
      </c>
      <c r="B1000">
        <v>10.389258212582201</v>
      </c>
      <c r="C1000">
        <v>2000</v>
      </c>
    </row>
    <row r="1001" spans="1:11" x14ac:dyDescent="0.25">
      <c r="A1001">
        <v>0</v>
      </c>
      <c r="B1001">
        <v>9.5152261636846003</v>
      </c>
      <c r="C1001">
        <v>2001</v>
      </c>
    </row>
    <row r="1002" spans="1:11" x14ac:dyDescent="0.25">
      <c r="A1002">
        <v>30.380255543424401</v>
      </c>
      <c r="B1002">
        <v>39.895481707108999</v>
      </c>
      <c r="C1002">
        <v>2001</v>
      </c>
    </row>
    <row r="1003" spans="1:11" x14ac:dyDescent="0.25">
      <c r="A1003">
        <v>40.266265824091001</v>
      </c>
      <c r="B1003">
        <v>49.781491987775603</v>
      </c>
      <c r="C1003">
        <v>2001</v>
      </c>
    </row>
    <row r="1004" spans="1:11" x14ac:dyDescent="0.25">
      <c r="A1004">
        <v>47.074246819468797</v>
      </c>
      <c r="B1004">
        <v>56.5894729831533</v>
      </c>
      <c r="C1004">
        <v>2001</v>
      </c>
    </row>
    <row r="1005" spans="1:11" x14ac:dyDescent="0.25">
      <c r="A1005">
        <v>46.637230795019903</v>
      </c>
      <c r="B1005">
        <v>57.026489007602201</v>
      </c>
      <c r="C1005">
        <v>2000</v>
      </c>
    </row>
    <row r="1006" spans="1:11" x14ac:dyDescent="0.25">
      <c r="A1006">
        <v>39.829249799642199</v>
      </c>
      <c r="B1006">
        <v>50.218508012224397</v>
      </c>
      <c r="C1006">
        <v>2000</v>
      </c>
    </row>
    <row r="1007" spans="1:11" x14ac:dyDescent="0.25">
      <c r="A1007" t="s">
        <v>86</v>
      </c>
    </row>
    <row r="1008" spans="1:11" x14ac:dyDescent="0.25">
      <c r="A1008">
        <v>785</v>
      </c>
      <c r="B1008">
        <v>0</v>
      </c>
      <c r="C1008">
        <v>48.103511382095803</v>
      </c>
      <c r="D1008">
        <v>17.468633154740299</v>
      </c>
      <c r="E1008">
        <v>8</v>
      </c>
      <c r="F1008">
        <v>1.01722196789785</v>
      </c>
      <c r="G1008" t="s">
        <v>83</v>
      </c>
      <c r="H1008" t="s">
        <v>84</v>
      </c>
      <c r="I1008">
        <v>0</v>
      </c>
      <c r="J1008">
        <v>356</v>
      </c>
      <c r="K1008">
        <v>9.6564847345998198E-2</v>
      </c>
    </row>
    <row r="1009" spans="1:11" x14ac:dyDescent="0.25">
      <c r="A1009" t="s">
        <v>85</v>
      </c>
    </row>
    <row r="1010" spans="1:11" x14ac:dyDescent="0.25">
      <c r="A1010">
        <v>34.183856778023397</v>
      </c>
      <c r="B1010">
        <v>69.643252308414304</v>
      </c>
      <c r="C1010">
        <v>2000</v>
      </c>
    </row>
    <row r="1011" spans="1:11" x14ac:dyDescent="0.25">
      <c r="A1011">
        <v>14.1941899082553</v>
      </c>
      <c r="B1011">
        <v>49.653585438646203</v>
      </c>
      <c r="C1011">
        <v>2000</v>
      </c>
    </row>
    <row r="1012" spans="1:11" x14ac:dyDescent="0.25">
      <c r="A1012">
        <v>0</v>
      </c>
      <c r="B1012">
        <v>35.4593955303909</v>
      </c>
      <c r="C1012">
        <v>2000</v>
      </c>
    </row>
    <row r="1013" spans="1:11" x14ac:dyDescent="0.25">
      <c r="A1013">
        <v>0</v>
      </c>
      <c r="B1013">
        <v>36.333427579288497</v>
      </c>
      <c r="C1013">
        <v>2001</v>
      </c>
    </row>
    <row r="1014" spans="1:11" x14ac:dyDescent="0.25">
      <c r="A1014">
        <v>14.0129869820653</v>
      </c>
      <c r="B1014">
        <v>50.346414561353797</v>
      </c>
      <c r="C1014">
        <v>2001</v>
      </c>
    </row>
    <row r="1015" spans="1:11" x14ac:dyDescent="0.25">
      <c r="A1015">
        <v>33.844781416304997</v>
      </c>
      <c r="B1015">
        <v>70.178208995593494</v>
      </c>
      <c r="C1015">
        <v>2001</v>
      </c>
    </row>
    <row r="1016" spans="1:11" x14ac:dyDescent="0.25">
      <c r="A1016">
        <v>46.148000046716902</v>
      </c>
      <c r="B1016">
        <v>82.481427626005299</v>
      </c>
      <c r="C1016">
        <v>2001</v>
      </c>
    </row>
    <row r="1017" spans="1:11" x14ac:dyDescent="0.25">
      <c r="A1017">
        <v>46.585016071165697</v>
      </c>
      <c r="B1017">
        <v>82.044411601556504</v>
      </c>
      <c r="C1017">
        <v>2000</v>
      </c>
    </row>
    <row r="1018" spans="1:11" x14ac:dyDescent="0.25">
      <c r="A1018" t="s">
        <v>86</v>
      </c>
    </row>
    <row r="1019" spans="1:11" x14ac:dyDescent="0.25">
      <c r="A1019">
        <v>516</v>
      </c>
      <c r="B1019">
        <v>0</v>
      </c>
      <c r="C1019">
        <v>32.643872925587999</v>
      </c>
      <c r="D1019">
        <v>32.700150064851201</v>
      </c>
      <c r="E1019">
        <v>6</v>
      </c>
      <c r="F1019">
        <v>1.01722196789785</v>
      </c>
      <c r="G1019" t="s">
        <v>83</v>
      </c>
      <c r="H1019" t="s">
        <v>83</v>
      </c>
      <c r="I1019">
        <v>0</v>
      </c>
      <c r="J1019">
        <v>0</v>
      </c>
      <c r="K1019">
        <v>0</v>
      </c>
    </row>
    <row r="1020" spans="1:11" x14ac:dyDescent="0.25">
      <c r="A1020" t="s">
        <v>85</v>
      </c>
    </row>
    <row r="1021" spans="1:11" x14ac:dyDescent="0.25">
      <c r="A1021">
        <v>127.096198344237</v>
      </c>
      <c r="B1021">
        <v>22.864384086336901</v>
      </c>
      <c r="C1021">
        <v>2000</v>
      </c>
    </row>
    <row r="1022" spans="1:11" x14ac:dyDescent="0.25">
      <c r="A1022">
        <v>104.2318142579</v>
      </c>
      <c r="B1022">
        <v>0</v>
      </c>
      <c r="C1022">
        <v>2000</v>
      </c>
    </row>
    <row r="1023" spans="1:11" x14ac:dyDescent="0.25">
      <c r="A1023">
        <v>103.357782209002</v>
      </c>
      <c r="B1023">
        <v>0</v>
      </c>
      <c r="C1023">
        <v>2001</v>
      </c>
    </row>
    <row r="1024" spans="1:11" x14ac:dyDescent="0.25">
      <c r="A1024">
        <v>126.658805942415</v>
      </c>
      <c r="B1024">
        <v>23.301023733413501</v>
      </c>
      <c r="C1024">
        <v>2001</v>
      </c>
    </row>
    <row r="1025" spans="1:11" x14ac:dyDescent="0.25">
      <c r="A1025">
        <v>150</v>
      </c>
      <c r="B1025">
        <v>46.642217790997996</v>
      </c>
      <c r="C1025">
        <v>2001</v>
      </c>
    </row>
    <row r="1026" spans="1:11" x14ac:dyDescent="0.25">
      <c r="A1026">
        <v>150</v>
      </c>
      <c r="B1026">
        <v>45.7681857421004</v>
      </c>
      <c r="C1026">
        <v>2000</v>
      </c>
    </row>
    <row r="1027" spans="1:11" x14ac:dyDescent="0.25">
      <c r="A1027" t="s">
        <v>86</v>
      </c>
    </row>
    <row r="1028" spans="1:11" x14ac:dyDescent="0.25">
      <c r="A1028">
        <v>106</v>
      </c>
      <c r="B1028">
        <v>0</v>
      </c>
      <c r="C1028">
        <v>55.6997591307954</v>
      </c>
      <c r="D1028">
        <v>9.1276866275596102</v>
      </c>
      <c r="E1028">
        <v>8</v>
      </c>
      <c r="F1028">
        <v>1.01722196789785</v>
      </c>
      <c r="G1028" t="s">
        <v>83</v>
      </c>
      <c r="H1028" t="s">
        <v>84</v>
      </c>
      <c r="I1028">
        <v>0</v>
      </c>
      <c r="J1028">
        <v>350</v>
      </c>
      <c r="K1028">
        <v>0</v>
      </c>
    </row>
    <row r="1029" spans="1:11" x14ac:dyDescent="0.25">
      <c r="A1029" t="s">
        <v>85</v>
      </c>
    </row>
    <row r="1030" spans="1:11" x14ac:dyDescent="0.25">
      <c r="A1030">
        <v>39.574647774575901</v>
      </c>
      <c r="B1030">
        <v>80.157891496021193</v>
      </c>
      <c r="C1030">
        <v>2000</v>
      </c>
    </row>
    <row r="1031" spans="1:11" x14ac:dyDescent="0.25">
      <c r="A1031">
        <v>9.0295590035384308</v>
      </c>
      <c r="B1031">
        <v>49.612802724983702</v>
      </c>
      <c r="C1031">
        <v>2000</v>
      </c>
    </row>
    <row r="1032" spans="1:11" x14ac:dyDescent="0.25">
      <c r="A1032">
        <v>0</v>
      </c>
      <c r="B1032">
        <v>40.583243721445299</v>
      </c>
      <c r="C1032">
        <v>2000</v>
      </c>
    </row>
    <row r="1033" spans="1:11" x14ac:dyDescent="0.25">
      <c r="A1033">
        <v>0</v>
      </c>
      <c r="B1033">
        <v>41.457275770343003</v>
      </c>
      <c r="C1033">
        <v>2001</v>
      </c>
    </row>
    <row r="1034" spans="1:11" x14ac:dyDescent="0.25">
      <c r="A1034">
        <v>8.92992150467329</v>
      </c>
      <c r="B1034">
        <v>50.387197275016199</v>
      </c>
      <c r="C1034">
        <v>2001</v>
      </c>
    </row>
    <row r="1035" spans="1:11" x14ac:dyDescent="0.25">
      <c r="A1035">
        <v>39.196707009109701</v>
      </c>
      <c r="B1035">
        <v>80.653982779452605</v>
      </c>
      <c r="C1035">
        <v>2001</v>
      </c>
    </row>
    <row r="1036" spans="1:11" x14ac:dyDescent="0.25">
      <c r="A1036">
        <v>45.621418490511502</v>
      </c>
      <c r="B1036">
        <v>87.078694260854505</v>
      </c>
      <c r="C1036">
        <v>2001</v>
      </c>
    </row>
    <row r="1037" spans="1:11" x14ac:dyDescent="0.25">
      <c r="A1037">
        <v>46.058434514960403</v>
      </c>
      <c r="B1037">
        <v>86.641678236405696</v>
      </c>
      <c r="C1037">
        <v>2000</v>
      </c>
    </row>
    <row r="1038" spans="1:11" x14ac:dyDescent="0.25">
      <c r="A1038" t="s">
        <v>86</v>
      </c>
    </row>
    <row r="1039" spans="1:11" x14ac:dyDescent="0.25">
      <c r="A1039">
        <v>840</v>
      </c>
      <c r="B1039">
        <v>0</v>
      </c>
      <c r="C1039">
        <v>2.1837855651128799</v>
      </c>
      <c r="D1039">
        <v>62.470090430325698</v>
      </c>
      <c r="E1039">
        <v>8</v>
      </c>
      <c r="F1039">
        <v>1.01722196789785</v>
      </c>
      <c r="G1039" t="s">
        <v>83</v>
      </c>
      <c r="H1039" t="s">
        <v>84</v>
      </c>
      <c r="I1039">
        <v>0</v>
      </c>
      <c r="J1039">
        <v>797</v>
      </c>
      <c r="K1039">
        <v>9.9556456091539305E-2</v>
      </c>
    </row>
    <row r="1040" spans="1:11" x14ac:dyDescent="0.25">
      <c r="A1040" t="s">
        <v>85</v>
      </c>
    </row>
    <row r="1041" spans="1:11" x14ac:dyDescent="0.25">
      <c r="A1041">
        <v>83.818657048609296</v>
      </c>
      <c r="B1041">
        <v>1.56366424306033</v>
      </c>
      <c r="C1041">
        <v>2000</v>
      </c>
    </row>
    <row r="1042" spans="1:11" x14ac:dyDescent="0.25">
      <c r="A1042">
        <v>82.254992805548994</v>
      </c>
      <c r="B1042">
        <v>0</v>
      </c>
      <c r="C1042">
        <v>2000</v>
      </c>
    </row>
    <row r="1043" spans="1:11" x14ac:dyDescent="0.25">
      <c r="A1043">
        <v>83.129024854446698</v>
      </c>
      <c r="B1043">
        <v>0</v>
      </c>
      <c r="C1043">
        <v>2001</v>
      </c>
    </row>
    <row r="1044" spans="1:11" x14ac:dyDescent="0.25">
      <c r="A1044">
        <v>84.653699774883606</v>
      </c>
      <c r="B1044">
        <v>1.5246749204369101</v>
      </c>
      <c r="C1044">
        <v>2001</v>
      </c>
    </row>
    <row r="1045" spans="1:11" x14ac:dyDescent="0.25">
      <c r="A1045">
        <v>100.21850801222401</v>
      </c>
      <c r="B1045">
        <v>17.0894831577777</v>
      </c>
      <c r="C1045">
        <v>2001</v>
      </c>
    </row>
    <row r="1046" spans="1:11" x14ac:dyDescent="0.25">
      <c r="A1046">
        <v>128.62771098859099</v>
      </c>
      <c r="B1046">
        <v>45.4986861341443</v>
      </c>
      <c r="C1046">
        <v>2001</v>
      </c>
    </row>
    <row r="1047" spans="1:11" x14ac:dyDescent="0.25">
      <c r="A1047">
        <v>128.19069496414201</v>
      </c>
      <c r="B1047">
        <v>45.935702158593102</v>
      </c>
      <c r="C1047">
        <v>2000</v>
      </c>
    </row>
    <row r="1048" spans="1:11" x14ac:dyDescent="0.25">
      <c r="A1048">
        <v>99.781491987775595</v>
      </c>
      <c r="B1048">
        <v>17.526499182226502</v>
      </c>
      <c r="C1048">
        <v>2000</v>
      </c>
    </row>
    <row r="1049" spans="1:11" x14ac:dyDescent="0.25">
      <c r="A1049" t="s">
        <v>86</v>
      </c>
    </row>
    <row r="1050" spans="1:11" x14ac:dyDescent="0.25">
      <c r="A1050">
        <v>808</v>
      </c>
      <c r="B1050">
        <v>0</v>
      </c>
      <c r="C1050">
        <v>43.008705567171802</v>
      </c>
      <c r="D1050">
        <v>21.0578660981121</v>
      </c>
      <c r="E1050">
        <v>8</v>
      </c>
      <c r="F1050">
        <v>1.01722196789785</v>
      </c>
      <c r="G1050" t="s">
        <v>83</v>
      </c>
      <c r="H1050" t="s">
        <v>84</v>
      </c>
      <c r="I1050">
        <v>0</v>
      </c>
      <c r="J1050">
        <v>350</v>
      </c>
      <c r="K1050">
        <v>9.7391432165086E-2</v>
      </c>
    </row>
    <row r="1051" spans="1:11" x14ac:dyDescent="0.25">
      <c r="A1051" t="s">
        <v>85</v>
      </c>
    </row>
    <row r="1052" spans="1:11" x14ac:dyDescent="0.25">
      <c r="A1052">
        <v>30.257628447590498</v>
      </c>
      <c r="B1052">
        <v>72.790942679612996</v>
      </c>
      <c r="C1052">
        <v>2000</v>
      </c>
    </row>
    <row r="1053" spans="1:11" x14ac:dyDescent="0.25">
      <c r="A1053">
        <v>7.8469137970629204</v>
      </c>
      <c r="B1053">
        <v>50.380228029085501</v>
      </c>
      <c r="C1053">
        <v>2000</v>
      </c>
    </row>
    <row r="1054" spans="1:11" x14ac:dyDescent="0.25">
      <c r="A1054">
        <v>0</v>
      </c>
      <c r="B1054">
        <v>42.533314232022597</v>
      </c>
      <c r="C1054">
        <v>2000</v>
      </c>
    </row>
    <row r="1055" spans="1:11" x14ac:dyDescent="0.25">
      <c r="A1055">
        <v>0</v>
      </c>
      <c r="B1055">
        <v>41.659282183124901</v>
      </c>
      <c r="C1055">
        <v>2001</v>
      </c>
    </row>
    <row r="1056" spans="1:11" x14ac:dyDescent="0.25">
      <c r="A1056">
        <v>7.9604897877895899</v>
      </c>
      <c r="B1056">
        <v>49.619771970914499</v>
      </c>
      <c r="C1056">
        <v>2001</v>
      </c>
    </row>
    <row r="1057" spans="1:11" x14ac:dyDescent="0.25">
      <c r="A1057">
        <v>30.565866265615099</v>
      </c>
      <c r="B1057">
        <v>72.225148448740001</v>
      </c>
      <c r="C1057">
        <v>2001</v>
      </c>
    </row>
    <row r="1058" spans="1:11" x14ac:dyDescent="0.25">
      <c r="A1058">
        <v>45.520415284120602</v>
      </c>
      <c r="B1058">
        <v>87.179697467245504</v>
      </c>
      <c r="C1058">
        <v>2001</v>
      </c>
    </row>
    <row r="1059" spans="1:11" x14ac:dyDescent="0.25">
      <c r="A1059">
        <v>45.083399259671701</v>
      </c>
      <c r="B1059">
        <v>87.616713491694298</v>
      </c>
      <c r="C1059">
        <v>2000</v>
      </c>
    </row>
    <row r="1060" spans="1:11" x14ac:dyDescent="0.25">
      <c r="A1060" t="s">
        <v>86</v>
      </c>
    </row>
    <row r="1061" spans="1:11" x14ac:dyDescent="0.25">
      <c r="A1061">
        <v>855</v>
      </c>
      <c r="B1061">
        <v>0</v>
      </c>
      <c r="C1061">
        <v>32.8879294874328</v>
      </c>
      <c r="D1061">
        <v>31.114448909293099</v>
      </c>
      <c r="E1061">
        <v>8</v>
      </c>
      <c r="F1061">
        <v>1.01722196789785</v>
      </c>
      <c r="G1061" t="s">
        <v>84</v>
      </c>
      <c r="H1061" t="s">
        <v>83</v>
      </c>
      <c r="I1061">
        <v>163</v>
      </c>
      <c r="J1061">
        <v>0</v>
      </c>
      <c r="K1061">
        <v>0.10154742324603699</v>
      </c>
    </row>
    <row r="1062" spans="1:11" x14ac:dyDescent="0.25">
      <c r="A1062" t="s">
        <v>85</v>
      </c>
    </row>
    <row r="1063" spans="1:11" x14ac:dyDescent="0.25">
      <c r="A1063">
        <v>59.418097806012497</v>
      </c>
      <c r="B1063">
        <v>128.15039407852601</v>
      </c>
      <c r="C1063">
        <v>2000</v>
      </c>
    </row>
    <row r="1064" spans="1:11" x14ac:dyDescent="0.25">
      <c r="A1064">
        <v>49.781491987775603</v>
      </c>
      <c r="B1064">
        <v>118.513788260289</v>
      </c>
      <c r="C1064">
        <v>2000</v>
      </c>
    </row>
    <row r="1065" spans="1:11" x14ac:dyDescent="0.25">
      <c r="A1065">
        <v>36.229695963319102</v>
      </c>
      <c r="B1065">
        <v>104.961992235832</v>
      </c>
      <c r="C1065">
        <v>2000</v>
      </c>
    </row>
    <row r="1066" spans="1:11" x14ac:dyDescent="0.25">
      <c r="A1066">
        <v>36.666711987767897</v>
      </c>
      <c r="B1066">
        <v>104.52497621138301</v>
      </c>
      <c r="C1066">
        <v>2001</v>
      </c>
    </row>
    <row r="1067" spans="1:11" x14ac:dyDescent="0.25">
      <c r="A1067">
        <v>50.218508012224397</v>
      </c>
      <c r="B1067">
        <v>118.07677223584</v>
      </c>
      <c r="C1067">
        <v>2001</v>
      </c>
    </row>
    <row r="1068" spans="1:11" x14ac:dyDescent="0.25">
      <c r="A1068">
        <v>59.988866064572001</v>
      </c>
      <c r="B1068">
        <v>127.847130288187</v>
      </c>
      <c r="C1068">
        <v>2001</v>
      </c>
    </row>
    <row r="1069" spans="1:11" x14ac:dyDescent="0.25">
      <c r="A1069">
        <v>82.141735776384607</v>
      </c>
      <c r="B1069">
        <v>150</v>
      </c>
      <c r="C1069">
        <v>2001</v>
      </c>
    </row>
    <row r="1070" spans="1:11" x14ac:dyDescent="0.25">
      <c r="A1070">
        <v>81.267703727487003</v>
      </c>
      <c r="B1070">
        <v>150</v>
      </c>
      <c r="C1070">
        <v>2000</v>
      </c>
    </row>
    <row r="1071" spans="1:11" x14ac:dyDescent="0.25">
      <c r="A1071" t="s">
        <v>86</v>
      </c>
    </row>
    <row r="1072" spans="1:11" x14ac:dyDescent="0.25">
      <c r="A1072">
        <v>501</v>
      </c>
      <c r="B1072">
        <v>0</v>
      </c>
      <c r="C1072">
        <v>34.068527054571199</v>
      </c>
      <c r="D1072">
        <v>29.893186673855801</v>
      </c>
      <c r="E1072">
        <v>8</v>
      </c>
      <c r="F1072">
        <v>1.01722196789785</v>
      </c>
      <c r="G1072" t="s">
        <v>83</v>
      </c>
      <c r="H1072" t="s">
        <v>84</v>
      </c>
      <c r="I1072">
        <v>0</v>
      </c>
      <c r="J1072">
        <v>797</v>
      </c>
      <c r="K1072">
        <v>0</v>
      </c>
    </row>
    <row r="1073" spans="1:11" x14ac:dyDescent="0.25">
      <c r="A1073" t="s">
        <v>85</v>
      </c>
    </row>
    <row r="1074" spans="1:11" x14ac:dyDescent="0.25">
      <c r="A1074">
        <v>108.030958787326</v>
      </c>
      <c r="B1074">
        <v>23.923068667509</v>
      </c>
      <c r="C1074">
        <v>2000</v>
      </c>
    </row>
    <row r="1075" spans="1:11" x14ac:dyDescent="0.25">
      <c r="A1075">
        <v>100.28890344536001</v>
      </c>
      <c r="B1075">
        <v>16.181013325542299</v>
      </c>
      <c r="C1075">
        <v>2000</v>
      </c>
    </row>
    <row r="1076" spans="1:11" x14ac:dyDescent="0.25">
      <c r="A1076">
        <v>84.107890119817398</v>
      </c>
      <c r="B1076">
        <v>0</v>
      </c>
      <c r="C1076">
        <v>2000</v>
      </c>
    </row>
    <row r="1077" spans="1:11" x14ac:dyDescent="0.25">
      <c r="A1077">
        <v>83.233858070919794</v>
      </c>
      <c r="B1077">
        <v>0</v>
      </c>
      <c r="C1077">
        <v>2001</v>
      </c>
    </row>
    <row r="1078" spans="1:11" x14ac:dyDescent="0.25">
      <c r="A1078">
        <v>99.711096554640307</v>
      </c>
      <c r="B1078">
        <v>16.477238483720502</v>
      </c>
      <c r="C1078">
        <v>2001</v>
      </c>
    </row>
    <row r="1079" spans="1:11" x14ac:dyDescent="0.25">
      <c r="A1079">
        <v>107.49096241405999</v>
      </c>
      <c r="B1079">
        <v>24.257104343140199</v>
      </c>
      <c r="C1079">
        <v>2001</v>
      </c>
    </row>
    <row r="1080" spans="1:11" x14ac:dyDescent="0.25">
      <c r="A1080">
        <v>128.68012759682799</v>
      </c>
      <c r="B1080">
        <v>45.446269525907802</v>
      </c>
      <c r="C1080">
        <v>2001</v>
      </c>
    </row>
    <row r="1081" spans="1:11" x14ac:dyDescent="0.25">
      <c r="A1081">
        <v>129.117143621276</v>
      </c>
      <c r="B1081">
        <v>45.009253501459</v>
      </c>
      <c r="C1081">
        <v>2000</v>
      </c>
    </row>
    <row r="1082" spans="1:11" x14ac:dyDescent="0.25">
      <c r="A1082" t="s">
        <v>86</v>
      </c>
    </row>
    <row r="1083" spans="1:11" x14ac:dyDescent="0.25">
      <c r="A1083">
        <v>673</v>
      </c>
      <c r="B1083">
        <v>0</v>
      </c>
      <c r="C1083">
        <v>12.022973415570601</v>
      </c>
      <c r="D1083">
        <v>51.908631914504397</v>
      </c>
      <c r="E1083">
        <v>10</v>
      </c>
      <c r="F1083">
        <v>1.01722196789785</v>
      </c>
      <c r="G1083" t="s">
        <v>84</v>
      </c>
      <c r="H1083" t="s">
        <v>84</v>
      </c>
      <c r="I1083">
        <v>759</v>
      </c>
      <c r="J1083">
        <v>787</v>
      </c>
      <c r="K1083">
        <v>0</v>
      </c>
    </row>
    <row r="1084" spans="1:11" x14ac:dyDescent="0.25">
      <c r="A1084" t="s">
        <v>85</v>
      </c>
    </row>
    <row r="1085" spans="1:11" x14ac:dyDescent="0.25">
      <c r="A1085">
        <v>53.398265322385697</v>
      </c>
      <c r="B1085">
        <v>44.561352085587998</v>
      </c>
      <c r="C1085">
        <v>2000</v>
      </c>
    </row>
    <row r="1086" spans="1:11" x14ac:dyDescent="0.25">
      <c r="A1086">
        <v>50.218508012224397</v>
      </c>
      <c r="B1086">
        <v>41.381594775426798</v>
      </c>
      <c r="C1086">
        <v>2000</v>
      </c>
    </row>
    <row r="1087" spans="1:11" x14ac:dyDescent="0.25">
      <c r="A1087">
        <v>44.8967392902101</v>
      </c>
      <c r="B1087">
        <v>36.0598260534125</v>
      </c>
      <c r="C1087">
        <v>2000</v>
      </c>
    </row>
    <row r="1088" spans="1:11" x14ac:dyDescent="0.25">
      <c r="A1088">
        <v>44.459723265761298</v>
      </c>
      <c r="B1088">
        <v>36.496842077861302</v>
      </c>
      <c r="C1088">
        <v>2001</v>
      </c>
    </row>
    <row r="1089" spans="1:11" x14ac:dyDescent="0.25">
      <c r="A1089">
        <v>49.781491987775603</v>
      </c>
      <c r="B1089">
        <v>41.8186107998756</v>
      </c>
      <c r="C1089">
        <v>2001</v>
      </c>
    </row>
    <row r="1090" spans="1:11" x14ac:dyDescent="0.25">
      <c r="A1090">
        <v>52.961249297936803</v>
      </c>
      <c r="B1090">
        <v>44.9983681100369</v>
      </c>
      <c r="C1090">
        <v>2001</v>
      </c>
    </row>
    <row r="1091" spans="1:11" x14ac:dyDescent="0.25">
      <c r="A1091">
        <v>58.1813892001244</v>
      </c>
      <c r="B1091">
        <v>50.218508012224397</v>
      </c>
      <c r="C1091">
        <v>2001</v>
      </c>
    </row>
    <row r="1092" spans="1:11" x14ac:dyDescent="0.25">
      <c r="A1092">
        <v>89.666194926799307</v>
      </c>
      <c r="B1092">
        <v>81.703313738899297</v>
      </c>
      <c r="C1092">
        <v>2001</v>
      </c>
    </row>
    <row r="1093" spans="1:11" x14ac:dyDescent="0.25">
      <c r="A1093">
        <v>90.103210951248201</v>
      </c>
      <c r="B1093">
        <v>81.266297714450502</v>
      </c>
      <c r="C1093">
        <v>2000</v>
      </c>
    </row>
    <row r="1094" spans="1:11" x14ac:dyDescent="0.25">
      <c r="A1094">
        <v>58.618405224573202</v>
      </c>
      <c r="B1094">
        <v>49.781491987775603</v>
      </c>
      <c r="C1094">
        <v>2000</v>
      </c>
    </row>
    <row r="1095" spans="1:11" x14ac:dyDescent="0.25">
      <c r="A1095" t="s">
        <v>86</v>
      </c>
    </row>
    <row r="1096" spans="1:11" x14ac:dyDescent="0.25">
      <c r="A1096">
        <v>596</v>
      </c>
      <c r="B1096">
        <v>0</v>
      </c>
      <c r="C1096">
        <v>18.478692664187399</v>
      </c>
      <c r="D1096">
        <v>45.123686451449501</v>
      </c>
      <c r="E1096">
        <v>8</v>
      </c>
      <c r="F1096">
        <v>1.01722196789785</v>
      </c>
      <c r="G1096" t="s">
        <v>84</v>
      </c>
      <c r="H1096" t="s">
        <v>83</v>
      </c>
      <c r="I1096">
        <v>345</v>
      </c>
      <c r="J1096">
        <v>0</v>
      </c>
      <c r="K1096">
        <v>0</v>
      </c>
    </row>
    <row r="1097" spans="1:11" x14ac:dyDescent="0.25">
      <c r="A1097" t="s">
        <v>85</v>
      </c>
    </row>
    <row r="1098" spans="1:11" x14ac:dyDescent="0.25">
      <c r="A1098">
        <v>117.915709948111</v>
      </c>
      <c r="B1098">
        <v>88.967485443181999</v>
      </c>
      <c r="C1098">
        <v>2000</v>
      </c>
    </row>
    <row r="1099" spans="1:11" x14ac:dyDescent="0.25">
      <c r="A1099">
        <v>104.80781841551099</v>
      </c>
      <c r="B1099">
        <v>75.859593910582305</v>
      </c>
      <c r="C1099">
        <v>2000</v>
      </c>
    </row>
    <row r="1100" spans="1:11" x14ac:dyDescent="0.25">
      <c r="A1100">
        <v>105.24483443996</v>
      </c>
      <c r="B1100">
        <v>75.422577886133496</v>
      </c>
      <c r="C1100">
        <v>2001</v>
      </c>
    </row>
    <row r="1101" spans="1:11" x14ac:dyDescent="0.25">
      <c r="A1101">
        <v>118.26976068797801</v>
      </c>
      <c r="B1101">
        <v>88.447504134151899</v>
      </c>
      <c r="C1101">
        <v>2001</v>
      </c>
    </row>
    <row r="1102" spans="1:11" x14ac:dyDescent="0.25">
      <c r="A1102">
        <v>129.526414965962</v>
      </c>
      <c r="B1102">
        <v>99.704158412135101</v>
      </c>
      <c r="C1102">
        <v>2001</v>
      </c>
    </row>
    <row r="1103" spans="1:11" x14ac:dyDescent="0.25">
      <c r="A1103">
        <v>150</v>
      </c>
      <c r="B1103">
        <v>120.17774344617401</v>
      </c>
      <c r="C1103">
        <v>2001</v>
      </c>
    </row>
    <row r="1104" spans="1:11" x14ac:dyDescent="0.25">
      <c r="A1104">
        <v>150</v>
      </c>
      <c r="B1104">
        <v>121.051775495071</v>
      </c>
      <c r="C1104">
        <v>2000</v>
      </c>
    </row>
    <row r="1105" spans="1:11" x14ac:dyDescent="0.25">
      <c r="A1105">
        <v>129.24406609279399</v>
      </c>
      <c r="B1105">
        <v>100.295841587865</v>
      </c>
      <c r="C1105">
        <v>2000</v>
      </c>
    </row>
    <row r="1106" spans="1:11" x14ac:dyDescent="0.25">
      <c r="A1106" t="s">
        <v>86</v>
      </c>
    </row>
    <row r="1107" spans="1:11" x14ac:dyDescent="0.25">
      <c r="A1107">
        <v>787</v>
      </c>
      <c r="B1107">
        <v>0</v>
      </c>
      <c r="C1107">
        <v>48.959137252825101</v>
      </c>
      <c r="D1107">
        <v>14.6023006150392</v>
      </c>
      <c r="E1107">
        <v>10</v>
      </c>
      <c r="F1107">
        <v>1.01722196789785</v>
      </c>
      <c r="G1107" t="s">
        <v>84</v>
      </c>
      <c r="H1107" t="s">
        <v>84</v>
      </c>
      <c r="I1107">
        <v>673</v>
      </c>
      <c r="J1107">
        <v>264</v>
      </c>
      <c r="K1107">
        <v>9.6564847345998198E-2</v>
      </c>
    </row>
    <row r="1108" spans="1:11" x14ac:dyDescent="0.25">
      <c r="A1108" t="s">
        <v>85</v>
      </c>
    </row>
    <row r="1109" spans="1:11" x14ac:dyDescent="0.25">
      <c r="A1109">
        <v>124.742613165981</v>
      </c>
      <c r="B1109">
        <v>115.86557140474901</v>
      </c>
      <c r="C1109">
        <v>2000</v>
      </c>
    </row>
    <row r="1110" spans="1:11" x14ac:dyDescent="0.25">
      <c r="A1110">
        <v>108.65853374900701</v>
      </c>
      <c r="B1110">
        <v>99.781491987775595</v>
      </c>
      <c r="C1110">
        <v>2000</v>
      </c>
    </row>
    <row r="1111" spans="1:11" x14ac:dyDescent="0.25">
      <c r="A1111">
        <v>100.21850801222401</v>
      </c>
      <c r="B1111">
        <v>91.341466250992895</v>
      </c>
      <c r="C1111">
        <v>2000</v>
      </c>
    </row>
    <row r="1112" spans="1:11" x14ac:dyDescent="0.25">
      <c r="A1112">
        <v>90.123275213465107</v>
      </c>
      <c r="B1112">
        <v>81.246233452233596</v>
      </c>
      <c r="C1112">
        <v>2000</v>
      </c>
    </row>
    <row r="1113" spans="1:11" x14ac:dyDescent="0.25">
      <c r="A1113">
        <v>89.686259189016297</v>
      </c>
      <c r="B1113">
        <v>81.683249476682406</v>
      </c>
      <c r="C1113">
        <v>2001</v>
      </c>
    </row>
    <row r="1114" spans="1:11" x14ac:dyDescent="0.25">
      <c r="A1114">
        <v>99.781491987775595</v>
      </c>
      <c r="B1114">
        <v>91.778482275441704</v>
      </c>
      <c r="C1114">
        <v>2001</v>
      </c>
    </row>
    <row r="1115" spans="1:11" x14ac:dyDescent="0.25">
      <c r="A1115">
        <v>108.221517724558</v>
      </c>
      <c r="B1115">
        <v>100.21850801222401</v>
      </c>
      <c r="C1115">
        <v>2001</v>
      </c>
    </row>
    <row r="1116" spans="1:11" x14ac:dyDescent="0.25">
      <c r="A1116">
        <v>124.305597141532</v>
      </c>
      <c r="B1116">
        <v>116.302587429198</v>
      </c>
      <c r="C1116">
        <v>2001</v>
      </c>
    </row>
    <row r="1117" spans="1:11" x14ac:dyDescent="0.25">
      <c r="A1117">
        <v>134.630982927351</v>
      </c>
      <c r="B1117">
        <v>126.62797321501699</v>
      </c>
      <c r="C1117">
        <v>2001</v>
      </c>
    </row>
    <row r="1118" spans="1:11" x14ac:dyDescent="0.25">
      <c r="A1118">
        <v>135.06799895179901</v>
      </c>
      <c r="B1118">
        <v>126.190957190568</v>
      </c>
      <c r="C1118">
        <v>2000</v>
      </c>
    </row>
    <row r="1119" spans="1:11" x14ac:dyDescent="0.25">
      <c r="A1119" t="s">
        <v>86</v>
      </c>
    </row>
    <row r="1120" spans="1:11" x14ac:dyDescent="0.25">
      <c r="A1120">
        <v>30</v>
      </c>
      <c r="B1120">
        <v>0</v>
      </c>
      <c r="C1120">
        <v>1.7197395431687501</v>
      </c>
      <c r="D1120">
        <v>61.754366506776798</v>
      </c>
      <c r="E1120">
        <v>8</v>
      </c>
      <c r="F1120">
        <v>1.01722196789785</v>
      </c>
      <c r="G1120" t="s">
        <v>83</v>
      </c>
      <c r="H1120" t="s">
        <v>84</v>
      </c>
      <c r="I1120">
        <v>0</v>
      </c>
      <c r="J1120">
        <v>736</v>
      </c>
      <c r="K1120">
        <v>0</v>
      </c>
    </row>
    <row r="1121" spans="1:11" x14ac:dyDescent="0.25">
      <c r="A1121" t="s">
        <v>85</v>
      </c>
    </row>
    <row r="1122" spans="1:11" x14ac:dyDescent="0.25">
      <c r="A1122">
        <v>39.220314997134999</v>
      </c>
      <c r="B1122">
        <v>1.23898219492103</v>
      </c>
      <c r="C1122">
        <v>2000</v>
      </c>
    </row>
    <row r="1123" spans="1:11" x14ac:dyDescent="0.25">
      <c r="A1123">
        <v>37.981332802213998</v>
      </c>
      <c r="B1123">
        <v>0</v>
      </c>
      <c r="C1123">
        <v>2000</v>
      </c>
    </row>
    <row r="1124" spans="1:11" x14ac:dyDescent="0.25">
      <c r="A1124">
        <v>38.855364851111602</v>
      </c>
      <c r="B1124">
        <v>0</v>
      </c>
      <c r="C1124">
        <v>2001</v>
      </c>
    </row>
    <row r="1125" spans="1:11" x14ac:dyDescent="0.25">
      <c r="A1125">
        <v>40.048461641889098</v>
      </c>
      <c r="B1125">
        <v>1.1930967907775201</v>
      </c>
      <c r="C1125">
        <v>2001</v>
      </c>
    </row>
    <row r="1126" spans="1:11" x14ac:dyDescent="0.25">
      <c r="A1126">
        <v>50.218508012224397</v>
      </c>
      <c r="B1126">
        <v>11.3631431611128</v>
      </c>
      <c r="C1126">
        <v>2001</v>
      </c>
    </row>
    <row r="1127" spans="1:11" x14ac:dyDescent="0.25">
      <c r="A1127">
        <v>83.519827656557794</v>
      </c>
      <c r="B1127">
        <v>44.664462805446099</v>
      </c>
      <c r="C1127">
        <v>2001</v>
      </c>
    </row>
    <row r="1128" spans="1:11" x14ac:dyDescent="0.25">
      <c r="A1128">
        <v>83.082811632108999</v>
      </c>
      <c r="B1128">
        <v>45.101478829895001</v>
      </c>
      <c r="C1128">
        <v>2000</v>
      </c>
    </row>
    <row r="1129" spans="1:11" x14ac:dyDescent="0.25">
      <c r="A1129">
        <v>49.781491987775603</v>
      </c>
      <c r="B1129">
        <v>11.800159185561601</v>
      </c>
      <c r="C1129">
        <v>2000</v>
      </c>
    </row>
    <row r="1130" spans="1:11" x14ac:dyDescent="0.25">
      <c r="A1130" t="s">
        <v>86</v>
      </c>
    </row>
    <row r="1131" spans="1:11" x14ac:dyDescent="0.25">
      <c r="A1131">
        <v>119</v>
      </c>
      <c r="B1131">
        <v>0</v>
      </c>
      <c r="C1131">
        <v>41.576653513818599</v>
      </c>
      <c r="D1131">
        <v>21.482739696157601</v>
      </c>
      <c r="E1131">
        <v>8</v>
      </c>
      <c r="F1131">
        <v>1.01722196789785</v>
      </c>
      <c r="G1131" t="s">
        <v>83</v>
      </c>
      <c r="H1131" t="s">
        <v>84</v>
      </c>
      <c r="I1131">
        <v>0</v>
      </c>
      <c r="J1131">
        <v>427</v>
      </c>
      <c r="K1131">
        <v>0</v>
      </c>
    </row>
    <row r="1132" spans="1:11" x14ac:dyDescent="0.25">
      <c r="A1132" t="s">
        <v>85</v>
      </c>
    </row>
    <row r="1133" spans="1:11" x14ac:dyDescent="0.25">
      <c r="A1133">
        <v>29.2532182777245</v>
      </c>
      <c r="B1133">
        <v>77.6466293806035</v>
      </c>
      <c r="C1133">
        <v>2000</v>
      </c>
    </row>
    <row r="1134" spans="1:11" x14ac:dyDescent="0.25">
      <c r="A1134">
        <v>2.0284159008771701</v>
      </c>
      <c r="B1134">
        <v>50.421827003756199</v>
      </c>
      <c r="C1134">
        <v>2000</v>
      </c>
    </row>
    <row r="1135" spans="1:11" x14ac:dyDescent="0.25">
      <c r="A1135">
        <v>0</v>
      </c>
      <c r="B1135">
        <v>48.393411102879</v>
      </c>
      <c r="C1135">
        <v>2000</v>
      </c>
    </row>
    <row r="1136" spans="1:11" x14ac:dyDescent="0.25">
      <c r="A1136">
        <v>0</v>
      </c>
      <c r="B1136">
        <v>47.519379053981297</v>
      </c>
      <c r="C1136">
        <v>2001</v>
      </c>
    </row>
    <row r="1137" spans="1:11" x14ac:dyDescent="0.25">
      <c r="A1137">
        <v>2.0587939422625099</v>
      </c>
      <c r="B1137">
        <v>49.5781729962439</v>
      </c>
      <c r="C1137">
        <v>2001</v>
      </c>
    </row>
    <row r="1138" spans="1:11" x14ac:dyDescent="0.25">
      <c r="A1138">
        <v>29.545048999604798</v>
      </c>
      <c r="B1138">
        <v>77.064428053586099</v>
      </c>
      <c r="C1138">
        <v>2001</v>
      </c>
    </row>
    <row r="1139" spans="1:11" x14ac:dyDescent="0.25">
      <c r="A1139">
        <v>44.808232568507599</v>
      </c>
      <c r="B1139">
        <v>92.327611622488902</v>
      </c>
      <c r="C1139">
        <v>2001</v>
      </c>
    </row>
    <row r="1140" spans="1:11" x14ac:dyDescent="0.25">
      <c r="A1140">
        <v>44.371216544058697</v>
      </c>
      <c r="B1140">
        <v>92.764627646937697</v>
      </c>
      <c r="C1140">
        <v>2000</v>
      </c>
    </row>
    <row r="1141" spans="1:11" x14ac:dyDescent="0.25">
      <c r="A1141" t="s">
        <v>86</v>
      </c>
    </row>
    <row r="1142" spans="1:11" x14ac:dyDescent="0.25">
      <c r="A1142">
        <v>588</v>
      </c>
      <c r="B1142">
        <v>0</v>
      </c>
      <c r="C1142">
        <v>26.000226488827199</v>
      </c>
      <c r="D1142">
        <v>36.785178798259402</v>
      </c>
      <c r="E1142">
        <v>8</v>
      </c>
      <c r="F1142">
        <v>1.01722196789785</v>
      </c>
      <c r="G1142" t="s">
        <v>84</v>
      </c>
      <c r="H1142" t="s">
        <v>83</v>
      </c>
      <c r="I1142">
        <v>780</v>
      </c>
      <c r="J1142">
        <v>0</v>
      </c>
      <c r="K1142">
        <v>0</v>
      </c>
    </row>
    <row r="1143" spans="1:11" x14ac:dyDescent="0.25">
      <c r="A1143" t="s">
        <v>85</v>
      </c>
    </row>
    <row r="1144" spans="1:11" x14ac:dyDescent="0.25">
      <c r="A1144">
        <v>123.77891430531901</v>
      </c>
      <c r="B1144">
        <v>99.159987493989803</v>
      </c>
      <c r="C1144">
        <v>2000</v>
      </c>
    </row>
    <row r="1145" spans="1:11" x14ac:dyDescent="0.25">
      <c r="A1145">
        <v>105.385506149731</v>
      </c>
      <c r="B1145">
        <v>80.766579338401797</v>
      </c>
      <c r="C1145">
        <v>2000</v>
      </c>
    </row>
    <row r="1146" spans="1:11" x14ac:dyDescent="0.25">
      <c r="A1146">
        <v>105.82252217417999</v>
      </c>
      <c r="B1146">
        <v>80.329563313953003</v>
      </c>
      <c r="C1146">
        <v>2001</v>
      </c>
    </row>
    <row r="1147" spans="1:11" x14ac:dyDescent="0.25">
      <c r="A1147">
        <v>124.19898694386301</v>
      </c>
      <c r="B1147">
        <v>98.706028083636596</v>
      </c>
      <c r="C1147">
        <v>2001</v>
      </c>
    </row>
    <row r="1148" spans="1:11" x14ac:dyDescent="0.25">
      <c r="A1148">
        <v>125.26548749001699</v>
      </c>
      <c r="B1148">
        <v>99.772528629790301</v>
      </c>
      <c r="C1148">
        <v>2001</v>
      </c>
    </row>
    <row r="1149" spans="1:11" x14ac:dyDescent="0.25">
      <c r="A1149">
        <v>150</v>
      </c>
      <c r="B1149">
        <v>124.50704113977299</v>
      </c>
      <c r="C1149">
        <v>2001</v>
      </c>
    </row>
    <row r="1150" spans="1:11" x14ac:dyDescent="0.25">
      <c r="A1150">
        <v>150</v>
      </c>
      <c r="B1150">
        <v>125.381073188671</v>
      </c>
      <c r="C1150">
        <v>2000</v>
      </c>
    </row>
    <row r="1151" spans="1:11" x14ac:dyDescent="0.25">
      <c r="A1151">
        <v>124.846398181539</v>
      </c>
      <c r="B1151">
        <v>100.22747137021</v>
      </c>
      <c r="C1151">
        <v>2000</v>
      </c>
    </row>
    <row r="1152" spans="1:11" x14ac:dyDescent="0.25">
      <c r="A1152" t="s">
        <v>86</v>
      </c>
    </row>
    <row r="1153" spans="1:11" x14ac:dyDescent="0.25">
      <c r="A1153">
        <v>679</v>
      </c>
      <c r="B1153">
        <v>0</v>
      </c>
      <c r="C1153">
        <v>4.9934273457112797</v>
      </c>
      <c r="D1153">
        <v>57.720379060371798</v>
      </c>
      <c r="E1153">
        <v>10</v>
      </c>
      <c r="F1153">
        <v>1.01722196789785</v>
      </c>
      <c r="G1153" t="s">
        <v>84</v>
      </c>
      <c r="H1153" t="s">
        <v>84</v>
      </c>
      <c r="I1153">
        <v>850</v>
      </c>
      <c r="J1153">
        <v>271</v>
      </c>
      <c r="K1153">
        <v>0</v>
      </c>
    </row>
    <row r="1154" spans="1:11" x14ac:dyDescent="0.25">
      <c r="A1154" t="s">
        <v>85</v>
      </c>
    </row>
    <row r="1155" spans="1:11" x14ac:dyDescent="0.25">
      <c r="A1155">
        <v>63.0027808970829</v>
      </c>
      <c r="B1155">
        <v>36.029129705400898</v>
      </c>
      <c r="C1155">
        <v>2000</v>
      </c>
    </row>
    <row r="1156" spans="1:11" x14ac:dyDescent="0.25">
      <c r="A1156">
        <v>59.471894559568099</v>
      </c>
      <c r="B1156">
        <v>32.498243367886097</v>
      </c>
      <c r="C1156">
        <v>2000</v>
      </c>
    </row>
    <row r="1157" spans="1:11" x14ac:dyDescent="0.25">
      <c r="A1157">
        <v>59.908910584017001</v>
      </c>
      <c r="B1157">
        <v>32.061227343437302</v>
      </c>
      <c r="C1157">
        <v>2001</v>
      </c>
    </row>
    <row r="1158" spans="1:11" x14ac:dyDescent="0.25">
      <c r="A1158">
        <v>63.439796921531801</v>
      </c>
      <c r="B1158">
        <v>35.592113680952103</v>
      </c>
      <c r="C1158">
        <v>2001</v>
      </c>
    </row>
    <row r="1159" spans="1:11" x14ac:dyDescent="0.25">
      <c r="A1159">
        <v>77.629175228355294</v>
      </c>
      <c r="B1159">
        <v>49.781491987775603</v>
      </c>
      <c r="C1159">
        <v>2001</v>
      </c>
    </row>
    <row r="1160" spans="1:11" x14ac:dyDescent="0.25">
      <c r="A1160">
        <v>100.21850801222401</v>
      </c>
      <c r="B1160">
        <v>72.370824771644706</v>
      </c>
      <c r="C1160">
        <v>2001</v>
      </c>
    </row>
    <row r="1161" spans="1:11" x14ac:dyDescent="0.25">
      <c r="A1161">
        <v>104.25426836777901</v>
      </c>
      <c r="B1161">
        <v>76.406585127198994</v>
      </c>
      <c r="C1161">
        <v>2001</v>
      </c>
    </row>
    <row r="1162" spans="1:11" x14ac:dyDescent="0.25">
      <c r="A1162">
        <v>103.81725234333</v>
      </c>
      <c r="B1162">
        <v>76.843601151647803</v>
      </c>
      <c r="C1162">
        <v>2000</v>
      </c>
    </row>
    <row r="1163" spans="1:11" x14ac:dyDescent="0.25">
      <c r="A1163">
        <v>99.781491987775595</v>
      </c>
      <c r="B1163">
        <v>72.8078407960936</v>
      </c>
      <c r="C1163">
        <v>2000</v>
      </c>
    </row>
    <row r="1164" spans="1:11" x14ac:dyDescent="0.25">
      <c r="A1164">
        <v>77.1921592039064</v>
      </c>
      <c r="B1164">
        <v>50.218508012224397</v>
      </c>
      <c r="C1164">
        <v>2000</v>
      </c>
    </row>
    <row r="1165" spans="1:11" x14ac:dyDescent="0.25">
      <c r="A1165" t="s">
        <v>86</v>
      </c>
    </row>
    <row r="1166" spans="1:11" x14ac:dyDescent="0.25">
      <c r="A1166">
        <v>662</v>
      </c>
      <c r="B1166">
        <v>0</v>
      </c>
      <c r="C1166">
        <v>0.33818373610278502</v>
      </c>
      <c r="D1166">
        <v>61.456201735801301</v>
      </c>
      <c r="E1166">
        <v>8</v>
      </c>
      <c r="F1166">
        <v>1.01722196789785</v>
      </c>
      <c r="G1166" t="s">
        <v>84</v>
      </c>
      <c r="H1166" t="s">
        <v>84</v>
      </c>
      <c r="I1166">
        <v>751</v>
      </c>
      <c r="J1166">
        <v>280</v>
      </c>
      <c r="K1166">
        <v>0</v>
      </c>
    </row>
    <row r="1167" spans="1:11" x14ac:dyDescent="0.25">
      <c r="A1167" t="s">
        <v>85</v>
      </c>
    </row>
    <row r="1168" spans="1:11" x14ac:dyDescent="0.25">
      <c r="A1168">
        <v>53.794710343603498</v>
      </c>
      <c r="B1168">
        <v>13.708315000738001</v>
      </c>
      <c r="C1168">
        <v>2000</v>
      </c>
    </row>
    <row r="1169" spans="1:11" x14ac:dyDescent="0.25">
      <c r="A1169">
        <v>53.555578330518301</v>
      </c>
      <c r="B1169">
        <v>13.469182987652699</v>
      </c>
      <c r="C1169">
        <v>2000</v>
      </c>
    </row>
    <row r="1170" spans="1:11" x14ac:dyDescent="0.25">
      <c r="A1170">
        <v>53.1185623060694</v>
      </c>
      <c r="B1170">
        <v>13.906199012101499</v>
      </c>
      <c r="C1170">
        <v>2001</v>
      </c>
    </row>
    <row r="1171" spans="1:11" x14ac:dyDescent="0.25">
      <c r="A1171">
        <v>53.357694319154703</v>
      </c>
      <c r="B1171">
        <v>14.145331025186801</v>
      </c>
      <c r="C1171">
        <v>2001</v>
      </c>
    </row>
    <row r="1172" spans="1:11" x14ac:dyDescent="0.25">
      <c r="A1172">
        <v>89.430871306192401</v>
      </c>
      <c r="B1172">
        <v>50.218508012224397</v>
      </c>
      <c r="C1172">
        <v>2001</v>
      </c>
    </row>
    <row r="1173" spans="1:11" x14ac:dyDescent="0.25">
      <c r="A1173">
        <v>96.8137913125083</v>
      </c>
      <c r="B1173">
        <v>57.601428018540403</v>
      </c>
      <c r="C1173">
        <v>2001</v>
      </c>
    </row>
    <row r="1174" spans="1:11" x14ac:dyDescent="0.25">
      <c r="A1174">
        <v>97.250807336957195</v>
      </c>
      <c r="B1174">
        <v>57.164411994091601</v>
      </c>
      <c r="C1174">
        <v>2000</v>
      </c>
    </row>
    <row r="1175" spans="1:11" x14ac:dyDescent="0.25">
      <c r="A1175">
        <v>89.867887330641196</v>
      </c>
      <c r="B1175">
        <v>49.781491987775603</v>
      </c>
      <c r="C1175">
        <v>2000</v>
      </c>
    </row>
    <row r="1176" spans="1:11" x14ac:dyDescent="0.25">
      <c r="A1176" t="s">
        <v>86</v>
      </c>
    </row>
    <row r="1177" spans="1:11" x14ac:dyDescent="0.25">
      <c r="A1177">
        <v>190</v>
      </c>
      <c r="B1177">
        <v>0</v>
      </c>
      <c r="C1177">
        <v>21.2585285318765</v>
      </c>
      <c r="D1177">
        <v>40.534146737313598</v>
      </c>
      <c r="E1177">
        <v>6</v>
      </c>
      <c r="F1177">
        <v>1.01722196789785</v>
      </c>
      <c r="G1177" t="s">
        <v>83</v>
      </c>
      <c r="H1177" t="s">
        <v>83</v>
      </c>
      <c r="I1177">
        <v>0</v>
      </c>
      <c r="J1177">
        <v>0</v>
      </c>
      <c r="K1177">
        <v>0</v>
      </c>
    </row>
    <row r="1178" spans="1:11" x14ac:dyDescent="0.25">
      <c r="A1178" t="s">
        <v>85</v>
      </c>
    </row>
    <row r="1179" spans="1:11" x14ac:dyDescent="0.25">
      <c r="A1179">
        <v>15.1823962666413</v>
      </c>
      <c r="B1179">
        <v>121.05136053168999</v>
      </c>
      <c r="C1179">
        <v>2000</v>
      </c>
    </row>
    <row r="1180" spans="1:11" x14ac:dyDescent="0.25">
      <c r="A1180">
        <v>0</v>
      </c>
      <c r="B1180">
        <v>105.868964265049</v>
      </c>
      <c r="C1180">
        <v>2000</v>
      </c>
    </row>
    <row r="1181" spans="1:11" x14ac:dyDescent="0.25">
      <c r="A1181">
        <v>0</v>
      </c>
      <c r="B1181">
        <v>106.74299631394599</v>
      </c>
      <c r="C1181">
        <v>2001</v>
      </c>
    </row>
    <row r="1182" spans="1:11" x14ac:dyDescent="0.25">
      <c r="A1182">
        <v>14.881703099233899</v>
      </c>
      <c r="B1182">
        <v>121.62469941318</v>
      </c>
      <c r="C1182">
        <v>2001</v>
      </c>
    </row>
    <row r="1183" spans="1:11" x14ac:dyDescent="0.25">
      <c r="A1183">
        <v>43.2570036860538</v>
      </c>
      <c r="B1183">
        <v>150</v>
      </c>
      <c r="C1183">
        <v>2001</v>
      </c>
    </row>
    <row r="1184" spans="1:11" x14ac:dyDescent="0.25">
      <c r="A1184">
        <v>44.131035734951404</v>
      </c>
      <c r="B1184">
        <v>150</v>
      </c>
      <c r="C1184">
        <v>2000</v>
      </c>
    </row>
    <row r="1185" spans="1:11" x14ac:dyDescent="0.25">
      <c r="A1185" t="s">
        <v>86</v>
      </c>
    </row>
    <row r="1186" spans="1:11" x14ac:dyDescent="0.25">
      <c r="A1186">
        <v>116</v>
      </c>
      <c r="B1186">
        <v>0</v>
      </c>
      <c r="C1186">
        <v>19.222105421992701</v>
      </c>
      <c r="D1186">
        <v>42.416520788834603</v>
      </c>
      <c r="E1186">
        <v>8</v>
      </c>
      <c r="F1186">
        <v>1.01722196789785</v>
      </c>
      <c r="G1186" t="s">
        <v>83</v>
      </c>
      <c r="H1186" t="s">
        <v>84</v>
      </c>
      <c r="I1186">
        <v>0</v>
      </c>
      <c r="J1186">
        <v>434</v>
      </c>
      <c r="K1186">
        <v>0</v>
      </c>
    </row>
    <row r="1187" spans="1:11" x14ac:dyDescent="0.25">
      <c r="A1187" t="s">
        <v>85</v>
      </c>
    </row>
    <row r="1188" spans="1:11" x14ac:dyDescent="0.25">
      <c r="A1188">
        <v>13.785538864316001</v>
      </c>
      <c r="B1188">
        <v>51.400058698663898</v>
      </c>
      <c r="C1188">
        <v>2000</v>
      </c>
    </row>
    <row r="1189" spans="1:11" x14ac:dyDescent="0.25">
      <c r="A1189">
        <v>12.140549159740701</v>
      </c>
      <c r="B1189">
        <v>49.755068994088603</v>
      </c>
      <c r="C1189">
        <v>2000</v>
      </c>
    </row>
    <row r="1190" spans="1:11" x14ac:dyDescent="0.25">
      <c r="A1190">
        <v>0</v>
      </c>
      <c r="B1190">
        <v>37.614519834347902</v>
      </c>
      <c r="C1190">
        <v>2000</v>
      </c>
    </row>
    <row r="1191" spans="1:11" x14ac:dyDescent="0.25">
      <c r="A1191">
        <v>0</v>
      </c>
      <c r="B1191">
        <v>38.488551883245499</v>
      </c>
      <c r="C1191">
        <v>2001</v>
      </c>
    </row>
    <row r="1192" spans="1:11" x14ac:dyDescent="0.25">
      <c r="A1192">
        <v>11.7563791226659</v>
      </c>
      <c r="B1192">
        <v>50.244931005911397</v>
      </c>
      <c r="C1192">
        <v>2001</v>
      </c>
    </row>
    <row r="1193" spans="1:11" x14ac:dyDescent="0.25">
      <c r="A1193">
        <v>13.398623320831501</v>
      </c>
      <c r="B1193">
        <v>51.887175204077003</v>
      </c>
      <c r="C1193">
        <v>2001</v>
      </c>
    </row>
    <row r="1194" spans="1:11" x14ac:dyDescent="0.25">
      <c r="A1194">
        <v>43.366582564474399</v>
      </c>
      <c r="B1194">
        <v>81.855134447719905</v>
      </c>
      <c r="C1194">
        <v>2001</v>
      </c>
    </row>
    <row r="1195" spans="1:11" x14ac:dyDescent="0.25">
      <c r="A1195">
        <v>43.8035985889233</v>
      </c>
      <c r="B1195">
        <v>81.418118423271096</v>
      </c>
      <c r="C1195">
        <v>2000</v>
      </c>
    </row>
    <row r="1196" spans="1:11" x14ac:dyDescent="0.25">
      <c r="A1196" t="s">
        <v>86</v>
      </c>
    </row>
    <row r="1197" spans="1:11" x14ac:dyDescent="0.25">
      <c r="A1197">
        <v>721</v>
      </c>
      <c r="B1197">
        <v>0</v>
      </c>
      <c r="C1197">
        <v>61.443766370711003</v>
      </c>
      <c r="D1197">
        <v>0.14600231386526699</v>
      </c>
      <c r="E1197">
        <v>10</v>
      </c>
      <c r="F1197">
        <v>1.01722196789785</v>
      </c>
      <c r="G1197" t="s">
        <v>84</v>
      </c>
      <c r="H1197" t="s">
        <v>84</v>
      </c>
      <c r="I1197">
        <v>816</v>
      </c>
      <c r="J1197">
        <v>724</v>
      </c>
      <c r="K1197">
        <v>9.4312854387899395E-2</v>
      </c>
    </row>
    <row r="1198" spans="1:11" x14ac:dyDescent="0.25">
      <c r="A1198" t="s">
        <v>85</v>
      </c>
    </row>
    <row r="1199" spans="1:11" x14ac:dyDescent="0.25">
      <c r="A1199">
        <v>90.586344431423001</v>
      </c>
      <c r="B1199">
        <v>83.593460487016998</v>
      </c>
      <c r="C1199">
        <v>2000</v>
      </c>
    </row>
    <row r="1200" spans="1:11" x14ac:dyDescent="0.25">
      <c r="A1200">
        <v>56.774375932181599</v>
      </c>
      <c r="B1200">
        <v>49.781491987775603</v>
      </c>
      <c r="C1200">
        <v>2000</v>
      </c>
    </row>
    <row r="1201" spans="1:11" x14ac:dyDescent="0.25">
      <c r="A1201">
        <v>50.218508012224397</v>
      </c>
      <c r="B1201">
        <v>43.225624067818401</v>
      </c>
      <c r="C1201">
        <v>2000</v>
      </c>
    </row>
    <row r="1202" spans="1:11" x14ac:dyDescent="0.25">
      <c r="A1202">
        <v>47.139040569051303</v>
      </c>
      <c r="B1202">
        <v>40.1461566246453</v>
      </c>
      <c r="C1202">
        <v>2000</v>
      </c>
    </row>
    <row r="1203" spans="1:11" x14ac:dyDescent="0.25">
      <c r="A1203">
        <v>46.702024544602502</v>
      </c>
      <c r="B1203">
        <v>40.583172649094102</v>
      </c>
      <c r="C1203">
        <v>2001</v>
      </c>
    </row>
    <row r="1204" spans="1:11" x14ac:dyDescent="0.25">
      <c r="A1204">
        <v>49.781491987775603</v>
      </c>
      <c r="B1204">
        <v>43.662640092267203</v>
      </c>
      <c r="C1204">
        <v>2001</v>
      </c>
    </row>
    <row r="1205" spans="1:11" x14ac:dyDescent="0.25">
      <c r="A1205">
        <v>56.337359907732797</v>
      </c>
      <c r="B1205">
        <v>50.218508012224397</v>
      </c>
      <c r="C1205">
        <v>2001</v>
      </c>
    </row>
    <row r="1206" spans="1:11" x14ac:dyDescent="0.25">
      <c r="A1206">
        <v>90.149328406974206</v>
      </c>
      <c r="B1206">
        <v>84.030476511465807</v>
      </c>
      <c r="C1206">
        <v>2001</v>
      </c>
    </row>
    <row r="1207" spans="1:11" x14ac:dyDescent="0.25">
      <c r="A1207">
        <v>90.252567633177193</v>
      </c>
      <c r="B1207">
        <v>84.133715737668794</v>
      </c>
      <c r="C1207">
        <v>2001</v>
      </c>
    </row>
    <row r="1208" spans="1:11" x14ac:dyDescent="0.25">
      <c r="A1208">
        <v>90.689583657626002</v>
      </c>
      <c r="B1208">
        <v>83.696699713219999</v>
      </c>
      <c r="C1208">
        <v>2000</v>
      </c>
    </row>
    <row r="1209" spans="1:11" x14ac:dyDescent="0.25">
      <c r="A1209" t="s">
        <v>86</v>
      </c>
    </row>
    <row r="1210" spans="1:11" x14ac:dyDescent="0.25">
      <c r="A1210">
        <v>189</v>
      </c>
      <c r="B1210">
        <v>0</v>
      </c>
      <c r="C1210">
        <v>23.100822824988199</v>
      </c>
      <c r="D1210">
        <v>38.4174745131753</v>
      </c>
      <c r="E1210">
        <v>8</v>
      </c>
      <c r="F1210">
        <v>1.01722196789785</v>
      </c>
      <c r="G1210" t="s">
        <v>84</v>
      </c>
      <c r="H1210" t="s">
        <v>83</v>
      </c>
      <c r="I1210">
        <v>820</v>
      </c>
      <c r="J1210">
        <v>0</v>
      </c>
      <c r="K1210">
        <v>0</v>
      </c>
    </row>
    <row r="1211" spans="1:11" x14ac:dyDescent="0.25">
      <c r="A1211" t="s">
        <v>85</v>
      </c>
    </row>
    <row r="1212" spans="1:11" x14ac:dyDescent="0.25">
      <c r="A1212">
        <v>31.310001243612199</v>
      </c>
      <c r="B1212">
        <v>122.68685021666499</v>
      </c>
      <c r="C1212">
        <v>2000</v>
      </c>
    </row>
    <row r="1213" spans="1:11" x14ac:dyDescent="0.25">
      <c r="A1213">
        <v>14.9046377998572</v>
      </c>
      <c r="B1213">
        <v>106.28148677291</v>
      </c>
      <c r="C1213">
        <v>2000</v>
      </c>
    </row>
    <row r="1214" spans="1:11" x14ac:dyDescent="0.25">
      <c r="A1214">
        <v>14.4676217754084</v>
      </c>
      <c r="B1214">
        <v>106.71850279735899</v>
      </c>
      <c r="C1214">
        <v>2001</v>
      </c>
    </row>
    <row r="1215" spans="1:11" x14ac:dyDescent="0.25">
      <c r="A1215">
        <v>30.731755272729799</v>
      </c>
      <c r="B1215">
        <v>122.98263629468001</v>
      </c>
      <c r="C1215">
        <v>2001</v>
      </c>
    </row>
    <row r="1216" spans="1:11" x14ac:dyDescent="0.25">
      <c r="A1216">
        <v>49.6288304390701</v>
      </c>
      <c r="B1216">
        <v>141.87971146102001</v>
      </c>
      <c r="C1216">
        <v>2001</v>
      </c>
    </row>
    <row r="1217" spans="1:11" x14ac:dyDescent="0.25">
      <c r="A1217">
        <v>57.7491189780498</v>
      </c>
      <c r="B1217">
        <v>150</v>
      </c>
      <c r="C1217">
        <v>2001</v>
      </c>
    </row>
    <row r="1218" spans="1:11" x14ac:dyDescent="0.25">
      <c r="A1218">
        <v>58.623151026947397</v>
      </c>
      <c r="B1218">
        <v>150</v>
      </c>
      <c r="C1218">
        <v>2000</v>
      </c>
    </row>
    <row r="1219" spans="1:11" x14ac:dyDescent="0.25">
      <c r="A1219">
        <v>50.3711695609299</v>
      </c>
      <c r="B1219">
        <v>141.74801853398299</v>
      </c>
      <c r="C1219">
        <v>2000</v>
      </c>
    </row>
    <row r="1220" spans="1:11" x14ac:dyDescent="0.25">
      <c r="A1220" t="s">
        <v>86</v>
      </c>
    </row>
    <row r="1221" spans="1:11" x14ac:dyDescent="0.25">
      <c r="A1221">
        <v>724</v>
      </c>
      <c r="B1221">
        <v>0</v>
      </c>
      <c r="C1221">
        <v>0</v>
      </c>
      <c r="D1221">
        <v>61.428256016542598</v>
      </c>
      <c r="E1221">
        <v>8</v>
      </c>
      <c r="F1221">
        <v>1.01722196789785</v>
      </c>
      <c r="G1221" t="s">
        <v>84</v>
      </c>
      <c r="H1221" t="s">
        <v>84</v>
      </c>
      <c r="I1221">
        <v>721</v>
      </c>
      <c r="J1221">
        <v>264</v>
      </c>
      <c r="K1221">
        <v>9.5418080883047596E-2</v>
      </c>
    </row>
    <row r="1222" spans="1:11" x14ac:dyDescent="0.25">
      <c r="A1222" t="s">
        <v>85</v>
      </c>
    </row>
    <row r="1223" spans="1:11" x14ac:dyDescent="0.25">
      <c r="A1223">
        <v>90.661100569493499</v>
      </c>
      <c r="B1223">
        <v>83.725182801352602</v>
      </c>
      <c r="C1223">
        <v>2000</v>
      </c>
    </row>
    <row r="1224" spans="1:11" x14ac:dyDescent="0.25">
      <c r="A1224">
        <v>91.098116593942294</v>
      </c>
      <c r="B1224">
        <v>83.288166776903793</v>
      </c>
      <c r="C1224">
        <v>2001</v>
      </c>
    </row>
    <row r="1225" spans="1:11" x14ac:dyDescent="0.25">
      <c r="A1225">
        <v>100.21850801222401</v>
      </c>
      <c r="B1225">
        <v>92.408558195185904</v>
      </c>
      <c r="C1225">
        <v>2001</v>
      </c>
    </row>
    <row r="1226" spans="1:11" x14ac:dyDescent="0.25">
      <c r="A1226">
        <v>107.591441804814</v>
      </c>
      <c r="B1226">
        <v>99.781491987775595</v>
      </c>
      <c r="C1226">
        <v>2001</v>
      </c>
    </row>
    <row r="1227" spans="1:11" x14ac:dyDescent="0.25">
      <c r="A1227">
        <v>134.53445297970299</v>
      </c>
      <c r="B1227">
        <v>126.72450316266401</v>
      </c>
      <c r="C1227">
        <v>2001</v>
      </c>
    </row>
    <row r="1228" spans="1:11" x14ac:dyDescent="0.25">
      <c r="A1228">
        <v>134.09743695525401</v>
      </c>
      <c r="B1228">
        <v>127.161519187113</v>
      </c>
      <c r="C1228">
        <v>2000</v>
      </c>
    </row>
    <row r="1229" spans="1:11" x14ac:dyDescent="0.25">
      <c r="A1229">
        <v>107.154425780365</v>
      </c>
      <c r="B1229">
        <v>100.21850801222401</v>
      </c>
      <c r="C1229">
        <v>2000</v>
      </c>
    </row>
    <row r="1230" spans="1:11" x14ac:dyDescent="0.25">
      <c r="A1230">
        <v>99.781491987775595</v>
      </c>
      <c r="B1230">
        <v>92.845574219634699</v>
      </c>
      <c r="C1230">
        <v>2000</v>
      </c>
    </row>
    <row r="1231" spans="1:11" x14ac:dyDescent="0.25">
      <c r="A1231" t="s">
        <v>86</v>
      </c>
    </row>
    <row r="1232" spans="1:11" x14ac:dyDescent="0.25">
      <c r="A1232">
        <v>832</v>
      </c>
      <c r="B1232">
        <v>0</v>
      </c>
      <c r="C1232">
        <v>31.407964913133799</v>
      </c>
      <c r="D1232">
        <v>28.128924572272599</v>
      </c>
      <c r="E1232">
        <v>8</v>
      </c>
      <c r="F1232">
        <v>1.01722196789785</v>
      </c>
      <c r="G1232" t="s">
        <v>84</v>
      </c>
      <c r="H1232" t="s">
        <v>83</v>
      </c>
      <c r="I1232">
        <v>781</v>
      </c>
      <c r="J1232">
        <v>0</v>
      </c>
      <c r="K1232">
        <v>9.8647374787755204E-2</v>
      </c>
    </row>
    <row r="1233" spans="1:11" x14ac:dyDescent="0.25">
      <c r="A1233" t="s">
        <v>85</v>
      </c>
    </row>
    <row r="1234" spans="1:11" x14ac:dyDescent="0.25">
      <c r="A1234">
        <v>129.937981013122</v>
      </c>
      <c r="B1234">
        <v>45.015923171710398</v>
      </c>
      <c r="C1234">
        <v>2000</v>
      </c>
    </row>
    <row r="1235" spans="1:11" x14ac:dyDescent="0.25">
      <c r="A1235">
        <v>107.682553701891</v>
      </c>
      <c r="B1235">
        <v>22.760495860479299</v>
      </c>
      <c r="C1235">
        <v>2000</v>
      </c>
    </row>
    <row r="1236" spans="1:11" x14ac:dyDescent="0.25">
      <c r="A1236">
        <v>108.11956972634</v>
      </c>
      <c r="B1236">
        <v>22.323479836030401</v>
      </c>
      <c r="C1236">
        <v>2001</v>
      </c>
    </row>
    <row r="1237" spans="1:11" x14ac:dyDescent="0.25">
      <c r="A1237">
        <v>130.2817123618</v>
      </c>
      <c r="B1237">
        <v>44.485622471491403</v>
      </c>
      <c r="C1237">
        <v>2001</v>
      </c>
    </row>
    <row r="1238" spans="1:11" x14ac:dyDescent="0.25">
      <c r="A1238">
        <v>135.51991524382399</v>
      </c>
      <c r="B1238">
        <v>49.723825353514698</v>
      </c>
      <c r="C1238">
        <v>2001</v>
      </c>
    </row>
    <row r="1239" spans="1:11" x14ac:dyDescent="0.25">
      <c r="A1239">
        <v>150</v>
      </c>
      <c r="B1239">
        <v>64.203910109690895</v>
      </c>
      <c r="C1239">
        <v>2001</v>
      </c>
    </row>
    <row r="1240" spans="1:11" x14ac:dyDescent="0.25">
      <c r="A1240">
        <v>150</v>
      </c>
      <c r="B1240">
        <v>65.077942158588598</v>
      </c>
      <c r="C1240">
        <v>2000</v>
      </c>
    </row>
    <row r="1241" spans="1:11" x14ac:dyDescent="0.25">
      <c r="A1241">
        <v>135.198232487897</v>
      </c>
      <c r="B1241">
        <v>50.276174646485202</v>
      </c>
      <c r="C1241">
        <v>2000</v>
      </c>
    </row>
    <row r="1242" spans="1:11" x14ac:dyDescent="0.25">
      <c r="A1242" t="s">
        <v>86</v>
      </c>
    </row>
    <row r="1243" spans="1:11" x14ac:dyDescent="0.25">
      <c r="A1243">
        <v>108</v>
      </c>
      <c r="B1243">
        <v>0</v>
      </c>
      <c r="C1243">
        <v>6.2461538478452603</v>
      </c>
      <c r="D1243">
        <v>53.184555263157897</v>
      </c>
      <c r="E1243">
        <v>8</v>
      </c>
      <c r="F1243">
        <v>1.01722196789785</v>
      </c>
      <c r="G1243" t="s">
        <v>83</v>
      </c>
      <c r="H1243" t="s">
        <v>84</v>
      </c>
      <c r="I1243">
        <v>0</v>
      </c>
      <c r="J1243">
        <v>176</v>
      </c>
      <c r="K1243">
        <v>0</v>
      </c>
    </row>
    <row r="1244" spans="1:11" x14ac:dyDescent="0.25">
      <c r="A1244" t="s">
        <v>85</v>
      </c>
    </row>
    <row r="1245" spans="1:11" x14ac:dyDescent="0.25">
      <c r="A1245">
        <v>4.4522255432207603</v>
      </c>
      <c r="B1245">
        <v>76.851022177232693</v>
      </c>
      <c r="C1245">
        <v>2000</v>
      </c>
    </row>
    <row r="1246" spans="1:11" x14ac:dyDescent="0.25">
      <c r="A1246">
        <v>0</v>
      </c>
      <c r="B1246">
        <v>72.398796634011902</v>
      </c>
      <c r="C1246">
        <v>2000</v>
      </c>
    </row>
    <row r="1247" spans="1:11" x14ac:dyDescent="0.25">
      <c r="A1247">
        <v>0</v>
      </c>
      <c r="B1247">
        <v>73.272828682909505</v>
      </c>
      <c r="C1247">
        <v>2001</v>
      </c>
    </row>
    <row r="1248" spans="1:11" x14ac:dyDescent="0.25">
      <c r="A1248">
        <v>4.3811699410709002</v>
      </c>
      <c r="B1248">
        <v>77.653998623980399</v>
      </c>
      <c r="C1248">
        <v>2001</v>
      </c>
    </row>
    <row r="1249" spans="1:11" x14ac:dyDescent="0.25">
      <c r="A1249">
        <v>26.945679329314899</v>
      </c>
      <c r="B1249">
        <v>100.21850801222401</v>
      </c>
      <c r="C1249">
        <v>2001</v>
      </c>
    </row>
    <row r="1250" spans="1:11" x14ac:dyDescent="0.25">
      <c r="A1250">
        <v>41.805349410890997</v>
      </c>
      <c r="B1250">
        <v>115.078178093801</v>
      </c>
      <c r="C1250">
        <v>2001</v>
      </c>
    </row>
    <row r="1251" spans="1:11" x14ac:dyDescent="0.25">
      <c r="A1251">
        <v>42.242365435339899</v>
      </c>
      <c r="B1251">
        <v>114.64116206935201</v>
      </c>
      <c r="C1251">
        <v>2000</v>
      </c>
    </row>
    <row r="1252" spans="1:11" x14ac:dyDescent="0.25">
      <c r="A1252">
        <v>27.382695353763701</v>
      </c>
      <c r="B1252">
        <v>99.781491987775595</v>
      </c>
      <c r="C1252">
        <v>2000</v>
      </c>
    </row>
    <row r="1253" spans="1:11" x14ac:dyDescent="0.25">
      <c r="A1253" t="s">
        <v>86</v>
      </c>
    </row>
    <row r="1254" spans="1:11" x14ac:dyDescent="0.25">
      <c r="A1254">
        <v>823</v>
      </c>
      <c r="B1254">
        <v>0</v>
      </c>
      <c r="C1254">
        <v>18.228699460607899</v>
      </c>
      <c r="D1254">
        <v>40.781286374055597</v>
      </c>
      <c r="E1254">
        <v>6</v>
      </c>
      <c r="F1254">
        <v>1.01722196789785</v>
      </c>
      <c r="G1254" t="s">
        <v>83</v>
      </c>
      <c r="H1254" t="s">
        <v>83</v>
      </c>
      <c r="I1254">
        <v>0</v>
      </c>
      <c r="J1254">
        <v>0</v>
      </c>
      <c r="K1254">
        <v>9.7911421572511204E-2</v>
      </c>
    </row>
    <row r="1255" spans="1:11" x14ac:dyDescent="0.25">
      <c r="A1255" t="s">
        <v>85</v>
      </c>
    </row>
    <row r="1256" spans="1:11" x14ac:dyDescent="0.25">
      <c r="A1256">
        <v>120.861257897672</v>
      </c>
      <c r="B1256">
        <v>13.024635063532999</v>
      </c>
      <c r="C1256">
        <v>2000</v>
      </c>
    </row>
    <row r="1257" spans="1:11" x14ac:dyDescent="0.25">
      <c r="A1257">
        <v>107.836622834138</v>
      </c>
      <c r="B1257">
        <v>0</v>
      </c>
      <c r="C1257">
        <v>2000</v>
      </c>
    </row>
    <row r="1258" spans="1:11" x14ac:dyDescent="0.25">
      <c r="A1258">
        <v>108.710654883036</v>
      </c>
      <c r="B1258">
        <v>0</v>
      </c>
      <c r="C1258">
        <v>2001</v>
      </c>
    </row>
    <row r="1259" spans="1:11" x14ac:dyDescent="0.25">
      <c r="A1259">
        <v>121.465293821118</v>
      </c>
      <c r="B1259">
        <v>12.754638938081699</v>
      </c>
      <c r="C1259">
        <v>2001</v>
      </c>
    </row>
    <row r="1260" spans="1:11" x14ac:dyDescent="0.25">
      <c r="A1260">
        <v>150</v>
      </c>
      <c r="B1260">
        <v>41.289345116963901</v>
      </c>
      <c r="C1260">
        <v>2001</v>
      </c>
    </row>
    <row r="1261" spans="1:11" x14ac:dyDescent="0.25">
      <c r="A1261">
        <v>150</v>
      </c>
      <c r="B1261">
        <v>42.163377165861498</v>
      </c>
      <c r="C1261">
        <v>2000</v>
      </c>
    </row>
    <row r="1262" spans="1:11" x14ac:dyDescent="0.25">
      <c r="A1262" t="s">
        <v>86</v>
      </c>
    </row>
    <row r="1263" spans="1:11" x14ac:dyDescent="0.25">
      <c r="A1263">
        <v>812</v>
      </c>
      <c r="B1263">
        <v>0</v>
      </c>
      <c r="C1263">
        <v>0.10992005110242099</v>
      </c>
      <c r="D1263">
        <v>58.714786274660398</v>
      </c>
      <c r="E1263">
        <v>10</v>
      </c>
      <c r="F1263">
        <v>1.01722196789785</v>
      </c>
      <c r="G1263" t="s">
        <v>84</v>
      </c>
      <c r="H1263" t="s">
        <v>84</v>
      </c>
      <c r="I1263">
        <v>32</v>
      </c>
      <c r="J1263">
        <v>747</v>
      </c>
      <c r="K1263">
        <v>9.7391432165086E-2</v>
      </c>
    </row>
    <row r="1264" spans="1:11" x14ac:dyDescent="0.25">
      <c r="A1264" t="s">
        <v>85</v>
      </c>
    </row>
    <row r="1265" spans="1:11" x14ac:dyDescent="0.25">
      <c r="A1265">
        <v>37.154684423070897</v>
      </c>
      <c r="B1265">
        <v>49.424309489053599</v>
      </c>
      <c r="C1265">
        <v>2000</v>
      </c>
    </row>
    <row r="1266" spans="1:11" x14ac:dyDescent="0.25">
      <c r="A1266">
        <v>37.076959209548001</v>
      </c>
      <c r="B1266">
        <v>49.346584275530702</v>
      </c>
      <c r="C1266">
        <v>2000</v>
      </c>
    </row>
    <row r="1267" spans="1:11" x14ac:dyDescent="0.25">
      <c r="A1267">
        <v>36.639943185099199</v>
      </c>
      <c r="B1267">
        <v>49.783600299979597</v>
      </c>
      <c r="C1267">
        <v>2001</v>
      </c>
    </row>
    <row r="1268" spans="1:11" x14ac:dyDescent="0.25">
      <c r="A1268">
        <v>36.717668398622102</v>
      </c>
      <c r="B1268">
        <v>49.8613255135025</v>
      </c>
      <c r="C1268">
        <v>2001</v>
      </c>
    </row>
    <row r="1269" spans="1:11" x14ac:dyDescent="0.25">
      <c r="A1269">
        <v>37.074850897344</v>
      </c>
      <c r="B1269">
        <v>50.218508012224397</v>
      </c>
      <c r="C1269">
        <v>2001</v>
      </c>
    </row>
    <row r="1270" spans="1:11" x14ac:dyDescent="0.25">
      <c r="A1270">
        <v>49.781491987775603</v>
      </c>
      <c r="B1270">
        <v>62.925149102655901</v>
      </c>
      <c r="C1270">
        <v>2001</v>
      </c>
    </row>
    <row r="1271" spans="1:11" x14ac:dyDescent="0.25">
      <c r="A1271">
        <v>78.235291929353295</v>
      </c>
      <c r="B1271">
        <v>91.378949044233593</v>
      </c>
      <c r="C1271">
        <v>2001</v>
      </c>
    </row>
    <row r="1272" spans="1:11" x14ac:dyDescent="0.25">
      <c r="A1272">
        <v>78.672307953802104</v>
      </c>
      <c r="B1272">
        <v>90.941933019784798</v>
      </c>
      <c r="C1272">
        <v>2000</v>
      </c>
    </row>
    <row r="1273" spans="1:11" x14ac:dyDescent="0.25">
      <c r="A1273">
        <v>50.218508012224397</v>
      </c>
      <c r="B1273">
        <v>62.488133078207099</v>
      </c>
      <c r="C1273">
        <v>2000</v>
      </c>
    </row>
    <row r="1274" spans="1:11" x14ac:dyDescent="0.25">
      <c r="A1274">
        <v>37.511866921792901</v>
      </c>
      <c r="B1274">
        <v>49.781491987775603</v>
      </c>
      <c r="C1274">
        <v>2000</v>
      </c>
    </row>
    <row r="1275" spans="1:11" x14ac:dyDescent="0.25">
      <c r="A1275" t="s">
        <v>86</v>
      </c>
    </row>
    <row r="1276" spans="1:11" x14ac:dyDescent="0.25">
      <c r="A1276">
        <v>754</v>
      </c>
      <c r="B1276">
        <v>0</v>
      </c>
      <c r="C1276">
        <v>7.7817174102393203</v>
      </c>
      <c r="D1276">
        <v>50.860816076763001</v>
      </c>
      <c r="E1276">
        <v>10</v>
      </c>
      <c r="F1276">
        <v>1.01722196789785</v>
      </c>
      <c r="G1276" t="s">
        <v>84</v>
      </c>
      <c r="H1276" t="s">
        <v>84</v>
      </c>
      <c r="I1276">
        <v>35</v>
      </c>
      <c r="J1276">
        <v>279</v>
      </c>
      <c r="K1276">
        <v>9.4763910412348204E-2</v>
      </c>
    </row>
    <row r="1277" spans="1:11" x14ac:dyDescent="0.25">
      <c r="A1277" t="s">
        <v>85</v>
      </c>
    </row>
    <row r="1278" spans="1:11" x14ac:dyDescent="0.25">
      <c r="A1278">
        <v>34.722086287444299</v>
      </c>
      <c r="B1278">
        <v>48.735558826814398</v>
      </c>
      <c r="C1278">
        <v>2000</v>
      </c>
    </row>
    <row r="1279" spans="1:11" x14ac:dyDescent="0.25">
      <c r="A1279">
        <v>29.219581137386701</v>
      </c>
      <c r="B1279">
        <v>43.233053676756697</v>
      </c>
      <c r="C1279">
        <v>2000</v>
      </c>
    </row>
    <row r="1280" spans="1:11" x14ac:dyDescent="0.25">
      <c r="A1280">
        <v>29.656597161835499</v>
      </c>
      <c r="B1280">
        <v>42.796037652307902</v>
      </c>
      <c r="C1280">
        <v>2001</v>
      </c>
    </row>
    <row r="1281" spans="1:11" x14ac:dyDescent="0.25">
      <c r="A1281">
        <v>35.159102311893101</v>
      </c>
      <c r="B1281">
        <v>48.298542802365603</v>
      </c>
      <c r="C1281">
        <v>2001</v>
      </c>
    </row>
    <row r="1282" spans="1:11" x14ac:dyDescent="0.25">
      <c r="A1282">
        <v>36.6420514973032</v>
      </c>
      <c r="B1282">
        <v>49.781491987775603</v>
      </c>
      <c r="C1282">
        <v>2001</v>
      </c>
    </row>
    <row r="1283" spans="1:11" x14ac:dyDescent="0.25">
      <c r="A1283">
        <v>50.218508012224397</v>
      </c>
      <c r="B1283">
        <v>63.3579485026968</v>
      </c>
      <c r="C1283">
        <v>2001</v>
      </c>
    </row>
    <row r="1284" spans="1:11" x14ac:dyDescent="0.25">
      <c r="A1284">
        <v>71.123130256454104</v>
      </c>
      <c r="B1284">
        <v>84.2625707469265</v>
      </c>
      <c r="C1284">
        <v>2001</v>
      </c>
    </row>
    <row r="1285" spans="1:11" x14ac:dyDescent="0.25">
      <c r="A1285">
        <v>70.686114232005295</v>
      </c>
      <c r="B1285">
        <v>84.699586771375294</v>
      </c>
      <c r="C1285">
        <v>2000</v>
      </c>
    </row>
    <row r="1286" spans="1:11" x14ac:dyDescent="0.25">
      <c r="A1286">
        <v>49.781491987775603</v>
      </c>
      <c r="B1286">
        <v>63.794964527145702</v>
      </c>
      <c r="C1286">
        <v>2000</v>
      </c>
    </row>
    <row r="1287" spans="1:11" x14ac:dyDescent="0.25">
      <c r="A1287">
        <v>36.205035472854298</v>
      </c>
      <c r="B1287">
        <v>50.218508012224397</v>
      </c>
      <c r="C1287">
        <v>2000</v>
      </c>
    </row>
    <row r="1288" spans="1:11" x14ac:dyDescent="0.25">
      <c r="A1288" t="s">
        <v>86</v>
      </c>
    </row>
    <row r="1289" spans="1:11" x14ac:dyDescent="0.25">
      <c r="A1289">
        <v>813</v>
      </c>
      <c r="B1289">
        <v>0</v>
      </c>
      <c r="C1289">
        <v>37.9083004117116</v>
      </c>
      <c r="D1289">
        <v>20.430753527190198</v>
      </c>
      <c r="E1289">
        <v>8</v>
      </c>
      <c r="F1289">
        <v>1.01722196789785</v>
      </c>
      <c r="G1289" t="s">
        <v>83</v>
      </c>
      <c r="H1289" t="s">
        <v>84</v>
      </c>
      <c r="I1289">
        <v>0</v>
      </c>
      <c r="J1289">
        <v>780</v>
      </c>
      <c r="K1289">
        <v>9.7391432165086E-2</v>
      </c>
    </row>
    <row r="1290" spans="1:11" x14ac:dyDescent="0.25">
      <c r="A1290" t="s">
        <v>85</v>
      </c>
    </row>
    <row r="1291" spans="1:11" x14ac:dyDescent="0.25">
      <c r="A1291">
        <v>51.055590310496498</v>
      </c>
      <c r="B1291">
        <v>27.0141138568138</v>
      </c>
      <c r="C1291">
        <v>2000</v>
      </c>
    </row>
    <row r="1292" spans="1:11" x14ac:dyDescent="0.25">
      <c r="A1292">
        <v>49.771027582377897</v>
      </c>
      <c r="B1292">
        <v>25.729551128695299</v>
      </c>
      <c r="C1292">
        <v>2000</v>
      </c>
    </row>
    <row r="1293" spans="1:11" x14ac:dyDescent="0.25">
      <c r="A1293">
        <v>24.041476453682701</v>
      </c>
      <c r="B1293">
        <v>0</v>
      </c>
      <c r="C1293">
        <v>2000</v>
      </c>
    </row>
    <row r="1294" spans="1:11" x14ac:dyDescent="0.25">
      <c r="A1294">
        <v>24.915508502580298</v>
      </c>
      <c r="B1294">
        <v>0</v>
      </c>
      <c r="C1294">
        <v>2001</v>
      </c>
    </row>
    <row r="1295" spans="1:11" x14ac:dyDescent="0.25">
      <c r="A1295">
        <v>50.228972417622003</v>
      </c>
      <c r="B1295">
        <v>25.313463915041702</v>
      </c>
      <c r="C1295">
        <v>2001</v>
      </c>
    </row>
    <row r="1296" spans="1:11" x14ac:dyDescent="0.25">
      <c r="A1296">
        <v>51.511827214522697</v>
      </c>
      <c r="B1296">
        <v>26.596318711942398</v>
      </c>
      <c r="C1296">
        <v>2001</v>
      </c>
    </row>
    <row r="1297" spans="1:11" x14ac:dyDescent="0.25">
      <c r="A1297">
        <v>65.948941138561196</v>
      </c>
      <c r="B1297">
        <v>41.033432635980802</v>
      </c>
      <c r="C1297">
        <v>2001</v>
      </c>
    </row>
    <row r="1298" spans="1:11" x14ac:dyDescent="0.25">
      <c r="A1298">
        <v>65.511925114112302</v>
      </c>
      <c r="B1298">
        <v>41.470448660429597</v>
      </c>
      <c r="C1298">
        <v>2000</v>
      </c>
    </row>
    <row r="1299" spans="1:11" x14ac:dyDescent="0.25">
      <c r="A1299" t="s">
        <v>86</v>
      </c>
    </row>
    <row r="1300" spans="1:11" x14ac:dyDescent="0.25">
      <c r="A1300">
        <v>519</v>
      </c>
      <c r="B1300">
        <v>0</v>
      </c>
      <c r="C1300">
        <v>53.048685249242702</v>
      </c>
      <c r="D1300">
        <v>5.0218225083481904</v>
      </c>
      <c r="E1300">
        <v>8</v>
      </c>
      <c r="F1300">
        <v>1.01722196789785</v>
      </c>
      <c r="G1300" t="s">
        <v>83</v>
      </c>
      <c r="H1300" t="s">
        <v>84</v>
      </c>
      <c r="I1300">
        <v>0</v>
      </c>
      <c r="J1300">
        <v>509</v>
      </c>
      <c r="K1300">
        <v>0</v>
      </c>
    </row>
    <row r="1301" spans="1:11" x14ac:dyDescent="0.25">
      <c r="A1301" t="s">
        <v>85</v>
      </c>
    </row>
    <row r="1302" spans="1:11" x14ac:dyDescent="0.25">
      <c r="A1302">
        <v>106.575618780238</v>
      </c>
      <c r="B1302">
        <v>37.305838764082402</v>
      </c>
      <c r="C1302">
        <v>2000</v>
      </c>
    </row>
    <row r="1303" spans="1:11" x14ac:dyDescent="0.25">
      <c r="A1303">
        <v>100.255461937877</v>
      </c>
      <c r="B1303">
        <v>30.985681921721799</v>
      </c>
      <c r="C1303">
        <v>2000</v>
      </c>
    </row>
    <row r="1304" spans="1:11" x14ac:dyDescent="0.25">
      <c r="A1304">
        <v>69.269780016155195</v>
      </c>
      <c r="B1304">
        <v>0</v>
      </c>
      <c r="C1304">
        <v>2000</v>
      </c>
    </row>
    <row r="1305" spans="1:11" x14ac:dyDescent="0.25">
      <c r="A1305">
        <v>68.395747967257606</v>
      </c>
      <c r="B1305">
        <v>0</v>
      </c>
      <c r="C1305">
        <v>2001</v>
      </c>
    </row>
    <row r="1306" spans="1:11" x14ac:dyDescent="0.25">
      <c r="A1306">
        <v>99.744538062122899</v>
      </c>
      <c r="B1306">
        <v>31.348790094865301</v>
      </c>
      <c r="C1306">
        <v>2001</v>
      </c>
    </row>
    <row r="1307" spans="1:11" x14ac:dyDescent="0.25">
      <c r="A1307">
        <v>106.11207934871599</v>
      </c>
      <c r="B1307">
        <v>37.716331381458197</v>
      </c>
      <c r="C1307">
        <v>2001</v>
      </c>
    </row>
    <row r="1308" spans="1:11" x14ac:dyDescent="0.25">
      <c r="A1308">
        <v>109.676305801821</v>
      </c>
      <c r="B1308">
        <v>41.280557834562899</v>
      </c>
      <c r="C1308">
        <v>2001</v>
      </c>
    </row>
    <row r="1309" spans="1:11" x14ac:dyDescent="0.25">
      <c r="A1309">
        <v>110.113321826269</v>
      </c>
      <c r="B1309">
        <v>40.843541810114097</v>
      </c>
      <c r="C1309">
        <v>2000</v>
      </c>
    </row>
    <row r="1310" spans="1:11" x14ac:dyDescent="0.25">
      <c r="A1310" t="s">
        <v>86</v>
      </c>
    </row>
    <row r="1311" spans="1:11" x14ac:dyDescent="0.25">
      <c r="A1311">
        <v>509</v>
      </c>
      <c r="B1311">
        <v>0</v>
      </c>
      <c r="C1311">
        <v>4.9934273457112797</v>
      </c>
      <c r="D1311">
        <v>52.053282910180997</v>
      </c>
      <c r="E1311">
        <v>8</v>
      </c>
      <c r="F1311">
        <v>1.01722196789785</v>
      </c>
      <c r="G1311" t="s">
        <v>84</v>
      </c>
      <c r="H1311" t="s">
        <v>83</v>
      </c>
      <c r="I1311">
        <v>519</v>
      </c>
      <c r="J1311">
        <v>0</v>
      </c>
      <c r="K1311">
        <v>0</v>
      </c>
    </row>
    <row r="1312" spans="1:11" x14ac:dyDescent="0.25">
      <c r="A1312" t="s">
        <v>85</v>
      </c>
    </row>
    <row r="1313" spans="1:11" x14ac:dyDescent="0.25">
      <c r="A1313">
        <v>113.39881960639001</v>
      </c>
      <c r="B1313">
        <v>44.594898550976303</v>
      </c>
      <c r="C1313">
        <v>2000</v>
      </c>
    </row>
    <row r="1314" spans="1:11" x14ac:dyDescent="0.25">
      <c r="A1314">
        <v>109.880392345899</v>
      </c>
      <c r="B1314">
        <v>41.076471290484697</v>
      </c>
      <c r="C1314">
        <v>2000</v>
      </c>
    </row>
    <row r="1315" spans="1:11" x14ac:dyDescent="0.25">
      <c r="A1315">
        <v>109.44337632145</v>
      </c>
      <c r="B1315">
        <v>41.513487314933499</v>
      </c>
      <c r="C1315">
        <v>2001</v>
      </c>
    </row>
    <row r="1316" spans="1:11" x14ac:dyDescent="0.25">
      <c r="A1316">
        <v>112.986721735988</v>
      </c>
      <c r="B1316">
        <v>45.056832729471502</v>
      </c>
      <c r="C1316">
        <v>2001</v>
      </c>
    </row>
    <row r="1317" spans="1:11" x14ac:dyDescent="0.25">
      <c r="A1317">
        <v>118.179113533799</v>
      </c>
      <c r="B1317">
        <v>50.249224527282799</v>
      </c>
      <c r="C1317">
        <v>2001</v>
      </c>
    </row>
    <row r="1318" spans="1:11" x14ac:dyDescent="0.25">
      <c r="A1318">
        <v>150</v>
      </c>
      <c r="B1318">
        <v>82.070110993483496</v>
      </c>
      <c r="C1318">
        <v>2001</v>
      </c>
    </row>
    <row r="1319" spans="1:11" x14ac:dyDescent="0.25">
      <c r="A1319">
        <v>150</v>
      </c>
      <c r="B1319">
        <v>81.196078944585807</v>
      </c>
      <c r="C1319">
        <v>2000</v>
      </c>
    </row>
    <row r="1320" spans="1:11" x14ac:dyDescent="0.25">
      <c r="A1320">
        <v>118.554696528131</v>
      </c>
      <c r="B1320">
        <v>49.750775472717201</v>
      </c>
      <c r="C1320">
        <v>2000</v>
      </c>
    </row>
    <row r="1321" spans="1:11" x14ac:dyDescent="0.25">
      <c r="A1321" t="s">
        <v>86</v>
      </c>
    </row>
    <row r="1322" spans="1:11" x14ac:dyDescent="0.25">
      <c r="A1322">
        <v>826</v>
      </c>
      <c r="B1322">
        <v>0</v>
      </c>
      <c r="C1322">
        <v>18.2710974450866</v>
      </c>
      <c r="D1322">
        <v>38.768131596318902</v>
      </c>
      <c r="E1322">
        <v>8</v>
      </c>
      <c r="F1322">
        <v>1.01722196789785</v>
      </c>
      <c r="G1322" t="s">
        <v>83</v>
      </c>
      <c r="H1322" t="s">
        <v>84</v>
      </c>
      <c r="I1322">
        <v>0</v>
      </c>
      <c r="J1322">
        <v>761</v>
      </c>
      <c r="K1322">
        <v>9.8162370459708201E-2</v>
      </c>
    </row>
    <row r="1323" spans="1:11" x14ac:dyDescent="0.25">
      <c r="A1323" t="s">
        <v>85</v>
      </c>
    </row>
    <row r="1324" spans="1:11" x14ac:dyDescent="0.25">
      <c r="A1324">
        <v>93.203648456690004</v>
      </c>
      <c r="B1324">
        <v>13.064952465018401</v>
      </c>
      <c r="C1324">
        <v>2000</v>
      </c>
    </row>
    <row r="1325" spans="1:11" x14ac:dyDescent="0.25">
      <c r="A1325">
        <v>80.138695991671597</v>
      </c>
      <c r="B1325">
        <v>0</v>
      </c>
      <c r="C1325">
        <v>2000</v>
      </c>
    </row>
    <row r="1326" spans="1:11" x14ac:dyDescent="0.25">
      <c r="A1326">
        <v>81.012728040569201</v>
      </c>
      <c r="B1326">
        <v>0</v>
      </c>
      <c r="C1326">
        <v>2001</v>
      </c>
    </row>
    <row r="1327" spans="1:11" x14ac:dyDescent="0.25">
      <c r="A1327">
        <v>93.787009381832704</v>
      </c>
      <c r="B1327">
        <v>12.774281341263499</v>
      </c>
      <c r="C1327">
        <v>2001</v>
      </c>
    </row>
    <row r="1328" spans="1:11" x14ac:dyDescent="0.25">
      <c r="A1328">
        <v>100.21850801222401</v>
      </c>
      <c r="B1328">
        <v>19.2057799716552</v>
      </c>
      <c r="C1328">
        <v>2001</v>
      </c>
    </row>
    <row r="1329" spans="1:11" x14ac:dyDescent="0.25">
      <c r="A1329">
        <v>121.127045677175</v>
      </c>
      <c r="B1329">
        <v>40.114317636606103</v>
      </c>
      <c r="C1329">
        <v>2001</v>
      </c>
    </row>
    <row r="1330" spans="1:11" x14ac:dyDescent="0.25">
      <c r="A1330">
        <v>120.69002965272701</v>
      </c>
      <c r="B1330">
        <v>40.551333661054898</v>
      </c>
      <c r="C1330">
        <v>2000</v>
      </c>
    </row>
    <row r="1331" spans="1:11" x14ac:dyDescent="0.25">
      <c r="A1331">
        <v>99.781491987775595</v>
      </c>
      <c r="B1331">
        <v>19.642795996103999</v>
      </c>
      <c r="C1331">
        <v>2000</v>
      </c>
    </row>
    <row r="1332" spans="1:11" x14ac:dyDescent="0.25">
      <c r="A1332" t="s">
        <v>86</v>
      </c>
    </row>
    <row r="1333" spans="1:11" x14ac:dyDescent="0.25">
      <c r="A1333">
        <v>816</v>
      </c>
      <c r="B1333">
        <v>0</v>
      </c>
      <c r="C1333">
        <v>16.4547658697009</v>
      </c>
      <c r="D1333">
        <v>40.309708792147198</v>
      </c>
      <c r="E1333">
        <v>6</v>
      </c>
      <c r="F1333">
        <v>1.01722196789785</v>
      </c>
      <c r="G1333" t="s">
        <v>83</v>
      </c>
      <c r="H1333" t="s">
        <v>84</v>
      </c>
      <c r="I1333">
        <v>0</v>
      </c>
      <c r="J1333">
        <v>721</v>
      </c>
      <c r="K1333">
        <v>9.7654513304302804E-2</v>
      </c>
    </row>
    <row r="1334" spans="1:11" x14ac:dyDescent="0.25">
      <c r="A1334" t="s">
        <v>85</v>
      </c>
    </row>
    <row r="1335" spans="1:11" x14ac:dyDescent="0.25">
      <c r="A1335">
        <v>18.2697084112644</v>
      </c>
      <c r="B1335">
        <v>11.698617169786299</v>
      </c>
      <c r="C1335">
        <v>2000</v>
      </c>
    </row>
    <row r="1336" spans="1:11" x14ac:dyDescent="0.25">
      <c r="A1336">
        <v>6.5710912414781104</v>
      </c>
      <c r="B1336">
        <v>0</v>
      </c>
      <c r="C1336">
        <v>2000</v>
      </c>
    </row>
    <row r="1337" spans="1:11" x14ac:dyDescent="0.25">
      <c r="A1337">
        <v>7.4451232903757498</v>
      </c>
      <c r="B1337">
        <v>0</v>
      </c>
      <c r="C1337">
        <v>2001</v>
      </c>
    </row>
    <row r="1338" spans="1:11" x14ac:dyDescent="0.25">
      <c r="A1338">
        <v>19.017059179194501</v>
      </c>
      <c r="B1338">
        <v>11.5719358888187</v>
      </c>
      <c r="C1338">
        <v>2001</v>
      </c>
    </row>
    <row r="1339" spans="1:11" x14ac:dyDescent="0.25">
      <c r="A1339">
        <v>47.365160242036197</v>
      </c>
      <c r="B1339">
        <v>39.9200369516604</v>
      </c>
      <c r="C1339">
        <v>2001</v>
      </c>
    </row>
    <row r="1340" spans="1:11" x14ac:dyDescent="0.25">
      <c r="A1340">
        <v>46.928144217587302</v>
      </c>
      <c r="B1340">
        <v>40.357052976109202</v>
      </c>
      <c r="C1340">
        <v>2000</v>
      </c>
    </row>
    <row r="1341" spans="1:11" x14ac:dyDescent="0.25">
      <c r="A1341" t="s">
        <v>86</v>
      </c>
    </row>
    <row r="1342" spans="1:11" x14ac:dyDescent="0.25">
      <c r="A1342">
        <v>745</v>
      </c>
      <c r="B1342">
        <v>0</v>
      </c>
      <c r="C1342">
        <v>56.323902961905297</v>
      </c>
      <c r="D1342">
        <v>0.42468766488869403</v>
      </c>
      <c r="E1342">
        <v>6</v>
      </c>
      <c r="F1342">
        <v>1.01722196789785</v>
      </c>
      <c r="G1342" t="s">
        <v>84</v>
      </c>
      <c r="H1342" t="s">
        <v>83</v>
      </c>
      <c r="I1342">
        <v>360</v>
      </c>
      <c r="J1342">
        <v>0</v>
      </c>
      <c r="K1342">
        <v>9.4312854387899395E-2</v>
      </c>
    </row>
    <row r="1343" spans="1:11" x14ac:dyDescent="0.25">
      <c r="A1343" t="s">
        <v>85</v>
      </c>
    </row>
    <row r="1344" spans="1:11" x14ac:dyDescent="0.25">
      <c r="A1344">
        <v>142.81133916530601</v>
      </c>
      <c r="B1344">
        <v>149.701335713894</v>
      </c>
      <c r="C1344">
        <v>2000</v>
      </c>
    </row>
    <row r="1345" spans="1:11" x14ac:dyDescent="0.25">
      <c r="A1345">
        <v>103.20119820865</v>
      </c>
      <c r="B1345">
        <v>110.09119475723899</v>
      </c>
      <c r="C1345">
        <v>2000</v>
      </c>
    </row>
    <row r="1346" spans="1:11" x14ac:dyDescent="0.25">
      <c r="A1346">
        <v>103.63821423309901</v>
      </c>
      <c r="B1346">
        <v>109.65417873279</v>
      </c>
      <c r="C1346">
        <v>2001</v>
      </c>
    </row>
    <row r="1347" spans="1:11" x14ac:dyDescent="0.25">
      <c r="A1347">
        <v>143.68210073095599</v>
      </c>
      <c r="B1347">
        <v>149.69806523064699</v>
      </c>
      <c r="C1347">
        <v>2001</v>
      </c>
    </row>
    <row r="1348" spans="1:11" x14ac:dyDescent="0.25">
      <c r="A1348">
        <v>143.98403550030901</v>
      </c>
      <c r="B1348">
        <v>150</v>
      </c>
      <c r="C1348">
        <v>2001</v>
      </c>
    </row>
    <row r="1349" spans="1:11" x14ac:dyDescent="0.25">
      <c r="A1349">
        <v>143.11000345141099</v>
      </c>
      <c r="B1349">
        <v>150</v>
      </c>
      <c r="C1349">
        <v>2000</v>
      </c>
    </row>
    <row r="1350" spans="1:11" x14ac:dyDescent="0.25">
      <c r="A1350" t="s">
        <v>86</v>
      </c>
    </row>
    <row r="1351" spans="1:11" x14ac:dyDescent="0.25">
      <c r="A1351">
        <v>845</v>
      </c>
      <c r="B1351">
        <v>0</v>
      </c>
      <c r="C1351">
        <v>31.9470045842749</v>
      </c>
      <c r="D1351">
        <v>24.45595355851</v>
      </c>
      <c r="E1351">
        <v>6</v>
      </c>
      <c r="F1351">
        <v>1.01722196789785</v>
      </c>
      <c r="G1351" t="s">
        <v>83</v>
      </c>
      <c r="H1351" t="s">
        <v>83</v>
      </c>
      <c r="I1351">
        <v>0</v>
      </c>
      <c r="J1351">
        <v>0</v>
      </c>
      <c r="K1351">
        <v>9.9772326816260498E-2</v>
      </c>
    </row>
    <row r="1352" spans="1:11" x14ac:dyDescent="0.25">
      <c r="A1352" t="s">
        <v>85</v>
      </c>
    </row>
    <row r="1353" spans="1:11" x14ac:dyDescent="0.25">
      <c r="A1353">
        <v>22.837472316151299</v>
      </c>
      <c r="B1353">
        <v>132.51754210995799</v>
      </c>
      <c r="C1353">
        <v>2000</v>
      </c>
    </row>
    <row r="1354" spans="1:11" x14ac:dyDescent="0.25">
      <c r="A1354">
        <v>0</v>
      </c>
      <c r="B1354">
        <v>109.68006979380699</v>
      </c>
      <c r="C1354">
        <v>2000</v>
      </c>
    </row>
    <row r="1355" spans="1:11" x14ac:dyDescent="0.25">
      <c r="A1355">
        <v>0</v>
      </c>
      <c r="B1355">
        <v>110.55410184270499</v>
      </c>
      <c r="C1355">
        <v>2001</v>
      </c>
    </row>
    <row r="1356" spans="1:11" x14ac:dyDescent="0.25">
      <c r="A1356">
        <v>22.342414844125599</v>
      </c>
      <c r="B1356">
        <v>132.89651668683001</v>
      </c>
      <c r="C1356">
        <v>2001</v>
      </c>
    </row>
    <row r="1357" spans="1:11" x14ac:dyDescent="0.25">
      <c r="A1357">
        <v>39.445898157295403</v>
      </c>
      <c r="B1357">
        <v>150</v>
      </c>
      <c r="C1357">
        <v>2001</v>
      </c>
    </row>
    <row r="1358" spans="1:11" x14ac:dyDescent="0.25">
      <c r="A1358">
        <v>40.319930206193</v>
      </c>
      <c r="B1358">
        <v>150</v>
      </c>
      <c r="C1358">
        <v>2000</v>
      </c>
    </row>
    <row r="1359" spans="1:11" x14ac:dyDescent="0.25">
      <c r="A1359" t="s">
        <v>86</v>
      </c>
    </row>
    <row r="1360" spans="1:11" x14ac:dyDescent="0.25">
      <c r="A1360">
        <v>737</v>
      </c>
      <c r="B1360">
        <v>0</v>
      </c>
      <c r="C1360">
        <v>24.106753467288002</v>
      </c>
      <c r="D1360">
        <v>32.047671686503101</v>
      </c>
      <c r="E1360">
        <v>10</v>
      </c>
      <c r="F1360">
        <v>1.01722196789785</v>
      </c>
      <c r="G1360" t="s">
        <v>84</v>
      </c>
      <c r="H1360" t="s">
        <v>84</v>
      </c>
      <c r="I1360">
        <v>101</v>
      </c>
      <c r="J1360">
        <v>426</v>
      </c>
      <c r="K1360">
        <v>9.4312854387899395E-2</v>
      </c>
    </row>
    <row r="1361" spans="1:11" x14ac:dyDescent="0.25">
      <c r="A1361" t="s">
        <v>85</v>
      </c>
    </row>
    <row r="1362" spans="1:11" x14ac:dyDescent="0.25">
      <c r="A1362">
        <v>31.462589972397801</v>
      </c>
      <c r="B1362">
        <v>108.69659644118801</v>
      </c>
      <c r="C1362">
        <v>2000</v>
      </c>
    </row>
    <row r="1363" spans="1:11" x14ac:dyDescent="0.25">
      <c r="A1363">
        <v>22.547485518985301</v>
      </c>
      <c r="B1363">
        <v>99.781491987775595</v>
      </c>
      <c r="C1363">
        <v>2000</v>
      </c>
    </row>
    <row r="1364" spans="1:11" x14ac:dyDescent="0.25">
      <c r="A1364">
        <v>14.4165411232861</v>
      </c>
      <c r="B1364">
        <v>91.650547592076293</v>
      </c>
      <c r="C1364">
        <v>2000</v>
      </c>
    </row>
    <row r="1365" spans="1:11" x14ac:dyDescent="0.25">
      <c r="A1365">
        <v>13.9795250988372</v>
      </c>
      <c r="B1365">
        <v>92.087563616525102</v>
      </c>
      <c r="C1365">
        <v>2001</v>
      </c>
    </row>
    <row r="1366" spans="1:11" x14ac:dyDescent="0.25">
      <c r="A1366">
        <v>22.110469494536499</v>
      </c>
      <c r="B1366">
        <v>100.21850801222401</v>
      </c>
      <c r="C1366">
        <v>2001</v>
      </c>
    </row>
    <row r="1367" spans="1:11" x14ac:dyDescent="0.25">
      <c r="A1367">
        <v>31.025573947948899</v>
      </c>
      <c r="B1367">
        <v>109.133612465637</v>
      </c>
      <c r="C1367">
        <v>2001</v>
      </c>
    </row>
    <row r="1368" spans="1:11" x14ac:dyDescent="0.25">
      <c r="A1368">
        <v>49.781491987775603</v>
      </c>
      <c r="B1368">
        <v>127.889530505463</v>
      </c>
      <c r="C1368">
        <v>2001</v>
      </c>
    </row>
    <row r="1369" spans="1:11" x14ac:dyDescent="0.25">
      <c r="A1369">
        <v>53.686699918715398</v>
      </c>
      <c r="B1369">
        <v>131.79473843640301</v>
      </c>
      <c r="C1369">
        <v>2001</v>
      </c>
    </row>
    <row r="1370" spans="1:11" x14ac:dyDescent="0.25">
      <c r="A1370">
        <v>54.1237159431642</v>
      </c>
      <c r="B1370">
        <v>131.357722411954</v>
      </c>
      <c r="C1370">
        <v>2000</v>
      </c>
    </row>
    <row r="1371" spans="1:11" x14ac:dyDescent="0.25">
      <c r="A1371">
        <v>50.218508012224397</v>
      </c>
      <c r="B1371">
        <v>127.452514481015</v>
      </c>
      <c r="C1371">
        <v>2000</v>
      </c>
    </row>
    <row r="1372" spans="1:11" x14ac:dyDescent="0.25">
      <c r="A1372" t="s">
        <v>86</v>
      </c>
    </row>
    <row r="1373" spans="1:11" x14ac:dyDescent="0.25">
      <c r="A1373">
        <v>27</v>
      </c>
      <c r="B1373">
        <v>0</v>
      </c>
      <c r="C1373">
        <v>12.8508785785454</v>
      </c>
      <c r="D1373">
        <v>43.141081135512202</v>
      </c>
      <c r="E1373">
        <v>6</v>
      </c>
      <c r="F1373">
        <v>1.01722196789785</v>
      </c>
      <c r="G1373" t="s">
        <v>83</v>
      </c>
      <c r="H1373" t="s">
        <v>84</v>
      </c>
      <c r="I1373">
        <v>0</v>
      </c>
      <c r="J1373">
        <v>767</v>
      </c>
      <c r="K1373">
        <v>0</v>
      </c>
    </row>
    <row r="1374" spans="1:11" x14ac:dyDescent="0.25">
      <c r="A1374" t="s">
        <v>85</v>
      </c>
    </row>
    <row r="1375" spans="1:11" x14ac:dyDescent="0.25">
      <c r="A1375">
        <v>10.003180760866901</v>
      </c>
      <c r="B1375">
        <v>9.1370938006158298</v>
      </c>
      <c r="C1375">
        <v>2000</v>
      </c>
    </row>
    <row r="1376" spans="1:11" x14ac:dyDescent="0.25">
      <c r="A1376">
        <v>0.86608696025109599</v>
      </c>
      <c r="B1376">
        <v>0</v>
      </c>
      <c r="C1376">
        <v>2000</v>
      </c>
    </row>
    <row r="1377" spans="1:11" x14ac:dyDescent="0.25">
      <c r="A1377">
        <v>1.74011900914874</v>
      </c>
      <c r="B1377">
        <v>0</v>
      </c>
      <c r="C1377">
        <v>2001</v>
      </c>
    </row>
    <row r="1378" spans="1:11" x14ac:dyDescent="0.25">
      <c r="A1378">
        <v>10.7769119827217</v>
      </c>
      <c r="B1378">
        <v>9.03679297357297</v>
      </c>
      <c r="C1378">
        <v>2001</v>
      </c>
    </row>
    <row r="1379" spans="1:11" x14ac:dyDescent="0.25">
      <c r="A1379">
        <v>41.113905402658503</v>
      </c>
      <c r="B1379">
        <v>39.373786393509697</v>
      </c>
      <c r="C1379">
        <v>2001</v>
      </c>
    </row>
    <row r="1380" spans="1:11" x14ac:dyDescent="0.25">
      <c r="A1380">
        <v>40.676889378209601</v>
      </c>
      <c r="B1380">
        <v>39.810802417958499</v>
      </c>
      <c r="C1380">
        <v>2000</v>
      </c>
    </row>
    <row r="1381" spans="1:11" x14ac:dyDescent="0.25">
      <c r="A1381" t="s">
        <v>86</v>
      </c>
    </row>
    <row r="1382" spans="1:11" x14ac:dyDescent="0.25">
      <c r="A1382">
        <v>780</v>
      </c>
      <c r="B1382">
        <v>0</v>
      </c>
      <c r="C1382">
        <v>31.8323724173604</v>
      </c>
      <c r="D1382">
        <v>24.149067599903798</v>
      </c>
      <c r="E1382">
        <v>10</v>
      </c>
      <c r="F1382">
        <v>1.01722196789785</v>
      </c>
      <c r="G1382" t="s">
        <v>84</v>
      </c>
      <c r="H1382" t="s">
        <v>84</v>
      </c>
      <c r="I1382">
        <v>813</v>
      </c>
      <c r="J1382">
        <v>588</v>
      </c>
      <c r="K1382">
        <v>9.6278525939506795E-2</v>
      </c>
    </row>
    <row r="1383" spans="1:11" x14ac:dyDescent="0.25">
      <c r="A1383" t="s">
        <v>85</v>
      </c>
    </row>
    <row r="1384" spans="1:11" x14ac:dyDescent="0.25">
      <c r="A1384">
        <v>88.3471865581147</v>
      </c>
      <c r="B1384">
        <v>63.652960011569498</v>
      </c>
      <c r="C1384">
        <v>2000</v>
      </c>
    </row>
    <row r="1385" spans="1:11" x14ac:dyDescent="0.25">
      <c r="A1385">
        <v>74.9127345587696</v>
      </c>
      <c r="B1385">
        <v>50.218508012224397</v>
      </c>
      <c r="C1385">
        <v>2000</v>
      </c>
    </row>
    <row r="1386" spans="1:11" x14ac:dyDescent="0.25">
      <c r="A1386">
        <v>65.838300160543596</v>
      </c>
      <c r="B1386">
        <v>41.144073613998401</v>
      </c>
      <c r="C1386">
        <v>2000</v>
      </c>
    </row>
    <row r="1387" spans="1:11" x14ac:dyDescent="0.25">
      <c r="A1387">
        <v>66.275316184992406</v>
      </c>
      <c r="B1387">
        <v>40.7070575895495</v>
      </c>
      <c r="C1387">
        <v>2001</v>
      </c>
    </row>
    <row r="1388" spans="1:11" x14ac:dyDescent="0.25">
      <c r="A1388">
        <v>75.349750583218494</v>
      </c>
      <c r="B1388">
        <v>49.781491987775603</v>
      </c>
      <c r="C1388">
        <v>2001</v>
      </c>
    </row>
    <row r="1389" spans="1:11" x14ac:dyDescent="0.25">
      <c r="A1389">
        <v>88.784202582563495</v>
      </c>
      <c r="B1389">
        <v>63.215943987120703</v>
      </c>
      <c r="C1389">
        <v>2001</v>
      </c>
    </row>
    <row r="1390" spans="1:11" x14ac:dyDescent="0.25">
      <c r="A1390">
        <v>100.21850801222401</v>
      </c>
      <c r="B1390">
        <v>74.650249416781506</v>
      </c>
      <c r="C1390">
        <v>2001</v>
      </c>
    </row>
    <row r="1391" spans="1:11" x14ac:dyDescent="0.25">
      <c r="A1391">
        <v>105.860172041788</v>
      </c>
      <c r="B1391">
        <v>80.291913446345006</v>
      </c>
      <c r="C1391">
        <v>2001</v>
      </c>
    </row>
    <row r="1392" spans="1:11" x14ac:dyDescent="0.25">
      <c r="A1392">
        <v>105.423156017339</v>
      </c>
      <c r="B1392">
        <v>80.728929470793801</v>
      </c>
      <c r="C1392">
        <v>2000</v>
      </c>
    </row>
    <row r="1393" spans="1:11" x14ac:dyDescent="0.25">
      <c r="A1393">
        <v>99.781491987775595</v>
      </c>
      <c r="B1393">
        <v>75.087265441230301</v>
      </c>
      <c r="C1393">
        <v>2000</v>
      </c>
    </row>
    <row r="1394" spans="1:11" x14ac:dyDescent="0.25">
      <c r="A1394" t="s">
        <v>86</v>
      </c>
    </row>
    <row r="1395" spans="1:11" x14ac:dyDescent="0.25">
      <c r="A1395">
        <v>843</v>
      </c>
      <c r="B1395">
        <v>0</v>
      </c>
      <c r="C1395">
        <v>47.630016695255698</v>
      </c>
      <c r="D1395">
        <v>8.1816218870449706</v>
      </c>
      <c r="E1395">
        <v>10</v>
      </c>
      <c r="F1395">
        <v>1.01722196789785</v>
      </c>
      <c r="G1395" t="s">
        <v>84</v>
      </c>
      <c r="H1395" t="s">
        <v>84</v>
      </c>
      <c r="I1395">
        <v>648</v>
      </c>
      <c r="J1395">
        <v>565</v>
      </c>
      <c r="K1395">
        <v>9.9772326816260498E-2</v>
      </c>
    </row>
    <row r="1396" spans="1:11" x14ac:dyDescent="0.25">
      <c r="A1396" t="s">
        <v>85</v>
      </c>
    </row>
    <row r="1397" spans="1:11" x14ac:dyDescent="0.25">
      <c r="A1397">
        <v>106.750834367583</v>
      </c>
      <c r="B1397">
        <v>49.129001396307103</v>
      </c>
      <c r="C1397">
        <v>2000</v>
      </c>
    </row>
    <row r="1398" spans="1:11" x14ac:dyDescent="0.25">
      <c r="A1398">
        <v>100.21850801222401</v>
      </c>
      <c r="B1398">
        <v>42.596675040948298</v>
      </c>
      <c r="C1398">
        <v>2000</v>
      </c>
    </row>
    <row r="1399" spans="1:11" x14ac:dyDescent="0.25">
      <c r="A1399">
        <v>73.071326574339395</v>
      </c>
      <c r="B1399">
        <v>15.449493603063299</v>
      </c>
      <c r="C1399">
        <v>2000</v>
      </c>
    </row>
    <row r="1400" spans="1:11" x14ac:dyDescent="0.25">
      <c r="A1400">
        <v>72.6343105498906</v>
      </c>
      <c r="B1400">
        <v>15.886509627512099</v>
      </c>
      <c r="C1400">
        <v>2001</v>
      </c>
    </row>
    <row r="1401" spans="1:11" x14ac:dyDescent="0.25">
      <c r="A1401">
        <v>99.781491987775595</v>
      </c>
      <c r="B1401">
        <v>43.0336910653971</v>
      </c>
      <c r="C1401">
        <v>2001</v>
      </c>
    </row>
    <row r="1402" spans="1:11" x14ac:dyDescent="0.25">
      <c r="A1402">
        <v>106.313818343134</v>
      </c>
      <c r="B1402">
        <v>49.566017420755898</v>
      </c>
      <c r="C1402">
        <v>2001</v>
      </c>
    </row>
    <row r="1403" spans="1:11" x14ac:dyDescent="0.25">
      <c r="A1403">
        <v>106.96630893460301</v>
      </c>
      <c r="B1403">
        <v>50.218508012224397</v>
      </c>
      <c r="C1403">
        <v>2001</v>
      </c>
    </row>
    <row r="1404" spans="1:11" x14ac:dyDescent="0.25">
      <c r="A1404">
        <v>112.099098660568</v>
      </c>
      <c r="B1404">
        <v>55.3512977381897</v>
      </c>
      <c r="C1404">
        <v>2001</v>
      </c>
    </row>
    <row r="1405" spans="1:11" x14ac:dyDescent="0.25">
      <c r="A1405">
        <v>112.536114685017</v>
      </c>
      <c r="B1405">
        <v>54.914281713740799</v>
      </c>
      <c r="C1405">
        <v>2000</v>
      </c>
    </row>
    <row r="1406" spans="1:11" x14ac:dyDescent="0.25">
      <c r="A1406">
        <v>107.403324959052</v>
      </c>
      <c r="B1406">
        <v>49.781491987775603</v>
      </c>
      <c r="C1406">
        <v>2000</v>
      </c>
    </row>
    <row r="1407" spans="1:11" x14ac:dyDescent="0.25">
      <c r="A1407" t="s">
        <v>86</v>
      </c>
    </row>
    <row r="1408" spans="1:11" x14ac:dyDescent="0.25">
      <c r="A1408">
        <v>581</v>
      </c>
      <c r="B1408">
        <v>0</v>
      </c>
      <c r="C1408">
        <v>35.848564645134601</v>
      </c>
      <c r="D1408">
        <v>19.744839185372701</v>
      </c>
      <c r="E1408">
        <v>8</v>
      </c>
      <c r="F1408">
        <v>1.01722196789785</v>
      </c>
      <c r="G1408" t="s">
        <v>84</v>
      </c>
      <c r="H1408" t="s">
        <v>83</v>
      </c>
      <c r="I1408">
        <v>572</v>
      </c>
      <c r="J1408">
        <v>0</v>
      </c>
      <c r="K1408">
        <v>0</v>
      </c>
    </row>
    <row r="1409" spans="1:11" x14ac:dyDescent="0.25">
      <c r="A1409" t="s">
        <v>85</v>
      </c>
    </row>
    <row r="1410" spans="1:11" x14ac:dyDescent="0.25">
      <c r="A1410">
        <v>135.93324120618701</v>
      </c>
      <c r="B1410">
        <v>90.178686394427103</v>
      </c>
      <c r="C1410">
        <v>2000</v>
      </c>
    </row>
    <row r="1411" spans="1:11" x14ac:dyDescent="0.25">
      <c r="A1411">
        <v>110.471019149982</v>
      </c>
      <c r="B1411">
        <v>64.716464338221996</v>
      </c>
      <c r="C1411">
        <v>2000</v>
      </c>
    </row>
    <row r="1412" spans="1:11" x14ac:dyDescent="0.25">
      <c r="A1412">
        <v>110.90803517443101</v>
      </c>
      <c r="B1412">
        <v>64.279448313773202</v>
      </c>
      <c r="C1412">
        <v>2001</v>
      </c>
    </row>
    <row r="1413" spans="1:11" x14ac:dyDescent="0.25">
      <c r="A1413">
        <v>136.14333943098299</v>
      </c>
      <c r="B1413">
        <v>89.514752570325996</v>
      </c>
      <c r="C1413">
        <v>2001</v>
      </c>
    </row>
    <row r="1414" spans="1:11" x14ac:dyDescent="0.25">
      <c r="A1414">
        <v>146.25117473181101</v>
      </c>
      <c r="B1414">
        <v>99.6225878711532</v>
      </c>
      <c r="C1414">
        <v>2001</v>
      </c>
    </row>
    <row r="1415" spans="1:11" x14ac:dyDescent="0.25">
      <c r="A1415">
        <v>150</v>
      </c>
      <c r="B1415">
        <v>103.37141313934301</v>
      </c>
      <c r="C1415">
        <v>2001</v>
      </c>
    </row>
    <row r="1416" spans="1:11" x14ac:dyDescent="0.25">
      <c r="A1416">
        <v>150</v>
      </c>
      <c r="B1416">
        <v>104.24544518824</v>
      </c>
      <c r="C1416">
        <v>2000</v>
      </c>
    </row>
    <row r="1417" spans="1:11" x14ac:dyDescent="0.25">
      <c r="A1417">
        <v>146.13196694060599</v>
      </c>
      <c r="B1417">
        <v>100.377412128847</v>
      </c>
      <c r="C1417">
        <v>2000</v>
      </c>
    </row>
    <row r="1418" spans="1:11" x14ac:dyDescent="0.25">
      <c r="A1418" t="s">
        <v>86</v>
      </c>
    </row>
    <row r="1419" spans="1:11" x14ac:dyDescent="0.25">
      <c r="A1419">
        <v>667</v>
      </c>
      <c r="B1419">
        <v>0</v>
      </c>
      <c r="C1419">
        <v>18.612449644564698</v>
      </c>
      <c r="D1419">
        <v>36.788692748966099</v>
      </c>
      <c r="E1419">
        <v>8</v>
      </c>
      <c r="F1419">
        <v>1.01722196789785</v>
      </c>
      <c r="G1419" t="s">
        <v>83</v>
      </c>
      <c r="H1419" t="s">
        <v>84</v>
      </c>
      <c r="I1419">
        <v>0</v>
      </c>
      <c r="J1419">
        <v>599</v>
      </c>
      <c r="K1419">
        <v>0</v>
      </c>
    </row>
    <row r="1420" spans="1:11" x14ac:dyDescent="0.25">
      <c r="A1420" t="s">
        <v>85</v>
      </c>
    </row>
    <row r="1421" spans="1:11" x14ac:dyDescent="0.25">
      <c r="A1421">
        <v>79.900325945591604</v>
      </c>
      <c r="B1421">
        <v>13.075431485298299</v>
      </c>
      <c r="C1421">
        <v>2000</v>
      </c>
    </row>
    <row r="1422" spans="1:11" x14ac:dyDescent="0.25">
      <c r="A1422">
        <v>66.824894460293294</v>
      </c>
      <c r="B1422">
        <v>0</v>
      </c>
      <c r="C1422">
        <v>2000</v>
      </c>
    </row>
    <row r="1423" spans="1:11" x14ac:dyDescent="0.25">
      <c r="A1423">
        <v>65.950862411395704</v>
      </c>
      <c r="B1423">
        <v>0</v>
      </c>
      <c r="C1423">
        <v>2001</v>
      </c>
    </row>
    <row r="1424" spans="1:11" x14ac:dyDescent="0.25">
      <c r="A1424">
        <v>79.197409642427004</v>
      </c>
      <c r="B1424">
        <v>13.2465472310313</v>
      </c>
      <c r="C1424">
        <v>2001</v>
      </c>
    </row>
    <row r="1425" spans="1:11" x14ac:dyDescent="0.25">
      <c r="A1425">
        <v>99.781491987775595</v>
      </c>
      <c r="B1425">
        <v>33.830629576379899</v>
      </c>
      <c r="C1425">
        <v>2001</v>
      </c>
    </row>
    <row r="1426" spans="1:11" x14ac:dyDescent="0.25">
      <c r="A1426">
        <v>105.34389389556701</v>
      </c>
      <c r="B1426">
        <v>39.393031484171502</v>
      </c>
      <c r="C1426">
        <v>2001</v>
      </c>
    </row>
    <row r="1427" spans="1:11" x14ac:dyDescent="0.25">
      <c r="A1427">
        <v>105.780909920016</v>
      </c>
      <c r="B1427">
        <v>38.9560154597227</v>
      </c>
      <c r="C1427">
        <v>2000</v>
      </c>
    </row>
    <row r="1428" spans="1:11" x14ac:dyDescent="0.25">
      <c r="A1428">
        <v>100.21850801222401</v>
      </c>
      <c r="B1428">
        <v>33.393613551931097</v>
      </c>
      <c r="C1428">
        <v>2000</v>
      </c>
    </row>
    <row r="1429" spans="1:11" x14ac:dyDescent="0.25">
      <c r="A1429" t="s">
        <v>86</v>
      </c>
    </row>
    <row r="1430" spans="1:11" x14ac:dyDescent="0.25">
      <c r="A1430">
        <v>792</v>
      </c>
      <c r="B1430">
        <v>0</v>
      </c>
      <c r="C1430">
        <v>36.027165276145801</v>
      </c>
      <c r="D1430">
        <v>18.898373017881401</v>
      </c>
      <c r="E1430">
        <v>10</v>
      </c>
      <c r="F1430">
        <v>1.01722196789785</v>
      </c>
      <c r="G1430" t="s">
        <v>84</v>
      </c>
      <c r="H1430" t="s">
        <v>84</v>
      </c>
      <c r="I1430">
        <v>822</v>
      </c>
      <c r="J1430">
        <v>354</v>
      </c>
      <c r="K1430">
        <v>9.6846384952709502E-2</v>
      </c>
    </row>
    <row r="1431" spans="1:11" x14ac:dyDescent="0.25">
      <c r="A1431" t="s">
        <v>85</v>
      </c>
    </row>
    <row r="1432" spans="1:11" x14ac:dyDescent="0.25">
      <c r="A1432">
        <v>44.612119620024103</v>
      </c>
      <c r="B1432">
        <v>66.967660270146098</v>
      </c>
      <c r="C1432">
        <v>2000</v>
      </c>
    </row>
    <row r="1433" spans="1:11" x14ac:dyDescent="0.25">
      <c r="A1433">
        <v>27.862967362102399</v>
      </c>
      <c r="B1433">
        <v>50.218508012224397</v>
      </c>
      <c r="C1433">
        <v>2000</v>
      </c>
    </row>
    <row r="1434" spans="1:11" x14ac:dyDescent="0.25">
      <c r="A1434">
        <v>19.137066746332899</v>
      </c>
      <c r="B1434">
        <v>41.4926073964549</v>
      </c>
      <c r="C1434">
        <v>2000</v>
      </c>
    </row>
    <row r="1435" spans="1:11" x14ac:dyDescent="0.25">
      <c r="A1435">
        <v>19.5740827707817</v>
      </c>
      <c r="B1435">
        <v>41.055591372006099</v>
      </c>
      <c r="C1435">
        <v>2001</v>
      </c>
    </row>
    <row r="1436" spans="1:11" x14ac:dyDescent="0.25">
      <c r="A1436">
        <v>28.299983386551201</v>
      </c>
      <c r="B1436">
        <v>49.781491987775603</v>
      </c>
      <c r="C1436">
        <v>2001</v>
      </c>
    </row>
    <row r="1437" spans="1:11" x14ac:dyDescent="0.25">
      <c r="A1437">
        <v>45.049135644472898</v>
      </c>
      <c r="B1437">
        <v>66.530644245697303</v>
      </c>
      <c r="C1437">
        <v>2001</v>
      </c>
    </row>
    <row r="1438" spans="1:11" x14ac:dyDescent="0.25">
      <c r="A1438">
        <v>50.218508012224397</v>
      </c>
      <c r="B1438">
        <v>71.700016613448796</v>
      </c>
      <c r="C1438">
        <v>2001</v>
      </c>
    </row>
    <row r="1439" spans="1:11" x14ac:dyDescent="0.25">
      <c r="A1439">
        <v>58.412303358809702</v>
      </c>
      <c r="B1439">
        <v>79.8938119600341</v>
      </c>
      <c r="C1439">
        <v>2001</v>
      </c>
    </row>
    <row r="1440" spans="1:11" x14ac:dyDescent="0.25">
      <c r="A1440">
        <v>57.9752873343609</v>
      </c>
      <c r="B1440">
        <v>80.330827984482895</v>
      </c>
      <c r="C1440">
        <v>2000</v>
      </c>
    </row>
    <row r="1441" spans="1:11" x14ac:dyDescent="0.25">
      <c r="A1441">
        <v>49.781491987775603</v>
      </c>
      <c r="B1441">
        <v>72.137032637897605</v>
      </c>
      <c r="C1441">
        <v>2000</v>
      </c>
    </row>
    <row r="1442" spans="1:11" x14ac:dyDescent="0.25">
      <c r="A1442" t="s">
        <v>86</v>
      </c>
    </row>
    <row r="1443" spans="1:11" x14ac:dyDescent="0.25">
      <c r="A1443">
        <v>837</v>
      </c>
      <c r="B1443">
        <v>0</v>
      </c>
      <c r="C1443">
        <v>37.051333546082702</v>
      </c>
      <c r="D1443">
        <v>17.5923378265169</v>
      </c>
      <c r="E1443">
        <v>8</v>
      </c>
      <c r="F1443">
        <v>1.01722196789785</v>
      </c>
      <c r="G1443" t="s">
        <v>84</v>
      </c>
      <c r="H1443" t="s">
        <v>83</v>
      </c>
      <c r="I1443">
        <v>350</v>
      </c>
      <c r="J1443">
        <v>0</v>
      </c>
      <c r="K1443">
        <v>9.9336241494793198E-2</v>
      </c>
    </row>
    <row r="1444" spans="1:11" x14ac:dyDescent="0.25">
      <c r="A1444" t="s">
        <v>85</v>
      </c>
    </row>
    <row r="1445" spans="1:11" x14ac:dyDescent="0.25">
      <c r="A1445">
        <v>95.837935103158003</v>
      </c>
      <c r="B1445">
        <v>137.71942895836199</v>
      </c>
      <c r="C1445">
        <v>2000</v>
      </c>
    </row>
    <row r="1446" spans="1:11" x14ac:dyDescent="0.25">
      <c r="A1446">
        <v>69.698103580526407</v>
      </c>
      <c r="B1446">
        <v>111.57959743572999</v>
      </c>
      <c r="C1446">
        <v>2000</v>
      </c>
    </row>
    <row r="1447" spans="1:11" x14ac:dyDescent="0.25">
      <c r="A1447">
        <v>70.135119604975202</v>
      </c>
      <c r="B1447">
        <v>111.142581411281</v>
      </c>
      <c r="C1447">
        <v>2001</v>
      </c>
    </row>
    <row r="1448" spans="1:11" x14ac:dyDescent="0.25">
      <c r="A1448">
        <v>96.393786487222997</v>
      </c>
      <c r="B1448">
        <v>137.40124829352899</v>
      </c>
      <c r="C1448">
        <v>2001</v>
      </c>
    </row>
    <row r="1449" spans="1:11" x14ac:dyDescent="0.25">
      <c r="A1449">
        <v>100.286734591013</v>
      </c>
      <c r="B1449">
        <v>141.29419639731901</v>
      </c>
      <c r="C1449">
        <v>2001</v>
      </c>
    </row>
    <row r="1450" spans="1:11" x14ac:dyDescent="0.25">
      <c r="A1450">
        <v>108.992538193694</v>
      </c>
      <c r="B1450">
        <v>150</v>
      </c>
      <c r="C1450">
        <v>2001</v>
      </c>
    </row>
    <row r="1451" spans="1:11" x14ac:dyDescent="0.25">
      <c r="A1451">
        <v>108.118506144796</v>
      </c>
      <c r="B1451">
        <v>150</v>
      </c>
      <c r="C1451">
        <v>2000</v>
      </c>
    </row>
    <row r="1452" spans="1:11" x14ac:dyDescent="0.25">
      <c r="A1452">
        <v>99.713265408986601</v>
      </c>
      <c r="B1452">
        <v>141.59475926419</v>
      </c>
      <c r="C1452">
        <v>2000</v>
      </c>
    </row>
    <row r="1453" spans="1:11" x14ac:dyDescent="0.25">
      <c r="A1453" t="s">
        <v>86</v>
      </c>
    </row>
    <row r="1454" spans="1:11" x14ac:dyDescent="0.25">
      <c r="A1454">
        <v>195</v>
      </c>
      <c r="B1454">
        <v>0</v>
      </c>
      <c r="C1454">
        <v>39.313529420817602</v>
      </c>
      <c r="D1454">
        <v>15.1687971805784</v>
      </c>
      <c r="E1454">
        <v>8</v>
      </c>
      <c r="F1454">
        <v>1.01722196789785</v>
      </c>
      <c r="G1454" t="s">
        <v>84</v>
      </c>
      <c r="H1454" t="s">
        <v>84</v>
      </c>
      <c r="I1454">
        <v>744</v>
      </c>
      <c r="J1454">
        <v>180</v>
      </c>
      <c r="K1454">
        <v>0</v>
      </c>
    </row>
    <row r="1455" spans="1:11" x14ac:dyDescent="0.25">
      <c r="A1455" t="s">
        <v>85</v>
      </c>
    </row>
    <row r="1456" spans="1:11" x14ac:dyDescent="0.25">
      <c r="A1456">
        <v>36.248409163318001</v>
      </c>
      <c r="B1456">
        <v>116.05590009506101</v>
      </c>
      <c r="C1456">
        <v>2000</v>
      </c>
    </row>
    <row r="1457" spans="1:11" x14ac:dyDescent="0.25">
      <c r="A1457">
        <v>19.9740010560324</v>
      </c>
      <c r="B1457">
        <v>99.781491987775595</v>
      </c>
      <c r="C1457">
        <v>2000</v>
      </c>
    </row>
    <row r="1458" spans="1:11" x14ac:dyDescent="0.25">
      <c r="A1458">
        <v>8.4495459174810392</v>
      </c>
      <c r="B1458">
        <v>88.257036849224207</v>
      </c>
      <c r="C1458">
        <v>2000</v>
      </c>
    </row>
    <row r="1459" spans="1:11" x14ac:dyDescent="0.25">
      <c r="A1459">
        <v>8.0125298930322195</v>
      </c>
      <c r="B1459">
        <v>88.694052873673002</v>
      </c>
      <c r="C1459">
        <v>2001</v>
      </c>
    </row>
    <row r="1460" spans="1:11" x14ac:dyDescent="0.25">
      <c r="A1460">
        <v>19.536985031583601</v>
      </c>
      <c r="B1460">
        <v>100.21850801222401</v>
      </c>
      <c r="C1460">
        <v>2001</v>
      </c>
    </row>
    <row r="1461" spans="1:11" x14ac:dyDescent="0.25">
      <c r="A1461">
        <v>35.8113931388692</v>
      </c>
      <c r="B1461">
        <v>116.49291611951</v>
      </c>
      <c r="C1461">
        <v>2001</v>
      </c>
    </row>
    <row r="1462" spans="1:11" x14ac:dyDescent="0.25">
      <c r="A1462">
        <v>46.5373524876996</v>
      </c>
      <c r="B1462">
        <v>127.21887546834</v>
      </c>
      <c r="C1462">
        <v>2001</v>
      </c>
    </row>
    <row r="1463" spans="1:11" x14ac:dyDescent="0.25">
      <c r="A1463">
        <v>46.974368512148402</v>
      </c>
      <c r="B1463">
        <v>126.781859443892</v>
      </c>
      <c r="C1463">
        <v>2000</v>
      </c>
    </row>
    <row r="1464" spans="1:11" x14ac:dyDescent="0.25">
      <c r="A1464" t="s">
        <v>86</v>
      </c>
    </row>
    <row r="1465" spans="1:11" x14ac:dyDescent="0.25">
      <c r="A1465">
        <v>277</v>
      </c>
      <c r="B1465">
        <v>0</v>
      </c>
      <c r="C1465">
        <v>41.133590139760102</v>
      </c>
      <c r="D1465">
        <v>13.289224805881201</v>
      </c>
      <c r="E1465">
        <v>8</v>
      </c>
      <c r="F1465">
        <v>1.01722196789785</v>
      </c>
      <c r="G1465" t="s">
        <v>84</v>
      </c>
      <c r="H1465" t="s">
        <v>84</v>
      </c>
      <c r="I1465">
        <v>800</v>
      </c>
      <c r="J1465">
        <v>278</v>
      </c>
      <c r="K1465">
        <v>0</v>
      </c>
    </row>
    <row r="1466" spans="1:11" x14ac:dyDescent="0.25">
      <c r="A1466" t="s">
        <v>85</v>
      </c>
    </row>
    <row r="1467" spans="1:11" x14ac:dyDescent="0.25">
      <c r="A1467">
        <v>103.186226431828</v>
      </c>
      <c r="B1467">
        <v>131.07165446182799</v>
      </c>
      <c r="C1467">
        <v>2000</v>
      </c>
    </row>
    <row r="1468" spans="1:11" x14ac:dyDescent="0.25">
      <c r="A1468">
        <v>100.21850801222401</v>
      </c>
      <c r="B1468">
        <v>128.10393604222401</v>
      </c>
      <c r="C1468">
        <v>2000</v>
      </c>
    </row>
    <row r="1469" spans="1:11" x14ac:dyDescent="0.25">
      <c r="A1469">
        <v>74.100385909455795</v>
      </c>
      <c r="B1469">
        <v>101.985813939455</v>
      </c>
      <c r="C1469">
        <v>2000</v>
      </c>
    </row>
    <row r="1470" spans="1:11" x14ac:dyDescent="0.25">
      <c r="A1470">
        <v>73.663369885007</v>
      </c>
      <c r="B1470">
        <v>102.42282996390399</v>
      </c>
      <c r="C1470">
        <v>2001</v>
      </c>
    </row>
    <row r="1471" spans="1:11" x14ac:dyDescent="0.25">
      <c r="A1471">
        <v>99.781491987775595</v>
      </c>
      <c r="B1471">
        <v>128.54095206667299</v>
      </c>
      <c r="C1471">
        <v>2001</v>
      </c>
    </row>
    <row r="1472" spans="1:11" x14ac:dyDescent="0.25">
      <c r="A1472">
        <v>102.749210407379</v>
      </c>
      <c r="B1472">
        <v>131.508670486277</v>
      </c>
      <c r="C1472">
        <v>2001</v>
      </c>
    </row>
    <row r="1473" spans="1:11" x14ac:dyDescent="0.25">
      <c r="A1473">
        <v>112.14611138433099</v>
      </c>
      <c r="B1473">
        <v>140.905571463228</v>
      </c>
      <c r="C1473">
        <v>2001</v>
      </c>
    </row>
    <row r="1474" spans="1:11" x14ac:dyDescent="0.25">
      <c r="A1474">
        <v>112.58312740877901</v>
      </c>
      <c r="B1474">
        <v>140.46855543877899</v>
      </c>
      <c r="C1474">
        <v>2000</v>
      </c>
    </row>
    <row r="1475" spans="1:11" x14ac:dyDescent="0.25">
      <c r="A1475" t="s">
        <v>86</v>
      </c>
    </row>
    <row r="1476" spans="1:11" x14ac:dyDescent="0.25">
      <c r="A1476">
        <v>271</v>
      </c>
      <c r="B1476">
        <v>0</v>
      </c>
      <c r="C1476">
        <v>45.655627890786697</v>
      </c>
      <c r="D1476">
        <v>8.0111310703061598</v>
      </c>
      <c r="E1476">
        <v>8</v>
      </c>
      <c r="F1476">
        <v>1.01722196789785</v>
      </c>
      <c r="G1476" t="s">
        <v>84</v>
      </c>
      <c r="H1476" t="s">
        <v>84</v>
      </c>
      <c r="I1476">
        <v>679</v>
      </c>
      <c r="J1476">
        <v>262</v>
      </c>
      <c r="K1476">
        <v>0</v>
      </c>
    </row>
    <row r="1477" spans="1:11" x14ac:dyDescent="0.25">
      <c r="A1477" t="s">
        <v>85</v>
      </c>
    </row>
    <row r="1478" spans="1:11" x14ac:dyDescent="0.25">
      <c r="A1478">
        <v>136.16472664016999</v>
      </c>
      <c r="B1478">
        <v>109.062935016617</v>
      </c>
      <c r="C1478">
        <v>2000</v>
      </c>
    </row>
    <row r="1479" spans="1:11" x14ac:dyDescent="0.25">
      <c r="A1479">
        <v>126.883283611328</v>
      </c>
      <c r="B1479">
        <v>99.781491987775595</v>
      </c>
      <c r="C1479">
        <v>2000</v>
      </c>
    </row>
    <row r="1480" spans="1:11" x14ac:dyDescent="0.25">
      <c r="A1480">
        <v>103.881322559265</v>
      </c>
      <c r="B1480">
        <v>76.779530935712501</v>
      </c>
      <c r="C1480">
        <v>2000</v>
      </c>
    </row>
    <row r="1481" spans="1:11" x14ac:dyDescent="0.25">
      <c r="A1481">
        <v>103.44430653481599</v>
      </c>
      <c r="B1481">
        <v>77.216546960161295</v>
      </c>
      <c r="C1481">
        <v>2001</v>
      </c>
    </row>
    <row r="1482" spans="1:11" x14ac:dyDescent="0.25">
      <c r="A1482">
        <v>126.446267586879</v>
      </c>
      <c r="B1482">
        <v>100.21850801222401</v>
      </c>
      <c r="C1482">
        <v>2001</v>
      </c>
    </row>
    <row r="1483" spans="1:11" x14ac:dyDescent="0.25">
      <c r="A1483">
        <v>135.72771061572101</v>
      </c>
      <c r="B1483">
        <v>109.499951041066</v>
      </c>
      <c r="C1483">
        <v>2001</v>
      </c>
    </row>
    <row r="1484" spans="1:11" x14ac:dyDescent="0.25">
      <c r="A1484">
        <v>141.39243572050901</v>
      </c>
      <c r="B1484">
        <v>115.164676145854</v>
      </c>
      <c r="C1484">
        <v>2001</v>
      </c>
    </row>
    <row r="1485" spans="1:11" x14ac:dyDescent="0.25">
      <c r="A1485">
        <v>141.82945174495799</v>
      </c>
      <c r="B1485">
        <v>114.72766012140499</v>
      </c>
      <c r="C1485">
        <v>2000</v>
      </c>
    </row>
    <row r="1486" spans="1:11" x14ac:dyDescent="0.25">
      <c r="A1486" t="s">
        <v>86</v>
      </c>
    </row>
    <row r="1487" spans="1:11" x14ac:dyDescent="0.25">
      <c r="A1487">
        <v>105</v>
      </c>
      <c r="B1487">
        <v>0</v>
      </c>
      <c r="C1487">
        <v>20.5082388130967</v>
      </c>
      <c r="D1487">
        <v>32.645961729986603</v>
      </c>
      <c r="E1487">
        <v>8</v>
      </c>
      <c r="F1487">
        <v>1.01722196789785</v>
      </c>
      <c r="G1487" t="s">
        <v>84</v>
      </c>
      <c r="H1487" t="s">
        <v>84</v>
      </c>
      <c r="I1487">
        <v>91</v>
      </c>
      <c r="J1487">
        <v>167</v>
      </c>
      <c r="K1487">
        <v>0</v>
      </c>
    </row>
    <row r="1488" spans="1:11" x14ac:dyDescent="0.25">
      <c r="A1488" t="s">
        <v>85</v>
      </c>
    </row>
    <row r="1489" spans="1:11" x14ac:dyDescent="0.25">
      <c r="A1489">
        <v>17.359651396688701</v>
      </c>
      <c r="B1489">
        <v>87.110768000176705</v>
      </c>
      <c r="C1489">
        <v>2000</v>
      </c>
    </row>
    <row r="1490" spans="1:11" x14ac:dyDescent="0.25">
      <c r="A1490">
        <v>2.8581366617547901</v>
      </c>
      <c r="B1490">
        <v>72.609253265242899</v>
      </c>
      <c r="C1490">
        <v>2000</v>
      </c>
    </row>
    <row r="1491" spans="1:11" x14ac:dyDescent="0.25">
      <c r="A1491">
        <v>3.2951526862036098</v>
      </c>
      <c r="B1491">
        <v>72.172237240794004</v>
      </c>
      <c r="C1491">
        <v>2001</v>
      </c>
    </row>
    <row r="1492" spans="1:11" x14ac:dyDescent="0.25">
      <c r="A1492">
        <v>17.796667421137499</v>
      </c>
      <c r="B1492">
        <v>86.673751975727896</v>
      </c>
      <c r="C1492">
        <v>2001</v>
      </c>
    </row>
    <row r="1493" spans="1:11" x14ac:dyDescent="0.25">
      <c r="A1493">
        <v>30.904407433185199</v>
      </c>
      <c r="B1493">
        <v>99.781491987775595</v>
      </c>
      <c r="C1493">
        <v>2001</v>
      </c>
    </row>
    <row r="1494" spans="1:11" x14ac:dyDescent="0.25">
      <c r="A1494">
        <v>40.8808483387675</v>
      </c>
      <c r="B1494">
        <v>109.757932893358</v>
      </c>
      <c r="C1494">
        <v>2001</v>
      </c>
    </row>
    <row r="1495" spans="1:11" x14ac:dyDescent="0.25">
      <c r="A1495">
        <v>40.443832314318698</v>
      </c>
      <c r="B1495">
        <v>110.194948917807</v>
      </c>
      <c r="C1495">
        <v>2000</v>
      </c>
    </row>
    <row r="1496" spans="1:11" x14ac:dyDescent="0.25">
      <c r="A1496">
        <v>30.467391408736301</v>
      </c>
      <c r="B1496">
        <v>100.21850801222401</v>
      </c>
      <c r="C1496">
        <v>2000</v>
      </c>
    </row>
    <row r="1497" spans="1:11" x14ac:dyDescent="0.25">
      <c r="A1497" t="s">
        <v>86</v>
      </c>
    </row>
    <row r="1498" spans="1:11" x14ac:dyDescent="0.25">
      <c r="A1498">
        <v>32</v>
      </c>
      <c r="B1498">
        <v>0</v>
      </c>
      <c r="C1498">
        <v>23.985499997281899</v>
      </c>
      <c r="D1498">
        <v>28.6830498352736</v>
      </c>
      <c r="E1498">
        <v>6</v>
      </c>
      <c r="F1498">
        <v>1.01722196789785</v>
      </c>
      <c r="G1498" t="s">
        <v>83</v>
      </c>
      <c r="H1498" t="s">
        <v>84</v>
      </c>
      <c r="I1498">
        <v>0</v>
      </c>
      <c r="J1498">
        <v>812</v>
      </c>
      <c r="K1498">
        <v>0</v>
      </c>
    </row>
    <row r="1499" spans="1:11" x14ac:dyDescent="0.25">
      <c r="A1499" t="s">
        <v>85</v>
      </c>
    </row>
    <row r="1500" spans="1:11" x14ac:dyDescent="0.25">
      <c r="A1500">
        <v>17.059819252663701</v>
      </c>
      <c r="B1500">
        <v>28.561769229570402</v>
      </c>
      <c r="C1500">
        <v>2000</v>
      </c>
    </row>
    <row r="1501" spans="1:11" x14ac:dyDescent="0.25">
      <c r="A1501">
        <v>0</v>
      </c>
      <c r="B1501">
        <v>11.501949976906699</v>
      </c>
      <c r="C1501">
        <v>2000</v>
      </c>
    </row>
    <row r="1502" spans="1:11" x14ac:dyDescent="0.25">
      <c r="A1502">
        <v>0</v>
      </c>
      <c r="B1502">
        <v>12.375982025804401</v>
      </c>
      <c r="C1502">
        <v>2001</v>
      </c>
    </row>
    <row r="1503" spans="1:11" x14ac:dyDescent="0.25">
      <c r="A1503">
        <v>16.860800143792201</v>
      </c>
      <c r="B1503">
        <v>29.236782169596601</v>
      </c>
      <c r="C1503">
        <v>2001</v>
      </c>
    </row>
    <row r="1504" spans="1:11" x14ac:dyDescent="0.25">
      <c r="A1504">
        <v>37.023780729637203</v>
      </c>
      <c r="B1504">
        <v>49.3997627554416</v>
      </c>
      <c r="C1504">
        <v>2001</v>
      </c>
    </row>
    <row r="1505" spans="1:11" x14ac:dyDescent="0.25">
      <c r="A1505">
        <v>37.460796754085997</v>
      </c>
      <c r="B1505">
        <v>48.962746730992698</v>
      </c>
      <c r="C1505">
        <v>2000</v>
      </c>
    </row>
    <row r="1506" spans="1:11" x14ac:dyDescent="0.25">
      <c r="A1506" t="s">
        <v>86</v>
      </c>
    </row>
    <row r="1507" spans="1:11" x14ac:dyDescent="0.25">
      <c r="A1507">
        <v>183</v>
      </c>
      <c r="B1507">
        <v>0</v>
      </c>
      <c r="C1507">
        <v>51.347308939806197</v>
      </c>
      <c r="D1507">
        <v>1.27179188555733</v>
      </c>
      <c r="E1507">
        <v>8</v>
      </c>
      <c r="F1507">
        <v>1.01722196789785</v>
      </c>
      <c r="G1507" t="s">
        <v>84</v>
      </c>
      <c r="H1507" t="s">
        <v>84</v>
      </c>
      <c r="I1507">
        <v>97</v>
      </c>
      <c r="J1507">
        <v>197</v>
      </c>
      <c r="K1507">
        <v>0</v>
      </c>
    </row>
    <row r="1508" spans="1:11" x14ac:dyDescent="0.25">
      <c r="A1508" t="s">
        <v>85</v>
      </c>
    </row>
    <row r="1509" spans="1:11" x14ac:dyDescent="0.25">
      <c r="A1509">
        <v>46.521394228810003</v>
      </c>
      <c r="B1509">
        <v>122.77233036270501</v>
      </c>
      <c r="C1509">
        <v>2000</v>
      </c>
    </row>
    <row r="1510" spans="1:11" x14ac:dyDescent="0.25">
      <c r="A1510">
        <v>23.967571878329402</v>
      </c>
      <c r="B1510">
        <v>100.21850801222401</v>
      </c>
      <c r="C1510">
        <v>2000</v>
      </c>
    </row>
    <row r="1511" spans="1:11" x14ac:dyDescent="0.25">
      <c r="A1511">
        <v>10.2133638817924</v>
      </c>
      <c r="B1511">
        <v>86.4643000156873</v>
      </c>
      <c r="C1511">
        <v>2000</v>
      </c>
    </row>
    <row r="1512" spans="1:11" x14ac:dyDescent="0.25">
      <c r="A1512">
        <v>10.6503799062412</v>
      </c>
      <c r="B1512">
        <v>86.027283991238505</v>
      </c>
      <c r="C1512">
        <v>2001</v>
      </c>
    </row>
    <row r="1513" spans="1:11" x14ac:dyDescent="0.25">
      <c r="A1513">
        <v>24.404587902778299</v>
      </c>
      <c r="B1513">
        <v>99.781491987775595</v>
      </c>
      <c r="C1513">
        <v>2001</v>
      </c>
    </row>
    <row r="1514" spans="1:11" x14ac:dyDescent="0.25">
      <c r="A1514">
        <v>46.958410253258798</v>
      </c>
      <c r="B1514">
        <v>122.335314338256</v>
      </c>
      <c r="C1514">
        <v>2001</v>
      </c>
    </row>
    <row r="1515" spans="1:11" x14ac:dyDescent="0.25">
      <c r="A1515">
        <v>47.857702919794399</v>
      </c>
      <c r="B1515">
        <v>123.234607004792</v>
      </c>
      <c r="C1515">
        <v>2001</v>
      </c>
    </row>
    <row r="1516" spans="1:11" x14ac:dyDescent="0.25">
      <c r="A1516">
        <v>47.420686895345597</v>
      </c>
      <c r="B1516">
        <v>123.671623029241</v>
      </c>
      <c r="C1516">
        <v>2000</v>
      </c>
    </row>
    <row r="1517" spans="1:11" x14ac:dyDescent="0.25">
      <c r="A1517" t="s">
        <v>86</v>
      </c>
    </row>
    <row r="1518" spans="1:11" x14ac:dyDescent="0.25">
      <c r="A1518">
        <v>794</v>
      </c>
      <c r="B1518">
        <v>0</v>
      </c>
      <c r="C1518">
        <v>43.515571996969598</v>
      </c>
      <c r="D1518">
        <v>8.8142756479010096</v>
      </c>
      <c r="E1518">
        <v>8</v>
      </c>
      <c r="F1518">
        <v>1.01722196789785</v>
      </c>
      <c r="G1518" t="s">
        <v>83</v>
      </c>
      <c r="H1518" t="s">
        <v>84</v>
      </c>
      <c r="I1518">
        <v>0</v>
      </c>
      <c r="J1518">
        <v>804</v>
      </c>
      <c r="K1518">
        <v>9.6846384952709502E-2</v>
      </c>
    </row>
    <row r="1519" spans="1:11" x14ac:dyDescent="0.25">
      <c r="A1519" t="s">
        <v>85</v>
      </c>
    </row>
    <row r="1520" spans="1:11" x14ac:dyDescent="0.25">
      <c r="A1520">
        <v>107.600807682897</v>
      </c>
      <c r="B1520">
        <v>30.964000965449099</v>
      </c>
      <c r="C1520">
        <v>2000</v>
      </c>
    </row>
    <row r="1521" spans="1:11" x14ac:dyDescent="0.25">
      <c r="A1521">
        <v>99.725789565910901</v>
      </c>
      <c r="B1521">
        <v>23.088982848462901</v>
      </c>
      <c r="C1521">
        <v>2000</v>
      </c>
    </row>
    <row r="1522" spans="1:11" x14ac:dyDescent="0.25">
      <c r="A1522">
        <v>76.636806717447897</v>
      </c>
      <c r="B1522">
        <v>0</v>
      </c>
      <c r="C1522">
        <v>2000</v>
      </c>
    </row>
    <row r="1523" spans="1:11" x14ac:dyDescent="0.25">
      <c r="A1523">
        <v>77.5108387663456</v>
      </c>
      <c r="B1523">
        <v>0</v>
      </c>
      <c r="C1523">
        <v>2001</v>
      </c>
    </row>
    <row r="1524" spans="1:11" x14ac:dyDescent="0.25">
      <c r="A1524">
        <v>100.274210434089</v>
      </c>
      <c r="B1524">
        <v>22.763371667743499</v>
      </c>
      <c r="C1524">
        <v>2001</v>
      </c>
    </row>
    <row r="1525" spans="1:11" x14ac:dyDescent="0.25">
      <c r="A1525">
        <v>108.087149893434</v>
      </c>
      <c r="B1525">
        <v>30.576311127088101</v>
      </c>
      <c r="C1525">
        <v>2001</v>
      </c>
    </row>
    <row r="1526" spans="1:11" x14ac:dyDescent="0.25">
      <c r="A1526">
        <v>114.29512088226799</v>
      </c>
      <c r="B1526">
        <v>36.784282115922402</v>
      </c>
      <c r="C1526">
        <v>2001</v>
      </c>
    </row>
    <row r="1527" spans="1:11" x14ac:dyDescent="0.25">
      <c r="A1527">
        <v>113.858104857819</v>
      </c>
      <c r="B1527">
        <v>37.221298140371303</v>
      </c>
      <c r="C1527">
        <v>2000</v>
      </c>
    </row>
    <row r="1528" spans="1:11" x14ac:dyDescent="0.25">
      <c r="A1528" t="s">
        <v>86</v>
      </c>
    </row>
    <row r="1529" spans="1:11" x14ac:dyDescent="0.25">
      <c r="A1529">
        <v>114</v>
      </c>
      <c r="B1529">
        <v>0</v>
      </c>
      <c r="C1529">
        <v>27.2068120795923</v>
      </c>
      <c r="D1529">
        <v>24.822591331710001</v>
      </c>
      <c r="E1529">
        <v>8</v>
      </c>
      <c r="F1529">
        <v>1.01722196789785</v>
      </c>
      <c r="G1529" t="s">
        <v>83</v>
      </c>
      <c r="H1529" t="s">
        <v>84</v>
      </c>
      <c r="I1529">
        <v>0</v>
      </c>
      <c r="J1529">
        <v>163</v>
      </c>
      <c r="K1529">
        <v>0</v>
      </c>
    </row>
    <row r="1530" spans="1:11" x14ac:dyDescent="0.25">
      <c r="A1530" t="s">
        <v>85</v>
      </c>
    </row>
    <row r="1531" spans="1:11" x14ac:dyDescent="0.25">
      <c r="A1531">
        <v>19.367908703038399</v>
      </c>
      <c r="B1531">
        <v>86.541892931296104</v>
      </c>
      <c r="C1531">
        <v>2000</v>
      </c>
    </row>
    <row r="1532" spans="1:11" x14ac:dyDescent="0.25">
      <c r="A1532">
        <v>0</v>
      </c>
      <c r="B1532">
        <v>67.173984228257694</v>
      </c>
      <c r="C1532">
        <v>2000</v>
      </c>
    </row>
    <row r="1533" spans="1:11" x14ac:dyDescent="0.25">
      <c r="A1533">
        <v>0</v>
      </c>
      <c r="B1533">
        <v>68.048016277155298</v>
      </c>
      <c r="C1533">
        <v>2001</v>
      </c>
    </row>
    <row r="1534" spans="1:11" x14ac:dyDescent="0.25">
      <c r="A1534">
        <v>19.108333928857199</v>
      </c>
      <c r="B1534">
        <v>87.156350206012505</v>
      </c>
      <c r="C1534">
        <v>2001</v>
      </c>
    </row>
    <row r="1535" spans="1:11" x14ac:dyDescent="0.25">
      <c r="A1535">
        <v>32.170491735069099</v>
      </c>
      <c r="B1535">
        <v>100.21850801222401</v>
      </c>
      <c r="C1535">
        <v>2001</v>
      </c>
    </row>
    <row r="1536" spans="1:11" x14ac:dyDescent="0.25">
      <c r="A1536">
        <v>36.571835960997902</v>
      </c>
      <c r="B1536">
        <v>104.619852238153</v>
      </c>
      <c r="C1536">
        <v>2001</v>
      </c>
    </row>
    <row r="1537" spans="1:11" x14ac:dyDescent="0.25">
      <c r="A1537">
        <v>37.008851985446803</v>
      </c>
      <c r="B1537">
        <v>104.18283621370399</v>
      </c>
      <c r="C1537">
        <v>2000</v>
      </c>
    </row>
    <row r="1538" spans="1:11" x14ac:dyDescent="0.25">
      <c r="A1538">
        <v>32.607507759517901</v>
      </c>
      <c r="B1538">
        <v>99.781491987775595</v>
      </c>
      <c r="C1538">
        <v>2000</v>
      </c>
    </row>
    <row r="1539" spans="1:11" x14ac:dyDescent="0.25">
      <c r="A1539" t="s">
        <v>86</v>
      </c>
    </row>
    <row r="1540" spans="1:11" x14ac:dyDescent="0.25">
      <c r="A1540">
        <v>722</v>
      </c>
      <c r="B1540">
        <v>0</v>
      </c>
      <c r="C1540">
        <v>43.880131996391398</v>
      </c>
      <c r="D1540">
        <v>8.0440660815066405</v>
      </c>
      <c r="E1540">
        <v>8</v>
      </c>
      <c r="F1540">
        <v>1.01722196789785</v>
      </c>
      <c r="G1540" t="s">
        <v>84</v>
      </c>
      <c r="H1540" t="s">
        <v>84</v>
      </c>
      <c r="I1540">
        <v>755</v>
      </c>
      <c r="J1540">
        <v>331</v>
      </c>
      <c r="K1540">
        <v>9.4763910412348204E-2</v>
      </c>
    </row>
    <row r="1541" spans="1:11" x14ac:dyDescent="0.25">
      <c r="A1541" t="s">
        <v>85</v>
      </c>
    </row>
    <row r="1542" spans="1:11" x14ac:dyDescent="0.25">
      <c r="A1542">
        <v>86.010506738917996</v>
      </c>
      <c r="B1542">
        <v>80.848313397187098</v>
      </c>
      <c r="C1542">
        <v>2000</v>
      </c>
    </row>
    <row r="1543" spans="1:11" x14ac:dyDescent="0.25">
      <c r="A1543">
        <v>55.380701353955203</v>
      </c>
      <c r="B1543">
        <v>50.218508012224397</v>
      </c>
      <c r="C1543">
        <v>2000</v>
      </c>
    </row>
    <row r="1544" spans="1:11" x14ac:dyDescent="0.25">
      <c r="A1544">
        <v>54.9825678449088</v>
      </c>
      <c r="B1544">
        <v>49.820374503178002</v>
      </c>
      <c r="C1544">
        <v>2000</v>
      </c>
    </row>
    <row r="1545" spans="1:11" x14ac:dyDescent="0.25">
      <c r="A1545">
        <v>55.419583869357602</v>
      </c>
      <c r="B1545">
        <v>49.3833584787291</v>
      </c>
      <c r="C1545">
        <v>2001</v>
      </c>
    </row>
    <row r="1546" spans="1:11" x14ac:dyDescent="0.25">
      <c r="A1546">
        <v>55.817717378403998</v>
      </c>
      <c r="B1546">
        <v>49.781491987775603</v>
      </c>
      <c r="C1546">
        <v>2001</v>
      </c>
    </row>
    <row r="1547" spans="1:11" x14ac:dyDescent="0.25">
      <c r="A1547">
        <v>86.447522763366806</v>
      </c>
      <c r="B1547">
        <v>80.411297372738304</v>
      </c>
      <c r="C1547">
        <v>2001</v>
      </c>
    </row>
    <row r="1548" spans="1:11" x14ac:dyDescent="0.25">
      <c r="A1548">
        <v>92.135536437912805</v>
      </c>
      <c r="B1548">
        <v>86.099311047284402</v>
      </c>
      <c r="C1548">
        <v>2001</v>
      </c>
    </row>
    <row r="1549" spans="1:11" x14ac:dyDescent="0.25">
      <c r="A1549">
        <v>91.698520413463996</v>
      </c>
      <c r="B1549">
        <v>86.536327071733197</v>
      </c>
      <c r="C1549">
        <v>2000</v>
      </c>
    </row>
    <row r="1550" spans="1:11" x14ac:dyDescent="0.25">
      <c r="A1550" t="s">
        <v>86</v>
      </c>
    </row>
    <row r="1551" spans="1:11" x14ac:dyDescent="0.25">
      <c r="A1551">
        <v>846</v>
      </c>
      <c r="B1551">
        <v>0</v>
      </c>
      <c r="C1551">
        <v>19.266461456858</v>
      </c>
      <c r="D1551">
        <v>32.2976235586558</v>
      </c>
      <c r="E1551">
        <v>8</v>
      </c>
      <c r="F1551">
        <v>1.01722196789785</v>
      </c>
      <c r="G1551" t="s">
        <v>83</v>
      </c>
      <c r="H1551" t="s">
        <v>84</v>
      </c>
      <c r="I1551">
        <v>0</v>
      </c>
      <c r="J1551">
        <v>488</v>
      </c>
      <c r="K1551">
        <v>0.100395727473879</v>
      </c>
    </row>
    <row r="1552" spans="1:11" x14ac:dyDescent="0.25">
      <c r="A1552" t="s">
        <v>85</v>
      </c>
    </row>
    <row r="1553" spans="1:11" x14ac:dyDescent="0.25">
      <c r="A1553">
        <v>80.834968487425002</v>
      </c>
      <c r="B1553">
        <v>13.715200690646499</v>
      </c>
      <c r="C1553">
        <v>2000</v>
      </c>
    </row>
    <row r="1554" spans="1:11" x14ac:dyDescent="0.25">
      <c r="A1554">
        <v>67.119767796778504</v>
      </c>
      <c r="B1554">
        <v>0</v>
      </c>
      <c r="C1554">
        <v>2000</v>
      </c>
    </row>
    <row r="1555" spans="1:11" x14ac:dyDescent="0.25">
      <c r="A1555">
        <v>67.993799845676193</v>
      </c>
      <c r="B1555">
        <v>0</v>
      </c>
      <c r="C1555">
        <v>2001</v>
      </c>
    </row>
    <row r="1556" spans="1:11" x14ac:dyDescent="0.25">
      <c r="A1556">
        <v>81.525490246256695</v>
      </c>
      <c r="B1556">
        <v>13.5316904005805</v>
      </c>
      <c r="C1556">
        <v>2001</v>
      </c>
    </row>
    <row r="1557" spans="1:11" x14ac:dyDescent="0.25">
      <c r="A1557">
        <v>100.21850801222401</v>
      </c>
      <c r="B1557">
        <v>32.224708166548197</v>
      </c>
      <c r="C1557">
        <v>2001</v>
      </c>
    </row>
    <row r="1558" spans="1:11" x14ac:dyDescent="0.25">
      <c r="A1558">
        <v>104.236606013601</v>
      </c>
      <c r="B1558">
        <v>36.242806167925004</v>
      </c>
      <c r="C1558">
        <v>2001</v>
      </c>
    </row>
    <row r="1559" spans="1:11" x14ac:dyDescent="0.25">
      <c r="A1559">
        <v>103.799589989152</v>
      </c>
      <c r="B1559">
        <v>36.679822192373798</v>
      </c>
      <c r="C1559">
        <v>2000</v>
      </c>
    </row>
    <row r="1560" spans="1:11" x14ac:dyDescent="0.25">
      <c r="A1560">
        <v>99.781491987775595</v>
      </c>
      <c r="B1560">
        <v>32.661724190996999</v>
      </c>
      <c r="C1560">
        <v>2000</v>
      </c>
    </row>
    <row r="1561" spans="1:11" x14ac:dyDescent="0.25">
      <c r="A1561" t="s">
        <v>86</v>
      </c>
    </row>
    <row r="1562" spans="1:11" x14ac:dyDescent="0.25">
      <c r="A1562">
        <v>839</v>
      </c>
      <c r="B1562">
        <v>0</v>
      </c>
      <c r="C1562">
        <v>22.108233561961899</v>
      </c>
      <c r="D1562">
        <v>28.819095762890601</v>
      </c>
      <c r="E1562">
        <v>8</v>
      </c>
      <c r="F1562">
        <v>1.01722196789785</v>
      </c>
      <c r="G1562" t="s">
        <v>83</v>
      </c>
      <c r="H1562" t="s">
        <v>84</v>
      </c>
      <c r="I1562">
        <v>0</v>
      </c>
      <c r="J1562">
        <v>90</v>
      </c>
      <c r="K1562">
        <v>9.9556456091539305E-2</v>
      </c>
    </row>
    <row r="1563" spans="1:11" x14ac:dyDescent="0.25">
      <c r="A1563" t="s">
        <v>85</v>
      </c>
    </row>
    <row r="1564" spans="1:11" x14ac:dyDescent="0.25">
      <c r="A1564">
        <v>15.502527425209999</v>
      </c>
      <c r="B1564">
        <v>59.4402493714488</v>
      </c>
      <c r="C1564">
        <v>2000</v>
      </c>
    </row>
    <row r="1565" spans="1:11" x14ac:dyDescent="0.25">
      <c r="A1565">
        <v>6.4084504422416098</v>
      </c>
      <c r="B1565">
        <v>50.346172388480397</v>
      </c>
      <c r="C1565">
        <v>2000</v>
      </c>
    </row>
    <row r="1566" spans="1:11" x14ac:dyDescent="0.25">
      <c r="A1566">
        <v>0</v>
      </c>
      <c r="B1566">
        <v>43.937721946238803</v>
      </c>
      <c r="C1566">
        <v>2000</v>
      </c>
    </row>
    <row r="1567" spans="1:11" x14ac:dyDescent="0.25">
      <c r="A1567">
        <v>0</v>
      </c>
      <c r="B1567">
        <v>43.063689897341199</v>
      </c>
      <c r="C1567">
        <v>2001</v>
      </c>
    </row>
    <row r="1568" spans="1:11" x14ac:dyDescent="0.25">
      <c r="A1568">
        <v>6.5901377141784199</v>
      </c>
      <c r="B1568">
        <v>49.653827611519603</v>
      </c>
      <c r="C1568">
        <v>2001</v>
      </c>
    </row>
    <row r="1569" spans="1:11" x14ac:dyDescent="0.25">
      <c r="A1569">
        <v>15.7632363182286</v>
      </c>
      <c r="B1569">
        <v>58.826926215569799</v>
      </c>
      <c r="C1569">
        <v>2001</v>
      </c>
    </row>
    <row r="1570" spans="1:11" x14ac:dyDescent="0.25">
      <c r="A1570">
        <v>36.229567925548203</v>
      </c>
      <c r="B1570">
        <v>79.293257822889302</v>
      </c>
      <c r="C1570">
        <v>2001</v>
      </c>
    </row>
    <row r="1571" spans="1:11" x14ac:dyDescent="0.25">
      <c r="A1571">
        <v>35.792551901099301</v>
      </c>
      <c r="B1571">
        <v>79.730273847338097</v>
      </c>
      <c r="C1571">
        <v>2000</v>
      </c>
    </row>
    <row r="1572" spans="1:11" x14ac:dyDescent="0.25">
      <c r="A1572" t="s">
        <v>86</v>
      </c>
    </row>
    <row r="1573" spans="1:11" x14ac:dyDescent="0.25">
      <c r="A1573">
        <v>842</v>
      </c>
      <c r="B1573">
        <v>0</v>
      </c>
      <c r="C1573">
        <v>27.1842465581074</v>
      </c>
      <c r="D1573">
        <v>23.523612432597702</v>
      </c>
      <c r="E1573">
        <v>8</v>
      </c>
      <c r="F1573">
        <v>1.01722196789785</v>
      </c>
      <c r="G1573" t="s">
        <v>83</v>
      </c>
      <c r="H1573" t="s">
        <v>84</v>
      </c>
      <c r="I1573">
        <v>0</v>
      </c>
      <c r="J1573">
        <v>742</v>
      </c>
      <c r="K1573">
        <v>9.9772326816260498E-2</v>
      </c>
    </row>
    <row r="1574" spans="1:11" x14ac:dyDescent="0.25">
      <c r="A1574" t="s">
        <v>85</v>
      </c>
    </row>
    <row r="1575" spans="1:11" x14ac:dyDescent="0.25">
      <c r="A1575">
        <v>19.348940497870501</v>
      </c>
      <c r="B1575">
        <v>35.780918144505897</v>
      </c>
      <c r="C1575">
        <v>2000</v>
      </c>
    </row>
    <row r="1576" spans="1:11" x14ac:dyDescent="0.25">
      <c r="A1576">
        <v>0</v>
      </c>
      <c r="B1576">
        <v>16.431977646635499</v>
      </c>
      <c r="C1576">
        <v>2000</v>
      </c>
    </row>
    <row r="1577" spans="1:11" x14ac:dyDescent="0.25">
      <c r="A1577">
        <v>0</v>
      </c>
      <c r="B1577">
        <v>17.306009695533099</v>
      </c>
      <c r="C1577">
        <v>2001</v>
      </c>
    </row>
    <row r="1578" spans="1:11" x14ac:dyDescent="0.25">
      <c r="A1578">
        <v>19.095389667499099</v>
      </c>
      <c r="B1578">
        <v>36.401399363032297</v>
      </c>
      <c r="C1578">
        <v>2001</v>
      </c>
    </row>
    <row r="1579" spans="1:11" x14ac:dyDescent="0.25">
      <c r="A1579">
        <v>32.912498316691298</v>
      </c>
      <c r="B1579">
        <v>50.218508012224397</v>
      </c>
      <c r="C1579">
        <v>2001</v>
      </c>
    </row>
    <row r="1580" spans="1:11" x14ac:dyDescent="0.25">
      <c r="A1580">
        <v>35.6373629395544</v>
      </c>
      <c r="B1580">
        <v>52.943372635087499</v>
      </c>
      <c r="C1580">
        <v>2001</v>
      </c>
    </row>
    <row r="1581" spans="1:11" x14ac:dyDescent="0.25">
      <c r="A1581">
        <v>36.074378964003202</v>
      </c>
      <c r="B1581">
        <v>52.506356610638697</v>
      </c>
      <c r="C1581">
        <v>2000</v>
      </c>
    </row>
    <row r="1582" spans="1:11" x14ac:dyDescent="0.25">
      <c r="A1582">
        <v>33.3495143411401</v>
      </c>
      <c r="B1582">
        <v>49.781491987775603</v>
      </c>
      <c r="C1582">
        <v>2000</v>
      </c>
    </row>
    <row r="1583" spans="1:11" x14ac:dyDescent="0.25">
      <c r="A1583" t="s">
        <v>86</v>
      </c>
    </row>
    <row r="1584" spans="1:11" x14ac:dyDescent="0.25">
      <c r="A1584">
        <v>804</v>
      </c>
      <c r="B1584">
        <v>0</v>
      </c>
      <c r="C1584">
        <v>5.28663240933487</v>
      </c>
      <c r="D1584">
        <v>45.339595372212102</v>
      </c>
      <c r="E1584">
        <v>8</v>
      </c>
      <c r="F1584">
        <v>1.01722196789785</v>
      </c>
      <c r="G1584" t="s">
        <v>84</v>
      </c>
      <c r="H1584" t="s">
        <v>83</v>
      </c>
      <c r="I1584">
        <v>794</v>
      </c>
      <c r="J1584">
        <v>0</v>
      </c>
      <c r="K1584">
        <v>9.7122043571393105E-2</v>
      </c>
    </row>
    <row r="1585" spans="1:11" x14ac:dyDescent="0.25">
      <c r="A1585" t="s">
        <v>85</v>
      </c>
    </row>
    <row r="1586" spans="1:11" x14ac:dyDescent="0.25">
      <c r="A1586">
        <v>118.140352481441</v>
      </c>
      <c r="B1586">
        <v>40.379037395636203</v>
      </c>
      <c r="C1586">
        <v>2000</v>
      </c>
    </row>
    <row r="1587" spans="1:11" x14ac:dyDescent="0.25">
      <c r="A1587">
        <v>114.420359041998</v>
      </c>
      <c r="B1587">
        <v>36.659043956192697</v>
      </c>
      <c r="C1587">
        <v>2000</v>
      </c>
    </row>
    <row r="1588" spans="1:11" x14ac:dyDescent="0.25">
      <c r="A1588">
        <v>113.983343017549</v>
      </c>
      <c r="B1588">
        <v>37.096059980641499</v>
      </c>
      <c r="C1588">
        <v>2001</v>
      </c>
    </row>
    <row r="1589" spans="1:11" x14ac:dyDescent="0.25">
      <c r="A1589">
        <v>117.73977683066801</v>
      </c>
      <c r="B1589">
        <v>40.852493793760502</v>
      </c>
      <c r="C1589">
        <v>2001</v>
      </c>
    </row>
    <row r="1590" spans="1:11" x14ac:dyDescent="0.25">
      <c r="A1590">
        <v>127.169750329902</v>
      </c>
      <c r="B1590">
        <v>50.282467292995001</v>
      </c>
      <c r="C1590">
        <v>2001</v>
      </c>
    </row>
    <row r="1591" spans="1:11" x14ac:dyDescent="0.25">
      <c r="A1591">
        <v>150</v>
      </c>
      <c r="B1591">
        <v>73.112716963092595</v>
      </c>
      <c r="C1591">
        <v>2001</v>
      </c>
    </row>
    <row r="1592" spans="1:11" x14ac:dyDescent="0.25">
      <c r="A1592">
        <v>150</v>
      </c>
      <c r="B1592">
        <v>72.238684914194906</v>
      </c>
      <c r="C1592">
        <v>2000</v>
      </c>
    </row>
    <row r="1593" spans="1:11" x14ac:dyDescent="0.25">
      <c r="A1593">
        <v>127.47884779281</v>
      </c>
      <c r="B1593">
        <v>49.717532707004999</v>
      </c>
      <c r="C1593">
        <v>2000</v>
      </c>
    </row>
    <row r="1594" spans="1:11" x14ac:dyDescent="0.25">
      <c r="A1594" t="s">
        <v>86</v>
      </c>
    </row>
    <row r="1595" spans="1:11" x14ac:dyDescent="0.25">
      <c r="A1595">
        <v>752</v>
      </c>
      <c r="B1595">
        <v>0</v>
      </c>
      <c r="C1595">
        <v>5.1404874901531601</v>
      </c>
      <c r="D1595">
        <v>44.9063796492987</v>
      </c>
      <c r="E1595">
        <v>10</v>
      </c>
      <c r="F1595">
        <v>1.01722196789785</v>
      </c>
      <c r="G1595" t="s">
        <v>84</v>
      </c>
      <c r="H1595" t="s">
        <v>84</v>
      </c>
      <c r="I1595">
        <v>668</v>
      </c>
      <c r="J1595">
        <v>271</v>
      </c>
      <c r="K1595">
        <v>9.5418080883047596E-2</v>
      </c>
    </row>
    <row r="1596" spans="1:11" x14ac:dyDescent="0.25">
      <c r="A1596" t="s">
        <v>85</v>
      </c>
    </row>
    <row r="1597" spans="1:11" x14ac:dyDescent="0.25">
      <c r="A1597">
        <v>71.872246581997103</v>
      </c>
      <c r="B1597">
        <v>45.281395775867203</v>
      </c>
      <c r="C1597">
        <v>2000</v>
      </c>
    </row>
    <row r="1598" spans="1:11" x14ac:dyDescent="0.25">
      <c r="A1598">
        <v>68.237373019105206</v>
      </c>
      <c r="B1598">
        <v>41.646522212975199</v>
      </c>
      <c r="C1598">
        <v>2000</v>
      </c>
    </row>
    <row r="1599" spans="1:11" x14ac:dyDescent="0.25">
      <c r="A1599">
        <v>67.800356994656397</v>
      </c>
      <c r="B1599">
        <v>42.083538237424101</v>
      </c>
      <c r="C1599">
        <v>2001</v>
      </c>
    </row>
    <row r="1600" spans="1:11" x14ac:dyDescent="0.25">
      <c r="A1600">
        <v>71.435230557548294</v>
      </c>
      <c r="B1600">
        <v>45.718411800315998</v>
      </c>
      <c r="C1600">
        <v>2001</v>
      </c>
    </row>
    <row r="1601" spans="1:11" x14ac:dyDescent="0.25">
      <c r="A1601">
        <v>75.935326769456694</v>
      </c>
      <c r="B1601">
        <v>50.218508012224397</v>
      </c>
      <c r="C1601">
        <v>2001</v>
      </c>
    </row>
    <row r="1602" spans="1:11" x14ac:dyDescent="0.25">
      <c r="A1602">
        <v>99.781491987775595</v>
      </c>
      <c r="B1602">
        <v>74.064673230543306</v>
      </c>
      <c r="C1602">
        <v>2001</v>
      </c>
    </row>
    <row r="1603" spans="1:11" x14ac:dyDescent="0.25">
      <c r="A1603">
        <v>103.188836126105</v>
      </c>
      <c r="B1603">
        <v>77.472017368872599</v>
      </c>
      <c r="C1603">
        <v>2001</v>
      </c>
    </row>
    <row r="1604" spans="1:11" x14ac:dyDescent="0.25">
      <c r="A1604">
        <v>103.625852150554</v>
      </c>
      <c r="B1604">
        <v>77.035001344423804</v>
      </c>
      <c r="C1604">
        <v>2000</v>
      </c>
    </row>
    <row r="1605" spans="1:11" x14ac:dyDescent="0.25">
      <c r="A1605">
        <v>100.21850801222401</v>
      </c>
      <c r="B1605">
        <v>73.627657206094497</v>
      </c>
      <c r="C1605">
        <v>2000</v>
      </c>
    </row>
    <row r="1606" spans="1:11" x14ac:dyDescent="0.25">
      <c r="A1606">
        <v>76.372342793905503</v>
      </c>
      <c r="B1606">
        <v>49.781491987775603</v>
      </c>
      <c r="C1606">
        <v>2000</v>
      </c>
    </row>
    <row r="1607" spans="1:11" x14ac:dyDescent="0.25">
      <c r="A1607" t="s">
        <v>86</v>
      </c>
    </row>
    <row r="1608" spans="1:11" x14ac:dyDescent="0.25">
      <c r="A1608">
        <v>769</v>
      </c>
      <c r="B1608">
        <v>0</v>
      </c>
      <c r="C1608">
        <v>9.1009083373547508</v>
      </c>
      <c r="D1608">
        <v>40.5487176107859</v>
      </c>
      <c r="E1608">
        <v>10</v>
      </c>
      <c r="F1608">
        <v>1.01722196789785</v>
      </c>
      <c r="G1608" t="s">
        <v>84</v>
      </c>
      <c r="H1608" t="s">
        <v>84</v>
      </c>
      <c r="I1608">
        <v>39</v>
      </c>
      <c r="J1608">
        <v>349</v>
      </c>
      <c r="K1608">
        <v>9.5989877373728896E-2</v>
      </c>
    </row>
    <row r="1609" spans="1:11" x14ac:dyDescent="0.25">
      <c r="A1609" t="s">
        <v>85</v>
      </c>
    </row>
    <row r="1610" spans="1:11" x14ac:dyDescent="0.25">
      <c r="A1610">
        <v>46.064120882216201</v>
      </c>
      <c r="B1610">
        <v>26.892063961784199</v>
      </c>
      <c r="C1610">
        <v>2000</v>
      </c>
    </row>
    <row r="1611" spans="1:11" x14ac:dyDescent="0.25">
      <c r="A1611">
        <v>39.628806881915402</v>
      </c>
      <c r="B1611">
        <v>20.456749961483499</v>
      </c>
      <c r="C1611">
        <v>2000</v>
      </c>
    </row>
    <row r="1612" spans="1:11" x14ac:dyDescent="0.25">
      <c r="A1612">
        <v>39.1917908574666</v>
      </c>
      <c r="B1612">
        <v>20.893765985932301</v>
      </c>
      <c r="C1612">
        <v>2001</v>
      </c>
    </row>
    <row r="1613" spans="1:11" x14ac:dyDescent="0.25">
      <c r="A1613">
        <v>45.6271048577673</v>
      </c>
      <c r="B1613">
        <v>27.329079986233001</v>
      </c>
      <c r="C1613">
        <v>2001</v>
      </c>
    </row>
    <row r="1614" spans="1:11" x14ac:dyDescent="0.25">
      <c r="A1614">
        <v>49.781491987775603</v>
      </c>
      <c r="B1614">
        <v>31.4834671162413</v>
      </c>
      <c r="C1614">
        <v>2001</v>
      </c>
    </row>
    <row r="1615" spans="1:11" x14ac:dyDescent="0.25">
      <c r="A1615">
        <v>68.5165328837587</v>
      </c>
      <c r="B1615">
        <v>50.218508012224397</v>
      </c>
      <c r="C1615">
        <v>2001</v>
      </c>
    </row>
    <row r="1616" spans="1:11" x14ac:dyDescent="0.25">
      <c r="A1616">
        <v>74.299378048772496</v>
      </c>
      <c r="B1616">
        <v>56.001353177238101</v>
      </c>
      <c r="C1616">
        <v>2001</v>
      </c>
    </row>
    <row r="1617" spans="1:11" x14ac:dyDescent="0.25">
      <c r="A1617">
        <v>74.736394073221305</v>
      </c>
      <c r="B1617">
        <v>55.5643371527893</v>
      </c>
      <c r="C1617">
        <v>2000</v>
      </c>
    </row>
    <row r="1618" spans="1:11" x14ac:dyDescent="0.25">
      <c r="A1618">
        <v>68.953548908207594</v>
      </c>
      <c r="B1618">
        <v>49.781491987775603</v>
      </c>
      <c r="C1618">
        <v>2000</v>
      </c>
    </row>
    <row r="1619" spans="1:11" x14ac:dyDescent="0.25">
      <c r="A1619">
        <v>50.218508012224397</v>
      </c>
      <c r="B1619">
        <v>31.046451091792498</v>
      </c>
      <c r="C1619">
        <v>2000</v>
      </c>
    </row>
    <row r="1620" spans="1:11" x14ac:dyDescent="0.25">
      <c r="A1620" t="s">
        <v>86</v>
      </c>
    </row>
    <row r="1621" spans="1:11" x14ac:dyDescent="0.25">
      <c r="A1621">
        <v>674</v>
      </c>
      <c r="B1621">
        <v>0</v>
      </c>
      <c r="C1621">
        <v>16.343257872830801</v>
      </c>
      <c r="D1621">
        <v>33.306368075309798</v>
      </c>
      <c r="E1621">
        <v>10</v>
      </c>
      <c r="F1621">
        <v>1.01722196789785</v>
      </c>
      <c r="G1621" t="s">
        <v>84</v>
      </c>
      <c r="H1621" t="s">
        <v>84</v>
      </c>
      <c r="I1621">
        <v>39</v>
      </c>
      <c r="J1621">
        <v>349</v>
      </c>
      <c r="K1621">
        <v>0</v>
      </c>
    </row>
    <row r="1622" spans="1:11" x14ac:dyDescent="0.25">
      <c r="A1622" t="s">
        <v>85</v>
      </c>
    </row>
    <row r="1623" spans="1:11" x14ac:dyDescent="0.25">
      <c r="A1623">
        <v>51.841430533599002</v>
      </c>
      <c r="B1623">
        <v>31.356983246918102</v>
      </c>
      <c r="C1623">
        <v>2000</v>
      </c>
    </row>
    <row r="1624" spans="1:11" x14ac:dyDescent="0.25">
      <c r="A1624">
        <v>50.218508012224397</v>
      </c>
      <c r="B1624">
        <v>29.7340607255435</v>
      </c>
      <c r="C1624">
        <v>2000</v>
      </c>
    </row>
    <row r="1625" spans="1:11" x14ac:dyDescent="0.25">
      <c r="A1625">
        <v>40.285002065039897</v>
      </c>
      <c r="B1625">
        <v>19.800554778359</v>
      </c>
      <c r="C1625">
        <v>2000</v>
      </c>
    </row>
    <row r="1626" spans="1:11" x14ac:dyDescent="0.25">
      <c r="A1626">
        <v>39.847986040591103</v>
      </c>
      <c r="B1626">
        <v>20.237570802807799</v>
      </c>
      <c r="C1626">
        <v>2001</v>
      </c>
    </row>
    <row r="1627" spans="1:11" x14ac:dyDescent="0.25">
      <c r="A1627">
        <v>49.781491987775603</v>
      </c>
      <c r="B1627">
        <v>30.171076749992299</v>
      </c>
      <c r="C1627">
        <v>2001</v>
      </c>
    </row>
    <row r="1628" spans="1:11" x14ac:dyDescent="0.25">
      <c r="A1628">
        <v>51.4044145091502</v>
      </c>
      <c r="B1628">
        <v>31.7939992713669</v>
      </c>
      <c r="C1628">
        <v>2001</v>
      </c>
    </row>
    <row r="1629" spans="1:11" x14ac:dyDescent="0.25">
      <c r="A1629">
        <v>69.828923250007705</v>
      </c>
      <c r="B1629">
        <v>50.218508012224397</v>
      </c>
      <c r="C1629">
        <v>2001</v>
      </c>
    </row>
    <row r="1630" spans="1:11" x14ac:dyDescent="0.25">
      <c r="A1630">
        <v>74.955573231896906</v>
      </c>
      <c r="B1630">
        <v>55.345157994113698</v>
      </c>
      <c r="C1630">
        <v>2001</v>
      </c>
    </row>
    <row r="1631" spans="1:11" x14ac:dyDescent="0.25">
      <c r="A1631">
        <v>75.392589256345701</v>
      </c>
      <c r="B1631">
        <v>54.908141969664797</v>
      </c>
      <c r="C1631">
        <v>2000</v>
      </c>
    </row>
    <row r="1632" spans="1:11" x14ac:dyDescent="0.25">
      <c r="A1632">
        <v>70.2659392744565</v>
      </c>
      <c r="B1632">
        <v>49.781491987775603</v>
      </c>
      <c r="C1632">
        <v>2000</v>
      </c>
    </row>
    <row r="1633" spans="1:11" x14ac:dyDescent="0.25">
      <c r="A1633" t="s">
        <v>86</v>
      </c>
    </row>
    <row r="1634" spans="1:11" x14ac:dyDescent="0.25">
      <c r="A1634">
        <v>436</v>
      </c>
      <c r="B1634">
        <v>0</v>
      </c>
      <c r="C1634">
        <v>9.3998931683701006</v>
      </c>
      <c r="D1634">
        <v>39.930111275064299</v>
      </c>
      <c r="E1634">
        <v>6</v>
      </c>
      <c r="F1634">
        <v>1.01722196789785</v>
      </c>
      <c r="G1634" t="s">
        <v>84</v>
      </c>
      <c r="H1634" t="s">
        <v>83</v>
      </c>
      <c r="I1634">
        <v>422</v>
      </c>
      <c r="J1634">
        <v>0</v>
      </c>
      <c r="K1634">
        <v>0</v>
      </c>
    </row>
    <row r="1635" spans="1:11" x14ac:dyDescent="0.25">
      <c r="A1635" t="s">
        <v>85</v>
      </c>
    </row>
    <row r="1636" spans="1:11" x14ac:dyDescent="0.25">
      <c r="A1636">
        <v>66.324639131175701</v>
      </c>
      <c r="B1636">
        <v>121.942018584953</v>
      </c>
      <c r="C1636">
        <v>2000</v>
      </c>
    </row>
    <row r="1637" spans="1:11" x14ac:dyDescent="0.25">
      <c r="A1637">
        <v>59.719547900532</v>
      </c>
      <c r="B1637">
        <v>115.336927354309</v>
      </c>
      <c r="C1637">
        <v>2000</v>
      </c>
    </row>
    <row r="1638" spans="1:11" x14ac:dyDescent="0.25">
      <c r="A1638">
        <v>60.156563924980802</v>
      </c>
      <c r="B1638">
        <v>114.899911329861</v>
      </c>
      <c r="C1638">
        <v>2001</v>
      </c>
    </row>
    <row r="1639" spans="1:11" x14ac:dyDescent="0.25">
      <c r="A1639">
        <v>66.844929097904298</v>
      </c>
      <c r="B1639">
        <v>121.588276502784</v>
      </c>
      <c r="C1639">
        <v>2001</v>
      </c>
    </row>
    <row r="1640" spans="1:11" x14ac:dyDescent="0.25">
      <c r="A1640">
        <v>95.256652595120201</v>
      </c>
      <c r="B1640">
        <v>150</v>
      </c>
      <c r="C1640">
        <v>2001</v>
      </c>
    </row>
    <row r="1641" spans="1:11" x14ac:dyDescent="0.25">
      <c r="A1641">
        <v>94.382620546222597</v>
      </c>
      <c r="B1641">
        <v>150</v>
      </c>
      <c r="C1641">
        <v>2000</v>
      </c>
    </row>
    <row r="1642" spans="1:11" x14ac:dyDescent="0.25">
      <c r="A1642" t="s">
        <v>86</v>
      </c>
    </row>
    <row r="1643" spans="1:11" x14ac:dyDescent="0.25">
      <c r="A1643">
        <v>186</v>
      </c>
      <c r="B1643">
        <v>0</v>
      </c>
      <c r="C1643">
        <v>26.422805853341199</v>
      </c>
      <c r="D1643">
        <v>22.766626242815001</v>
      </c>
      <c r="E1643">
        <v>6</v>
      </c>
      <c r="F1643">
        <v>1.01722196789785</v>
      </c>
      <c r="G1643" t="s">
        <v>83</v>
      </c>
      <c r="H1643" t="s">
        <v>83</v>
      </c>
      <c r="I1643">
        <v>0</v>
      </c>
      <c r="J1643">
        <v>0</v>
      </c>
      <c r="K1643">
        <v>0</v>
      </c>
    </row>
    <row r="1644" spans="1:11" x14ac:dyDescent="0.25">
      <c r="A1644" t="s">
        <v>85</v>
      </c>
    </row>
    <row r="1645" spans="1:11" x14ac:dyDescent="0.25">
      <c r="A1645">
        <v>18.918494594797501</v>
      </c>
      <c r="B1645">
        <v>133.699297572441</v>
      </c>
      <c r="C1645">
        <v>2000</v>
      </c>
    </row>
    <row r="1646" spans="1:11" x14ac:dyDescent="0.25">
      <c r="A1646">
        <v>0</v>
      </c>
      <c r="B1646">
        <v>114.780802977644</v>
      </c>
      <c r="C1646">
        <v>2000</v>
      </c>
    </row>
    <row r="1647" spans="1:11" x14ac:dyDescent="0.25">
      <c r="A1647">
        <v>0</v>
      </c>
      <c r="B1647">
        <v>115.654835026542</v>
      </c>
      <c r="C1647">
        <v>2001</v>
      </c>
    </row>
    <row r="1648" spans="1:11" x14ac:dyDescent="0.25">
      <c r="A1648">
        <v>18.4489957989489</v>
      </c>
      <c r="B1648">
        <v>134.10383082549001</v>
      </c>
      <c r="C1648">
        <v>2001</v>
      </c>
    </row>
    <row r="1649" spans="1:11" x14ac:dyDescent="0.25">
      <c r="A1649">
        <v>34.345164973458502</v>
      </c>
      <c r="B1649">
        <v>150</v>
      </c>
      <c r="C1649">
        <v>2001</v>
      </c>
    </row>
    <row r="1650" spans="1:11" x14ac:dyDescent="0.25">
      <c r="A1650">
        <v>35.219197022356099</v>
      </c>
      <c r="B1650">
        <v>150</v>
      </c>
      <c r="C1650">
        <v>2000</v>
      </c>
    </row>
    <row r="1651" spans="1:11" x14ac:dyDescent="0.25">
      <c r="A1651" t="s">
        <v>86</v>
      </c>
    </row>
    <row r="1652" spans="1:11" x14ac:dyDescent="0.25">
      <c r="A1652">
        <v>430</v>
      </c>
      <c r="B1652">
        <v>0</v>
      </c>
      <c r="C1652">
        <v>10.499018804947699</v>
      </c>
      <c r="D1652">
        <v>38.484123958934703</v>
      </c>
      <c r="E1652">
        <v>8</v>
      </c>
      <c r="F1652">
        <v>1.01722196789785</v>
      </c>
      <c r="G1652" t="s">
        <v>84</v>
      </c>
      <c r="H1652" t="s">
        <v>83</v>
      </c>
      <c r="I1652">
        <v>427</v>
      </c>
      <c r="J1652">
        <v>0</v>
      </c>
      <c r="K1652">
        <v>0</v>
      </c>
    </row>
    <row r="1653" spans="1:11" x14ac:dyDescent="0.25">
      <c r="A1653" t="s">
        <v>85</v>
      </c>
    </row>
    <row r="1654" spans="1:11" x14ac:dyDescent="0.25">
      <c r="A1654">
        <v>74.591825358625599</v>
      </c>
      <c r="B1654">
        <v>122.960099739241</v>
      </c>
      <c r="C1654">
        <v>2000</v>
      </c>
    </row>
    <row r="1655" spans="1:11" x14ac:dyDescent="0.25">
      <c r="A1655">
        <v>67.213921219439001</v>
      </c>
      <c r="B1655">
        <v>115.58219560005401</v>
      </c>
      <c r="C1655">
        <v>2000</v>
      </c>
    </row>
    <row r="1656" spans="1:11" x14ac:dyDescent="0.25">
      <c r="A1656">
        <v>67.650937243887796</v>
      </c>
      <c r="B1656">
        <v>115.14517957560599</v>
      </c>
      <c r="C1656">
        <v>2001</v>
      </c>
    </row>
    <row r="1657" spans="1:11" x14ac:dyDescent="0.25">
      <c r="A1657">
        <v>75.120887890268307</v>
      </c>
      <c r="B1657">
        <v>122.61513022198601</v>
      </c>
      <c r="C1657">
        <v>2001</v>
      </c>
    </row>
    <row r="1658" spans="1:11" x14ac:dyDescent="0.25">
      <c r="A1658">
        <v>100.420404594614</v>
      </c>
      <c r="B1658">
        <v>147.91464692633099</v>
      </c>
      <c r="C1658">
        <v>2001</v>
      </c>
    </row>
    <row r="1659" spans="1:11" x14ac:dyDescent="0.25">
      <c r="A1659">
        <v>102.505757668282</v>
      </c>
      <c r="B1659">
        <v>150</v>
      </c>
      <c r="C1659">
        <v>2001</v>
      </c>
    </row>
    <row r="1660" spans="1:11" x14ac:dyDescent="0.25">
      <c r="A1660">
        <v>101.63172561938499</v>
      </c>
      <c r="B1660">
        <v>150</v>
      </c>
      <c r="C1660">
        <v>2000</v>
      </c>
    </row>
    <row r="1661" spans="1:11" x14ac:dyDescent="0.25">
      <c r="A1661">
        <v>99.579595405386399</v>
      </c>
      <c r="B1661">
        <v>147.947869786002</v>
      </c>
      <c r="C1661">
        <v>2000</v>
      </c>
    </row>
    <row r="1662" spans="1:11" x14ac:dyDescent="0.25">
      <c r="A1662" t="s">
        <v>86</v>
      </c>
    </row>
    <row r="1663" spans="1:11" x14ac:dyDescent="0.25">
      <c r="A1663">
        <v>664</v>
      </c>
      <c r="B1663">
        <v>0</v>
      </c>
      <c r="C1663">
        <v>30.973265461939999</v>
      </c>
      <c r="D1663">
        <v>17.5381821926442</v>
      </c>
      <c r="E1663">
        <v>6</v>
      </c>
      <c r="F1663">
        <v>1.01722196789785</v>
      </c>
      <c r="G1663" t="s">
        <v>83</v>
      </c>
      <c r="H1663" t="s">
        <v>84</v>
      </c>
      <c r="I1663">
        <v>0</v>
      </c>
      <c r="J1663">
        <v>730</v>
      </c>
      <c r="K1663">
        <v>0</v>
      </c>
    </row>
    <row r="1664" spans="1:11" x14ac:dyDescent="0.25">
      <c r="A1664" t="s">
        <v>85</v>
      </c>
    </row>
    <row r="1665" spans="1:11" x14ac:dyDescent="0.25">
      <c r="A1665">
        <v>76.088506039630104</v>
      </c>
      <c r="B1665">
        <v>21.761894505726001</v>
      </c>
      <c r="C1665">
        <v>2000</v>
      </c>
    </row>
    <row r="1666" spans="1:11" x14ac:dyDescent="0.25">
      <c r="A1666">
        <v>54.326611533904099</v>
      </c>
      <c r="B1666">
        <v>0</v>
      </c>
      <c r="C1666">
        <v>2000</v>
      </c>
    </row>
    <row r="1667" spans="1:11" x14ac:dyDescent="0.25">
      <c r="A1667">
        <v>53.452579485006503</v>
      </c>
      <c r="B1667">
        <v>0</v>
      </c>
      <c r="C1667">
        <v>2001</v>
      </c>
    </row>
    <row r="1668" spans="1:11" x14ac:dyDescent="0.25">
      <c r="A1668">
        <v>75.493497066538296</v>
      </c>
      <c r="B1668">
        <v>22.040917581531801</v>
      </c>
      <c r="C1668">
        <v>2001</v>
      </c>
    </row>
    <row r="1669" spans="1:11" x14ac:dyDescent="0.25">
      <c r="A1669">
        <v>87.973861098963695</v>
      </c>
      <c r="B1669">
        <v>34.5212816139572</v>
      </c>
      <c r="C1669">
        <v>2001</v>
      </c>
    </row>
    <row r="1670" spans="1:11" x14ac:dyDescent="0.25">
      <c r="A1670">
        <v>88.410877123412504</v>
      </c>
      <c r="B1670">
        <v>34.084265589508398</v>
      </c>
      <c r="C1670">
        <v>2000</v>
      </c>
    </row>
    <row r="1671" spans="1:11" x14ac:dyDescent="0.25">
      <c r="A1671" t="s">
        <v>86</v>
      </c>
    </row>
    <row r="1672" spans="1:11" x14ac:dyDescent="0.25">
      <c r="A1672">
        <v>440</v>
      </c>
      <c r="B1672">
        <v>0</v>
      </c>
      <c r="C1672">
        <v>45.844147049356003</v>
      </c>
      <c r="D1672">
        <v>2.2410455491275099</v>
      </c>
      <c r="E1672">
        <v>8</v>
      </c>
      <c r="F1672">
        <v>1.01722196789785</v>
      </c>
      <c r="G1672" t="s">
        <v>84</v>
      </c>
      <c r="H1672" t="s">
        <v>83</v>
      </c>
      <c r="I1672">
        <v>427</v>
      </c>
      <c r="J1672">
        <v>0</v>
      </c>
      <c r="K1672">
        <v>0</v>
      </c>
    </row>
    <row r="1673" spans="1:11" x14ac:dyDescent="0.25">
      <c r="A1673" t="s">
        <v>85</v>
      </c>
    </row>
    <row r="1674" spans="1:11" x14ac:dyDescent="0.25">
      <c r="A1674">
        <v>99.538488480115703</v>
      </c>
      <c r="B1674">
        <v>148.302624114076</v>
      </c>
      <c r="C1674">
        <v>2000</v>
      </c>
    </row>
    <row r="1675" spans="1:11" x14ac:dyDescent="0.25">
      <c r="A1675">
        <v>67.015990592766698</v>
      </c>
      <c r="B1675">
        <v>115.78012622672701</v>
      </c>
      <c r="C1675">
        <v>2000</v>
      </c>
    </row>
    <row r="1676" spans="1:11" x14ac:dyDescent="0.25">
      <c r="A1676">
        <v>66.578974568317904</v>
      </c>
      <c r="B1676">
        <v>116.217142251176</v>
      </c>
      <c r="C1676">
        <v>2001</v>
      </c>
    </row>
    <row r="1677" spans="1:11" x14ac:dyDescent="0.25">
      <c r="A1677">
        <v>98.889891193594707</v>
      </c>
      <c r="B1677">
        <v>148.52805887645201</v>
      </c>
      <c r="C1677">
        <v>2001</v>
      </c>
    </row>
    <row r="1678" spans="1:11" x14ac:dyDescent="0.25">
      <c r="A1678">
        <v>99.673136896617905</v>
      </c>
      <c r="B1678">
        <v>149.311304579476</v>
      </c>
      <c r="C1678">
        <v>2001</v>
      </c>
    </row>
    <row r="1679" spans="1:11" x14ac:dyDescent="0.25">
      <c r="A1679">
        <v>100.361832317142</v>
      </c>
      <c r="B1679">
        <v>150</v>
      </c>
      <c r="C1679">
        <v>2001</v>
      </c>
    </row>
    <row r="1680" spans="1:11" x14ac:dyDescent="0.25">
      <c r="A1680">
        <v>101.23586436604</v>
      </c>
      <c r="B1680">
        <v>150</v>
      </c>
      <c r="C1680">
        <v>2000</v>
      </c>
    </row>
    <row r="1681" spans="1:11" x14ac:dyDescent="0.25">
      <c r="A1681">
        <v>100.326863103382</v>
      </c>
      <c r="B1681">
        <v>149.09099873734201</v>
      </c>
      <c r="C1681">
        <v>2000</v>
      </c>
    </row>
    <row r="1682" spans="1:11" x14ac:dyDescent="0.25">
      <c r="A1682" t="s">
        <v>86</v>
      </c>
    </row>
    <row r="1683" spans="1:11" x14ac:dyDescent="0.25">
      <c r="A1683">
        <v>187</v>
      </c>
      <c r="B1683">
        <v>0</v>
      </c>
      <c r="C1683">
        <v>16.5247239089244</v>
      </c>
      <c r="D1683">
        <v>31.288190668530099</v>
      </c>
      <c r="E1683">
        <v>8</v>
      </c>
      <c r="F1683">
        <v>1.01722196789785</v>
      </c>
      <c r="G1683" t="s">
        <v>83</v>
      </c>
      <c r="H1683" t="s">
        <v>84</v>
      </c>
      <c r="I1683">
        <v>0</v>
      </c>
      <c r="J1683">
        <v>439</v>
      </c>
      <c r="K1683">
        <v>0</v>
      </c>
    </row>
    <row r="1684" spans="1:11" x14ac:dyDescent="0.25">
      <c r="A1684" t="s">
        <v>85</v>
      </c>
    </row>
    <row r="1685" spans="1:11" x14ac:dyDescent="0.25">
      <c r="A1685">
        <v>11.8210583231531</v>
      </c>
      <c r="B1685">
        <v>105.184331363257</v>
      </c>
      <c r="C1685">
        <v>2000</v>
      </c>
    </row>
    <row r="1686" spans="1:11" x14ac:dyDescent="0.25">
      <c r="A1686">
        <v>6.3156472772478001</v>
      </c>
      <c r="B1686">
        <v>99.678920317351796</v>
      </c>
      <c r="C1686">
        <v>2000</v>
      </c>
    </row>
    <row r="1687" spans="1:11" x14ac:dyDescent="0.25">
      <c r="A1687">
        <v>0</v>
      </c>
      <c r="B1687">
        <v>93.363273040104005</v>
      </c>
      <c r="C1687">
        <v>2000</v>
      </c>
    </row>
    <row r="1688" spans="1:11" x14ac:dyDescent="0.25">
      <c r="A1688">
        <v>0</v>
      </c>
      <c r="B1688">
        <v>94.237305089001595</v>
      </c>
      <c r="C1688">
        <v>2001</v>
      </c>
    </row>
    <row r="1689" spans="1:11" x14ac:dyDescent="0.25">
      <c r="A1689">
        <v>6.0837745936466199</v>
      </c>
      <c r="B1689">
        <v>100.321079682648</v>
      </c>
      <c r="C1689">
        <v>2001</v>
      </c>
    </row>
    <row r="1690" spans="1:11" x14ac:dyDescent="0.25">
      <c r="A1690">
        <v>11.548430343318699</v>
      </c>
      <c r="B1690">
        <v>105.78573543232</v>
      </c>
      <c r="C1690">
        <v>2001</v>
      </c>
    </row>
    <row r="1691" spans="1:11" x14ac:dyDescent="0.25">
      <c r="A1691">
        <v>33.590328113786803</v>
      </c>
      <c r="B1691">
        <v>127.82763320278799</v>
      </c>
      <c r="C1691">
        <v>2001</v>
      </c>
    </row>
    <row r="1692" spans="1:11" x14ac:dyDescent="0.25">
      <c r="A1692">
        <v>34.027344138235598</v>
      </c>
      <c r="B1692">
        <v>127.39061717833999</v>
      </c>
      <c r="C1692">
        <v>2000</v>
      </c>
    </row>
    <row r="1693" spans="1:11" x14ac:dyDescent="0.25">
      <c r="A1693" t="s">
        <v>86</v>
      </c>
    </row>
    <row r="1694" spans="1:11" x14ac:dyDescent="0.25">
      <c r="A1694">
        <v>200</v>
      </c>
      <c r="B1694">
        <v>0</v>
      </c>
      <c r="C1694">
        <v>18.245251384133699</v>
      </c>
      <c r="D1694">
        <v>29.255672247032699</v>
      </c>
      <c r="E1694">
        <v>6</v>
      </c>
      <c r="F1694">
        <v>1.01722196789785</v>
      </c>
      <c r="G1694" t="s">
        <v>83</v>
      </c>
      <c r="H1694" t="s">
        <v>84</v>
      </c>
      <c r="I1694">
        <v>0</v>
      </c>
      <c r="J1694">
        <v>172</v>
      </c>
      <c r="K1694">
        <v>0</v>
      </c>
    </row>
    <row r="1695" spans="1:11" x14ac:dyDescent="0.25">
      <c r="A1695" t="s">
        <v>85</v>
      </c>
    </row>
    <row r="1696" spans="1:11" x14ac:dyDescent="0.25">
      <c r="A1696">
        <v>12.817411376227099</v>
      </c>
      <c r="B1696">
        <v>117.46975312045301</v>
      </c>
      <c r="C1696">
        <v>2000</v>
      </c>
    </row>
    <row r="1697" spans="1:11" x14ac:dyDescent="0.25">
      <c r="A1697">
        <v>0</v>
      </c>
      <c r="B1697">
        <v>104.65234174422601</v>
      </c>
      <c r="C1697">
        <v>2000</v>
      </c>
    </row>
    <row r="1698" spans="1:11" x14ac:dyDescent="0.25">
      <c r="A1698">
        <v>0</v>
      </c>
      <c r="B1698">
        <v>103.77830969532801</v>
      </c>
      <c r="C1698">
        <v>2001</v>
      </c>
    </row>
    <row r="1699" spans="1:11" x14ac:dyDescent="0.25">
      <c r="A1699">
        <v>12.985270580121201</v>
      </c>
      <c r="B1699">
        <v>116.76358027545</v>
      </c>
      <c r="C1699">
        <v>2001</v>
      </c>
    </row>
    <row r="1700" spans="1:11" x14ac:dyDescent="0.25">
      <c r="A1700">
        <v>33.806733224446504</v>
      </c>
      <c r="B1700">
        <v>137.58504291977499</v>
      </c>
      <c r="C1700">
        <v>2001</v>
      </c>
    </row>
    <row r="1701" spans="1:11" x14ac:dyDescent="0.25">
      <c r="A1701">
        <v>33.369717199997702</v>
      </c>
      <c r="B1701">
        <v>138.022058944224</v>
      </c>
      <c r="C1701">
        <v>2000</v>
      </c>
    </row>
    <row r="1702" spans="1:11" x14ac:dyDescent="0.25">
      <c r="A1702" t="s">
        <v>86</v>
      </c>
    </row>
    <row r="1703" spans="1:11" x14ac:dyDescent="0.25">
      <c r="A1703">
        <v>353</v>
      </c>
      <c r="B1703">
        <v>0</v>
      </c>
      <c r="C1703">
        <v>21.482739696157601</v>
      </c>
      <c r="D1703">
        <v>25.823053498719499</v>
      </c>
      <c r="E1703">
        <v>8</v>
      </c>
      <c r="F1703">
        <v>1.01722196789785</v>
      </c>
      <c r="G1703" t="s">
        <v>84</v>
      </c>
      <c r="H1703" t="s">
        <v>84</v>
      </c>
      <c r="I1703">
        <v>742</v>
      </c>
      <c r="J1703">
        <v>406</v>
      </c>
      <c r="K1703">
        <v>0</v>
      </c>
    </row>
    <row r="1704" spans="1:11" x14ac:dyDescent="0.25">
      <c r="A1704" t="s">
        <v>85</v>
      </c>
    </row>
    <row r="1705" spans="1:11" x14ac:dyDescent="0.25">
      <c r="A1705">
        <v>78.530842191791393</v>
      </c>
      <c r="B1705">
        <v>94.8029928853705</v>
      </c>
      <c r="C1705">
        <v>2000</v>
      </c>
    </row>
    <row r="1706" spans="1:11" x14ac:dyDescent="0.25">
      <c r="A1706">
        <v>63.3402512741729</v>
      </c>
      <c r="B1706">
        <v>79.612401967752007</v>
      </c>
      <c r="C1706">
        <v>2000</v>
      </c>
    </row>
    <row r="1707" spans="1:11" x14ac:dyDescent="0.25">
      <c r="A1707">
        <v>63.777267298621702</v>
      </c>
      <c r="B1707">
        <v>79.175385943303198</v>
      </c>
      <c r="C1707">
        <v>2001</v>
      </c>
    </row>
    <row r="1708" spans="1:11" x14ac:dyDescent="0.25">
      <c r="A1708">
        <v>78.967858216240202</v>
      </c>
      <c r="B1708">
        <v>94.365976860921606</v>
      </c>
      <c r="C1708">
        <v>2001</v>
      </c>
    </row>
    <row r="1709" spans="1:11" x14ac:dyDescent="0.25">
      <c r="A1709">
        <v>84.383373343094107</v>
      </c>
      <c r="B1709">
        <v>99.781491987775595</v>
      </c>
      <c r="C1709">
        <v>2001</v>
      </c>
    </row>
    <row r="1710" spans="1:11" x14ac:dyDescent="0.25">
      <c r="A1710">
        <v>97.227514456127693</v>
      </c>
      <c r="B1710">
        <v>112.625633100809</v>
      </c>
      <c r="C1710">
        <v>2001</v>
      </c>
    </row>
    <row r="1711" spans="1:11" x14ac:dyDescent="0.25">
      <c r="A1711">
        <v>96.790498431678898</v>
      </c>
      <c r="B1711">
        <v>113.06264912525801</v>
      </c>
      <c r="C1711">
        <v>2000</v>
      </c>
    </row>
    <row r="1712" spans="1:11" x14ac:dyDescent="0.25">
      <c r="A1712">
        <v>83.946357318645298</v>
      </c>
      <c r="B1712">
        <v>100.21850801222401</v>
      </c>
      <c r="C1712">
        <v>2000</v>
      </c>
    </row>
    <row r="1713" spans="1:11" x14ac:dyDescent="0.25">
      <c r="A1713" t="s">
        <v>86</v>
      </c>
    </row>
    <row r="1714" spans="1:11" x14ac:dyDescent="0.25">
      <c r="A1714">
        <v>359</v>
      </c>
      <c r="B1714">
        <v>0</v>
      </c>
      <c r="C1714">
        <v>25.783707736327798</v>
      </c>
      <c r="D1714">
        <v>21.4861610883362</v>
      </c>
      <c r="E1714">
        <v>10</v>
      </c>
      <c r="F1714">
        <v>1.01722196789785</v>
      </c>
      <c r="G1714" t="s">
        <v>84</v>
      </c>
      <c r="H1714" t="s">
        <v>84</v>
      </c>
      <c r="I1714">
        <v>88</v>
      </c>
      <c r="J1714">
        <v>421</v>
      </c>
      <c r="K1714">
        <v>0</v>
      </c>
    </row>
    <row r="1715" spans="1:11" x14ac:dyDescent="0.25">
      <c r="A1715" t="s">
        <v>85</v>
      </c>
    </row>
    <row r="1716" spans="1:11" x14ac:dyDescent="0.25">
      <c r="A1716">
        <v>68.010682205670093</v>
      </c>
      <c r="B1716">
        <v>86.423423899539301</v>
      </c>
      <c r="C1716">
        <v>2000</v>
      </c>
    </row>
    <row r="1717" spans="1:11" x14ac:dyDescent="0.25">
      <c r="A1717">
        <v>50.218508012224397</v>
      </c>
      <c r="B1717">
        <v>68.631249706093598</v>
      </c>
      <c r="C1717">
        <v>2000</v>
      </c>
    </row>
    <row r="1718" spans="1:11" x14ac:dyDescent="0.25">
      <c r="A1718">
        <v>49.778847621180702</v>
      </c>
      <c r="B1718">
        <v>68.191589315049896</v>
      </c>
      <c r="C1718">
        <v>2000</v>
      </c>
    </row>
    <row r="1719" spans="1:11" x14ac:dyDescent="0.25">
      <c r="A1719">
        <v>49.3418315967319</v>
      </c>
      <c r="B1719">
        <v>68.628605339498705</v>
      </c>
      <c r="C1719">
        <v>2001</v>
      </c>
    </row>
    <row r="1720" spans="1:11" x14ac:dyDescent="0.25">
      <c r="A1720">
        <v>49.781491987775603</v>
      </c>
      <c r="B1720">
        <v>69.068265730542507</v>
      </c>
      <c r="C1720">
        <v>2001</v>
      </c>
    </row>
    <row r="1721" spans="1:11" x14ac:dyDescent="0.25">
      <c r="A1721">
        <v>67.573666181221299</v>
      </c>
      <c r="B1721">
        <v>86.860439923988096</v>
      </c>
      <c r="C1721">
        <v>2001</v>
      </c>
    </row>
    <row r="1722" spans="1:11" x14ac:dyDescent="0.25">
      <c r="A1722">
        <v>80.931734269457607</v>
      </c>
      <c r="B1722">
        <v>100.21850801222401</v>
      </c>
      <c r="C1722">
        <v>2001</v>
      </c>
    </row>
    <row r="1723" spans="1:11" x14ac:dyDescent="0.25">
      <c r="A1723">
        <v>82.766676388450307</v>
      </c>
      <c r="B1723">
        <v>102.05345013121701</v>
      </c>
      <c r="C1723">
        <v>2001</v>
      </c>
    </row>
    <row r="1724" spans="1:11" x14ac:dyDescent="0.25">
      <c r="A1724">
        <v>83.203692412899102</v>
      </c>
      <c r="B1724">
        <v>101.616434106768</v>
      </c>
      <c r="C1724">
        <v>2000</v>
      </c>
    </row>
    <row r="1725" spans="1:11" x14ac:dyDescent="0.25">
      <c r="A1725">
        <v>81.368750293906402</v>
      </c>
      <c r="B1725">
        <v>99.781491987775595</v>
      </c>
      <c r="C1725">
        <v>2000</v>
      </c>
    </row>
    <row r="1726" spans="1:11" x14ac:dyDescent="0.25">
      <c r="A1726" t="s">
        <v>86</v>
      </c>
    </row>
    <row r="1727" spans="1:11" x14ac:dyDescent="0.25">
      <c r="A1727">
        <v>772</v>
      </c>
      <c r="B1727">
        <v>0</v>
      </c>
      <c r="C1727">
        <v>29.8450566540231</v>
      </c>
      <c r="D1727">
        <v>17.2707715967904</v>
      </c>
      <c r="E1727">
        <v>8</v>
      </c>
      <c r="F1727">
        <v>1.01722196789785</v>
      </c>
      <c r="G1727" t="s">
        <v>84</v>
      </c>
      <c r="H1727" t="s">
        <v>83</v>
      </c>
      <c r="I1727">
        <v>678</v>
      </c>
      <c r="J1727">
        <v>0</v>
      </c>
      <c r="K1727">
        <v>9.5989877373728896E-2</v>
      </c>
    </row>
    <row r="1728" spans="1:11" x14ac:dyDescent="0.25">
      <c r="A1728" t="s">
        <v>85</v>
      </c>
    </row>
    <row r="1729" spans="1:11" x14ac:dyDescent="0.25">
      <c r="A1729">
        <v>137.68488670265199</v>
      </c>
      <c r="B1729">
        <v>64.071411016884298</v>
      </c>
      <c r="C1729">
        <v>2000</v>
      </c>
    </row>
    <row r="1730" spans="1:11" x14ac:dyDescent="0.25">
      <c r="A1730">
        <v>123.831983697993</v>
      </c>
      <c r="B1730">
        <v>50.218508012224397</v>
      </c>
      <c r="C1730">
        <v>2000</v>
      </c>
    </row>
    <row r="1731" spans="1:11" x14ac:dyDescent="0.25">
      <c r="A1731">
        <v>116.465570330405</v>
      </c>
      <c r="B1731">
        <v>42.852094644636502</v>
      </c>
      <c r="C1731">
        <v>2000</v>
      </c>
    </row>
    <row r="1732" spans="1:11" x14ac:dyDescent="0.25">
      <c r="A1732">
        <v>116.902586354853</v>
      </c>
      <c r="B1732">
        <v>42.4150786201877</v>
      </c>
      <c r="C1732">
        <v>2001</v>
      </c>
    </row>
    <row r="1733" spans="1:11" x14ac:dyDescent="0.25">
      <c r="A1733">
        <v>124.268999722441</v>
      </c>
      <c r="B1733">
        <v>49.781491987775603</v>
      </c>
      <c r="C1733">
        <v>2001</v>
      </c>
    </row>
    <row r="1734" spans="1:11" x14ac:dyDescent="0.25">
      <c r="A1734">
        <v>137.89055387251901</v>
      </c>
      <c r="B1734">
        <v>63.403046137852698</v>
      </c>
      <c r="C1734">
        <v>2001</v>
      </c>
    </row>
    <row r="1735" spans="1:11" x14ac:dyDescent="0.25">
      <c r="A1735">
        <v>150</v>
      </c>
      <c r="B1735">
        <v>75.512492265334203</v>
      </c>
      <c r="C1735">
        <v>2001</v>
      </c>
    </row>
    <row r="1736" spans="1:11" x14ac:dyDescent="0.25">
      <c r="A1736">
        <v>150</v>
      </c>
      <c r="B1736">
        <v>76.386524314231806</v>
      </c>
      <c r="C1736">
        <v>2000</v>
      </c>
    </row>
    <row r="1737" spans="1:11" x14ac:dyDescent="0.25">
      <c r="A1737" t="s">
        <v>86</v>
      </c>
    </row>
    <row r="1738" spans="1:11" x14ac:dyDescent="0.25">
      <c r="A1738">
        <v>773</v>
      </c>
      <c r="B1738">
        <v>0</v>
      </c>
      <c r="C1738">
        <v>44.841019918991996</v>
      </c>
      <c r="D1738">
        <v>2.1208462603315898</v>
      </c>
      <c r="E1738">
        <v>6</v>
      </c>
      <c r="F1738">
        <v>1.01722196789785</v>
      </c>
      <c r="G1738" t="s">
        <v>83</v>
      </c>
      <c r="H1738" t="s">
        <v>83</v>
      </c>
      <c r="I1738">
        <v>0</v>
      </c>
      <c r="J1738">
        <v>0</v>
      </c>
      <c r="K1738">
        <v>9.5989877373728896E-2</v>
      </c>
    </row>
    <row r="1739" spans="1:11" x14ac:dyDescent="0.25">
      <c r="A1739" t="s">
        <v>85</v>
      </c>
    </row>
    <row r="1740" spans="1:11" x14ac:dyDescent="0.25">
      <c r="A1740">
        <v>148.520071321377</v>
      </c>
      <c r="B1740">
        <v>31.290109329502599</v>
      </c>
      <c r="C1740">
        <v>2000</v>
      </c>
    </row>
    <row r="1741" spans="1:11" x14ac:dyDescent="0.25">
      <c r="A1741">
        <v>117.22996199187401</v>
      </c>
      <c r="B1741">
        <v>0</v>
      </c>
      <c r="C1741">
        <v>2000</v>
      </c>
    </row>
    <row r="1742" spans="1:11" x14ac:dyDescent="0.25">
      <c r="A1742">
        <v>116.355929942976</v>
      </c>
      <c r="B1742">
        <v>0</v>
      </c>
      <c r="C1742">
        <v>2001</v>
      </c>
    </row>
    <row r="1743" spans="1:11" x14ac:dyDescent="0.25">
      <c r="A1743">
        <v>148.48059913355399</v>
      </c>
      <c r="B1743">
        <v>32.124669190577997</v>
      </c>
      <c r="C1743">
        <v>2001</v>
      </c>
    </row>
    <row r="1744" spans="1:11" x14ac:dyDescent="0.25">
      <c r="A1744">
        <v>150</v>
      </c>
      <c r="B1744">
        <v>33.644070057023697</v>
      </c>
      <c r="C1744">
        <v>2001</v>
      </c>
    </row>
    <row r="1745" spans="1:11" x14ac:dyDescent="0.25">
      <c r="A1745">
        <v>150</v>
      </c>
      <c r="B1745">
        <v>32.7700380081261</v>
      </c>
      <c r="C1745">
        <v>2000</v>
      </c>
    </row>
    <row r="1746" spans="1:11" x14ac:dyDescent="0.25">
      <c r="A1746" t="s">
        <v>86</v>
      </c>
    </row>
    <row r="1747" spans="1:11" x14ac:dyDescent="0.25">
      <c r="A1747">
        <v>818</v>
      </c>
      <c r="B1747">
        <v>0</v>
      </c>
      <c r="C1747">
        <v>38.0249784300945</v>
      </c>
      <c r="D1747">
        <v>8.9263739582459998</v>
      </c>
      <c r="E1747">
        <v>8</v>
      </c>
      <c r="F1747">
        <v>1.01722196789785</v>
      </c>
      <c r="G1747" t="s">
        <v>83</v>
      </c>
      <c r="H1747" t="s">
        <v>84</v>
      </c>
      <c r="I1747">
        <v>0</v>
      </c>
      <c r="J1747">
        <v>668</v>
      </c>
      <c r="K1747">
        <v>9.7654513304302804E-2</v>
      </c>
    </row>
    <row r="1748" spans="1:11" x14ac:dyDescent="0.25">
      <c r="A1748" t="s">
        <v>85</v>
      </c>
    </row>
    <row r="1749" spans="1:11" x14ac:dyDescent="0.25">
      <c r="A1749">
        <v>52.691506077259099</v>
      </c>
      <c r="B1749">
        <v>26.683591444705598</v>
      </c>
      <c r="C1749">
        <v>2000</v>
      </c>
    </row>
    <row r="1750" spans="1:11" x14ac:dyDescent="0.25">
      <c r="A1750">
        <v>50.238488430244303</v>
      </c>
      <c r="B1750">
        <v>24.230573797690798</v>
      </c>
      <c r="C1750">
        <v>2000</v>
      </c>
    </row>
    <row r="1751" spans="1:11" x14ac:dyDescent="0.25">
      <c r="A1751">
        <v>26.007914632553501</v>
      </c>
      <c r="B1751">
        <v>0</v>
      </c>
      <c r="C1751">
        <v>2000</v>
      </c>
    </row>
    <row r="1752" spans="1:11" x14ac:dyDescent="0.25">
      <c r="A1752">
        <v>25.1338825836559</v>
      </c>
      <c r="B1752">
        <v>0</v>
      </c>
      <c r="C1752">
        <v>2001</v>
      </c>
    </row>
    <row r="1753" spans="1:11" x14ac:dyDescent="0.25">
      <c r="A1753">
        <v>49.761511569755697</v>
      </c>
      <c r="B1753">
        <v>24.627628986099801</v>
      </c>
      <c r="C1753">
        <v>2001</v>
      </c>
    </row>
    <row r="1754" spans="1:11" x14ac:dyDescent="0.25">
      <c r="A1754">
        <v>52.225731343734303</v>
      </c>
      <c r="B1754">
        <v>27.091848760078399</v>
      </c>
      <c r="C1754">
        <v>2001</v>
      </c>
    </row>
    <row r="1755" spans="1:11" x14ac:dyDescent="0.25">
      <c r="A1755">
        <v>58.552010255555103</v>
      </c>
      <c r="B1755">
        <v>33.4181276718992</v>
      </c>
      <c r="C1755">
        <v>2001</v>
      </c>
    </row>
    <row r="1756" spans="1:11" x14ac:dyDescent="0.25">
      <c r="A1756">
        <v>58.989026280003898</v>
      </c>
      <c r="B1756">
        <v>32.981111647450398</v>
      </c>
      <c r="C1756">
        <v>2000</v>
      </c>
    </row>
    <row r="1757" spans="1:11" x14ac:dyDescent="0.25">
      <c r="A1757" t="s">
        <v>86</v>
      </c>
    </row>
    <row r="1758" spans="1:11" x14ac:dyDescent="0.25">
      <c r="A1758">
        <v>802</v>
      </c>
      <c r="B1758">
        <v>0</v>
      </c>
      <c r="C1758">
        <v>1.9247621140556701</v>
      </c>
      <c r="D1758">
        <v>44.5709560838947</v>
      </c>
      <c r="E1758">
        <v>10</v>
      </c>
      <c r="F1758">
        <v>1.01722196789785</v>
      </c>
      <c r="G1758" t="s">
        <v>84</v>
      </c>
      <c r="H1758" t="s">
        <v>84</v>
      </c>
      <c r="I1758">
        <v>90</v>
      </c>
      <c r="J1758">
        <v>424</v>
      </c>
      <c r="K1758">
        <v>9.7122043571393105E-2</v>
      </c>
    </row>
    <row r="1759" spans="1:11" x14ac:dyDescent="0.25">
      <c r="A1759" t="s">
        <v>85</v>
      </c>
    </row>
    <row r="1760" spans="1:11" x14ac:dyDescent="0.25">
      <c r="A1760">
        <v>37.302287006430298</v>
      </c>
      <c r="B1760">
        <v>80.942563428046597</v>
      </c>
      <c r="C1760">
        <v>2000</v>
      </c>
    </row>
    <row r="1761" spans="1:11" x14ac:dyDescent="0.25">
      <c r="A1761">
        <v>35.941274663410503</v>
      </c>
      <c r="B1761">
        <v>79.581551085026902</v>
      </c>
      <c r="C1761">
        <v>2000</v>
      </c>
    </row>
    <row r="1762" spans="1:11" x14ac:dyDescent="0.25">
      <c r="A1762">
        <v>36.378290687859398</v>
      </c>
      <c r="B1762">
        <v>79.144535060578093</v>
      </c>
      <c r="C1762">
        <v>2001</v>
      </c>
    </row>
    <row r="1763" spans="1:11" x14ac:dyDescent="0.25">
      <c r="A1763">
        <v>37.7393030308791</v>
      </c>
      <c r="B1763">
        <v>80.505547403597802</v>
      </c>
      <c r="C1763">
        <v>2001</v>
      </c>
    </row>
    <row r="1764" spans="1:11" x14ac:dyDescent="0.25">
      <c r="A1764">
        <v>50.218508012224397</v>
      </c>
      <c r="B1764">
        <v>92.984752384943107</v>
      </c>
      <c r="C1764">
        <v>2001</v>
      </c>
    </row>
    <row r="1765" spans="1:11" x14ac:dyDescent="0.25">
      <c r="A1765">
        <v>57.0152476150569</v>
      </c>
      <c r="B1765">
        <v>99.781491987775595</v>
      </c>
      <c r="C1765">
        <v>2001</v>
      </c>
    </row>
    <row r="1766" spans="1:11" x14ac:dyDescent="0.25">
      <c r="A1766">
        <v>69.255728321768899</v>
      </c>
      <c r="B1766">
        <v>112.021972694488</v>
      </c>
      <c r="C1766">
        <v>2001</v>
      </c>
    </row>
    <row r="1767" spans="1:11" x14ac:dyDescent="0.25">
      <c r="A1767">
        <v>68.818712297320005</v>
      </c>
      <c r="B1767">
        <v>112.458988718936</v>
      </c>
      <c r="C1767">
        <v>2000</v>
      </c>
    </row>
    <row r="1768" spans="1:11" x14ac:dyDescent="0.25">
      <c r="A1768">
        <v>56.578231590608098</v>
      </c>
      <c r="B1768">
        <v>100.21850801222401</v>
      </c>
      <c r="C1768">
        <v>2000</v>
      </c>
    </row>
    <row r="1769" spans="1:11" x14ac:dyDescent="0.25">
      <c r="A1769">
        <v>49.781491987775603</v>
      </c>
      <c r="B1769">
        <v>93.421768409391902</v>
      </c>
      <c r="C1769">
        <v>2000</v>
      </c>
    </row>
    <row r="1770" spans="1:11" x14ac:dyDescent="0.25">
      <c r="A1770" t="s">
        <v>86</v>
      </c>
    </row>
    <row r="1771" spans="1:11" x14ac:dyDescent="0.25">
      <c r="A1771">
        <v>755</v>
      </c>
      <c r="B1771">
        <v>0</v>
      </c>
      <c r="C1771">
        <v>2.9927086013804098</v>
      </c>
      <c r="D1771">
        <v>43.445132759273903</v>
      </c>
      <c r="E1771">
        <v>10</v>
      </c>
      <c r="F1771">
        <v>1.01722196789785</v>
      </c>
      <c r="G1771" t="s">
        <v>84</v>
      </c>
      <c r="H1771" t="s">
        <v>84</v>
      </c>
      <c r="I1771">
        <v>789</v>
      </c>
      <c r="J1771">
        <v>722</v>
      </c>
      <c r="K1771">
        <v>9.5111036399799301E-2</v>
      </c>
    </row>
    <row r="1772" spans="1:11" x14ac:dyDescent="0.25">
      <c r="A1772" t="s">
        <v>85</v>
      </c>
    </row>
    <row r="1773" spans="1:11" x14ac:dyDescent="0.25">
      <c r="A1773">
        <v>24.2622198612764</v>
      </c>
      <c r="B1773">
        <v>19.896293537638499</v>
      </c>
      <c r="C1773">
        <v>2000</v>
      </c>
    </row>
    <row r="1774" spans="1:11" x14ac:dyDescent="0.25">
      <c r="A1774">
        <v>22.146055315125</v>
      </c>
      <c r="B1774">
        <v>17.7801289914871</v>
      </c>
      <c r="C1774">
        <v>2000</v>
      </c>
    </row>
    <row r="1775" spans="1:11" x14ac:dyDescent="0.25">
      <c r="A1775">
        <v>22.583071339573799</v>
      </c>
      <c r="B1775">
        <v>17.343112967038302</v>
      </c>
      <c r="C1775">
        <v>2001</v>
      </c>
    </row>
    <row r="1776" spans="1:11" x14ac:dyDescent="0.25">
      <c r="A1776">
        <v>24.699235885725201</v>
      </c>
      <c r="B1776">
        <v>19.459277513189701</v>
      </c>
      <c r="C1776">
        <v>2001</v>
      </c>
    </row>
    <row r="1777" spans="1:11" x14ac:dyDescent="0.25">
      <c r="A1777">
        <v>50.218508012224397</v>
      </c>
      <c r="B1777">
        <v>44.9785496396889</v>
      </c>
      <c r="C1777">
        <v>2001</v>
      </c>
    </row>
    <row r="1778" spans="1:11" x14ac:dyDescent="0.25">
      <c r="A1778">
        <v>55.0214503603111</v>
      </c>
      <c r="B1778">
        <v>49.781491987775603</v>
      </c>
      <c r="C1778">
        <v>2001</v>
      </c>
    </row>
    <row r="1779" spans="1:11" x14ac:dyDescent="0.25">
      <c r="A1779">
        <v>55.419583869357602</v>
      </c>
      <c r="B1779">
        <v>50.179625496821998</v>
      </c>
      <c r="C1779">
        <v>2001</v>
      </c>
    </row>
    <row r="1780" spans="1:11" x14ac:dyDescent="0.25">
      <c r="A1780">
        <v>54.9825678449088</v>
      </c>
      <c r="B1780">
        <v>50.6166415212709</v>
      </c>
      <c r="C1780">
        <v>2000</v>
      </c>
    </row>
    <row r="1781" spans="1:11" x14ac:dyDescent="0.25">
      <c r="A1781">
        <v>54.584434335862298</v>
      </c>
      <c r="B1781">
        <v>50.218508012224397</v>
      </c>
      <c r="C1781">
        <v>2000</v>
      </c>
    </row>
    <row r="1782" spans="1:11" x14ac:dyDescent="0.25">
      <c r="A1782">
        <v>49.781491987775603</v>
      </c>
      <c r="B1782">
        <v>45.415565664137702</v>
      </c>
      <c r="C1782">
        <v>2000</v>
      </c>
    </row>
    <row r="1783" spans="1:11" x14ac:dyDescent="0.25">
      <c r="A1783" t="s">
        <v>86</v>
      </c>
    </row>
    <row r="1784" spans="1:11" x14ac:dyDescent="0.25">
      <c r="A1784">
        <v>109</v>
      </c>
      <c r="B1784">
        <v>0</v>
      </c>
      <c r="C1784">
        <v>12.5911058520102</v>
      </c>
      <c r="D1784">
        <v>33.528204216428698</v>
      </c>
      <c r="E1784">
        <v>6</v>
      </c>
      <c r="F1784">
        <v>1.01722196789785</v>
      </c>
      <c r="G1784" t="s">
        <v>83</v>
      </c>
      <c r="H1784" t="s">
        <v>84</v>
      </c>
      <c r="I1784">
        <v>0</v>
      </c>
      <c r="J1784">
        <v>775</v>
      </c>
      <c r="K1784">
        <v>0</v>
      </c>
    </row>
    <row r="1785" spans="1:11" x14ac:dyDescent="0.25">
      <c r="A1785" t="s">
        <v>85</v>
      </c>
    </row>
    <row r="1786" spans="1:11" x14ac:dyDescent="0.25">
      <c r="A1786">
        <v>8.8436011122625899</v>
      </c>
      <c r="B1786">
        <v>61.320455091295798</v>
      </c>
      <c r="C1786">
        <v>2000</v>
      </c>
    </row>
    <row r="1787" spans="1:11" x14ac:dyDescent="0.25">
      <c r="A1787">
        <v>0</v>
      </c>
      <c r="B1787">
        <v>52.476853979033301</v>
      </c>
      <c r="C1787">
        <v>2000</v>
      </c>
    </row>
    <row r="1788" spans="1:11" x14ac:dyDescent="0.25">
      <c r="A1788">
        <v>0</v>
      </c>
      <c r="B1788">
        <v>51.602821930135597</v>
      </c>
      <c r="C1788">
        <v>2001</v>
      </c>
    </row>
    <row r="1789" spans="1:11" x14ac:dyDescent="0.25">
      <c r="A1789">
        <v>8.9629115489255504</v>
      </c>
      <c r="B1789">
        <v>60.565733479061201</v>
      </c>
      <c r="C1789">
        <v>2001</v>
      </c>
    </row>
    <row r="1790" spans="1:11" x14ac:dyDescent="0.25">
      <c r="A1790">
        <v>32.829784905262599</v>
      </c>
      <c r="B1790">
        <v>84.432606835398204</v>
      </c>
      <c r="C1790">
        <v>2001</v>
      </c>
    </row>
    <row r="1791" spans="1:11" x14ac:dyDescent="0.25">
      <c r="A1791">
        <v>32.392768880813797</v>
      </c>
      <c r="B1791">
        <v>84.869622859846999</v>
      </c>
      <c r="C1791">
        <v>2000</v>
      </c>
    </row>
    <row r="1792" spans="1:11" x14ac:dyDescent="0.25">
      <c r="A1792" t="s">
        <v>86</v>
      </c>
    </row>
    <row r="1793" spans="1:11" x14ac:dyDescent="0.25">
      <c r="A1793">
        <v>676</v>
      </c>
      <c r="B1793">
        <v>0</v>
      </c>
      <c r="C1793">
        <v>13.623446722195601</v>
      </c>
      <c r="D1793">
        <v>32.017138373931303</v>
      </c>
      <c r="E1793">
        <v>10</v>
      </c>
      <c r="F1793">
        <v>1.01722196789785</v>
      </c>
      <c r="G1793" t="s">
        <v>84</v>
      </c>
      <c r="H1793" t="s">
        <v>84</v>
      </c>
      <c r="I1793">
        <v>37</v>
      </c>
      <c r="J1793">
        <v>723</v>
      </c>
      <c r="K1793">
        <v>0</v>
      </c>
    </row>
    <row r="1794" spans="1:11" x14ac:dyDescent="0.25">
      <c r="A1794" t="s">
        <v>85</v>
      </c>
    </row>
    <row r="1795" spans="1:11" x14ac:dyDescent="0.25">
      <c r="A1795">
        <v>51.752381233387602</v>
      </c>
      <c r="B1795">
        <v>37.180818335698604</v>
      </c>
      <c r="C1795">
        <v>2000</v>
      </c>
    </row>
    <row r="1796" spans="1:11" x14ac:dyDescent="0.25">
      <c r="A1796">
        <v>49.781491987775603</v>
      </c>
      <c r="B1796">
        <v>35.209929090086497</v>
      </c>
      <c r="C1796">
        <v>2000</v>
      </c>
    </row>
    <row r="1797" spans="1:11" x14ac:dyDescent="0.25">
      <c r="A1797">
        <v>42.119149672989501</v>
      </c>
      <c r="B1797">
        <v>27.547586775300399</v>
      </c>
      <c r="C1797">
        <v>2000</v>
      </c>
    </row>
    <row r="1798" spans="1:11" x14ac:dyDescent="0.25">
      <c r="A1798">
        <v>42.556165697438303</v>
      </c>
      <c r="B1798">
        <v>27.110570750851601</v>
      </c>
      <c r="C1798">
        <v>2001</v>
      </c>
    </row>
    <row r="1799" spans="1:11" x14ac:dyDescent="0.25">
      <c r="A1799">
        <v>50.218508012224397</v>
      </c>
      <c r="B1799">
        <v>34.772913065637702</v>
      </c>
      <c r="C1799">
        <v>2001</v>
      </c>
    </row>
    <row r="1800" spans="1:11" x14ac:dyDescent="0.25">
      <c r="A1800">
        <v>52.189397257836397</v>
      </c>
      <c r="B1800">
        <v>36.743802311249702</v>
      </c>
      <c r="C1800">
        <v>2001</v>
      </c>
    </row>
    <row r="1801" spans="1:11" x14ac:dyDescent="0.25">
      <c r="A1801">
        <v>65.227086934362305</v>
      </c>
      <c r="B1801">
        <v>49.781491987775603</v>
      </c>
      <c r="C1801">
        <v>2001</v>
      </c>
    </row>
    <row r="1802" spans="1:11" x14ac:dyDescent="0.25">
      <c r="A1802">
        <v>74.828932916231295</v>
      </c>
      <c r="B1802">
        <v>59.3833379696446</v>
      </c>
      <c r="C1802">
        <v>2001</v>
      </c>
    </row>
    <row r="1803" spans="1:11" x14ac:dyDescent="0.25">
      <c r="A1803">
        <v>74.3919168917825</v>
      </c>
      <c r="B1803">
        <v>59.820353994093402</v>
      </c>
      <c r="C1803">
        <v>2000</v>
      </c>
    </row>
    <row r="1804" spans="1:11" x14ac:dyDescent="0.25">
      <c r="A1804">
        <v>64.790070909913496</v>
      </c>
      <c r="B1804">
        <v>50.218508012224397</v>
      </c>
      <c r="C1804">
        <v>2000</v>
      </c>
    </row>
    <row r="1805" spans="1:11" x14ac:dyDescent="0.25">
      <c r="A1805" t="s">
        <v>86</v>
      </c>
    </row>
    <row r="1806" spans="1:11" x14ac:dyDescent="0.25">
      <c r="A1806">
        <v>671</v>
      </c>
      <c r="B1806">
        <v>0</v>
      </c>
      <c r="C1806">
        <v>1.1522354545733799</v>
      </c>
      <c r="D1806">
        <v>44.368391021031798</v>
      </c>
      <c r="E1806">
        <v>8</v>
      </c>
      <c r="F1806">
        <v>1.01722196789785</v>
      </c>
      <c r="G1806" t="s">
        <v>83</v>
      </c>
      <c r="H1806" t="s">
        <v>84</v>
      </c>
      <c r="I1806">
        <v>0</v>
      </c>
      <c r="J1806">
        <v>763</v>
      </c>
      <c r="K1806">
        <v>0</v>
      </c>
    </row>
    <row r="1807" spans="1:11" x14ac:dyDescent="0.25">
      <c r="A1807" t="s">
        <v>85</v>
      </c>
    </row>
    <row r="1808" spans="1:11" x14ac:dyDescent="0.25">
      <c r="A1808">
        <v>88.060252853641302</v>
      </c>
      <c r="B1808">
        <v>0.80124386060064401</v>
      </c>
      <c r="C1808">
        <v>2000</v>
      </c>
    </row>
    <row r="1809" spans="1:11" x14ac:dyDescent="0.25">
      <c r="A1809">
        <v>87.259008993040695</v>
      </c>
      <c r="B1809">
        <v>0</v>
      </c>
      <c r="C1809">
        <v>2000</v>
      </c>
    </row>
    <row r="1810" spans="1:11" x14ac:dyDescent="0.25">
      <c r="A1810">
        <v>86.384976944143006</v>
      </c>
      <c r="B1810">
        <v>0</v>
      </c>
      <c r="C1810">
        <v>2001</v>
      </c>
    </row>
    <row r="1811" spans="1:11" x14ac:dyDescent="0.25">
      <c r="A1811">
        <v>87.213240090447201</v>
      </c>
      <c r="B1811">
        <v>0.82826314630415698</v>
      </c>
      <c r="C1811">
        <v>2001</v>
      </c>
    </row>
    <row r="1812" spans="1:11" x14ac:dyDescent="0.25">
      <c r="A1812">
        <v>99.781491987775595</v>
      </c>
      <c r="B1812">
        <v>13.396515043632601</v>
      </c>
      <c r="C1812">
        <v>2001</v>
      </c>
    </row>
    <row r="1813" spans="1:11" x14ac:dyDescent="0.25">
      <c r="A1813">
        <v>118.79142862112801</v>
      </c>
      <c r="B1813">
        <v>32.406451676984702</v>
      </c>
      <c r="C1813">
        <v>2001</v>
      </c>
    </row>
    <row r="1814" spans="1:11" x14ac:dyDescent="0.25">
      <c r="A1814">
        <v>119.228444645577</v>
      </c>
      <c r="B1814">
        <v>31.9694356525359</v>
      </c>
      <c r="C1814">
        <v>2000</v>
      </c>
    </row>
    <row r="1815" spans="1:11" x14ac:dyDescent="0.25">
      <c r="A1815">
        <v>100.21850801222401</v>
      </c>
      <c r="B1815">
        <v>12.959499019183699</v>
      </c>
      <c r="C1815">
        <v>2000</v>
      </c>
    </row>
    <row r="1816" spans="1:11" x14ac:dyDescent="0.25">
      <c r="A1816" t="s">
        <v>86</v>
      </c>
    </row>
    <row r="1817" spans="1:11" x14ac:dyDescent="0.25">
      <c r="A1817">
        <v>599</v>
      </c>
      <c r="B1817">
        <v>0</v>
      </c>
      <c r="C1817">
        <v>37.427209127485497</v>
      </c>
      <c r="D1817">
        <v>8.0416024994283593</v>
      </c>
      <c r="E1817">
        <v>8</v>
      </c>
      <c r="F1817">
        <v>1.01722196789785</v>
      </c>
      <c r="G1817" t="s">
        <v>84</v>
      </c>
      <c r="H1817" t="s">
        <v>84</v>
      </c>
      <c r="I1817">
        <v>667</v>
      </c>
      <c r="J1817">
        <v>571</v>
      </c>
      <c r="K1817">
        <v>0</v>
      </c>
    </row>
    <row r="1818" spans="1:11" x14ac:dyDescent="0.25">
      <c r="A1818" t="s">
        <v>85</v>
      </c>
    </row>
    <row r="1819" spans="1:11" x14ac:dyDescent="0.25">
      <c r="A1819">
        <v>132.007868746295</v>
      </c>
      <c r="B1819">
        <v>65.659123383308199</v>
      </c>
      <c r="C1819">
        <v>2000</v>
      </c>
    </row>
    <row r="1820" spans="1:11" x14ac:dyDescent="0.25">
      <c r="A1820">
        <v>116.130237350762</v>
      </c>
      <c r="B1820">
        <v>49.781491987775603</v>
      </c>
      <c r="C1820">
        <v>2000</v>
      </c>
    </row>
    <row r="1821" spans="1:11" x14ac:dyDescent="0.25">
      <c r="A1821">
        <v>105.542835371363</v>
      </c>
      <c r="B1821">
        <v>39.194090008376101</v>
      </c>
      <c r="C1821">
        <v>2000</v>
      </c>
    </row>
    <row r="1822" spans="1:11" x14ac:dyDescent="0.25">
      <c r="A1822">
        <v>105.105819346914</v>
      </c>
      <c r="B1822">
        <v>39.631106032824903</v>
      </c>
      <c r="C1822">
        <v>2001</v>
      </c>
    </row>
    <row r="1823" spans="1:11" x14ac:dyDescent="0.25">
      <c r="A1823">
        <v>115.69322132631299</v>
      </c>
      <c r="B1823">
        <v>50.218508012224397</v>
      </c>
      <c r="C1823">
        <v>2001</v>
      </c>
    </row>
    <row r="1824" spans="1:11" x14ac:dyDescent="0.25">
      <c r="A1824">
        <v>131.57085272184599</v>
      </c>
      <c r="B1824">
        <v>66.096139407756993</v>
      </c>
      <c r="C1824">
        <v>2001</v>
      </c>
    </row>
    <row r="1825" spans="1:11" x14ac:dyDescent="0.25">
      <c r="A1825">
        <v>137.25712438079799</v>
      </c>
      <c r="B1825">
        <v>71.7824110667094</v>
      </c>
      <c r="C1825">
        <v>2001</v>
      </c>
    </row>
    <row r="1826" spans="1:11" x14ac:dyDescent="0.25">
      <c r="A1826">
        <v>137.694140405247</v>
      </c>
      <c r="B1826">
        <v>71.345395042260606</v>
      </c>
      <c r="C1826">
        <v>2000</v>
      </c>
    </row>
    <row r="1827" spans="1:11" x14ac:dyDescent="0.25">
      <c r="A1827" t="s">
        <v>86</v>
      </c>
    </row>
    <row r="1828" spans="1:11" x14ac:dyDescent="0.25">
      <c r="A1828">
        <v>850</v>
      </c>
      <c r="B1828">
        <v>0</v>
      </c>
      <c r="C1828">
        <v>29.043681320358601</v>
      </c>
      <c r="D1828">
        <v>16.380548911697701</v>
      </c>
      <c r="E1828">
        <v>8</v>
      </c>
      <c r="F1828">
        <v>1.01722196789785</v>
      </c>
      <c r="G1828" t="s">
        <v>83</v>
      </c>
      <c r="H1828" t="s">
        <v>84</v>
      </c>
      <c r="I1828">
        <v>0</v>
      </c>
      <c r="J1828">
        <v>679</v>
      </c>
      <c r="K1828">
        <v>0.10098618806015799</v>
      </c>
    </row>
    <row r="1829" spans="1:11" x14ac:dyDescent="0.25">
      <c r="A1829" t="s">
        <v>85</v>
      </c>
    </row>
    <row r="1830" spans="1:11" x14ac:dyDescent="0.25">
      <c r="A1830">
        <v>48.032052734035403</v>
      </c>
      <c r="B1830">
        <v>20.738493285561901</v>
      </c>
      <c r="C1830">
        <v>2000</v>
      </c>
    </row>
    <row r="1831" spans="1:11" x14ac:dyDescent="0.25">
      <c r="A1831">
        <v>27.293559448473498</v>
      </c>
      <c r="B1831">
        <v>0</v>
      </c>
      <c r="C1831">
        <v>2000</v>
      </c>
    </row>
    <row r="1832" spans="1:11" x14ac:dyDescent="0.25">
      <c r="A1832">
        <v>28.167591497371099</v>
      </c>
      <c r="B1832">
        <v>0</v>
      </c>
      <c r="C1832">
        <v>2001</v>
      </c>
    </row>
    <row r="1833" spans="1:11" x14ac:dyDescent="0.25">
      <c r="A1833">
        <v>48.503066236302502</v>
      </c>
      <c r="B1833">
        <v>20.3354747389313</v>
      </c>
      <c r="C1833">
        <v>2001</v>
      </c>
    </row>
    <row r="1834" spans="1:11" x14ac:dyDescent="0.25">
      <c r="A1834">
        <v>50.218508012224397</v>
      </c>
      <c r="B1834">
        <v>22.050916514853299</v>
      </c>
      <c r="C1834">
        <v>2001</v>
      </c>
    </row>
    <row r="1835" spans="1:11" x14ac:dyDescent="0.25">
      <c r="A1835">
        <v>60.068864712412697</v>
      </c>
      <c r="B1835">
        <v>31.901273215041499</v>
      </c>
      <c r="C1835">
        <v>2001</v>
      </c>
    </row>
    <row r="1836" spans="1:11" x14ac:dyDescent="0.25">
      <c r="A1836">
        <v>59.631848687963902</v>
      </c>
      <c r="B1836">
        <v>32.3382892394904</v>
      </c>
      <c r="C1836">
        <v>2000</v>
      </c>
    </row>
    <row r="1837" spans="1:11" x14ac:dyDescent="0.25">
      <c r="A1837">
        <v>49.781491987775603</v>
      </c>
      <c r="B1837">
        <v>22.487932539302101</v>
      </c>
      <c r="C1837">
        <v>2000</v>
      </c>
    </row>
    <row r="1838" spans="1:11" x14ac:dyDescent="0.25">
      <c r="A1838" t="s">
        <v>86</v>
      </c>
    </row>
    <row r="1839" spans="1:11" x14ac:dyDescent="0.25">
      <c r="A1839">
        <v>344</v>
      </c>
      <c r="B1839">
        <v>0</v>
      </c>
      <c r="C1839">
        <v>42.416520788835797</v>
      </c>
      <c r="D1839">
        <v>2.5636174501082398</v>
      </c>
      <c r="E1839">
        <v>10</v>
      </c>
      <c r="F1839">
        <v>1.01722196789785</v>
      </c>
      <c r="G1839" t="s">
        <v>84</v>
      </c>
      <c r="H1839" t="s">
        <v>84</v>
      </c>
      <c r="I1839">
        <v>27</v>
      </c>
      <c r="J1839">
        <v>357</v>
      </c>
      <c r="K1839">
        <v>0</v>
      </c>
    </row>
    <row r="1840" spans="1:11" x14ac:dyDescent="0.25">
      <c r="A1840" t="s">
        <v>85</v>
      </c>
    </row>
    <row r="1841" spans="1:11" x14ac:dyDescent="0.25">
      <c r="A1841">
        <v>70.652839042545907</v>
      </c>
      <c r="B1841">
        <v>69.820871721874198</v>
      </c>
      <c r="C1841">
        <v>2000</v>
      </c>
    </row>
    <row r="1842" spans="1:11" x14ac:dyDescent="0.25">
      <c r="A1842">
        <v>50.613459308447197</v>
      </c>
      <c r="B1842">
        <v>49.781491987775603</v>
      </c>
      <c r="C1842">
        <v>2000</v>
      </c>
    </row>
    <row r="1843" spans="1:11" x14ac:dyDescent="0.25">
      <c r="A1843">
        <v>50.218508012224397</v>
      </c>
      <c r="B1843">
        <v>49.386540691552803</v>
      </c>
      <c r="C1843">
        <v>2000</v>
      </c>
    </row>
    <row r="1844" spans="1:11" x14ac:dyDescent="0.25">
      <c r="A1844">
        <v>40.659829558419901</v>
      </c>
      <c r="B1844">
        <v>39.827862237748299</v>
      </c>
      <c r="C1844">
        <v>2000</v>
      </c>
    </row>
    <row r="1845" spans="1:11" x14ac:dyDescent="0.25">
      <c r="A1845">
        <v>40.222813533971099</v>
      </c>
      <c r="B1845">
        <v>40.264878262197101</v>
      </c>
      <c r="C1845">
        <v>2001</v>
      </c>
    </row>
    <row r="1846" spans="1:11" x14ac:dyDescent="0.25">
      <c r="A1846">
        <v>49.781491987775603</v>
      </c>
      <c r="B1846">
        <v>49.823556716001598</v>
      </c>
      <c r="C1846">
        <v>2001</v>
      </c>
    </row>
    <row r="1847" spans="1:11" x14ac:dyDescent="0.25">
      <c r="A1847">
        <v>50.176443283998402</v>
      </c>
      <c r="B1847">
        <v>50.218508012224397</v>
      </c>
      <c r="C1847">
        <v>2001</v>
      </c>
    </row>
    <row r="1848" spans="1:11" x14ac:dyDescent="0.25">
      <c r="A1848">
        <v>70.215823018097097</v>
      </c>
      <c r="B1848">
        <v>70.257887746322993</v>
      </c>
      <c r="C1848">
        <v>2001</v>
      </c>
    </row>
    <row r="1849" spans="1:11" x14ac:dyDescent="0.25">
      <c r="A1849">
        <v>72.028574301436706</v>
      </c>
      <c r="B1849">
        <v>72.070639029662701</v>
      </c>
      <c r="C1849">
        <v>2001</v>
      </c>
    </row>
    <row r="1850" spans="1:11" x14ac:dyDescent="0.25">
      <c r="A1850">
        <v>72.4655903258856</v>
      </c>
      <c r="B1850">
        <v>71.633623005213906</v>
      </c>
      <c r="C1850">
        <v>2000</v>
      </c>
    </row>
    <row r="1851" spans="1:11" x14ac:dyDescent="0.25">
      <c r="A1851" t="s">
        <v>86</v>
      </c>
    </row>
    <row r="1852" spans="1:11" x14ac:dyDescent="0.25">
      <c r="A1852">
        <v>358</v>
      </c>
      <c r="B1852">
        <v>0</v>
      </c>
      <c r="C1852">
        <v>34.4194765030499</v>
      </c>
      <c r="D1852">
        <v>10.1594348007434</v>
      </c>
      <c r="E1852">
        <v>10</v>
      </c>
      <c r="F1852">
        <v>1.01722196789785</v>
      </c>
      <c r="G1852" t="s">
        <v>84</v>
      </c>
      <c r="H1852" t="s">
        <v>84</v>
      </c>
      <c r="I1852">
        <v>24</v>
      </c>
      <c r="J1852">
        <v>853</v>
      </c>
      <c r="K1852">
        <v>0</v>
      </c>
    </row>
    <row r="1853" spans="1:11" x14ac:dyDescent="0.25">
      <c r="A1853" t="s">
        <v>85</v>
      </c>
    </row>
    <row r="1854" spans="1:11" x14ac:dyDescent="0.25">
      <c r="A1854">
        <v>70.755920688969198</v>
      </c>
      <c r="B1854">
        <v>71.432929841541906</v>
      </c>
      <c r="C1854">
        <v>2000</v>
      </c>
    </row>
    <row r="1855" spans="1:11" x14ac:dyDescent="0.25">
      <c r="A1855">
        <v>50.218508012224397</v>
      </c>
      <c r="B1855">
        <v>50.895517164797099</v>
      </c>
      <c r="C1855">
        <v>2000</v>
      </c>
    </row>
    <row r="1856" spans="1:11" x14ac:dyDescent="0.25">
      <c r="A1856">
        <v>49.104482835202901</v>
      </c>
      <c r="B1856">
        <v>49.781491987775603</v>
      </c>
      <c r="C1856">
        <v>2000</v>
      </c>
    </row>
    <row r="1857" spans="1:11" x14ac:dyDescent="0.25">
      <c r="A1857">
        <v>46.417675448771597</v>
      </c>
      <c r="B1857">
        <v>47.094684601344298</v>
      </c>
      <c r="C1857">
        <v>2000</v>
      </c>
    </row>
    <row r="1858" spans="1:11" x14ac:dyDescent="0.25">
      <c r="A1858">
        <v>45.980659424322802</v>
      </c>
      <c r="B1858">
        <v>47.5317006257931</v>
      </c>
      <c r="C1858">
        <v>2001</v>
      </c>
    </row>
    <row r="1859" spans="1:11" x14ac:dyDescent="0.25">
      <c r="A1859">
        <v>48.667466810754</v>
      </c>
      <c r="B1859">
        <v>50.218508012224397</v>
      </c>
      <c r="C1859">
        <v>2001</v>
      </c>
    </row>
    <row r="1860" spans="1:11" x14ac:dyDescent="0.25">
      <c r="A1860">
        <v>49.781491987775603</v>
      </c>
      <c r="B1860">
        <v>51.332533189246</v>
      </c>
      <c r="C1860">
        <v>2001</v>
      </c>
    </row>
    <row r="1861" spans="1:11" x14ac:dyDescent="0.25">
      <c r="A1861">
        <v>70.318904664520403</v>
      </c>
      <c r="B1861">
        <v>71.8699458659908</v>
      </c>
      <c r="C1861">
        <v>2001</v>
      </c>
    </row>
    <row r="1862" spans="1:11" x14ac:dyDescent="0.25">
      <c r="A1862">
        <v>77.502709905148606</v>
      </c>
      <c r="B1862">
        <v>79.053751106619004</v>
      </c>
      <c r="C1862">
        <v>2001</v>
      </c>
    </row>
    <row r="1863" spans="1:11" x14ac:dyDescent="0.25">
      <c r="A1863">
        <v>77.9397259295975</v>
      </c>
      <c r="B1863">
        <v>78.616735082170194</v>
      </c>
      <c r="C1863">
        <v>2000</v>
      </c>
    </row>
    <row r="1864" spans="1:11" x14ac:dyDescent="0.25">
      <c r="A1864" t="s">
        <v>86</v>
      </c>
    </row>
    <row r="1865" spans="1:11" x14ac:dyDescent="0.25">
      <c r="A1865">
        <v>793</v>
      </c>
      <c r="B1865">
        <v>0</v>
      </c>
      <c r="C1865">
        <v>1.30016596483688</v>
      </c>
      <c r="D1865">
        <v>43.130011111960002</v>
      </c>
      <c r="E1865">
        <v>6</v>
      </c>
      <c r="F1865">
        <v>1.01722196789785</v>
      </c>
      <c r="G1865" t="s">
        <v>84</v>
      </c>
      <c r="H1865" t="s">
        <v>83</v>
      </c>
      <c r="I1865">
        <v>192</v>
      </c>
      <c r="J1865">
        <v>0</v>
      </c>
      <c r="K1865">
        <v>9.6846384952709502E-2</v>
      </c>
    </row>
    <row r="1866" spans="1:11" x14ac:dyDescent="0.25">
      <c r="A1866" t="s">
        <v>85</v>
      </c>
    </row>
    <row r="1867" spans="1:11" x14ac:dyDescent="0.25">
      <c r="A1867">
        <v>8.0755965626079504</v>
      </c>
      <c r="B1867">
        <v>119.290362885818</v>
      </c>
      <c r="C1867">
        <v>2000</v>
      </c>
    </row>
    <row r="1868" spans="1:11" x14ac:dyDescent="0.25">
      <c r="A1868">
        <v>7.1498461642436997</v>
      </c>
      <c r="B1868">
        <v>118.364612487453</v>
      </c>
      <c r="C1868">
        <v>2000</v>
      </c>
    </row>
    <row r="1869" spans="1:11" x14ac:dyDescent="0.25">
      <c r="A1869">
        <v>6.71283013979488</v>
      </c>
      <c r="B1869">
        <v>118.801628511902</v>
      </c>
      <c r="C1869">
        <v>2001</v>
      </c>
    </row>
    <row r="1870" spans="1:11" x14ac:dyDescent="0.25">
      <c r="A1870">
        <v>7.6257920822388501</v>
      </c>
      <c r="B1870">
        <v>119.71459045434599</v>
      </c>
      <c r="C1870">
        <v>2001</v>
      </c>
    </row>
    <row r="1871" spans="1:11" x14ac:dyDescent="0.25">
      <c r="A1871">
        <v>37.911201627892702</v>
      </c>
      <c r="B1871">
        <v>150</v>
      </c>
      <c r="C1871">
        <v>2001</v>
      </c>
    </row>
    <row r="1872" spans="1:11" x14ac:dyDescent="0.25">
      <c r="A1872">
        <v>38.785233676790298</v>
      </c>
      <c r="B1872">
        <v>150</v>
      </c>
      <c r="C1872">
        <v>2000</v>
      </c>
    </row>
    <row r="1873" spans="1:11" x14ac:dyDescent="0.25">
      <c r="A1873" t="s">
        <v>86</v>
      </c>
    </row>
    <row r="1874" spans="1:11" x14ac:dyDescent="0.25">
      <c r="A1874">
        <v>424</v>
      </c>
      <c r="B1874">
        <v>0</v>
      </c>
      <c r="C1874">
        <v>25.398285179196101</v>
      </c>
      <c r="D1874">
        <v>18.708414330819402</v>
      </c>
      <c r="E1874">
        <v>8</v>
      </c>
      <c r="F1874">
        <v>1.01722196789785</v>
      </c>
      <c r="G1874" t="s">
        <v>84</v>
      </c>
      <c r="H1874" t="s">
        <v>84</v>
      </c>
      <c r="I1874">
        <v>802</v>
      </c>
      <c r="J1874">
        <v>260</v>
      </c>
      <c r="K1874">
        <v>0</v>
      </c>
    </row>
    <row r="1875" spans="1:11" x14ac:dyDescent="0.25">
      <c r="A1875" t="s">
        <v>85</v>
      </c>
    </row>
    <row r="1876" spans="1:11" x14ac:dyDescent="0.25">
      <c r="A1876">
        <v>87.613386449219604</v>
      </c>
      <c r="B1876">
        <v>129.58291392847499</v>
      </c>
      <c r="C1876">
        <v>2000</v>
      </c>
    </row>
    <row r="1877" spans="1:11" x14ac:dyDescent="0.25">
      <c r="A1877">
        <v>69.654086768500306</v>
      </c>
      <c r="B1877">
        <v>111.623614247756</v>
      </c>
      <c r="C1877">
        <v>2000</v>
      </c>
    </row>
    <row r="1878" spans="1:11" x14ac:dyDescent="0.25">
      <c r="A1878">
        <v>69.217070744051398</v>
      </c>
      <c r="B1878">
        <v>112.060630272205</v>
      </c>
      <c r="C1878">
        <v>2001</v>
      </c>
    </row>
    <row r="1879" spans="1:11" x14ac:dyDescent="0.25">
      <c r="A1879">
        <v>87.176370424770795</v>
      </c>
      <c r="B1879">
        <v>130.019929952924</v>
      </c>
      <c r="C1879">
        <v>2001</v>
      </c>
    </row>
    <row r="1880" spans="1:11" x14ac:dyDescent="0.25">
      <c r="A1880">
        <v>99.781491987775595</v>
      </c>
      <c r="B1880">
        <v>142.62505151592899</v>
      </c>
      <c r="C1880">
        <v>2001</v>
      </c>
    </row>
    <row r="1881" spans="1:11" x14ac:dyDescent="0.25">
      <c r="A1881">
        <v>100.405217063341</v>
      </c>
      <c r="B1881">
        <v>143.24877659149399</v>
      </c>
      <c r="C1881">
        <v>2001</v>
      </c>
    </row>
    <row r="1882" spans="1:11" x14ac:dyDescent="0.25">
      <c r="A1882">
        <v>100.84223308779001</v>
      </c>
      <c r="B1882">
        <v>142.81176056704501</v>
      </c>
      <c r="C1882">
        <v>2000</v>
      </c>
    </row>
    <row r="1883" spans="1:11" x14ac:dyDescent="0.25">
      <c r="A1883">
        <v>100.21850801222401</v>
      </c>
      <c r="B1883">
        <v>142.18803549148001</v>
      </c>
      <c r="C1883">
        <v>2000</v>
      </c>
    </row>
    <row r="1884" spans="1:11" x14ac:dyDescent="0.25">
      <c r="A1884" t="s">
        <v>86</v>
      </c>
    </row>
    <row r="1885" spans="1:11" x14ac:dyDescent="0.25">
      <c r="A1885">
        <v>763</v>
      </c>
      <c r="B1885">
        <v>0</v>
      </c>
      <c r="C1885">
        <v>43.079736342057103</v>
      </c>
      <c r="D1885">
        <v>0.47701284563041202</v>
      </c>
      <c r="E1885">
        <v>8</v>
      </c>
      <c r="F1885">
        <v>1.01722196789785</v>
      </c>
      <c r="G1885" t="s">
        <v>84</v>
      </c>
      <c r="H1885" t="s">
        <v>83</v>
      </c>
      <c r="I1885">
        <v>671</v>
      </c>
      <c r="J1885">
        <v>0</v>
      </c>
      <c r="K1885">
        <v>9.5703858509913295E-2</v>
      </c>
    </row>
    <row r="1886" spans="1:11" x14ac:dyDescent="0.25">
      <c r="A1886" t="s">
        <v>85</v>
      </c>
    </row>
    <row r="1887" spans="1:11" x14ac:dyDescent="0.25">
      <c r="A1887">
        <v>149.668460601231</v>
      </c>
      <c r="B1887">
        <v>62.027870309005202</v>
      </c>
      <c r="C1887">
        <v>2000</v>
      </c>
    </row>
    <row r="1888" spans="1:11" x14ac:dyDescent="0.25">
      <c r="A1888">
        <v>137.42208228000101</v>
      </c>
      <c r="B1888">
        <v>49.781491987775603</v>
      </c>
      <c r="C1888">
        <v>2000</v>
      </c>
    </row>
    <row r="1889" spans="1:11" x14ac:dyDescent="0.25">
      <c r="A1889">
        <v>119.419235295169</v>
      </c>
      <c r="B1889">
        <v>31.778645002943598</v>
      </c>
      <c r="C1889">
        <v>2000</v>
      </c>
    </row>
    <row r="1890" spans="1:11" x14ac:dyDescent="0.25">
      <c r="A1890">
        <v>118.98221927071999</v>
      </c>
      <c r="B1890">
        <v>32.2156610273924</v>
      </c>
      <c r="C1890">
        <v>2001</v>
      </c>
    </row>
    <row r="1891" spans="1:11" x14ac:dyDescent="0.25">
      <c r="A1891">
        <v>136.985066255552</v>
      </c>
      <c r="B1891">
        <v>50.218508012224397</v>
      </c>
      <c r="C1891">
        <v>2001</v>
      </c>
    </row>
    <row r="1892" spans="1:11" x14ac:dyDescent="0.25">
      <c r="A1892">
        <v>149.65694136305299</v>
      </c>
      <c r="B1892">
        <v>62.890383119725001</v>
      </c>
      <c r="C1892">
        <v>2001</v>
      </c>
    </row>
    <row r="1893" spans="1:11" x14ac:dyDescent="0.25">
      <c r="A1893">
        <v>150</v>
      </c>
      <c r="B1893">
        <v>63.233441756672299</v>
      </c>
      <c r="C1893">
        <v>2001</v>
      </c>
    </row>
    <row r="1894" spans="1:11" x14ac:dyDescent="0.25">
      <c r="A1894">
        <v>150</v>
      </c>
      <c r="B1894">
        <v>62.359409707774702</v>
      </c>
      <c r="C1894">
        <v>2000</v>
      </c>
    </row>
    <row r="1895" spans="1:11" x14ac:dyDescent="0.25">
      <c r="A1895" t="s">
        <v>86</v>
      </c>
    </row>
    <row r="1896" spans="1:11" x14ac:dyDescent="0.25">
      <c r="A1896">
        <v>594</v>
      </c>
      <c r="B1896">
        <v>0</v>
      </c>
      <c r="C1896">
        <v>29.006331803934799</v>
      </c>
      <c r="D1896">
        <v>14.2867029065509</v>
      </c>
      <c r="E1896">
        <v>8</v>
      </c>
      <c r="F1896">
        <v>1.01722196789785</v>
      </c>
      <c r="G1896" t="s">
        <v>84</v>
      </c>
      <c r="H1896" t="s">
        <v>83</v>
      </c>
      <c r="I1896">
        <v>489</v>
      </c>
      <c r="J1896">
        <v>0</v>
      </c>
      <c r="K1896">
        <v>0</v>
      </c>
    </row>
    <row r="1897" spans="1:11" x14ac:dyDescent="0.25">
      <c r="A1897" t="s">
        <v>85</v>
      </c>
    </row>
    <row r="1898" spans="1:11" x14ac:dyDescent="0.25">
      <c r="A1898">
        <v>139.82295043123599</v>
      </c>
      <c r="B1898">
        <v>69.761004141584806</v>
      </c>
      <c r="C1898">
        <v>2000</v>
      </c>
    </row>
    <row r="1899" spans="1:11" x14ac:dyDescent="0.25">
      <c r="A1899">
        <v>120.28045430187601</v>
      </c>
      <c r="B1899">
        <v>50.218508012224397</v>
      </c>
      <c r="C1899">
        <v>2000</v>
      </c>
    </row>
    <row r="1900" spans="1:11" x14ac:dyDescent="0.25">
      <c r="A1900">
        <v>119.16869356584699</v>
      </c>
      <c r="B1900">
        <v>49.106747276194902</v>
      </c>
      <c r="C1900">
        <v>2000</v>
      </c>
    </row>
    <row r="1901" spans="1:11" x14ac:dyDescent="0.25">
      <c r="A1901">
        <v>119.60570959029501</v>
      </c>
      <c r="B1901">
        <v>48.6697312517461</v>
      </c>
      <c r="C1901">
        <v>2001</v>
      </c>
    </row>
    <row r="1902" spans="1:11" x14ac:dyDescent="0.25">
      <c r="A1902">
        <v>120.717470326325</v>
      </c>
      <c r="B1902">
        <v>49.781491987775603</v>
      </c>
      <c r="C1902">
        <v>2001</v>
      </c>
    </row>
    <row r="1903" spans="1:11" x14ac:dyDescent="0.25">
      <c r="A1903">
        <v>139.97260055672399</v>
      </c>
      <c r="B1903">
        <v>69.036622218174799</v>
      </c>
      <c r="C1903">
        <v>2001</v>
      </c>
    </row>
    <row r="1904" spans="1:11" x14ac:dyDescent="0.25">
      <c r="A1904">
        <v>150</v>
      </c>
      <c r="B1904">
        <v>79.064021661450695</v>
      </c>
      <c r="C1904">
        <v>2001</v>
      </c>
    </row>
    <row r="1905" spans="1:11" x14ac:dyDescent="0.25">
      <c r="A1905">
        <v>150</v>
      </c>
      <c r="B1905">
        <v>79.938053710348299</v>
      </c>
      <c r="C1905">
        <v>2000</v>
      </c>
    </row>
    <row r="1906" spans="1:11" x14ac:dyDescent="0.25">
      <c r="A1906" t="s">
        <v>86</v>
      </c>
    </row>
    <row r="1907" spans="1:11" x14ac:dyDescent="0.25">
      <c r="A1907">
        <v>182</v>
      </c>
      <c r="B1907">
        <v>0</v>
      </c>
      <c r="C1907">
        <v>27.2402862953703</v>
      </c>
      <c r="D1907">
        <v>15.885565732651701</v>
      </c>
      <c r="E1907">
        <v>8</v>
      </c>
      <c r="F1907">
        <v>1.01722196789785</v>
      </c>
      <c r="G1907" t="s">
        <v>84</v>
      </c>
      <c r="H1907" t="s">
        <v>83</v>
      </c>
      <c r="I1907">
        <v>806</v>
      </c>
      <c r="J1907">
        <v>0</v>
      </c>
      <c r="K1907">
        <v>0</v>
      </c>
    </row>
    <row r="1908" spans="1:11" x14ac:dyDescent="0.25">
      <c r="A1908" t="s">
        <v>85</v>
      </c>
    </row>
    <row r="1909" spans="1:11" x14ac:dyDescent="0.25">
      <c r="A1909">
        <v>43.726870335353098</v>
      </c>
      <c r="B1909">
        <v>138.64418454576401</v>
      </c>
      <c r="C1909">
        <v>2000</v>
      </c>
    </row>
    <row r="1910" spans="1:11" x14ac:dyDescent="0.25">
      <c r="A1910">
        <v>24.369595363902199</v>
      </c>
      <c r="B1910">
        <v>119.286909574314</v>
      </c>
      <c r="C1910">
        <v>2000</v>
      </c>
    </row>
    <row r="1911" spans="1:11" x14ac:dyDescent="0.25">
      <c r="A1911">
        <v>23.932579339453401</v>
      </c>
      <c r="B1911">
        <v>119.72392559876199</v>
      </c>
      <c r="C1911">
        <v>2001</v>
      </c>
    </row>
    <row r="1912" spans="1:11" x14ac:dyDescent="0.25">
      <c r="A1912">
        <v>43.098886689841201</v>
      </c>
      <c r="B1912">
        <v>138.89023294915</v>
      </c>
      <c r="C1912">
        <v>2001</v>
      </c>
    </row>
    <row r="1913" spans="1:11" x14ac:dyDescent="0.25">
      <c r="A1913">
        <v>49.653354751880002</v>
      </c>
      <c r="B1913">
        <v>145.44470101118901</v>
      </c>
      <c r="C1913">
        <v>2001</v>
      </c>
    </row>
    <row r="1914" spans="1:11" x14ac:dyDescent="0.25">
      <c r="A1914">
        <v>54.208653740690998</v>
      </c>
      <c r="B1914">
        <v>150</v>
      </c>
      <c r="C1914">
        <v>2001</v>
      </c>
    </row>
    <row r="1915" spans="1:11" x14ac:dyDescent="0.25">
      <c r="A1915">
        <v>55.082685789588602</v>
      </c>
      <c r="B1915">
        <v>150</v>
      </c>
      <c r="C1915">
        <v>2000</v>
      </c>
    </row>
    <row r="1916" spans="1:11" x14ac:dyDescent="0.25">
      <c r="A1916">
        <v>50.346645248119998</v>
      </c>
      <c r="B1916">
        <v>145.26395945853099</v>
      </c>
      <c r="C1916">
        <v>2000</v>
      </c>
    </row>
    <row r="1917" spans="1:11" x14ac:dyDescent="0.25">
      <c r="A1917" t="s">
        <v>86</v>
      </c>
    </row>
    <row r="1918" spans="1:11" x14ac:dyDescent="0.25">
      <c r="A1918">
        <v>510</v>
      </c>
      <c r="B1918">
        <v>0</v>
      </c>
      <c r="C1918">
        <v>3.9460804036280299</v>
      </c>
      <c r="D1918">
        <v>38.869101011310399</v>
      </c>
      <c r="E1918">
        <v>6</v>
      </c>
      <c r="F1918">
        <v>1.01722196789785</v>
      </c>
      <c r="G1918" t="s">
        <v>84</v>
      </c>
      <c r="H1918" t="s">
        <v>83</v>
      </c>
      <c r="I1918">
        <v>513</v>
      </c>
      <c r="J1918">
        <v>0</v>
      </c>
      <c r="K1918">
        <v>0</v>
      </c>
    </row>
    <row r="1919" spans="1:11" x14ac:dyDescent="0.25">
      <c r="A1919" t="s">
        <v>85</v>
      </c>
    </row>
    <row r="1920" spans="1:11" x14ac:dyDescent="0.25">
      <c r="A1920">
        <v>122.71376421952399</v>
      </c>
      <c r="B1920">
        <v>8.0338433456118796</v>
      </c>
      <c r="C1920">
        <v>2000</v>
      </c>
    </row>
    <row r="1921" spans="1:11" x14ac:dyDescent="0.25">
      <c r="A1921">
        <v>119.943602895989</v>
      </c>
      <c r="B1921">
        <v>5.2636820220768303</v>
      </c>
      <c r="C1921">
        <v>2000</v>
      </c>
    </row>
    <row r="1922" spans="1:11" x14ac:dyDescent="0.25">
      <c r="A1922">
        <v>119.50658687153999</v>
      </c>
      <c r="B1922">
        <v>5.70069804652565</v>
      </c>
      <c r="C1922">
        <v>2001</v>
      </c>
    </row>
    <row r="1923" spans="1:11" x14ac:dyDescent="0.25">
      <c r="A1923">
        <v>122.31702597303099</v>
      </c>
      <c r="B1923">
        <v>8.5111371480160596</v>
      </c>
      <c r="C1923">
        <v>2001</v>
      </c>
    </row>
    <row r="1924" spans="1:11" x14ac:dyDescent="0.25">
      <c r="A1924">
        <v>150</v>
      </c>
      <c r="B1924">
        <v>36.194111174985302</v>
      </c>
      <c r="C1924">
        <v>2001</v>
      </c>
    </row>
    <row r="1925" spans="1:11" x14ac:dyDescent="0.25">
      <c r="A1925">
        <v>150</v>
      </c>
      <c r="B1925">
        <v>35.320079126087599</v>
      </c>
      <c r="C1925">
        <v>2000</v>
      </c>
    </row>
    <row r="1926" spans="1:11" x14ac:dyDescent="0.25">
      <c r="A1926" t="s">
        <v>86</v>
      </c>
    </row>
    <row r="1927" spans="1:11" x14ac:dyDescent="0.25">
      <c r="A1927">
        <v>589</v>
      </c>
      <c r="B1927">
        <v>0</v>
      </c>
      <c r="C1927">
        <v>41.406196881705903</v>
      </c>
      <c r="D1927">
        <v>1.24735084890307</v>
      </c>
      <c r="E1927">
        <v>8</v>
      </c>
      <c r="F1927">
        <v>1.01722196789785</v>
      </c>
      <c r="G1927" t="s">
        <v>84</v>
      </c>
      <c r="H1927" t="s">
        <v>83</v>
      </c>
      <c r="I1927">
        <v>795</v>
      </c>
      <c r="J1927">
        <v>0</v>
      </c>
      <c r="K1927">
        <v>0</v>
      </c>
    </row>
    <row r="1928" spans="1:11" x14ac:dyDescent="0.25">
      <c r="A1928" t="s">
        <v>85</v>
      </c>
    </row>
    <row r="1929" spans="1:11" x14ac:dyDescent="0.25">
      <c r="A1929">
        <v>148.934708507805</v>
      </c>
      <c r="B1929">
        <v>100.110847576202</v>
      </c>
      <c r="C1929">
        <v>2000</v>
      </c>
    </row>
    <row r="1930" spans="1:11" x14ac:dyDescent="0.25">
      <c r="A1930">
        <v>119.620879145798</v>
      </c>
      <c r="B1930">
        <v>70.797018214195106</v>
      </c>
      <c r="C1930">
        <v>2000</v>
      </c>
    </row>
    <row r="1931" spans="1:11" x14ac:dyDescent="0.25">
      <c r="A1931">
        <v>120.05789517024699</v>
      </c>
      <c r="B1931">
        <v>70.360002189746297</v>
      </c>
      <c r="C1931">
        <v>2001</v>
      </c>
    </row>
    <row r="1932" spans="1:11" x14ac:dyDescent="0.25">
      <c r="A1932">
        <v>149.30127100463901</v>
      </c>
      <c r="B1932">
        <v>99.603378024138706</v>
      </c>
      <c r="C1932">
        <v>2001</v>
      </c>
    </row>
    <row r="1933" spans="1:11" x14ac:dyDescent="0.25">
      <c r="A1933">
        <v>149.44398628869499</v>
      </c>
      <c r="B1933">
        <v>99.746093308194105</v>
      </c>
      <c r="C1933">
        <v>2001</v>
      </c>
    </row>
    <row r="1934" spans="1:11" x14ac:dyDescent="0.25">
      <c r="A1934">
        <v>150</v>
      </c>
      <c r="B1934">
        <v>100.3021070195</v>
      </c>
      <c r="C1934">
        <v>2001</v>
      </c>
    </row>
    <row r="1935" spans="1:11" x14ac:dyDescent="0.25">
      <c r="A1935">
        <v>150</v>
      </c>
      <c r="B1935">
        <v>101.17613906839701</v>
      </c>
      <c r="C1935">
        <v>2000</v>
      </c>
    </row>
    <row r="1936" spans="1:11" x14ac:dyDescent="0.25">
      <c r="A1936">
        <v>149.07776762340899</v>
      </c>
      <c r="B1936">
        <v>100.25390669180599</v>
      </c>
      <c r="C1936">
        <v>2000</v>
      </c>
    </row>
    <row r="1937" spans="1:11" x14ac:dyDescent="0.25">
      <c r="A1937" t="s">
        <v>86</v>
      </c>
    </row>
    <row r="1938" spans="1:11" x14ac:dyDescent="0.25">
      <c r="A1938">
        <v>819</v>
      </c>
      <c r="B1938">
        <v>0</v>
      </c>
      <c r="C1938">
        <v>35.403045587550999</v>
      </c>
      <c r="D1938">
        <v>6.3035001341176304</v>
      </c>
      <c r="E1938">
        <v>8</v>
      </c>
      <c r="F1938">
        <v>1.01722196789785</v>
      </c>
      <c r="G1938" t="s">
        <v>84</v>
      </c>
      <c r="H1938" t="s">
        <v>83</v>
      </c>
      <c r="I1938">
        <v>482</v>
      </c>
      <c r="J1938">
        <v>0</v>
      </c>
      <c r="K1938">
        <v>9.7654513304302804E-2</v>
      </c>
    </row>
    <row r="1939" spans="1:11" x14ac:dyDescent="0.25">
      <c r="A1939" t="s">
        <v>85</v>
      </c>
    </row>
    <row r="1940" spans="1:11" x14ac:dyDescent="0.25">
      <c r="A1940">
        <v>145.43360011649</v>
      </c>
      <c r="B1940">
        <v>47.878945450465302</v>
      </c>
      <c r="C1940">
        <v>2000</v>
      </c>
    </row>
    <row r="1941" spans="1:11" x14ac:dyDescent="0.25">
      <c r="A1941">
        <v>120.290510688117</v>
      </c>
      <c r="B1941">
        <v>22.735856022092602</v>
      </c>
      <c r="C1941">
        <v>2000</v>
      </c>
    </row>
    <row r="1942" spans="1:11" x14ac:dyDescent="0.25">
      <c r="A1942">
        <v>120.727526712566</v>
      </c>
      <c r="B1942">
        <v>22.2988399976438</v>
      </c>
      <c r="C1942">
        <v>2001</v>
      </c>
    </row>
    <row r="1943" spans="1:11" x14ac:dyDescent="0.25">
      <c r="A1943">
        <v>145.65190450342101</v>
      </c>
      <c r="B1943">
        <v>47.2232177884988</v>
      </c>
      <c r="C1943">
        <v>2001</v>
      </c>
    </row>
    <row r="1944" spans="1:11" x14ac:dyDescent="0.25">
      <c r="A1944">
        <v>148.090125179843</v>
      </c>
      <c r="B1944">
        <v>49.6614384649207</v>
      </c>
      <c r="C1944">
        <v>2001</v>
      </c>
    </row>
    <row r="1945" spans="1:11" x14ac:dyDescent="0.25">
      <c r="A1945">
        <v>150</v>
      </c>
      <c r="B1945">
        <v>51.571313285078098</v>
      </c>
      <c r="C1945">
        <v>2001</v>
      </c>
    </row>
    <row r="1946" spans="1:11" x14ac:dyDescent="0.25">
      <c r="A1946">
        <v>150</v>
      </c>
      <c r="B1946">
        <v>52.445345333975801</v>
      </c>
      <c r="C1946">
        <v>2000</v>
      </c>
    </row>
    <row r="1947" spans="1:11" x14ac:dyDescent="0.25">
      <c r="A1947">
        <v>147.893216201104</v>
      </c>
      <c r="B1947">
        <v>50.3385615350793</v>
      </c>
      <c r="C1947">
        <v>2000</v>
      </c>
    </row>
    <row r="1948" spans="1:11" x14ac:dyDescent="0.25">
      <c r="A1948" t="s">
        <v>86</v>
      </c>
    </row>
    <row r="1949" spans="1:11" x14ac:dyDescent="0.25">
      <c r="A1949">
        <v>435</v>
      </c>
      <c r="B1949">
        <v>0</v>
      </c>
      <c r="C1949">
        <v>17.5381821926443</v>
      </c>
      <c r="D1949">
        <v>23.7586297842786</v>
      </c>
      <c r="E1949">
        <v>8</v>
      </c>
      <c r="F1949">
        <v>1.01722196789785</v>
      </c>
      <c r="G1949" t="s">
        <v>84</v>
      </c>
      <c r="H1949" t="s">
        <v>84</v>
      </c>
      <c r="I1949">
        <v>120</v>
      </c>
      <c r="J1949">
        <v>413</v>
      </c>
      <c r="K1949">
        <v>0</v>
      </c>
    </row>
    <row r="1950" spans="1:11" x14ac:dyDescent="0.25">
      <c r="A1950" t="s">
        <v>85</v>
      </c>
    </row>
    <row r="1951" spans="1:11" x14ac:dyDescent="0.25">
      <c r="A1951">
        <v>51.343787582281102</v>
      </c>
      <c r="B1951">
        <v>113.863439464883</v>
      </c>
      <c r="C1951">
        <v>2000</v>
      </c>
    </row>
    <row r="1952" spans="1:11" x14ac:dyDescent="0.25">
      <c r="A1952">
        <v>50.218508012224397</v>
      </c>
      <c r="B1952">
        <v>112.738159894826</v>
      </c>
      <c r="C1952">
        <v>2000</v>
      </c>
    </row>
    <row r="1953" spans="1:11" x14ac:dyDescent="0.25">
      <c r="A1953">
        <v>38.942420024177203</v>
      </c>
      <c r="B1953">
        <v>101.462071906779</v>
      </c>
      <c r="C1953">
        <v>2000</v>
      </c>
    </row>
    <row r="1954" spans="1:11" x14ac:dyDescent="0.25">
      <c r="A1954">
        <v>38.505403999728401</v>
      </c>
      <c r="B1954">
        <v>101.899087931227</v>
      </c>
      <c r="C1954">
        <v>2001</v>
      </c>
    </row>
    <row r="1955" spans="1:11" x14ac:dyDescent="0.25">
      <c r="A1955">
        <v>49.781491987775603</v>
      </c>
      <c r="B1955">
        <v>113.17517591927501</v>
      </c>
      <c r="C1955">
        <v>2001</v>
      </c>
    </row>
    <row r="1956" spans="1:11" x14ac:dyDescent="0.25">
      <c r="A1956">
        <v>50.9067715578323</v>
      </c>
      <c r="B1956">
        <v>114.300455489331</v>
      </c>
      <c r="C1956">
        <v>2001</v>
      </c>
    </row>
    <row r="1957" spans="1:11" x14ac:dyDescent="0.25">
      <c r="A1957">
        <v>67.706659789996294</v>
      </c>
      <c r="B1957">
        <v>131.10034372149499</v>
      </c>
      <c r="C1957">
        <v>2001</v>
      </c>
    </row>
    <row r="1958" spans="1:11" x14ac:dyDescent="0.25">
      <c r="A1958">
        <v>68.143675814445103</v>
      </c>
      <c r="B1958">
        <v>130.66332769704701</v>
      </c>
      <c r="C1958">
        <v>2000</v>
      </c>
    </row>
    <row r="1959" spans="1:11" x14ac:dyDescent="0.25">
      <c r="A1959" t="s">
        <v>86</v>
      </c>
    </row>
    <row r="1960" spans="1:11" x14ac:dyDescent="0.25">
      <c r="A1960">
        <v>766</v>
      </c>
      <c r="B1960">
        <v>0</v>
      </c>
      <c r="C1960">
        <v>2.0698661928637598</v>
      </c>
      <c r="D1960">
        <v>39.209750675507003</v>
      </c>
      <c r="E1960">
        <v>8</v>
      </c>
      <c r="F1960">
        <v>1.01722196789785</v>
      </c>
      <c r="G1960" t="s">
        <v>84</v>
      </c>
      <c r="H1960" t="s">
        <v>84</v>
      </c>
      <c r="I1960">
        <v>670</v>
      </c>
      <c r="J1960">
        <v>499</v>
      </c>
      <c r="K1960">
        <v>9.5989877373728896E-2</v>
      </c>
    </row>
    <row r="1961" spans="1:11" x14ac:dyDescent="0.25">
      <c r="A1961" t="s">
        <v>85</v>
      </c>
    </row>
    <row r="1962" spans="1:11" x14ac:dyDescent="0.25">
      <c r="A1962">
        <v>80.281198756904701</v>
      </c>
      <c r="B1962">
        <v>16.865075600731899</v>
      </c>
      <c r="C1962">
        <v>2000</v>
      </c>
    </row>
    <row r="1963" spans="1:11" x14ac:dyDescent="0.25">
      <c r="A1963">
        <v>78.817582335782006</v>
      </c>
      <c r="B1963">
        <v>15.4014591796091</v>
      </c>
      <c r="C1963">
        <v>2000</v>
      </c>
    </row>
    <row r="1964" spans="1:11" x14ac:dyDescent="0.25">
      <c r="A1964">
        <v>79.254598360230801</v>
      </c>
      <c r="B1964">
        <v>14.9644431551603</v>
      </c>
      <c r="C1964">
        <v>2001</v>
      </c>
    </row>
    <row r="1965" spans="1:11" x14ac:dyDescent="0.25">
      <c r="A1965">
        <v>80.718214781353495</v>
      </c>
      <c r="B1965">
        <v>16.428059576283001</v>
      </c>
      <c r="C1965">
        <v>2001</v>
      </c>
    </row>
    <row r="1966" spans="1:11" x14ac:dyDescent="0.25">
      <c r="A1966">
        <v>100.21850801222401</v>
      </c>
      <c r="B1966">
        <v>35.9283528071539</v>
      </c>
      <c r="C1966">
        <v>2001</v>
      </c>
    </row>
    <row r="1967" spans="1:11" x14ac:dyDescent="0.25">
      <c r="A1967">
        <v>108.443695372638</v>
      </c>
      <c r="B1967">
        <v>44.153540167567797</v>
      </c>
      <c r="C1967">
        <v>2001</v>
      </c>
    </row>
    <row r="1968" spans="1:11" x14ac:dyDescent="0.25">
      <c r="A1968">
        <v>108.00667934819</v>
      </c>
      <c r="B1968">
        <v>44.590556192016699</v>
      </c>
      <c r="C1968">
        <v>2000</v>
      </c>
    </row>
    <row r="1969" spans="1:11" x14ac:dyDescent="0.25">
      <c r="A1969">
        <v>99.781491987775595</v>
      </c>
      <c r="B1969">
        <v>36.365368831602702</v>
      </c>
      <c r="C1969">
        <v>2000</v>
      </c>
    </row>
    <row r="1970" spans="1:11" x14ac:dyDescent="0.25">
      <c r="A1970" t="s">
        <v>86</v>
      </c>
    </row>
    <row r="1971" spans="1:11" x14ac:dyDescent="0.25">
      <c r="A1971">
        <v>748</v>
      </c>
      <c r="B1971">
        <v>0</v>
      </c>
      <c r="C1971">
        <v>37.361765233890701</v>
      </c>
      <c r="D1971">
        <v>3.7630237750258302</v>
      </c>
      <c r="E1971">
        <v>6</v>
      </c>
      <c r="F1971">
        <v>1.01722196789785</v>
      </c>
      <c r="G1971" t="s">
        <v>84</v>
      </c>
      <c r="H1971" t="s">
        <v>84</v>
      </c>
      <c r="I1971">
        <v>798</v>
      </c>
      <c r="J1971">
        <v>274</v>
      </c>
      <c r="K1971">
        <v>9.5418080883047596E-2</v>
      </c>
    </row>
    <row r="1972" spans="1:11" x14ac:dyDescent="0.25">
      <c r="A1972" t="s">
        <v>85</v>
      </c>
    </row>
    <row r="1973" spans="1:11" x14ac:dyDescent="0.25">
      <c r="A1973">
        <v>141.34451425603399</v>
      </c>
      <c r="B1973">
        <v>140.59862773055599</v>
      </c>
      <c r="C1973">
        <v>2000</v>
      </c>
    </row>
    <row r="1974" spans="1:11" x14ac:dyDescent="0.25">
      <c r="A1974">
        <v>114.92575670204999</v>
      </c>
      <c r="B1974">
        <v>114.179870176572</v>
      </c>
      <c r="C1974">
        <v>2000</v>
      </c>
    </row>
    <row r="1975" spans="1:11" x14ac:dyDescent="0.25">
      <c r="A1975">
        <v>114.488740677601</v>
      </c>
      <c r="B1975">
        <v>114.616886201021</v>
      </c>
      <c r="C1975">
        <v>2001</v>
      </c>
    </row>
    <row r="1976" spans="1:11" x14ac:dyDescent="0.25">
      <c r="A1976">
        <v>140.90749823158501</v>
      </c>
      <c r="B1976">
        <v>141.035643755005</v>
      </c>
      <c r="C1976">
        <v>2001</v>
      </c>
    </row>
    <row r="1977" spans="1:11" x14ac:dyDescent="0.25">
      <c r="A1977">
        <v>143.56835786067199</v>
      </c>
      <c r="B1977">
        <v>143.69650338409201</v>
      </c>
      <c r="C1977">
        <v>2001</v>
      </c>
    </row>
    <row r="1978" spans="1:11" x14ac:dyDescent="0.25">
      <c r="A1978">
        <v>144.005373885121</v>
      </c>
      <c r="B1978">
        <v>143.259487359643</v>
      </c>
      <c r="C1978">
        <v>2000</v>
      </c>
    </row>
    <row r="1979" spans="1:11" x14ac:dyDescent="0.25">
      <c r="A1979" t="s">
        <v>86</v>
      </c>
    </row>
    <row r="1980" spans="1:11" x14ac:dyDescent="0.25">
      <c r="A1980">
        <v>272</v>
      </c>
      <c r="B1980">
        <v>0</v>
      </c>
      <c r="C1980">
        <v>31.656634757881498</v>
      </c>
      <c r="D1980">
        <v>9.4681542510349495</v>
      </c>
      <c r="E1980">
        <v>6</v>
      </c>
      <c r="F1980">
        <v>1.01722196789785</v>
      </c>
      <c r="G1980" t="s">
        <v>84</v>
      </c>
      <c r="H1980" t="s">
        <v>84</v>
      </c>
      <c r="I1980">
        <v>798</v>
      </c>
      <c r="J1980">
        <v>274</v>
      </c>
      <c r="K1980">
        <v>0</v>
      </c>
    </row>
    <row r="1981" spans="1:11" x14ac:dyDescent="0.25">
      <c r="A1981" t="s">
        <v>85</v>
      </c>
    </row>
    <row r="1982" spans="1:11" x14ac:dyDescent="0.25">
      <c r="A1982">
        <v>136.31947521508201</v>
      </c>
      <c r="B1982">
        <v>137.555393877228</v>
      </c>
      <c r="C1982">
        <v>2000</v>
      </c>
    </row>
    <row r="1983" spans="1:11" x14ac:dyDescent="0.25">
      <c r="A1983">
        <v>113.934854108238</v>
      </c>
      <c r="B1983">
        <v>115.170772770384</v>
      </c>
      <c r="C1983">
        <v>2000</v>
      </c>
    </row>
    <row r="1984" spans="1:11" x14ac:dyDescent="0.25">
      <c r="A1984">
        <v>114.37187013268699</v>
      </c>
      <c r="B1984">
        <v>114.733756745935</v>
      </c>
      <c r="C1984">
        <v>2001</v>
      </c>
    </row>
    <row r="1985" spans="1:11" x14ac:dyDescent="0.25">
      <c r="A1985">
        <v>136.75649123952999</v>
      </c>
      <c r="B1985">
        <v>137.11837785277899</v>
      </c>
      <c r="C1985">
        <v>2001</v>
      </c>
    </row>
    <row r="1986" spans="1:11" x14ac:dyDescent="0.25">
      <c r="A1986">
        <v>143.45148731575799</v>
      </c>
      <c r="B1986">
        <v>143.81337392900599</v>
      </c>
      <c r="C1986">
        <v>2001</v>
      </c>
    </row>
    <row r="1987" spans="1:11" x14ac:dyDescent="0.25">
      <c r="A1987">
        <v>143.01447129130901</v>
      </c>
      <c r="B1987">
        <v>144.250389953455</v>
      </c>
      <c r="C1987">
        <v>2000</v>
      </c>
    </row>
    <row r="1988" spans="1:11" x14ac:dyDescent="0.25">
      <c r="A1988" t="s">
        <v>86</v>
      </c>
    </row>
    <row r="1989" spans="1:11" x14ac:dyDescent="0.25">
      <c r="A1989">
        <v>185</v>
      </c>
      <c r="B1989">
        <v>0</v>
      </c>
      <c r="C1989">
        <v>8.5305866140846494</v>
      </c>
      <c r="D1989">
        <v>32.4832711738824</v>
      </c>
      <c r="E1989">
        <v>6</v>
      </c>
      <c r="F1989">
        <v>1.01722196789785</v>
      </c>
      <c r="G1989" t="s">
        <v>84</v>
      </c>
      <c r="H1989" t="s">
        <v>83</v>
      </c>
      <c r="I1989">
        <v>174</v>
      </c>
      <c r="J1989">
        <v>0</v>
      </c>
      <c r="K1989">
        <v>0</v>
      </c>
    </row>
    <row r="1990" spans="1:11" x14ac:dyDescent="0.25">
      <c r="A1990" t="s">
        <v>85</v>
      </c>
    </row>
    <row r="1991" spans="1:11" x14ac:dyDescent="0.25">
      <c r="A1991">
        <v>8.5979101337866393</v>
      </c>
      <c r="B1991">
        <v>127.203918599462</v>
      </c>
      <c r="C1991">
        <v>2000</v>
      </c>
    </row>
    <row r="1992" spans="1:11" x14ac:dyDescent="0.25">
      <c r="A1992">
        <v>2.6113225820571899</v>
      </c>
      <c r="B1992">
        <v>121.217331047732</v>
      </c>
      <c r="C1992">
        <v>2000</v>
      </c>
    </row>
    <row r="1993" spans="1:11" x14ac:dyDescent="0.25">
      <c r="A1993">
        <v>3.0483386065060101</v>
      </c>
      <c r="B1993">
        <v>120.78031502328299</v>
      </c>
      <c r="C1993">
        <v>2001</v>
      </c>
    </row>
    <row r="1994" spans="1:11" x14ac:dyDescent="0.25">
      <c r="A1994">
        <v>9.1258223394134603</v>
      </c>
      <c r="B1994">
        <v>126.857798756191</v>
      </c>
      <c r="C1994">
        <v>2001</v>
      </c>
    </row>
    <row r="1995" spans="1:11" x14ac:dyDescent="0.25">
      <c r="A1995">
        <v>32.2680235832226</v>
      </c>
      <c r="B1995">
        <v>150</v>
      </c>
      <c r="C1995">
        <v>2001</v>
      </c>
    </row>
    <row r="1996" spans="1:11" x14ac:dyDescent="0.25">
      <c r="A1996">
        <v>31.393991534325</v>
      </c>
      <c r="B1996">
        <v>150</v>
      </c>
      <c r="C1996">
        <v>2000</v>
      </c>
    </row>
    <row r="1997" spans="1:11" x14ac:dyDescent="0.25">
      <c r="A1997" t="s">
        <v>86</v>
      </c>
    </row>
    <row r="1998" spans="1:11" x14ac:dyDescent="0.25">
      <c r="A1998">
        <v>507</v>
      </c>
      <c r="B1998">
        <v>0</v>
      </c>
      <c r="C1998">
        <v>3.4449626382854999</v>
      </c>
      <c r="D1998">
        <v>37.172608632583497</v>
      </c>
      <c r="E1998">
        <v>6</v>
      </c>
      <c r="F1998">
        <v>1.01722196789785</v>
      </c>
      <c r="G1998" t="s">
        <v>83</v>
      </c>
      <c r="H1998" t="s">
        <v>83</v>
      </c>
      <c r="I1998">
        <v>0</v>
      </c>
      <c r="J1998">
        <v>0</v>
      </c>
      <c r="K1998">
        <v>0</v>
      </c>
    </row>
    <row r="1999" spans="1:11" x14ac:dyDescent="0.25">
      <c r="A1999" t="s">
        <v>85</v>
      </c>
    </row>
    <row r="2000" spans="1:11" x14ac:dyDescent="0.25">
      <c r="A2000">
        <v>123.315045671824</v>
      </c>
      <c r="B2000">
        <v>2.47302177723251</v>
      </c>
      <c r="C2000">
        <v>2000</v>
      </c>
    </row>
    <row r="2001" spans="1:11" x14ac:dyDescent="0.25">
      <c r="A2001">
        <v>120.842023894592</v>
      </c>
      <c r="B2001">
        <v>0</v>
      </c>
      <c r="C2001">
        <v>2000</v>
      </c>
    </row>
    <row r="2002" spans="1:11" x14ac:dyDescent="0.25">
      <c r="A2002">
        <v>121.716055943489</v>
      </c>
      <c r="B2002">
        <v>0</v>
      </c>
      <c r="C2002">
        <v>2001</v>
      </c>
    </row>
    <row r="2003" spans="1:11" x14ac:dyDescent="0.25">
      <c r="A2003">
        <v>124.11494705118901</v>
      </c>
      <c r="B2003">
        <v>2.3988911076994399</v>
      </c>
      <c r="C2003">
        <v>2001</v>
      </c>
    </row>
    <row r="2004" spans="1:11" x14ac:dyDescent="0.25">
      <c r="A2004">
        <v>150</v>
      </c>
      <c r="B2004">
        <v>28.283944056510499</v>
      </c>
      <c r="C2004">
        <v>2001</v>
      </c>
    </row>
    <row r="2005" spans="1:11" x14ac:dyDescent="0.25">
      <c r="A2005">
        <v>150</v>
      </c>
      <c r="B2005">
        <v>29.157976105408199</v>
      </c>
      <c r="C2005">
        <v>2000</v>
      </c>
    </row>
    <row r="2006" spans="1:11" x14ac:dyDescent="0.25">
      <c r="A2006" t="s">
        <v>86</v>
      </c>
    </row>
    <row r="2007" spans="1:11" x14ac:dyDescent="0.25">
      <c r="A2007">
        <v>36</v>
      </c>
      <c r="B2007">
        <v>0</v>
      </c>
      <c r="C2007">
        <v>22.382565324631901</v>
      </c>
      <c r="D2007">
        <v>18.053496064937701</v>
      </c>
      <c r="E2007">
        <v>8</v>
      </c>
      <c r="F2007">
        <v>1.01722196789785</v>
      </c>
      <c r="G2007" t="s">
        <v>83</v>
      </c>
      <c r="H2007" t="s">
        <v>84</v>
      </c>
      <c r="I2007">
        <v>0</v>
      </c>
      <c r="J2007">
        <v>817</v>
      </c>
      <c r="K2007">
        <v>0</v>
      </c>
    </row>
    <row r="2008" spans="1:11" x14ac:dyDescent="0.25">
      <c r="A2008" t="s">
        <v>85</v>
      </c>
    </row>
    <row r="2009" spans="1:11" x14ac:dyDescent="0.25">
      <c r="A2009">
        <v>15.666202481590499</v>
      </c>
      <c r="B2009">
        <v>44.577824231407199</v>
      </c>
      <c r="C2009">
        <v>2000</v>
      </c>
    </row>
    <row r="2010" spans="1:11" x14ac:dyDescent="0.25">
      <c r="A2010">
        <v>0</v>
      </c>
      <c r="B2010">
        <v>28.9116217498167</v>
      </c>
      <c r="C2010">
        <v>2000</v>
      </c>
    </row>
    <row r="2011" spans="1:11" x14ac:dyDescent="0.25">
      <c r="A2011">
        <v>0</v>
      </c>
      <c r="B2011">
        <v>28.037589700919</v>
      </c>
      <c r="C2011">
        <v>2001</v>
      </c>
    </row>
    <row r="2012" spans="1:11" x14ac:dyDescent="0.25">
      <c r="A2012">
        <v>15.9875249612057</v>
      </c>
      <c r="B2012">
        <v>44.0251146621247</v>
      </c>
      <c r="C2012">
        <v>2001</v>
      </c>
    </row>
    <row r="2013" spans="1:11" x14ac:dyDescent="0.25">
      <c r="A2013">
        <v>21.743902286856599</v>
      </c>
      <c r="B2013">
        <v>49.781491987775603</v>
      </c>
      <c r="C2013">
        <v>2001</v>
      </c>
    </row>
    <row r="2014" spans="1:11" x14ac:dyDescent="0.25">
      <c r="A2014">
        <v>28.8111212252646</v>
      </c>
      <c r="B2014">
        <v>56.8487109261836</v>
      </c>
      <c r="C2014">
        <v>2001</v>
      </c>
    </row>
    <row r="2015" spans="1:11" x14ac:dyDescent="0.25">
      <c r="A2015">
        <v>28.374105200815801</v>
      </c>
      <c r="B2015">
        <v>57.285726950632501</v>
      </c>
      <c r="C2015">
        <v>2000</v>
      </c>
    </row>
    <row r="2016" spans="1:11" x14ac:dyDescent="0.25">
      <c r="A2016">
        <v>21.306886262407801</v>
      </c>
      <c r="B2016">
        <v>50.218508012224397</v>
      </c>
      <c r="C2016">
        <v>2000</v>
      </c>
    </row>
    <row r="2017" spans="1:11" x14ac:dyDescent="0.25">
      <c r="A2017" t="s">
        <v>86</v>
      </c>
    </row>
    <row r="2018" spans="1:11" x14ac:dyDescent="0.25">
      <c r="A2018">
        <v>520</v>
      </c>
      <c r="B2018">
        <v>0</v>
      </c>
      <c r="C2018">
        <v>33.024200192754101</v>
      </c>
      <c r="D2018">
        <v>6.85431825711684</v>
      </c>
      <c r="E2018">
        <v>8</v>
      </c>
      <c r="F2018">
        <v>1.01722196789785</v>
      </c>
      <c r="G2018" t="s">
        <v>83</v>
      </c>
      <c r="H2018" t="s">
        <v>84</v>
      </c>
      <c r="I2018">
        <v>0</v>
      </c>
      <c r="J2018">
        <v>518</v>
      </c>
      <c r="K2018">
        <v>0</v>
      </c>
    </row>
    <row r="2019" spans="1:11" x14ac:dyDescent="0.25">
      <c r="A2019" t="s">
        <v>85</v>
      </c>
    </row>
    <row r="2020" spans="1:11" x14ac:dyDescent="0.25">
      <c r="A2020">
        <v>119.13220298195201</v>
      </c>
      <c r="B2020">
        <v>23.169214996515802</v>
      </c>
      <c r="C2020">
        <v>2000</v>
      </c>
    </row>
    <row r="2021" spans="1:11" x14ac:dyDescent="0.25">
      <c r="A2021">
        <v>100.39515124985</v>
      </c>
      <c r="B2021">
        <v>4.4321632644145703</v>
      </c>
      <c r="C2021">
        <v>2000</v>
      </c>
    </row>
    <row r="2022" spans="1:11" x14ac:dyDescent="0.25">
      <c r="A2022">
        <v>95.962987985435703</v>
      </c>
      <c r="B2022">
        <v>0</v>
      </c>
      <c r="C2022">
        <v>2000</v>
      </c>
    </row>
    <row r="2023" spans="1:11" x14ac:dyDescent="0.25">
      <c r="A2023">
        <v>95.088955936538099</v>
      </c>
      <c r="B2023">
        <v>0</v>
      </c>
      <c r="C2023">
        <v>2001</v>
      </c>
    </row>
    <row r="2024" spans="1:11" x14ac:dyDescent="0.25">
      <c r="A2024">
        <v>99.604848750149699</v>
      </c>
      <c r="B2024">
        <v>4.5158928136115497</v>
      </c>
      <c r="C2024">
        <v>2001</v>
      </c>
    </row>
    <row r="2025" spans="1:11" x14ac:dyDescent="0.25">
      <c r="A2025">
        <v>118.623012739139</v>
      </c>
      <c r="B2025">
        <v>23.534056802601199</v>
      </c>
      <c r="C2025">
        <v>2001</v>
      </c>
    </row>
    <row r="2026" spans="1:11" x14ac:dyDescent="0.25">
      <c r="A2026">
        <v>123.505834768339</v>
      </c>
      <c r="B2026">
        <v>28.416878831801</v>
      </c>
      <c r="C2026">
        <v>2001</v>
      </c>
    </row>
    <row r="2027" spans="1:11" x14ac:dyDescent="0.25">
      <c r="A2027">
        <v>123.94285079278799</v>
      </c>
      <c r="B2027">
        <v>27.979862807352099</v>
      </c>
      <c r="C2027">
        <v>2000</v>
      </c>
    </row>
    <row r="2028" spans="1:11" x14ac:dyDescent="0.25">
      <c r="A2028" t="s">
        <v>86</v>
      </c>
    </row>
    <row r="2029" spans="1:11" x14ac:dyDescent="0.25">
      <c r="A2029">
        <v>678</v>
      </c>
      <c r="B2029">
        <v>0</v>
      </c>
      <c r="C2029">
        <v>9.0412408310068209</v>
      </c>
      <c r="D2029">
        <v>30.698180690544699</v>
      </c>
      <c r="E2029">
        <v>8</v>
      </c>
      <c r="F2029">
        <v>1.01722196789785</v>
      </c>
      <c r="G2029" t="s">
        <v>84</v>
      </c>
      <c r="H2029" t="s">
        <v>84</v>
      </c>
      <c r="I2029">
        <v>803</v>
      </c>
      <c r="J2029">
        <v>772</v>
      </c>
      <c r="K2029">
        <v>0</v>
      </c>
    </row>
    <row r="2030" spans="1:11" x14ac:dyDescent="0.25">
      <c r="A2030" t="s">
        <v>85</v>
      </c>
    </row>
    <row r="2031" spans="1:11" x14ac:dyDescent="0.25">
      <c r="A2031">
        <v>94.656884151821203</v>
      </c>
      <c r="B2031">
        <v>21.246997350471698</v>
      </c>
      <c r="C2031">
        <v>2000</v>
      </c>
    </row>
    <row r="2032" spans="1:11" x14ac:dyDescent="0.25">
      <c r="A2032">
        <v>88.263761449875602</v>
      </c>
      <c r="B2032">
        <v>14.8538746485261</v>
      </c>
      <c r="C2032">
        <v>2000</v>
      </c>
    </row>
    <row r="2033" spans="1:11" x14ac:dyDescent="0.25">
      <c r="A2033">
        <v>88.700777474324397</v>
      </c>
      <c r="B2033">
        <v>14.4168586240773</v>
      </c>
      <c r="C2033">
        <v>2001</v>
      </c>
    </row>
    <row r="2034" spans="1:11" x14ac:dyDescent="0.25">
      <c r="A2034">
        <v>95.093900176270097</v>
      </c>
      <c r="B2034">
        <v>20.8099813260229</v>
      </c>
      <c r="C2034">
        <v>2001</v>
      </c>
    </row>
    <row r="2035" spans="1:11" x14ac:dyDescent="0.25">
      <c r="A2035">
        <v>100.21850801222401</v>
      </c>
      <c r="B2035">
        <v>25.9345891619773</v>
      </c>
      <c r="C2035">
        <v>2001</v>
      </c>
    </row>
    <row r="2036" spans="1:11" x14ac:dyDescent="0.25">
      <c r="A2036">
        <v>116.800791912644</v>
      </c>
      <c r="B2036">
        <v>42.516873062397003</v>
      </c>
      <c r="C2036">
        <v>2001</v>
      </c>
    </row>
    <row r="2037" spans="1:11" x14ac:dyDescent="0.25">
      <c r="A2037">
        <v>116.36377588819499</v>
      </c>
      <c r="B2037">
        <v>42.953889086845898</v>
      </c>
      <c r="C2037">
        <v>2000</v>
      </c>
    </row>
    <row r="2038" spans="1:11" x14ac:dyDescent="0.25">
      <c r="A2038">
        <v>99.781491987775595</v>
      </c>
      <c r="B2038">
        <v>26.371605186426098</v>
      </c>
      <c r="C2038">
        <v>2000</v>
      </c>
    </row>
    <row r="2039" spans="1:11" x14ac:dyDescent="0.25">
      <c r="A2039" t="s">
        <v>86</v>
      </c>
    </row>
    <row r="2040" spans="1:11" x14ac:dyDescent="0.25">
      <c r="A2040">
        <v>438</v>
      </c>
      <c r="B2040">
        <v>0</v>
      </c>
      <c r="C2040">
        <v>4.3571714440930496</v>
      </c>
      <c r="D2040">
        <v>35.330571644888202</v>
      </c>
      <c r="E2040">
        <v>8</v>
      </c>
      <c r="F2040">
        <v>1.01722196789785</v>
      </c>
      <c r="G2040" t="s">
        <v>84</v>
      </c>
      <c r="H2040" t="s">
        <v>84</v>
      </c>
      <c r="I2040">
        <v>356</v>
      </c>
      <c r="J2040">
        <v>404</v>
      </c>
      <c r="K2040">
        <v>0</v>
      </c>
    </row>
    <row r="2041" spans="1:11" x14ac:dyDescent="0.25">
      <c r="A2041" t="s">
        <v>85</v>
      </c>
    </row>
    <row r="2042" spans="1:11" x14ac:dyDescent="0.25">
      <c r="A2042">
        <v>66.283848396639101</v>
      </c>
      <c r="B2042">
        <v>102.648801245093</v>
      </c>
      <c r="C2042">
        <v>2000</v>
      </c>
    </row>
    <row r="2043" spans="1:11" x14ac:dyDescent="0.25">
      <c r="A2043">
        <v>63.853555163770501</v>
      </c>
      <c r="B2043">
        <v>100.21850801222401</v>
      </c>
      <c r="C2043">
        <v>2000</v>
      </c>
    </row>
    <row r="2044" spans="1:11" x14ac:dyDescent="0.25">
      <c r="A2044">
        <v>63.202862921728503</v>
      </c>
      <c r="B2044">
        <v>99.567815770182406</v>
      </c>
      <c r="C2044">
        <v>2000</v>
      </c>
    </row>
    <row r="2045" spans="1:11" x14ac:dyDescent="0.25">
      <c r="A2045">
        <v>63.639878946177298</v>
      </c>
      <c r="B2045">
        <v>99.130799745733597</v>
      </c>
      <c r="C2045">
        <v>2001</v>
      </c>
    </row>
    <row r="2046" spans="1:11" x14ac:dyDescent="0.25">
      <c r="A2046">
        <v>64.290571188219303</v>
      </c>
      <c r="B2046">
        <v>99.781491987775595</v>
      </c>
      <c r="C2046">
        <v>2001</v>
      </c>
    </row>
    <row r="2047" spans="1:11" x14ac:dyDescent="0.25">
      <c r="A2047">
        <v>66.720864421087896</v>
      </c>
      <c r="B2047">
        <v>102.211785220644</v>
      </c>
      <c r="C2047">
        <v>2001</v>
      </c>
    </row>
    <row r="2048" spans="1:11" x14ac:dyDescent="0.25">
      <c r="A2048">
        <v>91.703351214385506</v>
      </c>
      <c r="B2048">
        <v>127.194272013942</v>
      </c>
      <c r="C2048">
        <v>2001</v>
      </c>
    </row>
    <row r="2049" spans="1:11" x14ac:dyDescent="0.25">
      <c r="A2049">
        <v>91.266335189936697</v>
      </c>
      <c r="B2049">
        <v>127.63128803839101</v>
      </c>
      <c r="C2049">
        <v>2000</v>
      </c>
    </row>
    <row r="2050" spans="1:11" x14ac:dyDescent="0.25">
      <c r="A2050" t="s">
        <v>86</v>
      </c>
    </row>
    <row r="2051" spans="1:11" x14ac:dyDescent="0.25">
      <c r="A2051">
        <v>37</v>
      </c>
      <c r="B2051">
        <v>0</v>
      </c>
      <c r="C2051">
        <v>9.1140883786840199</v>
      </c>
      <c r="D2051">
        <v>30.166163622938299</v>
      </c>
      <c r="E2051">
        <v>6</v>
      </c>
      <c r="F2051">
        <v>1.01722196789785</v>
      </c>
      <c r="G2051" t="s">
        <v>83</v>
      </c>
      <c r="H2051" t="s">
        <v>84</v>
      </c>
      <c r="I2051">
        <v>0</v>
      </c>
      <c r="J2051">
        <v>587</v>
      </c>
      <c r="K2051">
        <v>0</v>
      </c>
    </row>
    <row r="2052" spans="1:11" x14ac:dyDescent="0.25">
      <c r="A2052" t="s">
        <v>85</v>
      </c>
    </row>
    <row r="2053" spans="1:11" x14ac:dyDescent="0.25">
      <c r="A2053">
        <v>20.1743888171656</v>
      </c>
      <c r="B2053">
        <v>6.4953335074516199</v>
      </c>
      <c r="C2053">
        <v>2000</v>
      </c>
    </row>
    <row r="2054" spans="1:11" x14ac:dyDescent="0.25">
      <c r="A2054">
        <v>13.679055309713901</v>
      </c>
      <c r="B2054">
        <v>0</v>
      </c>
      <c r="C2054">
        <v>2000</v>
      </c>
    </row>
    <row r="2055" spans="1:11" x14ac:dyDescent="0.25">
      <c r="A2055">
        <v>14.553087358611601</v>
      </c>
      <c r="B2055">
        <v>0</v>
      </c>
      <c r="C2055">
        <v>2001</v>
      </c>
    </row>
    <row r="2056" spans="1:11" x14ac:dyDescent="0.25">
      <c r="A2056">
        <v>20.947021244961899</v>
      </c>
      <c r="B2056">
        <v>6.3939338863503297</v>
      </c>
      <c r="C2056">
        <v>2001</v>
      </c>
    </row>
    <row r="2057" spans="1:11" x14ac:dyDescent="0.25">
      <c r="A2057">
        <v>42.109911903450801</v>
      </c>
      <c r="B2057">
        <v>27.556824544839198</v>
      </c>
      <c r="C2057">
        <v>2001</v>
      </c>
    </row>
    <row r="2058" spans="1:11" x14ac:dyDescent="0.25">
      <c r="A2058">
        <v>41.672895879001899</v>
      </c>
      <c r="B2058">
        <v>27.993840569288</v>
      </c>
      <c r="C2058">
        <v>2000</v>
      </c>
    </row>
    <row r="2059" spans="1:11" x14ac:dyDescent="0.25">
      <c r="A2059" t="s">
        <v>86</v>
      </c>
    </row>
    <row r="2060" spans="1:11" x14ac:dyDescent="0.25">
      <c r="A2060">
        <v>800</v>
      </c>
      <c r="B2060">
        <v>0</v>
      </c>
      <c r="C2060">
        <v>27.188847958890499</v>
      </c>
      <c r="D2060">
        <v>11.567786588954</v>
      </c>
      <c r="E2060">
        <v>10</v>
      </c>
      <c r="F2060">
        <v>1.01722196789785</v>
      </c>
      <c r="G2060" t="s">
        <v>84</v>
      </c>
      <c r="H2060" t="s">
        <v>84</v>
      </c>
      <c r="I2060">
        <v>817</v>
      </c>
      <c r="J2060">
        <v>277</v>
      </c>
      <c r="K2060">
        <v>9.7122043571393105E-2</v>
      </c>
    </row>
    <row r="2061" spans="1:11" x14ac:dyDescent="0.25">
      <c r="A2061" t="s">
        <v>85</v>
      </c>
    </row>
    <row r="2062" spans="1:11" x14ac:dyDescent="0.25">
      <c r="A2062">
        <v>65.339580693910506</v>
      </c>
      <c r="B2062">
        <v>94.387298474264199</v>
      </c>
      <c r="C2062">
        <v>2000</v>
      </c>
    </row>
    <row r="2063" spans="1:11" x14ac:dyDescent="0.25">
      <c r="A2063">
        <v>49.781491987775603</v>
      </c>
      <c r="B2063">
        <v>78.829209768129303</v>
      </c>
      <c r="C2063">
        <v>2000</v>
      </c>
    </row>
    <row r="2064" spans="1:11" x14ac:dyDescent="0.25">
      <c r="A2064">
        <v>46.114161929528997</v>
      </c>
      <c r="B2064">
        <v>75.161879709882697</v>
      </c>
      <c r="C2064">
        <v>2000</v>
      </c>
    </row>
    <row r="2065" spans="1:11" x14ac:dyDescent="0.25">
      <c r="A2065">
        <v>46.551177953977799</v>
      </c>
      <c r="B2065">
        <v>74.724863685433903</v>
      </c>
      <c r="C2065">
        <v>2001</v>
      </c>
    </row>
    <row r="2066" spans="1:11" x14ac:dyDescent="0.25">
      <c r="A2066">
        <v>50.218508012224397</v>
      </c>
      <c r="B2066">
        <v>78.392193743680494</v>
      </c>
      <c r="C2066">
        <v>2001</v>
      </c>
    </row>
    <row r="2067" spans="1:11" x14ac:dyDescent="0.25">
      <c r="A2067">
        <v>65.776596718359301</v>
      </c>
      <c r="B2067">
        <v>93.950282449815404</v>
      </c>
      <c r="C2067">
        <v>2001</v>
      </c>
    </row>
    <row r="2068" spans="1:11" x14ac:dyDescent="0.25">
      <c r="A2068">
        <v>71.607806256319506</v>
      </c>
      <c r="B2068">
        <v>99.781491987775595</v>
      </c>
      <c r="C2068">
        <v>2001</v>
      </c>
    </row>
    <row r="2069" spans="1:11" x14ac:dyDescent="0.25">
      <c r="A2069">
        <v>73.956257058727502</v>
      </c>
      <c r="B2069">
        <v>102.129942790184</v>
      </c>
      <c r="C2069">
        <v>2001</v>
      </c>
    </row>
    <row r="2070" spans="1:11" x14ac:dyDescent="0.25">
      <c r="A2070">
        <v>73.519241034278707</v>
      </c>
      <c r="B2070">
        <v>102.566958814632</v>
      </c>
      <c r="C2070">
        <v>2000</v>
      </c>
    </row>
    <row r="2071" spans="1:11" x14ac:dyDescent="0.25">
      <c r="A2071">
        <v>71.170790231870697</v>
      </c>
      <c r="B2071">
        <v>100.21850801222401</v>
      </c>
      <c r="C2071">
        <v>2000</v>
      </c>
    </row>
    <row r="2072" spans="1:11" x14ac:dyDescent="0.25">
      <c r="A2072" t="s">
        <v>86</v>
      </c>
    </row>
    <row r="2073" spans="1:11" x14ac:dyDescent="0.25">
      <c r="A2073">
        <v>22</v>
      </c>
      <c r="B2073">
        <v>0</v>
      </c>
      <c r="C2073">
        <v>24.563425025885302</v>
      </c>
      <c r="D2073">
        <v>14.033400811999799</v>
      </c>
      <c r="E2073">
        <v>6</v>
      </c>
      <c r="F2073">
        <v>1.01722196789785</v>
      </c>
      <c r="G2073" t="s">
        <v>83</v>
      </c>
      <c r="H2073" t="s">
        <v>84</v>
      </c>
      <c r="I2073">
        <v>0</v>
      </c>
      <c r="J2073">
        <v>676</v>
      </c>
      <c r="K2073">
        <v>0</v>
      </c>
    </row>
    <row r="2074" spans="1:11" x14ac:dyDescent="0.25">
      <c r="A2074" t="s">
        <v>85</v>
      </c>
    </row>
    <row r="2075" spans="1:11" x14ac:dyDescent="0.25">
      <c r="A2075">
        <v>32.153591056481297</v>
      </c>
      <c r="B2075">
        <v>17.508025197129601</v>
      </c>
      <c r="C2075">
        <v>2000</v>
      </c>
    </row>
    <row r="2076" spans="1:11" x14ac:dyDescent="0.25">
      <c r="A2076">
        <v>14.6455658593517</v>
      </c>
      <c r="B2076">
        <v>0</v>
      </c>
      <c r="C2076">
        <v>2000</v>
      </c>
    </row>
    <row r="2077" spans="1:11" x14ac:dyDescent="0.25">
      <c r="A2077">
        <v>15.519597908249301</v>
      </c>
      <c r="B2077">
        <v>0</v>
      </c>
      <c r="C2077">
        <v>2001</v>
      </c>
    </row>
    <row r="2078" spans="1:11" x14ac:dyDescent="0.25">
      <c r="A2078">
        <v>32.749501521061397</v>
      </c>
      <c r="B2078">
        <v>17.229903612812102</v>
      </c>
      <c r="C2078">
        <v>2001</v>
      </c>
    </row>
    <row r="2079" spans="1:11" x14ac:dyDescent="0.25">
      <c r="A2079">
        <v>42.593167178269603</v>
      </c>
      <c r="B2079">
        <v>27.0735692700203</v>
      </c>
      <c r="C2079">
        <v>2001</v>
      </c>
    </row>
    <row r="2080" spans="1:11" x14ac:dyDescent="0.25">
      <c r="A2080">
        <v>42.156151153820801</v>
      </c>
      <c r="B2080">
        <v>27.510585294469099</v>
      </c>
      <c r="C2080">
        <v>2000</v>
      </c>
    </row>
    <row r="2081" spans="1:11" x14ac:dyDescent="0.25">
      <c r="A2081" t="s">
        <v>86</v>
      </c>
    </row>
    <row r="2082" spans="1:11" x14ac:dyDescent="0.25">
      <c r="A2082">
        <v>742</v>
      </c>
      <c r="B2082">
        <v>0</v>
      </c>
      <c r="C2082">
        <v>17.4999852615741</v>
      </c>
      <c r="D2082">
        <v>20.946766427078298</v>
      </c>
      <c r="E2082">
        <v>8</v>
      </c>
      <c r="F2082">
        <v>1.01722196789785</v>
      </c>
      <c r="G2082" t="s">
        <v>84</v>
      </c>
      <c r="H2082" t="s">
        <v>84</v>
      </c>
      <c r="I2082">
        <v>842</v>
      </c>
      <c r="J2082">
        <v>353</v>
      </c>
      <c r="K2082">
        <v>9.4763910412348204E-2</v>
      </c>
    </row>
    <row r="2083" spans="1:11" x14ac:dyDescent="0.25">
      <c r="A2083" t="s">
        <v>85</v>
      </c>
    </row>
    <row r="2084" spans="1:11" x14ac:dyDescent="0.25">
      <c r="A2084">
        <v>48.243606668083601</v>
      </c>
      <c r="B2084">
        <v>65.085845404805696</v>
      </c>
      <c r="C2084">
        <v>2000</v>
      </c>
    </row>
    <row r="2085" spans="1:11" x14ac:dyDescent="0.25">
      <c r="A2085">
        <v>35.869248418959899</v>
      </c>
      <c r="B2085">
        <v>52.711487155682001</v>
      </c>
      <c r="C2085">
        <v>2000</v>
      </c>
    </row>
    <row r="2086" spans="1:11" x14ac:dyDescent="0.25">
      <c r="A2086">
        <v>36.306264443408701</v>
      </c>
      <c r="B2086">
        <v>52.274471131233199</v>
      </c>
      <c r="C2086">
        <v>2001</v>
      </c>
    </row>
    <row r="2087" spans="1:11" x14ac:dyDescent="0.25">
      <c r="A2087">
        <v>48.680622692532403</v>
      </c>
      <c r="B2087">
        <v>64.648829380356901</v>
      </c>
      <c r="C2087">
        <v>2001</v>
      </c>
    </row>
    <row r="2088" spans="1:11" x14ac:dyDescent="0.25">
      <c r="A2088">
        <v>50.218508012224397</v>
      </c>
      <c r="B2088">
        <v>66.186714700048896</v>
      </c>
      <c r="C2088">
        <v>2001</v>
      </c>
    </row>
    <row r="2089" spans="1:11" x14ac:dyDescent="0.25">
      <c r="A2089">
        <v>63.492223277050201</v>
      </c>
      <c r="B2089">
        <v>79.460429964874706</v>
      </c>
      <c r="C2089">
        <v>2001</v>
      </c>
    </row>
    <row r="2090" spans="1:11" x14ac:dyDescent="0.25">
      <c r="A2090">
        <v>63.055207252601399</v>
      </c>
      <c r="B2090">
        <v>79.897445989323501</v>
      </c>
      <c r="C2090">
        <v>2000</v>
      </c>
    </row>
    <row r="2091" spans="1:11" x14ac:dyDescent="0.25">
      <c r="A2091">
        <v>49.781491987775603</v>
      </c>
      <c r="B2091">
        <v>66.623730724497804</v>
      </c>
      <c r="C2091">
        <v>2000</v>
      </c>
    </row>
    <row r="2092" spans="1:11" x14ac:dyDescent="0.25">
      <c r="A2092" t="s">
        <v>86</v>
      </c>
    </row>
    <row r="2093" spans="1:11" x14ac:dyDescent="0.25">
      <c r="A2093">
        <v>770</v>
      </c>
      <c r="B2093">
        <v>0</v>
      </c>
      <c r="C2093">
        <v>5.8966947743667104</v>
      </c>
      <c r="D2093">
        <v>32.2492682114232</v>
      </c>
      <c r="E2093">
        <v>6</v>
      </c>
      <c r="F2093">
        <v>1.01722196789785</v>
      </c>
      <c r="G2093" t="s">
        <v>84</v>
      </c>
      <c r="H2093" t="s">
        <v>84</v>
      </c>
      <c r="I2093">
        <v>112</v>
      </c>
      <c r="J2093">
        <v>762</v>
      </c>
      <c r="K2093">
        <v>9.5989877373728896E-2</v>
      </c>
    </row>
    <row r="2094" spans="1:11" x14ac:dyDescent="0.25">
      <c r="A2094" t="s">
        <v>85</v>
      </c>
    </row>
    <row r="2095" spans="1:11" x14ac:dyDescent="0.25">
      <c r="A2095">
        <v>19.004350323702202</v>
      </c>
      <c r="B2095">
        <v>74.690310555827196</v>
      </c>
      <c r="C2095">
        <v>2000</v>
      </c>
    </row>
    <row r="2096" spans="1:11" x14ac:dyDescent="0.25">
      <c r="A2096">
        <v>14.8347574621602</v>
      </c>
      <c r="B2096">
        <v>70.520717694285196</v>
      </c>
      <c r="C2096">
        <v>2000</v>
      </c>
    </row>
    <row r="2097" spans="1:11" x14ac:dyDescent="0.25">
      <c r="A2097">
        <v>15.271773486609</v>
      </c>
      <c r="B2097">
        <v>70.083701669836401</v>
      </c>
      <c r="C2097">
        <v>2001</v>
      </c>
    </row>
    <row r="2098" spans="1:11" x14ac:dyDescent="0.25">
      <c r="A2098">
        <v>19.441366348151</v>
      </c>
      <c r="B2098">
        <v>74.253294531378401</v>
      </c>
      <c r="C2098">
        <v>2001</v>
      </c>
    </row>
    <row r="2099" spans="1:11" x14ac:dyDescent="0.25">
      <c r="A2099">
        <v>42.245042588752099</v>
      </c>
      <c r="B2099">
        <v>97.056970771979493</v>
      </c>
      <c r="C2099">
        <v>2001</v>
      </c>
    </row>
    <row r="2100" spans="1:11" x14ac:dyDescent="0.25">
      <c r="A2100">
        <v>41.808026564303297</v>
      </c>
      <c r="B2100">
        <v>97.493986796428302</v>
      </c>
      <c r="C2100">
        <v>2000</v>
      </c>
    </row>
    <row r="2101" spans="1:11" x14ac:dyDescent="0.25">
      <c r="A2101" t="s">
        <v>86</v>
      </c>
    </row>
    <row r="2102" spans="1:11" x14ac:dyDescent="0.25">
      <c r="A2102">
        <v>661</v>
      </c>
      <c r="B2102">
        <v>0</v>
      </c>
      <c r="C2102">
        <v>8.04611675362219</v>
      </c>
      <c r="D2102">
        <v>29.879547422785599</v>
      </c>
      <c r="E2102">
        <v>8</v>
      </c>
      <c r="F2102">
        <v>1.01722196789785</v>
      </c>
      <c r="G2102" t="s">
        <v>84</v>
      </c>
      <c r="H2102" t="s">
        <v>84</v>
      </c>
      <c r="I2102">
        <v>666</v>
      </c>
      <c r="J2102">
        <v>592</v>
      </c>
      <c r="K2102">
        <v>0</v>
      </c>
    </row>
    <row r="2103" spans="1:11" x14ac:dyDescent="0.25">
      <c r="A2103" t="s">
        <v>85</v>
      </c>
    </row>
    <row r="2104" spans="1:11" x14ac:dyDescent="0.25">
      <c r="A2104">
        <v>76.733696818697894</v>
      </c>
      <c r="B2104">
        <v>29.789385333554701</v>
      </c>
      <c r="C2104">
        <v>2000</v>
      </c>
    </row>
    <row r="2105" spans="1:11" x14ac:dyDescent="0.25">
      <c r="A2105">
        <v>71.044233099992894</v>
      </c>
      <c r="B2105">
        <v>24.099921614849801</v>
      </c>
      <c r="C2105">
        <v>2000</v>
      </c>
    </row>
    <row r="2106" spans="1:11" x14ac:dyDescent="0.25">
      <c r="A2106">
        <v>71.481249124441703</v>
      </c>
      <c r="B2106">
        <v>23.662905590401</v>
      </c>
      <c r="C2106">
        <v>2001</v>
      </c>
    </row>
    <row r="2107" spans="1:11" x14ac:dyDescent="0.25">
      <c r="A2107">
        <v>77.170712843146703</v>
      </c>
      <c r="B2107">
        <v>29.352369309105899</v>
      </c>
      <c r="C2107">
        <v>2001</v>
      </c>
    </row>
    <row r="2108" spans="1:11" x14ac:dyDescent="0.25">
      <c r="A2108">
        <v>97.599835521816402</v>
      </c>
      <c r="B2108">
        <v>49.781491987775603</v>
      </c>
      <c r="C2108">
        <v>2001</v>
      </c>
    </row>
    <row r="2109" spans="1:11" x14ac:dyDescent="0.25">
      <c r="A2109">
        <v>98.298743444583494</v>
      </c>
      <c r="B2109">
        <v>50.480399910542701</v>
      </c>
      <c r="C2109">
        <v>2001</v>
      </c>
    </row>
    <row r="2110" spans="1:11" x14ac:dyDescent="0.25">
      <c r="A2110">
        <v>97.861727420134599</v>
      </c>
      <c r="B2110">
        <v>50.917415934991503</v>
      </c>
      <c r="C2110">
        <v>2000</v>
      </c>
    </row>
    <row r="2111" spans="1:11" x14ac:dyDescent="0.25">
      <c r="A2111">
        <v>97.162819497367593</v>
      </c>
      <c r="B2111">
        <v>50.218508012224397</v>
      </c>
      <c r="C2111">
        <v>2000</v>
      </c>
    </row>
    <row r="2112" spans="1:11" x14ac:dyDescent="0.25">
      <c r="A2112" t="s">
        <v>86</v>
      </c>
    </row>
    <row r="2113" spans="1:11" x14ac:dyDescent="0.25">
      <c r="A2113">
        <v>24</v>
      </c>
      <c r="B2113">
        <v>0</v>
      </c>
      <c r="C2113">
        <v>14.9554035109352</v>
      </c>
      <c r="D2113">
        <v>22.595987202668098</v>
      </c>
      <c r="E2113">
        <v>6</v>
      </c>
      <c r="F2113">
        <v>1.01722196789785</v>
      </c>
      <c r="G2113" t="s">
        <v>84</v>
      </c>
      <c r="H2113" t="s">
        <v>84</v>
      </c>
      <c r="I2113">
        <v>31</v>
      </c>
      <c r="J2113">
        <v>358</v>
      </c>
      <c r="K2113">
        <v>0</v>
      </c>
    </row>
    <row r="2114" spans="1:11" x14ac:dyDescent="0.25">
      <c r="A2114" t="s">
        <v>85</v>
      </c>
    </row>
    <row r="2115" spans="1:11" x14ac:dyDescent="0.25">
      <c r="A2115">
        <v>29.6456923576329</v>
      </c>
      <c r="B2115">
        <v>31.911116135260801</v>
      </c>
      <c r="C2115">
        <v>2000</v>
      </c>
    </row>
    <row r="2116" spans="1:11" x14ac:dyDescent="0.25">
      <c r="A2116">
        <v>19.070625119669501</v>
      </c>
      <c r="B2116">
        <v>21.336048897297399</v>
      </c>
      <c r="C2116">
        <v>2000</v>
      </c>
    </row>
    <row r="2117" spans="1:11" x14ac:dyDescent="0.25">
      <c r="A2117">
        <v>19.507641144118399</v>
      </c>
      <c r="B2117">
        <v>20.899032872848601</v>
      </c>
      <c r="C2117">
        <v>2001</v>
      </c>
    </row>
    <row r="2118" spans="1:11" x14ac:dyDescent="0.25">
      <c r="A2118">
        <v>30.082708382081801</v>
      </c>
      <c r="B2118">
        <v>31.474100110812</v>
      </c>
      <c r="C2118">
        <v>2001</v>
      </c>
    </row>
    <row r="2119" spans="1:11" x14ac:dyDescent="0.25">
      <c r="A2119">
        <v>46.060484160692901</v>
      </c>
      <c r="B2119">
        <v>47.4518758894231</v>
      </c>
      <c r="C2119">
        <v>2001</v>
      </c>
    </row>
    <row r="2120" spans="1:11" x14ac:dyDescent="0.25">
      <c r="A2120">
        <v>45.623468136244</v>
      </c>
      <c r="B2120">
        <v>47.888891913871902</v>
      </c>
      <c r="C2120">
        <v>2000</v>
      </c>
    </row>
    <row r="2121" spans="1:11" x14ac:dyDescent="0.25">
      <c r="A2121" t="s">
        <v>86</v>
      </c>
    </row>
    <row r="2122" spans="1:11" x14ac:dyDescent="0.25">
      <c r="A2122">
        <v>733</v>
      </c>
      <c r="B2122">
        <v>0</v>
      </c>
      <c r="C2122">
        <v>13.4045442959073</v>
      </c>
      <c r="D2122">
        <v>23.575953105526999</v>
      </c>
      <c r="E2122">
        <v>6</v>
      </c>
      <c r="F2122">
        <v>1.01722196789785</v>
      </c>
      <c r="G2122" t="s">
        <v>84</v>
      </c>
      <c r="H2122" t="s">
        <v>84</v>
      </c>
      <c r="I2122">
        <v>730</v>
      </c>
      <c r="J2122">
        <v>805</v>
      </c>
      <c r="K2122">
        <v>9.4312854387899395E-2</v>
      </c>
    </row>
    <row r="2123" spans="1:11" x14ac:dyDescent="0.25">
      <c r="A2123" t="s">
        <v>85</v>
      </c>
    </row>
    <row r="2124" spans="1:11" x14ac:dyDescent="0.25">
      <c r="A2124">
        <v>119.138494488386</v>
      </c>
      <c r="B2124">
        <v>65.202109363485306</v>
      </c>
      <c r="C2124">
        <v>2000</v>
      </c>
    </row>
    <row r="2125" spans="1:11" x14ac:dyDescent="0.25">
      <c r="A2125">
        <v>109.660050318035</v>
      </c>
      <c r="B2125">
        <v>55.723665193133797</v>
      </c>
      <c r="C2125">
        <v>2000</v>
      </c>
    </row>
    <row r="2126" spans="1:11" x14ac:dyDescent="0.25">
      <c r="A2126">
        <v>110.097066342484</v>
      </c>
      <c r="B2126">
        <v>55.286649168685003</v>
      </c>
      <c r="C2126">
        <v>2001</v>
      </c>
    </row>
    <row r="2127" spans="1:11" x14ac:dyDescent="0.25">
      <c r="A2127">
        <v>119.575510512835</v>
      </c>
      <c r="B2127">
        <v>64.765093339036497</v>
      </c>
      <c r="C2127">
        <v>2001</v>
      </c>
    </row>
    <row r="2128" spans="1:11" x14ac:dyDescent="0.25">
      <c r="A2128">
        <v>136.24622682668999</v>
      </c>
      <c r="B2128">
        <v>81.435809652890796</v>
      </c>
      <c r="C2128">
        <v>2001</v>
      </c>
    </row>
    <row r="2129" spans="1:11" x14ac:dyDescent="0.25">
      <c r="A2129">
        <v>135.80921080224101</v>
      </c>
      <c r="B2129">
        <v>81.872825677339605</v>
      </c>
      <c r="C2129">
        <v>2000</v>
      </c>
    </row>
    <row r="2130" spans="1:11" x14ac:dyDescent="0.25">
      <c r="A2130" t="s">
        <v>86</v>
      </c>
    </row>
    <row r="2131" spans="1:11" x14ac:dyDescent="0.25">
      <c r="A2131">
        <v>833</v>
      </c>
      <c r="B2131">
        <v>0</v>
      </c>
      <c r="C2131">
        <v>32.957303430604597</v>
      </c>
      <c r="D2131">
        <v>3.8875781072775601</v>
      </c>
      <c r="E2131">
        <v>6</v>
      </c>
      <c r="F2131">
        <v>1.01722196789785</v>
      </c>
      <c r="G2131" t="s">
        <v>83</v>
      </c>
      <c r="H2131" t="s">
        <v>83</v>
      </c>
      <c r="I2131">
        <v>0</v>
      </c>
      <c r="J2131">
        <v>0</v>
      </c>
      <c r="K2131">
        <v>9.8647374787755204E-2</v>
      </c>
    </row>
    <row r="2132" spans="1:11" x14ac:dyDescent="0.25">
      <c r="A2132" t="s">
        <v>85</v>
      </c>
    </row>
    <row r="2133" spans="1:11" x14ac:dyDescent="0.25">
      <c r="A2133">
        <v>22.913427167189099</v>
      </c>
      <c r="B2133">
        <v>147.297177604186</v>
      </c>
      <c r="C2133">
        <v>2000</v>
      </c>
    </row>
    <row r="2134" spans="1:11" x14ac:dyDescent="0.25">
      <c r="A2134">
        <v>0</v>
      </c>
      <c r="B2134">
        <v>124.383750436997</v>
      </c>
      <c r="C2134">
        <v>2000</v>
      </c>
    </row>
    <row r="2135" spans="1:11" x14ac:dyDescent="0.25">
      <c r="A2135">
        <v>0</v>
      </c>
      <c r="B2135">
        <v>123.5097183881</v>
      </c>
      <c r="C2135">
        <v>2001</v>
      </c>
    </row>
    <row r="2136" spans="1:11" x14ac:dyDescent="0.25">
      <c r="A2136">
        <v>23.6952383236173</v>
      </c>
      <c r="B2136">
        <v>147.20495671171699</v>
      </c>
      <c r="C2136">
        <v>2001</v>
      </c>
    </row>
    <row r="2137" spans="1:11" x14ac:dyDescent="0.25">
      <c r="A2137">
        <v>26.4902816119004</v>
      </c>
      <c r="B2137">
        <v>150</v>
      </c>
      <c r="C2137">
        <v>2001</v>
      </c>
    </row>
    <row r="2138" spans="1:11" x14ac:dyDescent="0.25">
      <c r="A2138">
        <v>25.6162495630027</v>
      </c>
      <c r="B2138">
        <v>150</v>
      </c>
      <c r="C2138">
        <v>2000</v>
      </c>
    </row>
    <row r="2139" spans="1:11" x14ac:dyDescent="0.25">
      <c r="A2139" t="s">
        <v>86</v>
      </c>
    </row>
    <row r="2140" spans="1:11" x14ac:dyDescent="0.25">
      <c r="A2140">
        <v>273</v>
      </c>
      <c r="B2140">
        <v>0</v>
      </c>
      <c r="C2140">
        <v>20.9615490998337</v>
      </c>
      <c r="D2140">
        <v>15.067150576194599</v>
      </c>
      <c r="E2140">
        <v>10</v>
      </c>
      <c r="F2140">
        <v>1.01722196789785</v>
      </c>
      <c r="G2140" t="s">
        <v>84</v>
      </c>
      <c r="H2140" t="s">
        <v>84</v>
      </c>
      <c r="I2140">
        <v>357</v>
      </c>
      <c r="J2140">
        <v>746</v>
      </c>
      <c r="K2140">
        <v>0</v>
      </c>
    </row>
    <row r="2141" spans="1:11" x14ac:dyDescent="0.25">
      <c r="A2141" t="s">
        <v>85</v>
      </c>
    </row>
    <row r="2142" spans="1:11" x14ac:dyDescent="0.25">
      <c r="A2142">
        <v>104.034713258056</v>
      </c>
      <c r="B2142">
        <v>103.714787755956</v>
      </c>
      <c r="C2142">
        <v>2000</v>
      </c>
    </row>
    <row r="2143" spans="1:11" x14ac:dyDescent="0.25">
      <c r="A2143">
        <v>100.53843351432501</v>
      </c>
      <c r="B2143">
        <v>100.21850801222401</v>
      </c>
      <c r="C2143">
        <v>2000</v>
      </c>
    </row>
    <row r="2144" spans="1:11" x14ac:dyDescent="0.25">
      <c r="A2144">
        <v>99.781491987775595</v>
      </c>
      <c r="B2144">
        <v>99.461566485675107</v>
      </c>
      <c r="C2144">
        <v>2000</v>
      </c>
    </row>
    <row r="2145" spans="1:11" x14ac:dyDescent="0.25">
      <c r="A2145">
        <v>89.212659745389004</v>
      </c>
      <c r="B2145">
        <v>88.892734243288402</v>
      </c>
      <c r="C2145">
        <v>2000</v>
      </c>
    </row>
    <row r="2146" spans="1:11" x14ac:dyDescent="0.25">
      <c r="A2146">
        <v>89.649675769837799</v>
      </c>
      <c r="B2146">
        <v>88.455718218839607</v>
      </c>
      <c r="C2146">
        <v>2001</v>
      </c>
    </row>
    <row r="2147" spans="1:11" x14ac:dyDescent="0.25">
      <c r="A2147">
        <v>100.21850801222401</v>
      </c>
      <c r="B2147">
        <v>99.024550461226198</v>
      </c>
      <c r="C2147">
        <v>2001</v>
      </c>
    </row>
    <row r="2148" spans="1:11" x14ac:dyDescent="0.25">
      <c r="A2148">
        <v>100.975449538774</v>
      </c>
      <c r="B2148">
        <v>99.781491987775595</v>
      </c>
      <c r="C2148">
        <v>2001</v>
      </c>
    </row>
    <row r="2149" spans="1:11" x14ac:dyDescent="0.25">
      <c r="A2149">
        <v>104.471729282505</v>
      </c>
      <c r="B2149">
        <v>103.277771731507</v>
      </c>
      <c r="C2149">
        <v>2001</v>
      </c>
    </row>
    <row r="2150" spans="1:11" x14ac:dyDescent="0.25">
      <c r="A2150">
        <v>115.125813628091</v>
      </c>
      <c r="B2150">
        <v>113.931856077093</v>
      </c>
      <c r="C2150">
        <v>2001</v>
      </c>
    </row>
    <row r="2151" spans="1:11" x14ac:dyDescent="0.25">
      <c r="A2151">
        <v>114.688797603642</v>
      </c>
      <c r="B2151">
        <v>114.368872101542</v>
      </c>
      <c r="C2151">
        <v>2000</v>
      </c>
    </row>
    <row r="2152" spans="1:11" x14ac:dyDescent="0.25">
      <c r="A2152" t="s">
        <v>86</v>
      </c>
    </row>
    <row r="2153" spans="1:11" x14ac:dyDescent="0.25">
      <c r="A2153">
        <v>828</v>
      </c>
      <c r="B2153">
        <v>0</v>
      </c>
      <c r="C2153">
        <v>7.7838935186250797</v>
      </c>
      <c r="D2153">
        <v>28.049940587872999</v>
      </c>
      <c r="E2153">
        <v>8</v>
      </c>
      <c r="F2153">
        <v>1.01722196789785</v>
      </c>
      <c r="G2153" t="s">
        <v>84</v>
      </c>
      <c r="H2153" t="s">
        <v>83</v>
      </c>
      <c r="I2153">
        <v>197</v>
      </c>
      <c r="J2153">
        <v>0</v>
      </c>
      <c r="K2153">
        <v>9.8407604610444205E-2</v>
      </c>
    </row>
    <row r="2154" spans="1:11" x14ac:dyDescent="0.25">
      <c r="A2154" t="s">
        <v>85</v>
      </c>
    </row>
    <row r="2155" spans="1:11" x14ac:dyDescent="0.25">
      <c r="A2155">
        <v>55.087849474238702</v>
      </c>
      <c r="B2155">
        <v>129.98995471668201</v>
      </c>
      <c r="C2155">
        <v>2000</v>
      </c>
    </row>
    <row r="2156" spans="1:11" x14ac:dyDescent="0.25">
      <c r="A2156">
        <v>50.218508012224397</v>
      </c>
      <c r="B2156">
        <v>125.12061325466701</v>
      </c>
      <c r="C2156">
        <v>2000</v>
      </c>
    </row>
    <row r="2157" spans="1:11" x14ac:dyDescent="0.25">
      <c r="A2157">
        <v>49.541039652714097</v>
      </c>
      <c r="B2157">
        <v>124.443144895157</v>
      </c>
      <c r="C2157">
        <v>2000</v>
      </c>
    </row>
    <row r="2158" spans="1:11" x14ac:dyDescent="0.25">
      <c r="A2158">
        <v>49.104023628265303</v>
      </c>
      <c r="B2158">
        <v>124.880160919606</v>
      </c>
      <c r="C2158">
        <v>2001</v>
      </c>
    </row>
    <row r="2159" spans="1:11" x14ac:dyDescent="0.25">
      <c r="A2159">
        <v>49.781491987775603</v>
      </c>
      <c r="B2159">
        <v>125.557629279116</v>
      </c>
      <c r="C2159">
        <v>2001</v>
      </c>
    </row>
    <row r="2160" spans="1:11" x14ac:dyDescent="0.25">
      <c r="A2160">
        <v>54.5653015888483</v>
      </c>
      <c r="B2160">
        <v>130.341438880189</v>
      </c>
      <c r="C2160">
        <v>2001</v>
      </c>
    </row>
    <row r="2161" spans="1:11" x14ac:dyDescent="0.25">
      <c r="A2161">
        <v>74.223862708659397</v>
      </c>
      <c r="B2161">
        <v>150</v>
      </c>
      <c r="C2161">
        <v>2001</v>
      </c>
    </row>
    <row r="2162" spans="1:11" x14ac:dyDescent="0.25">
      <c r="A2162">
        <v>75.0978947575571</v>
      </c>
      <c r="B2162">
        <v>150</v>
      </c>
      <c r="C2162">
        <v>2000</v>
      </c>
    </row>
    <row r="2163" spans="1:11" x14ac:dyDescent="0.25">
      <c r="A2163" t="s">
        <v>86</v>
      </c>
    </row>
    <row r="2164" spans="1:11" x14ac:dyDescent="0.25">
      <c r="A2164">
        <v>768</v>
      </c>
      <c r="B2164">
        <v>0</v>
      </c>
      <c r="C2164">
        <v>3.9433293553135398</v>
      </c>
      <c r="D2164">
        <v>31.7770493273546</v>
      </c>
      <c r="E2164">
        <v>6</v>
      </c>
      <c r="F2164">
        <v>1.01722196789785</v>
      </c>
      <c r="G2164" t="s">
        <v>84</v>
      </c>
      <c r="H2164" t="s">
        <v>83</v>
      </c>
      <c r="I2164">
        <v>184</v>
      </c>
      <c r="J2164">
        <v>0</v>
      </c>
      <c r="K2164">
        <v>9.5989877373728896E-2</v>
      </c>
    </row>
    <row r="2165" spans="1:11" x14ac:dyDescent="0.25">
      <c r="A2165" t="s">
        <v>85</v>
      </c>
    </row>
    <row r="2166" spans="1:11" x14ac:dyDescent="0.25">
      <c r="A2166">
        <v>19.141993859306702</v>
      </c>
      <c r="B2166">
        <v>127.335846980657</v>
      </c>
      <c r="C2166">
        <v>2000</v>
      </c>
    </row>
    <row r="2167" spans="1:11" x14ac:dyDescent="0.25">
      <c r="A2167">
        <v>16.329516873359498</v>
      </c>
      <c r="B2167">
        <v>124.52336999471</v>
      </c>
      <c r="C2167">
        <v>2000</v>
      </c>
    </row>
    <row r="2168" spans="1:11" x14ac:dyDescent="0.25">
      <c r="A2168">
        <v>15.892500848910601</v>
      </c>
      <c r="B2168">
        <v>124.96038601915799</v>
      </c>
      <c r="C2168">
        <v>2001</v>
      </c>
    </row>
    <row r="2169" spans="1:11" x14ac:dyDescent="0.25">
      <c r="A2169">
        <v>18.656733718151798</v>
      </c>
      <c r="B2169">
        <v>127.7246188884</v>
      </c>
      <c r="C2169">
        <v>2001</v>
      </c>
    </row>
    <row r="2170" spans="1:11" x14ac:dyDescent="0.25">
      <c r="A2170">
        <v>40.932114829752301</v>
      </c>
      <c r="B2170">
        <v>150</v>
      </c>
      <c r="C2170">
        <v>2001</v>
      </c>
    </row>
    <row r="2171" spans="1:11" x14ac:dyDescent="0.25">
      <c r="A2171">
        <v>41.806146878649898</v>
      </c>
      <c r="B2171">
        <v>150</v>
      </c>
      <c r="C2171">
        <v>2000</v>
      </c>
    </row>
    <row r="2172" spans="1:11" x14ac:dyDescent="0.25">
      <c r="A2172" t="s">
        <v>86</v>
      </c>
    </row>
    <row r="2173" spans="1:11" x14ac:dyDescent="0.25">
      <c r="A2173">
        <v>354</v>
      </c>
      <c r="B2173">
        <v>0</v>
      </c>
      <c r="C2173">
        <v>23.659455013824701</v>
      </c>
      <c r="D2173">
        <v>12.0229734155707</v>
      </c>
      <c r="E2173">
        <v>8</v>
      </c>
      <c r="F2173">
        <v>1.01722196789785</v>
      </c>
      <c r="G2173" t="s">
        <v>84</v>
      </c>
      <c r="H2173" t="s">
        <v>84</v>
      </c>
      <c r="I2173">
        <v>792</v>
      </c>
      <c r="J2173">
        <v>727</v>
      </c>
      <c r="K2173">
        <v>0</v>
      </c>
    </row>
    <row r="2174" spans="1:11" x14ac:dyDescent="0.25">
      <c r="A2174" t="s">
        <v>85</v>
      </c>
    </row>
    <row r="2175" spans="1:11" x14ac:dyDescent="0.25">
      <c r="A2175">
        <v>75.411859496218298</v>
      </c>
      <c r="B2175">
        <v>96.353777981532502</v>
      </c>
      <c r="C2175">
        <v>2000</v>
      </c>
    </row>
    <row r="2176" spans="1:11" x14ac:dyDescent="0.25">
      <c r="A2176">
        <v>58.682098416764802</v>
      </c>
      <c r="B2176">
        <v>79.624016902079006</v>
      </c>
      <c r="C2176">
        <v>2000</v>
      </c>
    </row>
    <row r="2177" spans="1:11" x14ac:dyDescent="0.25">
      <c r="A2177">
        <v>58.245082392316</v>
      </c>
      <c r="B2177">
        <v>80.061032926527801</v>
      </c>
      <c r="C2177">
        <v>2001</v>
      </c>
    </row>
    <row r="2178" spans="1:11" x14ac:dyDescent="0.25">
      <c r="A2178">
        <v>74.974843471769503</v>
      </c>
      <c r="B2178">
        <v>96.790794005981297</v>
      </c>
      <c r="C2178">
        <v>2001</v>
      </c>
    </row>
    <row r="2179" spans="1:11" x14ac:dyDescent="0.25">
      <c r="A2179">
        <v>78.402557478012596</v>
      </c>
      <c r="B2179">
        <v>100.21850801222401</v>
      </c>
      <c r="C2179">
        <v>2001</v>
      </c>
    </row>
    <row r="2180" spans="1:11" x14ac:dyDescent="0.25">
      <c r="A2180">
        <v>83.476369503945094</v>
      </c>
      <c r="B2180">
        <v>105.292320038157</v>
      </c>
      <c r="C2180">
        <v>2001</v>
      </c>
    </row>
    <row r="2181" spans="1:11" x14ac:dyDescent="0.25">
      <c r="A2181">
        <v>83.913385528393903</v>
      </c>
      <c r="B2181">
        <v>104.85530401370799</v>
      </c>
      <c r="C2181">
        <v>2000</v>
      </c>
    </row>
    <row r="2182" spans="1:11" x14ac:dyDescent="0.25">
      <c r="A2182">
        <v>78.839573502461405</v>
      </c>
      <c r="B2182">
        <v>99.781491987775595</v>
      </c>
      <c r="C2182">
        <v>2000</v>
      </c>
    </row>
    <row r="2183" spans="1:11" x14ac:dyDescent="0.25">
      <c r="A2183" t="s">
        <v>86</v>
      </c>
    </row>
    <row r="2184" spans="1:11" x14ac:dyDescent="0.25">
      <c r="A2184">
        <v>665</v>
      </c>
      <c r="B2184">
        <v>0</v>
      </c>
      <c r="C2184">
        <v>7.5313798028676802</v>
      </c>
      <c r="D2184">
        <v>27.879389890409801</v>
      </c>
      <c r="E2184">
        <v>8</v>
      </c>
      <c r="F2184">
        <v>1.01722196789785</v>
      </c>
      <c r="G2184" t="s">
        <v>84</v>
      </c>
      <c r="H2184" t="s">
        <v>84</v>
      </c>
      <c r="I2184">
        <v>680</v>
      </c>
      <c r="J2184">
        <v>593</v>
      </c>
      <c r="K2184">
        <v>0</v>
      </c>
    </row>
    <row r="2185" spans="1:11" x14ac:dyDescent="0.25">
      <c r="A2185" t="s">
        <v>85</v>
      </c>
    </row>
    <row r="2186" spans="1:11" x14ac:dyDescent="0.25">
      <c r="A2186">
        <v>80.614949105589304</v>
      </c>
      <c r="B2186">
        <v>17.826550388632398</v>
      </c>
      <c r="C2186">
        <v>2000</v>
      </c>
    </row>
    <row r="2187" spans="1:11" x14ac:dyDescent="0.25">
      <c r="A2187">
        <v>75.289459375290207</v>
      </c>
      <c r="B2187">
        <v>12.5010606583333</v>
      </c>
      <c r="C2187">
        <v>2000</v>
      </c>
    </row>
    <row r="2188" spans="1:11" x14ac:dyDescent="0.25">
      <c r="A2188">
        <v>74.852443350841398</v>
      </c>
      <c r="B2188">
        <v>12.9380766827821</v>
      </c>
      <c r="C2188">
        <v>2001</v>
      </c>
    </row>
    <row r="2189" spans="1:11" x14ac:dyDescent="0.25">
      <c r="A2189">
        <v>80.177933081140495</v>
      </c>
      <c r="B2189">
        <v>18.2635664130812</v>
      </c>
      <c r="C2189">
        <v>2001</v>
      </c>
    </row>
    <row r="2190" spans="1:11" x14ac:dyDescent="0.25">
      <c r="A2190">
        <v>99.781491987775595</v>
      </c>
      <c r="B2190">
        <v>37.867125319716301</v>
      </c>
      <c r="C2190">
        <v>2001</v>
      </c>
    </row>
    <row r="2191" spans="1:11" x14ac:dyDescent="0.25">
      <c r="A2191">
        <v>99.891638727992998</v>
      </c>
      <c r="B2191">
        <v>37.977272059933703</v>
      </c>
      <c r="C2191">
        <v>2001</v>
      </c>
    </row>
    <row r="2192" spans="1:11" x14ac:dyDescent="0.25">
      <c r="A2192">
        <v>100.32865475244201</v>
      </c>
      <c r="B2192">
        <v>37.540256035484902</v>
      </c>
      <c r="C2192">
        <v>2000</v>
      </c>
    </row>
    <row r="2193" spans="1:11" x14ac:dyDescent="0.25">
      <c r="A2193">
        <v>100.21850801222401</v>
      </c>
      <c r="B2193">
        <v>37.430109295267499</v>
      </c>
      <c r="C2193">
        <v>2000</v>
      </c>
    </row>
    <row r="2194" spans="1:11" x14ac:dyDescent="0.25">
      <c r="A2194" t="s">
        <v>86</v>
      </c>
    </row>
    <row r="2195" spans="1:11" x14ac:dyDescent="0.25">
      <c r="A2195">
        <v>433</v>
      </c>
      <c r="B2195">
        <v>0</v>
      </c>
      <c r="C2195">
        <v>33.467269168421701</v>
      </c>
      <c r="D2195">
        <v>1.27179188555735</v>
      </c>
      <c r="E2195">
        <v>8</v>
      </c>
      <c r="F2195">
        <v>1.01722196789785</v>
      </c>
      <c r="G2195" t="s">
        <v>84</v>
      </c>
      <c r="H2195" t="s">
        <v>84</v>
      </c>
      <c r="I2195">
        <v>338</v>
      </c>
      <c r="J2195">
        <v>725</v>
      </c>
      <c r="K2195">
        <v>0</v>
      </c>
    </row>
    <row r="2196" spans="1:11" x14ac:dyDescent="0.25">
      <c r="A2196" t="s">
        <v>85</v>
      </c>
    </row>
    <row r="2197" spans="1:11" x14ac:dyDescent="0.25">
      <c r="A2197">
        <v>80.603945521923507</v>
      </c>
      <c r="B2197">
        <v>106.383089192386</v>
      </c>
      <c r="C2197">
        <v>2000</v>
      </c>
    </row>
    <row r="2198" spans="1:11" x14ac:dyDescent="0.25">
      <c r="A2198">
        <v>74.439364341762399</v>
      </c>
      <c r="B2198">
        <v>100.21850801222401</v>
      </c>
      <c r="C2198">
        <v>2000</v>
      </c>
    </row>
    <row r="2199" spans="1:11" x14ac:dyDescent="0.25">
      <c r="A2199">
        <v>56.939012545136997</v>
      </c>
      <c r="B2199">
        <v>82.718156215599095</v>
      </c>
      <c r="C2199">
        <v>2000</v>
      </c>
    </row>
    <row r="2200" spans="1:11" x14ac:dyDescent="0.25">
      <c r="A2200">
        <v>57.376028569585799</v>
      </c>
      <c r="B2200">
        <v>82.2811401911503</v>
      </c>
      <c r="C2200">
        <v>2001</v>
      </c>
    </row>
    <row r="2201" spans="1:11" x14ac:dyDescent="0.25">
      <c r="A2201">
        <v>74.876380366211194</v>
      </c>
      <c r="B2201">
        <v>99.781491987775595</v>
      </c>
      <c r="C2201">
        <v>2001</v>
      </c>
    </row>
    <row r="2202" spans="1:11" x14ac:dyDescent="0.25">
      <c r="A2202">
        <v>81.040961546372301</v>
      </c>
      <c r="B2202">
        <v>105.946073167937</v>
      </c>
      <c r="C2202">
        <v>2001</v>
      </c>
    </row>
    <row r="2203" spans="1:11" x14ac:dyDescent="0.25">
      <c r="A2203">
        <v>81.940254212907902</v>
      </c>
      <c r="B2203">
        <v>106.84536583447201</v>
      </c>
      <c r="C2203">
        <v>2001</v>
      </c>
    </row>
    <row r="2204" spans="1:11" x14ac:dyDescent="0.25">
      <c r="A2204">
        <v>81.503238188459093</v>
      </c>
      <c r="B2204">
        <v>107.282381858921</v>
      </c>
      <c r="C2204">
        <v>2000</v>
      </c>
    </row>
    <row r="2205" spans="1:11" x14ac:dyDescent="0.25">
      <c r="A2205" t="s">
        <v>86</v>
      </c>
    </row>
    <row r="2206" spans="1:11" x14ac:dyDescent="0.25">
      <c r="A2206">
        <v>806</v>
      </c>
      <c r="B2206">
        <v>0</v>
      </c>
      <c r="C2206">
        <v>15.4693665912295</v>
      </c>
      <c r="D2206">
        <v>19.068047294498701</v>
      </c>
      <c r="E2206">
        <v>8</v>
      </c>
      <c r="F2206">
        <v>1.01722196789785</v>
      </c>
      <c r="G2206" t="s">
        <v>83</v>
      </c>
      <c r="H2206" t="s">
        <v>84</v>
      </c>
      <c r="I2206">
        <v>0</v>
      </c>
      <c r="J2206">
        <v>182</v>
      </c>
      <c r="K2206">
        <v>9.7122043571393105E-2</v>
      </c>
    </row>
    <row r="2207" spans="1:11" x14ac:dyDescent="0.25">
      <c r="A2207" t="s">
        <v>85</v>
      </c>
    </row>
    <row r="2208" spans="1:11" x14ac:dyDescent="0.25">
      <c r="A2208">
        <v>11.07646240007</v>
      </c>
      <c r="B2208">
        <v>105.45267218734701</v>
      </c>
      <c r="C2208">
        <v>2000</v>
      </c>
    </row>
    <row r="2209" spans="1:11" x14ac:dyDescent="0.25">
      <c r="A2209">
        <v>5.2903855003925901</v>
      </c>
      <c r="B2209">
        <v>99.666595287669907</v>
      </c>
      <c r="C2209">
        <v>2000</v>
      </c>
    </row>
    <row r="2210" spans="1:11" x14ac:dyDescent="0.25">
      <c r="A2210">
        <v>0</v>
      </c>
      <c r="B2210">
        <v>94.376209787277304</v>
      </c>
      <c r="C2210">
        <v>2000</v>
      </c>
    </row>
    <row r="2211" spans="1:11" x14ac:dyDescent="0.25">
      <c r="A2211">
        <v>0</v>
      </c>
      <c r="B2211">
        <v>95.250241836174894</v>
      </c>
      <c r="C2211">
        <v>2001</v>
      </c>
    </row>
    <row r="2212" spans="1:11" x14ac:dyDescent="0.25">
      <c r="A2212">
        <v>5.0831628761552601</v>
      </c>
      <c r="B2212">
        <v>100.33340471232999</v>
      </c>
      <c r="C2212">
        <v>2001</v>
      </c>
    </row>
    <row r="2213" spans="1:11" x14ac:dyDescent="0.25">
      <c r="A2213">
        <v>10.8005256345681</v>
      </c>
      <c r="B2213">
        <v>106.050767470743</v>
      </c>
      <c r="C2213">
        <v>2001</v>
      </c>
    </row>
    <row r="2214" spans="1:11" x14ac:dyDescent="0.25">
      <c r="A2214">
        <v>24.203131551020501</v>
      </c>
      <c r="B2214">
        <v>119.453373387195</v>
      </c>
      <c r="C2214">
        <v>2001</v>
      </c>
    </row>
    <row r="2215" spans="1:11" x14ac:dyDescent="0.25">
      <c r="A2215">
        <v>24.6401475754693</v>
      </c>
      <c r="B2215">
        <v>119.016357362747</v>
      </c>
      <c r="C2215">
        <v>2000</v>
      </c>
    </row>
    <row r="2216" spans="1:11" x14ac:dyDescent="0.25">
      <c r="A2216" t="s">
        <v>86</v>
      </c>
    </row>
    <row r="2217" spans="1:11" x14ac:dyDescent="0.25">
      <c r="A2217">
        <v>350</v>
      </c>
      <c r="B2217">
        <v>0</v>
      </c>
      <c r="C2217">
        <v>9.0412408310068209</v>
      </c>
      <c r="D2217">
        <v>25.308301244785198</v>
      </c>
      <c r="E2217">
        <v>10</v>
      </c>
      <c r="F2217">
        <v>1.01722196789785</v>
      </c>
      <c r="G2217" t="s">
        <v>84</v>
      </c>
      <c r="H2217" t="s">
        <v>84</v>
      </c>
      <c r="I2217">
        <v>808</v>
      </c>
      <c r="J2217">
        <v>837</v>
      </c>
      <c r="K2217">
        <v>0</v>
      </c>
    </row>
    <row r="2218" spans="1:11" x14ac:dyDescent="0.25">
      <c r="A2218" t="s">
        <v>85</v>
      </c>
    </row>
    <row r="2219" spans="1:11" x14ac:dyDescent="0.25">
      <c r="A2219">
        <v>51.7061954102087</v>
      </c>
      <c r="B2219">
        <v>93.7801627450486</v>
      </c>
      <c r="C2219">
        <v>2000</v>
      </c>
    </row>
    <row r="2220" spans="1:11" x14ac:dyDescent="0.25">
      <c r="A2220">
        <v>49.781491987775603</v>
      </c>
      <c r="B2220">
        <v>91.855459322615502</v>
      </c>
      <c r="C2220">
        <v>2000</v>
      </c>
    </row>
    <row r="2221" spans="1:11" x14ac:dyDescent="0.25">
      <c r="A2221">
        <v>45.3130727082631</v>
      </c>
      <c r="B2221">
        <v>87.3870400431029</v>
      </c>
      <c r="C2221">
        <v>2000</v>
      </c>
    </row>
    <row r="2222" spans="1:11" x14ac:dyDescent="0.25">
      <c r="A2222">
        <v>45.750088732711902</v>
      </c>
      <c r="B2222">
        <v>86.950024018654105</v>
      </c>
      <c r="C2222">
        <v>2001</v>
      </c>
    </row>
    <row r="2223" spans="1:11" x14ac:dyDescent="0.25">
      <c r="A2223">
        <v>50.218508012224397</v>
      </c>
      <c r="B2223">
        <v>91.418443298166693</v>
      </c>
      <c r="C2223">
        <v>2001</v>
      </c>
    </row>
    <row r="2224" spans="1:11" x14ac:dyDescent="0.25">
      <c r="A2224">
        <v>52.143211434657502</v>
      </c>
      <c r="B2224">
        <v>93.343146720599805</v>
      </c>
      <c r="C2224">
        <v>2001</v>
      </c>
    </row>
    <row r="2225" spans="1:11" x14ac:dyDescent="0.25">
      <c r="A2225">
        <v>58.581556701833399</v>
      </c>
      <c r="B2225">
        <v>99.781491987775595</v>
      </c>
      <c r="C2225">
        <v>2001</v>
      </c>
    </row>
    <row r="2226" spans="1:11" x14ac:dyDescent="0.25">
      <c r="A2226">
        <v>70.038882865157106</v>
      </c>
      <c r="B2226">
        <v>111.238818151099</v>
      </c>
      <c r="C2226">
        <v>2001</v>
      </c>
    </row>
    <row r="2227" spans="1:11" x14ac:dyDescent="0.25">
      <c r="A2227">
        <v>69.601866840708297</v>
      </c>
      <c r="B2227">
        <v>111.675834175548</v>
      </c>
      <c r="C2227">
        <v>2000</v>
      </c>
    </row>
    <row r="2228" spans="1:11" x14ac:dyDescent="0.25">
      <c r="A2228">
        <v>58.144540677384498</v>
      </c>
      <c r="B2228">
        <v>100.21850801222401</v>
      </c>
      <c r="C2228">
        <v>2000</v>
      </c>
    </row>
    <row r="2229" spans="1:11" x14ac:dyDescent="0.25">
      <c r="A2229" t="s">
        <v>86</v>
      </c>
    </row>
    <row r="2230" spans="1:11" x14ac:dyDescent="0.25">
      <c r="A2230">
        <v>103</v>
      </c>
      <c r="B2230">
        <v>0</v>
      </c>
      <c r="C2230">
        <v>26.465524384359401</v>
      </c>
      <c r="D2230">
        <v>7.6422942158387199</v>
      </c>
      <c r="E2230">
        <v>6</v>
      </c>
      <c r="F2230">
        <v>1.01722196789785</v>
      </c>
      <c r="G2230" t="s">
        <v>83</v>
      </c>
      <c r="H2230" t="s">
        <v>84</v>
      </c>
      <c r="I2230">
        <v>0</v>
      </c>
      <c r="J2230">
        <v>199</v>
      </c>
      <c r="K2230">
        <v>0</v>
      </c>
    </row>
    <row r="2231" spans="1:11" x14ac:dyDescent="0.25">
      <c r="A2231" t="s">
        <v>85</v>
      </c>
    </row>
    <row r="2232" spans="1:11" x14ac:dyDescent="0.25">
      <c r="A2232">
        <v>18.883500249394199</v>
      </c>
      <c r="B2232">
        <v>89.580218031673596</v>
      </c>
      <c r="C2232">
        <v>2000</v>
      </c>
    </row>
    <row r="2233" spans="1:11" x14ac:dyDescent="0.25">
      <c r="A2233">
        <v>0</v>
      </c>
      <c r="B2233">
        <v>70.696717782279507</v>
      </c>
      <c r="C2233">
        <v>2000</v>
      </c>
    </row>
    <row r="2234" spans="1:11" x14ac:dyDescent="0.25">
      <c r="A2234">
        <v>0</v>
      </c>
      <c r="B2234">
        <v>71.570749831177096</v>
      </c>
      <c r="C2234">
        <v>2001</v>
      </c>
    </row>
    <row r="2235" spans="1:11" x14ac:dyDescent="0.25">
      <c r="A2235">
        <v>18.5444032702828</v>
      </c>
      <c r="B2235">
        <v>90.115153101459896</v>
      </c>
      <c r="C2235">
        <v>2001</v>
      </c>
    </row>
    <row r="2236" spans="1:11" x14ac:dyDescent="0.25">
      <c r="A2236">
        <v>23.899361811456298</v>
      </c>
      <c r="B2236">
        <v>95.470111642633398</v>
      </c>
      <c r="C2236">
        <v>2001</v>
      </c>
    </row>
    <row r="2237" spans="1:11" x14ac:dyDescent="0.25">
      <c r="A2237">
        <v>24.3363778359052</v>
      </c>
      <c r="B2237">
        <v>95.033095618184603</v>
      </c>
      <c r="C2237">
        <v>2000</v>
      </c>
    </row>
    <row r="2238" spans="1:11" x14ac:dyDescent="0.25">
      <c r="A2238" t="s">
        <v>86</v>
      </c>
    </row>
    <row r="2239" spans="1:11" x14ac:dyDescent="0.25">
      <c r="A2239">
        <v>265</v>
      </c>
      <c r="B2239">
        <v>0</v>
      </c>
      <c r="C2239">
        <v>5.0753159765348803</v>
      </c>
      <c r="D2239">
        <v>28.7135594450165</v>
      </c>
      <c r="E2239">
        <v>6</v>
      </c>
      <c r="F2239">
        <v>1.01722196789785</v>
      </c>
      <c r="G2239" t="s">
        <v>84</v>
      </c>
      <c r="H2239" t="s">
        <v>83</v>
      </c>
      <c r="I2239">
        <v>783</v>
      </c>
      <c r="J2239">
        <v>0</v>
      </c>
      <c r="K2239">
        <v>0</v>
      </c>
    </row>
    <row r="2240" spans="1:11" x14ac:dyDescent="0.25">
      <c r="A2240" t="s">
        <v>85</v>
      </c>
    </row>
    <row r="2241" spans="1:11" x14ac:dyDescent="0.25">
      <c r="A2241">
        <v>112.35938886997199</v>
      </c>
      <c r="B2241">
        <v>129.88213404595899</v>
      </c>
      <c r="C2241">
        <v>2000</v>
      </c>
    </row>
    <row r="2242" spans="1:11" x14ac:dyDescent="0.25">
      <c r="A2242">
        <v>108.803419896991</v>
      </c>
      <c r="B2242">
        <v>126.326165072978</v>
      </c>
      <c r="C2242">
        <v>2000</v>
      </c>
    </row>
    <row r="2243" spans="1:11" x14ac:dyDescent="0.25">
      <c r="A2243">
        <v>109.24043592144</v>
      </c>
      <c r="B2243">
        <v>125.88914904852901</v>
      </c>
      <c r="C2243">
        <v>2001</v>
      </c>
    </row>
    <row r="2244" spans="1:11" x14ac:dyDescent="0.25">
      <c r="A2244">
        <v>112.86204763580299</v>
      </c>
      <c r="B2244">
        <v>129.51076076289201</v>
      </c>
      <c r="C2244">
        <v>2001</v>
      </c>
    </row>
    <row r="2245" spans="1:11" x14ac:dyDescent="0.25">
      <c r="A2245">
        <v>133.35128687291001</v>
      </c>
      <c r="B2245">
        <v>150</v>
      </c>
      <c r="C2245">
        <v>2001</v>
      </c>
    </row>
    <row r="2246" spans="1:11" x14ac:dyDescent="0.25">
      <c r="A2246">
        <v>132.47725482401299</v>
      </c>
      <c r="B2246">
        <v>150</v>
      </c>
      <c r="C2246">
        <v>2000</v>
      </c>
    </row>
    <row r="2247" spans="1:11" x14ac:dyDescent="0.25">
      <c r="A2247" t="s">
        <v>86</v>
      </c>
    </row>
    <row r="2248" spans="1:11" x14ac:dyDescent="0.25">
      <c r="A2248">
        <v>727</v>
      </c>
      <c r="B2248">
        <v>0</v>
      </c>
      <c r="C2248">
        <v>12.04561089471</v>
      </c>
      <c r="D2248">
        <v>21.662909203062299</v>
      </c>
      <c r="E2248">
        <v>8</v>
      </c>
      <c r="F2248">
        <v>1.01722196789785</v>
      </c>
      <c r="G2248" t="s">
        <v>84</v>
      </c>
      <c r="H2248" t="s">
        <v>84</v>
      </c>
      <c r="I2248">
        <v>354</v>
      </c>
      <c r="J2248">
        <v>245</v>
      </c>
      <c r="K2248">
        <v>9.5111036399799301E-2</v>
      </c>
    </row>
    <row r="2249" spans="1:11" x14ac:dyDescent="0.25">
      <c r="A2249" t="s">
        <v>85</v>
      </c>
    </row>
    <row r="2250" spans="1:11" x14ac:dyDescent="0.25">
      <c r="A2250">
        <v>92.341320838011299</v>
      </c>
      <c r="B2250">
        <v>113.462434998459</v>
      </c>
      <c r="C2250">
        <v>2000</v>
      </c>
    </row>
    <row r="2251" spans="1:11" x14ac:dyDescent="0.25">
      <c r="A2251">
        <v>83.823787690827302</v>
      </c>
      <c r="B2251">
        <v>104.94490185127501</v>
      </c>
      <c r="C2251">
        <v>2000</v>
      </c>
    </row>
    <row r="2252" spans="1:11" x14ac:dyDescent="0.25">
      <c r="A2252">
        <v>84.260803715276097</v>
      </c>
      <c r="B2252">
        <v>104.507885826826</v>
      </c>
      <c r="C2252">
        <v>2001</v>
      </c>
    </row>
    <row r="2253" spans="1:11" x14ac:dyDescent="0.25">
      <c r="A2253">
        <v>92.778336862460094</v>
      </c>
      <c r="B2253">
        <v>113.02541897400999</v>
      </c>
      <c r="C2253">
        <v>2001</v>
      </c>
    </row>
    <row r="2254" spans="1:11" x14ac:dyDescent="0.25">
      <c r="A2254">
        <v>100.21850801222401</v>
      </c>
      <c r="B2254">
        <v>120.46559012377401</v>
      </c>
      <c r="C2254">
        <v>2001</v>
      </c>
    </row>
    <row r="2255" spans="1:11" x14ac:dyDescent="0.25">
      <c r="A2255">
        <v>108.096326860174</v>
      </c>
      <c r="B2255">
        <v>128.34340897172399</v>
      </c>
      <c r="C2255">
        <v>2001</v>
      </c>
    </row>
    <row r="2256" spans="1:11" x14ac:dyDescent="0.25">
      <c r="A2256">
        <v>107.65931083572499</v>
      </c>
      <c r="B2256">
        <v>128.780424996172</v>
      </c>
      <c r="C2256">
        <v>2000</v>
      </c>
    </row>
    <row r="2257" spans="1:11" x14ac:dyDescent="0.25">
      <c r="A2257">
        <v>99.781491987775595</v>
      </c>
      <c r="B2257">
        <v>120.902606148223</v>
      </c>
      <c r="C2257">
        <v>2000</v>
      </c>
    </row>
    <row r="2258" spans="1:11" x14ac:dyDescent="0.25">
      <c r="A2258" t="s">
        <v>86</v>
      </c>
    </row>
    <row r="2259" spans="1:11" x14ac:dyDescent="0.25">
      <c r="A2259">
        <v>853</v>
      </c>
      <c r="B2259">
        <v>0</v>
      </c>
      <c r="C2259">
        <v>23.419123368177399</v>
      </c>
      <c r="D2259">
        <v>9.8917834930307205</v>
      </c>
      <c r="E2259">
        <v>10</v>
      </c>
      <c r="F2259">
        <v>1.01722196789785</v>
      </c>
      <c r="G2259" t="s">
        <v>84</v>
      </c>
      <c r="H2259" t="s">
        <v>84</v>
      </c>
      <c r="I2259">
        <v>358</v>
      </c>
      <c r="J2259">
        <v>252</v>
      </c>
      <c r="K2259">
        <v>0.101363392285861</v>
      </c>
    </row>
    <row r="2260" spans="1:11" x14ac:dyDescent="0.25">
      <c r="A2260" t="s">
        <v>85</v>
      </c>
    </row>
    <row r="2261" spans="1:11" x14ac:dyDescent="0.25">
      <c r="A2261">
        <v>93.724209645639107</v>
      </c>
      <c r="B2261">
        <v>95.951893252293701</v>
      </c>
      <c r="C2261">
        <v>2000</v>
      </c>
    </row>
    <row r="2262" spans="1:11" x14ac:dyDescent="0.25">
      <c r="A2262">
        <v>77.164388702556494</v>
      </c>
      <c r="B2262">
        <v>79.392072309211102</v>
      </c>
      <c r="C2262">
        <v>2000</v>
      </c>
    </row>
    <row r="2263" spans="1:11" x14ac:dyDescent="0.25">
      <c r="A2263">
        <v>77.601404727005303</v>
      </c>
      <c r="B2263">
        <v>78.955056284762307</v>
      </c>
      <c r="C2263">
        <v>2001</v>
      </c>
    </row>
    <row r="2264" spans="1:11" x14ac:dyDescent="0.25">
      <c r="A2264">
        <v>94.161225670087902</v>
      </c>
      <c r="B2264">
        <v>95.514877227844906</v>
      </c>
      <c r="C2264">
        <v>2001</v>
      </c>
    </row>
    <row r="2265" spans="1:11" x14ac:dyDescent="0.25">
      <c r="A2265">
        <v>98.427840430018605</v>
      </c>
      <c r="B2265">
        <v>99.781491987775595</v>
      </c>
      <c r="C2265">
        <v>2001</v>
      </c>
    </row>
    <row r="2266" spans="1:11" x14ac:dyDescent="0.25">
      <c r="A2266">
        <v>100.21850801222401</v>
      </c>
      <c r="B2266">
        <v>101.572159569981</v>
      </c>
      <c r="C2266">
        <v>2001</v>
      </c>
    </row>
    <row r="2267" spans="1:11" x14ac:dyDescent="0.25">
      <c r="A2267">
        <v>101.15577285603899</v>
      </c>
      <c r="B2267">
        <v>102.509424413796</v>
      </c>
      <c r="C2267">
        <v>2001</v>
      </c>
    </row>
    <row r="2268" spans="1:11" x14ac:dyDescent="0.25">
      <c r="A2268">
        <v>100.71875683159</v>
      </c>
      <c r="B2268">
        <v>102.94644043824501</v>
      </c>
      <c r="C2268">
        <v>2000</v>
      </c>
    </row>
    <row r="2269" spans="1:11" x14ac:dyDescent="0.25">
      <c r="A2269">
        <v>99.781491987775595</v>
      </c>
      <c r="B2269">
        <v>102.00917559443</v>
      </c>
      <c r="C2269">
        <v>2000</v>
      </c>
    </row>
    <row r="2270" spans="1:11" x14ac:dyDescent="0.25">
      <c r="A2270">
        <v>97.990824405569796</v>
      </c>
      <c r="B2270">
        <v>100.21850801222401</v>
      </c>
      <c r="C2270">
        <v>2000</v>
      </c>
    </row>
    <row r="2271" spans="1:11" x14ac:dyDescent="0.25">
      <c r="A2271" t="s">
        <v>86</v>
      </c>
    </row>
    <row r="2272" spans="1:11" x14ac:dyDescent="0.25">
      <c r="A2272">
        <v>193</v>
      </c>
      <c r="B2272">
        <v>0</v>
      </c>
      <c r="C2272">
        <v>11.7378406315313</v>
      </c>
      <c r="D2272">
        <v>20.858866562583199</v>
      </c>
      <c r="E2272">
        <v>6</v>
      </c>
      <c r="F2272">
        <v>1.01722196789785</v>
      </c>
      <c r="G2272" t="s">
        <v>83</v>
      </c>
      <c r="H2272" t="s">
        <v>83</v>
      </c>
      <c r="I2272">
        <v>0</v>
      </c>
      <c r="J2272">
        <v>0</v>
      </c>
      <c r="K2272">
        <v>0</v>
      </c>
    </row>
    <row r="2273" spans="1:11" x14ac:dyDescent="0.25">
      <c r="A2273" t="s">
        <v>85</v>
      </c>
    </row>
    <row r="2274" spans="1:11" x14ac:dyDescent="0.25">
      <c r="A2274">
        <v>8.1425403688461504</v>
      </c>
      <c r="B2274">
        <v>135.53020369198401</v>
      </c>
      <c r="C2274">
        <v>2000</v>
      </c>
    </row>
    <row r="2275" spans="1:11" x14ac:dyDescent="0.25">
      <c r="A2275">
        <v>0</v>
      </c>
      <c r="B2275">
        <v>127.387663323138</v>
      </c>
      <c r="C2275">
        <v>2000</v>
      </c>
    </row>
    <row r="2276" spans="1:11" x14ac:dyDescent="0.25">
      <c r="A2276">
        <v>0</v>
      </c>
      <c r="B2276">
        <v>126.51363127424101</v>
      </c>
      <c r="C2276">
        <v>2001</v>
      </c>
    </row>
    <row r="2277" spans="1:11" x14ac:dyDescent="0.25">
      <c r="A2277">
        <v>8.4572730452394307</v>
      </c>
      <c r="B2277">
        <v>134.97090431948001</v>
      </c>
      <c r="C2277">
        <v>2001</v>
      </c>
    </row>
    <row r="2278" spans="1:11" x14ac:dyDescent="0.25">
      <c r="A2278">
        <v>23.486368725759501</v>
      </c>
      <c r="B2278">
        <v>150</v>
      </c>
      <c r="C2278">
        <v>2001</v>
      </c>
    </row>
    <row r="2279" spans="1:11" x14ac:dyDescent="0.25">
      <c r="A2279">
        <v>22.612336676861901</v>
      </c>
      <c r="B2279">
        <v>150</v>
      </c>
      <c r="C2279">
        <v>2000</v>
      </c>
    </row>
    <row r="2280" spans="1:11" x14ac:dyDescent="0.25">
      <c r="A2280" t="s">
        <v>86</v>
      </c>
    </row>
    <row r="2281" spans="1:11" x14ac:dyDescent="0.25">
      <c r="A2281">
        <v>781</v>
      </c>
      <c r="B2281">
        <v>0</v>
      </c>
      <c r="C2281">
        <v>10.0284655417154</v>
      </c>
      <c r="D2281">
        <v>22.322929674230899</v>
      </c>
      <c r="E2281">
        <v>8</v>
      </c>
      <c r="F2281">
        <v>1.01722196789785</v>
      </c>
      <c r="G2281" t="s">
        <v>83</v>
      </c>
      <c r="H2281" t="s">
        <v>84</v>
      </c>
      <c r="I2281">
        <v>0</v>
      </c>
      <c r="J2281">
        <v>832</v>
      </c>
      <c r="K2281">
        <v>9.6278525939506795E-2</v>
      </c>
    </row>
    <row r="2282" spans="1:11" x14ac:dyDescent="0.25">
      <c r="A2282" t="s">
        <v>85</v>
      </c>
    </row>
    <row r="2283" spans="1:11" x14ac:dyDescent="0.25">
      <c r="A2283">
        <v>91.446663291360395</v>
      </c>
      <c r="B2283">
        <v>7.1924116295226703</v>
      </c>
      <c r="C2283">
        <v>2000</v>
      </c>
    </row>
    <row r="2284" spans="1:11" x14ac:dyDescent="0.25">
      <c r="A2284">
        <v>84.254251661837799</v>
      </c>
      <c r="B2284">
        <v>0</v>
      </c>
      <c r="C2284">
        <v>2000</v>
      </c>
    </row>
    <row r="2285" spans="1:11" x14ac:dyDescent="0.25">
      <c r="A2285">
        <v>85.128283710735403</v>
      </c>
      <c r="B2285">
        <v>0</v>
      </c>
      <c r="C2285">
        <v>2001</v>
      </c>
    </row>
    <row r="2286" spans="1:11" x14ac:dyDescent="0.25">
      <c r="A2286">
        <v>92.1182640600979</v>
      </c>
      <c r="B2286">
        <v>6.9899803493625399</v>
      </c>
      <c r="C2286">
        <v>2001</v>
      </c>
    </row>
    <row r="2287" spans="1:11" x14ac:dyDescent="0.25">
      <c r="A2287">
        <v>100.21850801222401</v>
      </c>
      <c r="B2287">
        <v>15.090224301489</v>
      </c>
      <c r="C2287">
        <v>2001</v>
      </c>
    </row>
    <row r="2288" spans="1:11" x14ac:dyDescent="0.25">
      <c r="A2288">
        <v>107.785666636553</v>
      </c>
      <c r="B2288">
        <v>22.657382925817299</v>
      </c>
      <c r="C2288">
        <v>2001</v>
      </c>
    </row>
    <row r="2289" spans="1:11" x14ac:dyDescent="0.25">
      <c r="A2289">
        <v>107.348650612104</v>
      </c>
      <c r="B2289">
        <v>23.0943989502661</v>
      </c>
      <c r="C2289">
        <v>2000</v>
      </c>
    </row>
    <row r="2290" spans="1:11" x14ac:dyDescent="0.25">
      <c r="A2290">
        <v>99.781491987775595</v>
      </c>
      <c r="B2290">
        <v>15.5272403259378</v>
      </c>
      <c r="C2290">
        <v>2000</v>
      </c>
    </row>
    <row r="2291" spans="1:11" x14ac:dyDescent="0.25">
      <c r="A2291" t="s">
        <v>86</v>
      </c>
    </row>
    <row r="2292" spans="1:11" x14ac:dyDescent="0.25">
      <c r="A2292">
        <v>427</v>
      </c>
      <c r="B2292">
        <v>0</v>
      </c>
      <c r="C2292">
        <v>21.416337127075</v>
      </c>
      <c r="D2292">
        <v>10.870351279361699</v>
      </c>
      <c r="E2292">
        <v>10</v>
      </c>
      <c r="F2292">
        <v>1.01722196789785</v>
      </c>
      <c r="G2292" t="s">
        <v>84</v>
      </c>
      <c r="H2292" t="s">
        <v>84</v>
      </c>
      <c r="I2292">
        <v>119</v>
      </c>
      <c r="J2292">
        <v>440</v>
      </c>
      <c r="K2292">
        <v>0</v>
      </c>
    </row>
    <row r="2293" spans="1:11" x14ac:dyDescent="0.25">
      <c r="A2293" t="s">
        <v>85</v>
      </c>
    </row>
    <row r="2294" spans="1:11" x14ac:dyDescent="0.25">
      <c r="A2294">
        <v>59.3212100683389</v>
      </c>
      <c r="B2294">
        <v>108.101908544121</v>
      </c>
      <c r="C2294">
        <v>2000</v>
      </c>
    </row>
    <row r="2295" spans="1:11" x14ac:dyDescent="0.25">
      <c r="A2295">
        <v>51.437809536441797</v>
      </c>
      <c r="B2295">
        <v>100.21850801222401</v>
      </c>
      <c r="C2295">
        <v>2000</v>
      </c>
    </row>
    <row r="2296" spans="1:11" x14ac:dyDescent="0.25">
      <c r="A2296">
        <v>49.781491987775603</v>
      </c>
      <c r="B2296">
        <v>98.562190463558096</v>
      </c>
      <c r="C2296">
        <v>2000</v>
      </c>
    </row>
    <row r="2297" spans="1:11" x14ac:dyDescent="0.25">
      <c r="A2297">
        <v>44.177572857606897</v>
      </c>
      <c r="B2297">
        <v>92.958271333389504</v>
      </c>
      <c r="C2297">
        <v>2000</v>
      </c>
    </row>
    <row r="2298" spans="1:11" x14ac:dyDescent="0.25">
      <c r="A2298">
        <v>44.614588882055799</v>
      </c>
      <c r="B2298">
        <v>92.521255308940695</v>
      </c>
      <c r="C2298">
        <v>2001</v>
      </c>
    </row>
    <row r="2299" spans="1:11" x14ac:dyDescent="0.25">
      <c r="A2299">
        <v>50.218508012224397</v>
      </c>
      <c r="B2299">
        <v>98.125174439109301</v>
      </c>
      <c r="C2299">
        <v>2001</v>
      </c>
    </row>
    <row r="2300" spans="1:11" x14ac:dyDescent="0.25">
      <c r="A2300">
        <v>51.874825560890699</v>
      </c>
      <c r="B2300">
        <v>99.781491987775595</v>
      </c>
      <c r="C2300">
        <v>2001</v>
      </c>
    </row>
    <row r="2301" spans="1:11" x14ac:dyDescent="0.25">
      <c r="A2301">
        <v>59.758226092787702</v>
      </c>
      <c r="B2301">
        <v>107.664892519673</v>
      </c>
      <c r="C2301">
        <v>2001</v>
      </c>
    </row>
    <row r="2302" spans="1:11" x14ac:dyDescent="0.25">
      <c r="A2302">
        <v>67.444725196304304</v>
      </c>
      <c r="B2302">
        <v>115.351391623189</v>
      </c>
      <c r="C2302">
        <v>2001</v>
      </c>
    </row>
    <row r="2303" spans="1:11" x14ac:dyDescent="0.25">
      <c r="A2303">
        <v>67.007709171855495</v>
      </c>
      <c r="B2303">
        <v>115.788407647638</v>
      </c>
      <c r="C2303">
        <v>2000</v>
      </c>
    </row>
    <row r="2304" spans="1:11" x14ac:dyDescent="0.25">
      <c r="A2304" t="s">
        <v>86</v>
      </c>
    </row>
    <row r="2305" spans="1:11" x14ac:dyDescent="0.25">
      <c r="A2305">
        <v>351</v>
      </c>
      <c r="B2305">
        <v>0</v>
      </c>
      <c r="C2305">
        <v>23.100822824988601</v>
      </c>
      <c r="D2305">
        <v>8.6862631598222304</v>
      </c>
      <c r="E2305">
        <v>8</v>
      </c>
      <c r="F2305">
        <v>1.01722196789785</v>
      </c>
      <c r="G2305" t="s">
        <v>84</v>
      </c>
      <c r="H2305" t="s">
        <v>84</v>
      </c>
      <c r="I2305">
        <v>753</v>
      </c>
      <c r="J2305">
        <v>342</v>
      </c>
      <c r="K2305">
        <v>0</v>
      </c>
    </row>
    <row r="2306" spans="1:11" x14ac:dyDescent="0.25">
      <c r="A2306" t="s">
        <v>85</v>
      </c>
    </row>
    <row r="2307" spans="1:11" x14ac:dyDescent="0.25">
      <c r="A2307">
        <v>62.539378835143999</v>
      </c>
      <c r="B2307">
        <v>73.793837908554906</v>
      </c>
      <c r="C2307">
        <v>2000</v>
      </c>
    </row>
    <row r="2308" spans="1:11" x14ac:dyDescent="0.25">
      <c r="A2308">
        <v>49.781491987775603</v>
      </c>
      <c r="B2308">
        <v>61.035951061186601</v>
      </c>
      <c r="C2308">
        <v>2000</v>
      </c>
    </row>
    <row r="2309" spans="1:11" x14ac:dyDescent="0.25">
      <c r="A2309">
        <v>46.204630364605599</v>
      </c>
      <c r="B2309">
        <v>57.459089438016498</v>
      </c>
      <c r="C2309">
        <v>2000</v>
      </c>
    </row>
    <row r="2310" spans="1:11" x14ac:dyDescent="0.25">
      <c r="A2310">
        <v>46.641646389054401</v>
      </c>
      <c r="B2310">
        <v>57.022073413567703</v>
      </c>
      <c r="C2310">
        <v>2001</v>
      </c>
    </row>
    <row r="2311" spans="1:11" x14ac:dyDescent="0.25">
      <c r="A2311">
        <v>50.218508012224397</v>
      </c>
      <c r="B2311">
        <v>60.5989350367377</v>
      </c>
      <c r="C2311">
        <v>2001</v>
      </c>
    </row>
    <row r="2312" spans="1:11" x14ac:dyDescent="0.25">
      <c r="A2312">
        <v>62.976394859592801</v>
      </c>
      <c r="B2312">
        <v>73.356821884106097</v>
      </c>
      <c r="C2312">
        <v>2001</v>
      </c>
    </row>
    <row r="2313" spans="1:11" x14ac:dyDescent="0.25">
      <c r="A2313">
        <v>69.118510443074001</v>
      </c>
      <c r="B2313">
        <v>79.498937467587297</v>
      </c>
      <c r="C2313">
        <v>2001</v>
      </c>
    </row>
    <row r="2314" spans="1:11" x14ac:dyDescent="0.25">
      <c r="A2314">
        <v>68.681494418625206</v>
      </c>
      <c r="B2314">
        <v>79.935953492036106</v>
      </c>
      <c r="C2314">
        <v>2000</v>
      </c>
    </row>
    <row r="2315" spans="1:11" x14ac:dyDescent="0.25">
      <c r="A2315" t="s">
        <v>86</v>
      </c>
    </row>
    <row r="2316" spans="1:11" x14ac:dyDescent="0.25">
      <c r="A2316">
        <v>741</v>
      </c>
      <c r="B2316">
        <v>0</v>
      </c>
      <c r="C2316">
        <v>2.1194856085957601</v>
      </c>
      <c r="D2316">
        <v>29.520019842196302</v>
      </c>
      <c r="E2316">
        <v>6</v>
      </c>
      <c r="F2316">
        <v>1.01722196789785</v>
      </c>
      <c r="G2316" t="s">
        <v>83</v>
      </c>
      <c r="H2316" t="s">
        <v>84</v>
      </c>
      <c r="I2316">
        <v>0</v>
      </c>
      <c r="J2316">
        <v>779</v>
      </c>
      <c r="K2316">
        <v>9.4312854387899395E-2</v>
      </c>
    </row>
    <row r="2317" spans="1:11" x14ac:dyDescent="0.25">
      <c r="A2317" t="s">
        <v>85</v>
      </c>
    </row>
    <row r="2318" spans="1:11" x14ac:dyDescent="0.25">
      <c r="A2318">
        <v>1.51334018838247</v>
      </c>
      <c r="B2318">
        <v>54.233262685663902</v>
      </c>
      <c r="C2318">
        <v>2000</v>
      </c>
    </row>
    <row r="2319" spans="1:11" x14ac:dyDescent="0.25">
      <c r="A2319">
        <v>0</v>
      </c>
      <c r="B2319">
        <v>52.719922497281402</v>
      </c>
      <c r="C2319">
        <v>2000</v>
      </c>
    </row>
    <row r="2320" spans="1:11" x14ac:dyDescent="0.25">
      <c r="A2320">
        <v>0</v>
      </c>
      <c r="B2320">
        <v>53.593954546179098</v>
      </c>
      <c r="C2320">
        <v>2001</v>
      </c>
    </row>
    <row r="2321" spans="1:11" x14ac:dyDescent="0.25">
      <c r="A2321">
        <v>1.48406510454825</v>
      </c>
      <c r="B2321">
        <v>55.078019650727299</v>
      </c>
      <c r="C2321">
        <v>2001</v>
      </c>
    </row>
    <row r="2322" spans="1:11" x14ac:dyDescent="0.25">
      <c r="A2322">
        <v>22.1540008454194</v>
      </c>
      <c r="B2322">
        <v>75.747955391598396</v>
      </c>
      <c r="C2322">
        <v>2001</v>
      </c>
    </row>
    <row r="2323" spans="1:11" x14ac:dyDescent="0.25">
      <c r="A2323">
        <v>22.591016869868199</v>
      </c>
      <c r="B2323">
        <v>75.310939367149601</v>
      </c>
      <c r="C2323">
        <v>2000</v>
      </c>
    </row>
    <row r="2324" spans="1:11" x14ac:dyDescent="0.25">
      <c r="A2324" t="s">
        <v>86</v>
      </c>
    </row>
    <row r="2325" spans="1:11" x14ac:dyDescent="0.25">
      <c r="A2325">
        <v>788</v>
      </c>
      <c r="B2325">
        <v>0</v>
      </c>
      <c r="C2325">
        <v>26.4375514880625</v>
      </c>
      <c r="D2325">
        <v>5.1663224654544697</v>
      </c>
      <c r="E2325">
        <v>8</v>
      </c>
      <c r="F2325">
        <v>1.01722196789785</v>
      </c>
      <c r="G2325" t="s">
        <v>84</v>
      </c>
      <c r="H2325" t="s">
        <v>84</v>
      </c>
      <c r="I2325">
        <v>322</v>
      </c>
      <c r="J2325">
        <v>267</v>
      </c>
      <c r="K2325">
        <v>9.6564847345998198E-2</v>
      </c>
    </row>
    <row r="2326" spans="1:11" x14ac:dyDescent="0.25">
      <c r="A2326" t="s">
        <v>85</v>
      </c>
    </row>
    <row r="2327" spans="1:11" x14ac:dyDescent="0.25">
      <c r="A2327">
        <v>113.786614626542</v>
      </c>
      <c r="B2327">
        <v>91.528629084833995</v>
      </c>
      <c r="C2327">
        <v>2000</v>
      </c>
    </row>
    <row r="2328" spans="1:11" x14ac:dyDescent="0.25">
      <c r="A2328">
        <v>100.21850801222401</v>
      </c>
      <c r="B2328">
        <v>77.960522470516196</v>
      </c>
      <c r="C2328">
        <v>2000</v>
      </c>
    </row>
    <row r="2329" spans="1:11" x14ac:dyDescent="0.25">
      <c r="A2329">
        <v>95.092442691364695</v>
      </c>
      <c r="B2329">
        <v>72.834457149656501</v>
      </c>
      <c r="C2329">
        <v>2000</v>
      </c>
    </row>
    <row r="2330" spans="1:11" x14ac:dyDescent="0.25">
      <c r="A2330">
        <v>94.655426666915901</v>
      </c>
      <c r="B2330">
        <v>73.271473174105296</v>
      </c>
      <c r="C2330">
        <v>2001</v>
      </c>
    </row>
    <row r="2331" spans="1:11" x14ac:dyDescent="0.25">
      <c r="A2331">
        <v>99.781491987775595</v>
      </c>
      <c r="B2331">
        <v>78.397538494965005</v>
      </c>
      <c r="C2331">
        <v>2001</v>
      </c>
    </row>
    <row r="2332" spans="1:11" x14ac:dyDescent="0.25">
      <c r="A2332">
        <v>113.349598602093</v>
      </c>
      <c r="B2332">
        <v>91.965645109282804</v>
      </c>
      <c r="C2332">
        <v>2001</v>
      </c>
    </row>
    <row r="2333" spans="1:11" x14ac:dyDescent="0.25">
      <c r="A2333">
        <v>117.002740251213</v>
      </c>
      <c r="B2333">
        <v>95.618786758402095</v>
      </c>
      <c r="C2333">
        <v>2001</v>
      </c>
    </row>
    <row r="2334" spans="1:11" x14ac:dyDescent="0.25">
      <c r="A2334">
        <v>117.439756275661</v>
      </c>
      <c r="B2334">
        <v>95.1817707339533</v>
      </c>
      <c r="C2334">
        <v>2000</v>
      </c>
    </row>
    <row r="2335" spans="1:11" x14ac:dyDescent="0.25">
      <c r="A2335" t="s">
        <v>86</v>
      </c>
    </row>
    <row r="2336" spans="1:11" x14ac:dyDescent="0.25">
      <c r="A2336">
        <v>28</v>
      </c>
      <c r="B2336">
        <v>0</v>
      </c>
      <c r="C2336">
        <v>28.603494761076401</v>
      </c>
      <c r="D2336">
        <v>2.9353624335333599</v>
      </c>
      <c r="E2336">
        <v>6</v>
      </c>
      <c r="F2336">
        <v>1.01722196789785</v>
      </c>
      <c r="G2336" t="s">
        <v>83</v>
      </c>
      <c r="H2336" t="s">
        <v>84</v>
      </c>
      <c r="I2336">
        <v>0</v>
      </c>
      <c r="J2336">
        <v>38</v>
      </c>
      <c r="K2336">
        <v>0</v>
      </c>
    </row>
    <row r="2337" spans="1:11" x14ac:dyDescent="0.25">
      <c r="A2337" t="s">
        <v>85</v>
      </c>
    </row>
    <row r="2338" spans="1:11" x14ac:dyDescent="0.25">
      <c r="A2338">
        <v>20.0275539236826</v>
      </c>
      <c r="B2338">
        <v>35.956833834041298</v>
      </c>
      <c r="C2338">
        <v>2000</v>
      </c>
    </row>
    <row r="2339" spans="1:11" x14ac:dyDescent="0.25">
      <c r="A2339">
        <v>0</v>
      </c>
      <c r="B2339">
        <v>15.9292799103587</v>
      </c>
      <c r="C2339">
        <v>2000</v>
      </c>
    </row>
    <row r="2340" spans="1:11" x14ac:dyDescent="0.25">
      <c r="A2340">
        <v>0</v>
      </c>
      <c r="B2340">
        <v>15.055247861461</v>
      </c>
      <c r="C2340">
        <v>2001</v>
      </c>
    </row>
    <row r="2341" spans="1:11" x14ac:dyDescent="0.25">
      <c r="A2341">
        <v>20.4238962986994</v>
      </c>
      <c r="B2341">
        <v>35.479144160160402</v>
      </c>
      <c r="C2341">
        <v>2001</v>
      </c>
    </row>
    <row r="2342" spans="1:11" x14ac:dyDescent="0.25">
      <c r="A2342">
        <v>22.5198478054071</v>
      </c>
      <c r="B2342">
        <v>37.575095666868101</v>
      </c>
      <c r="C2342">
        <v>2001</v>
      </c>
    </row>
    <row r="2343" spans="1:11" x14ac:dyDescent="0.25">
      <c r="A2343">
        <v>22.082831780958301</v>
      </c>
      <c r="B2343">
        <v>38.012111691316903</v>
      </c>
      <c r="C2343">
        <v>2000</v>
      </c>
    </row>
    <row r="2344" spans="1:11" x14ac:dyDescent="0.25">
      <c r="A2344" t="s">
        <v>86</v>
      </c>
    </row>
    <row r="2345" spans="1:11" x14ac:dyDescent="0.25">
      <c r="A2345">
        <v>269</v>
      </c>
      <c r="B2345">
        <v>0</v>
      </c>
      <c r="C2345">
        <v>6.2952932111561797</v>
      </c>
      <c r="D2345">
        <v>25.2395625836409</v>
      </c>
      <c r="E2345">
        <v>6</v>
      </c>
      <c r="F2345">
        <v>1.01722196789785</v>
      </c>
      <c r="G2345" t="s">
        <v>84</v>
      </c>
      <c r="H2345" t="s">
        <v>83</v>
      </c>
      <c r="I2345">
        <v>267</v>
      </c>
      <c r="J2345">
        <v>0</v>
      </c>
      <c r="K2345">
        <v>0</v>
      </c>
    </row>
    <row r="2346" spans="1:11" x14ac:dyDescent="0.25">
      <c r="A2346" t="s">
        <v>85</v>
      </c>
    </row>
    <row r="2347" spans="1:11" x14ac:dyDescent="0.25">
      <c r="A2347">
        <v>132.327821470315</v>
      </c>
      <c r="B2347">
        <v>109.09017712983599</v>
      </c>
      <c r="C2347">
        <v>2000</v>
      </c>
    </row>
    <row r="2348" spans="1:11" x14ac:dyDescent="0.25">
      <c r="A2348">
        <v>127.919997635984</v>
      </c>
      <c r="B2348">
        <v>104.682353295505</v>
      </c>
      <c r="C2348">
        <v>2000</v>
      </c>
    </row>
    <row r="2349" spans="1:11" x14ac:dyDescent="0.25">
      <c r="A2349">
        <v>127.482981611535</v>
      </c>
      <c r="B2349">
        <v>105.11936931995299</v>
      </c>
      <c r="C2349">
        <v>2001</v>
      </c>
    </row>
    <row r="2350" spans="1:11" x14ac:dyDescent="0.25">
      <c r="A2350">
        <v>131.978046815536</v>
      </c>
      <c r="B2350">
        <v>109.614434523954</v>
      </c>
      <c r="C2350">
        <v>2001</v>
      </c>
    </row>
    <row r="2351" spans="1:11" x14ac:dyDescent="0.25">
      <c r="A2351">
        <v>150</v>
      </c>
      <c r="B2351">
        <v>127.63638770841899</v>
      </c>
      <c r="C2351">
        <v>2001</v>
      </c>
    </row>
    <row r="2352" spans="1:11" x14ac:dyDescent="0.25">
      <c r="A2352">
        <v>150</v>
      </c>
      <c r="B2352">
        <v>126.76235565952101</v>
      </c>
      <c r="C2352">
        <v>2000</v>
      </c>
    </row>
    <row r="2353" spans="1:11" x14ac:dyDescent="0.25">
      <c r="A2353" t="s">
        <v>86</v>
      </c>
    </row>
    <row r="2354" spans="1:11" x14ac:dyDescent="0.25">
      <c r="A2354">
        <v>798</v>
      </c>
      <c r="B2354">
        <v>0</v>
      </c>
      <c r="C2354">
        <v>4.6413159023711001</v>
      </c>
      <c r="D2354">
        <v>26.888265739894901</v>
      </c>
      <c r="E2354">
        <v>10</v>
      </c>
      <c r="F2354">
        <v>1.01722196789785</v>
      </c>
      <c r="G2354" t="s">
        <v>84</v>
      </c>
      <c r="H2354" t="s">
        <v>84</v>
      </c>
      <c r="I2354">
        <v>341</v>
      </c>
      <c r="J2354">
        <v>748</v>
      </c>
      <c r="K2354">
        <v>9.6846384952709502E-2</v>
      </c>
    </row>
    <row r="2355" spans="1:11" x14ac:dyDescent="0.25">
      <c r="A2355" t="s">
        <v>85</v>
      </c>
    </row>
    <row r="2356" spans="1:11" x14ac:dyDescent="0.25">
      <c r="A2356">
        <v>95.629740554662504</v>
      </c>
      <c r="B2356">
        <v>95.450136245908098</v>
      </c>
      <c r="C2356">
        <v>2000</v>
      </c>
    </row>
    <row r="2357" spans="1:11" x14ac:dyDescent="0.25">
      <c r="A2357">
        <v>92.347834606466904</v>
      </c>
      <c r="B2357">
        <v>92.168230297712498</v>
      </c>
      <c r="C2357">
        <v>2000</v>
      </c>
    </row>
    <row r="2358" spans="1:11" x14ac:dyDescent="0.25">
      <c r="A2358">
        <v>91.910818582018095</v>
      </c>
      <c r="B2358">
        <v>92.605246322161307</v>
      </c>
      <c r="C2358">
        <v>2001</v>
      </c>
    </row>
    <row r="2359" spans="1:11" x14ac:dyDescent="0.25">
      <c r="A2359">
        <v>95.192724530213695</v>
      </c>
      <c r="B2359">
        <v>95.887152270356907</v>
      </c>
      <c r="C2359">
        <v>2001</v>
      </c>
    </row>
    <row r="2360" spans="1:11" x14ac:dyDescent="0.25">
      <c r="A2360">
        <v>99.524080272081207</v>
      </c>
      <c r="B2360">
        <v>100.21850801222401</v>
      </c>
      <c r="C2360">
        <v>2001</v>
      </c>
    </row>
    <row r="2361" spans="1:11" x14ac:dyDescent="0.25">
      <c r="A2361">
        <v>99.781491987775595</v>
      </c>
      <c r="B2361">
        <v>100.47591972791901</v>
      </c>
      <c r="C2361">
        <v>2001</v>
      </c>
    </row>
    <row r="2362" spans="1:11" x14ac:dyDescent="0.25">
      <c r="A2362">
        <v>114.205599569239</v>
      </c>
      <c r="B2362">
        <v>114.900027309382</v>
      </c>
      <c r="C2362">
        <v>2001</v>
      </c>
    </row>
    <row r="2363" spans="1:11" x14ac:dyDescent="0.25">
      <c r="A2363">
        <v>114.64261559368801</v>
      </c>
      <c r="B2363">
        <v>114.463011284934</v>
      </c>
      <c r="C2363">
        <v>2000</v>
      </c>
    </row>
    <row r="2364" spans="1:11" x14ac:dyDescent="0.25">
      <c r="A2364">
        <v>100.21850801222401</v>
      </c>
      <c r="B2364">
        <v>100.03890370347</v>
      </c>
      <c r="C2364">
        <v>2000</v>
      </c>
    </row>
    <row r="2365" spans="1:11" x14ac:dyDescent="0.25">
      <c r="A2365">
        <v>99.961096296530002</v>
      </c>
      <c r="B2365">
        <v>99.781491987775595</v>
      </c>
      <c r="C2365">
        <v>2000</v>
      </c>
    </row>
    <row r="2366" spans="1:11" x14ac:dyDescent="0.25">
      <c r="A2366" t="s">
        <v>86</v>
      </c>
    </row>
    <row r="2367" spans="1:11" x14ac:dyDescent="0.25">
      <c r="A2367">
        <v>439</v>
      </c>
      <c r="B2367">
        <v>0</v>
      </c>
      <c r="C2367">
        <v>30.877715375741101</v>
      </c>
      <c r="D2367">
        <v>0.60095648679157398</v>
      </c>
      <c r="E2367">
        <v>8</v>
      </c>
      <c r="F2367">
        <v>1.01722196789785</v>
      </c>
      <c r="G2367" t="s">
        <v>84</v>
      </c>
      <c r="H2367" t="s">
        <v>83</v>
      </c>
      <c r="I2367">
        <v>187</v>
      </c>
      <c r="J2367">
        <v>0</v>
      </c>
      <c r="K2367">
        <v>0</v>
      </c>
    </row>
    <row r="2368" spans="1:11" x14ac:dyDescent="0.25">
      <c r="A2368" t="s">
        <v>85</v>
      </c>
    </row>
    <row r="2369" spans="1:11" x14ac:dyDescent="0.25">
      <c r="A2369">
        <v>55.931958026156998</v>
      </c>
      <c r="B2369">
        <v>149.55941601164699</v>
      </c>
      <c r="C2369">
        <v>2000</v>
      </c>
    </row>
    <row r="2370" spans="1:11" x14ac:dyDescent="0.25">
      <c r="A2370">
        <v>50.218508012224397</v>
      </c>
      <c r="B2370">
        <v>143.84596599771399</v>
      </c>
      <c r="C2370">
        <v>2000</v>
      </c>
    </row>
    <row r="2371" spans="1:11" x14ac:dyDescent="0.25">
      <c r="A2371">
        <v>33.895251665542602</v>
      </c>
      <c r="B2371">
        <v>127.522709651033</v>
      </c>
      <c r="C2371">
        <v>2000</v>
      </c>
    </row>
    <row r="2372" spans="1:11" x14ac:dyDescent="0.25">
      <c r="A2372">
        <v>33.4582356410938</v>
      </c>
      <c r="B2372">
        <v>127.959725675481</v>
      </c>
      <c r="C2372">
        <v>2001</v>
      </c>
    </row>
    <row r="2373" spans="1:11" x14ac:dyDescent="0.25">
      <c r="A2373">
        <v>49.781491987775603</v>
      </c>
      <c r="B2373">
        <v>144.282982022163</v>
      </c>
      <c r="C2373">
        <v>2001</v>
      </c>
    </row>
    <row r="2374" spans="1:11" x14ac:dyDescent="0.25">
      <c r="A2374">
        <v>55.089213139948797</v>
      </c>
      <c r="B2374">
        <v>149.590703174336</v>
      </c>
      <c r="C2374">
        <v>2001</v>
      </c>
    </row>
    <row r="2375" spans="1:11" x14ac:dyDescent="0.25">
      <c r="A2375">
        <v>55.498509965612399</v>
      </c>
      <c r="B2375">
        <v>150</v>
      </c>
      <c r="C2375">
        <v>2001</v>
      </c>
    </row>
    <row r="2376" spans="1:11" x14ac:dyDescent="0.25">
      <c r="A2376">
        <v>56.372542014510103</v>
      </c>
      <c r="B2376">
        <v>150</v>
      </c>
      <c r="C2376">
        <v>2000</v>
      </c>
    </row>
    <row r="2377" spans="1:11" x14ac:dyDescent="0.25">
      <c r="A2377" t="s">
        <v>86</v>
      </c>
    </row>
    <row r="2378" spans="1:11" x14ac:dyDescent="0.25">
      <c r="A2378">
        <v>765</v>
      </c>
      <c r="B2378">
        <v>0</v>
      </c>
      <c r="C2378">
        <v>12.7650383061703</v>
      </c>
      <c r="D2378">
        <v>18.579428557019099</v>
      </c>
      <c r="E2378">
        <v>8</v>
      </c>
      <c r="F2378">
        <v>1.01722196789785</v>
      </c>
      <c r="G2378" t="s">
        <v>84</v>
      </c>
      <c r="H2378" t="s">
        <v>84</v>
      </c>
      <c r="I2378">
        <v>809</v>
      </c>
      <c r="J2378">
        <v>783</v>
      </c>
      <c r="K2378">
        <v>9.5703858509913295E-2</v>
      </c>
    </row>
    <row r="2379" spans="1:11" x14ac:dyDescent="0.25">
      <c r="A2379" t="s">
        <v>85</v>
      </c>
    </row>
    <row r="2380" spans="1:11" x14ac:dyDescent="0.25">
      <c r="A2380">
        <v>80.789769971175204</v>
      </c>
      <c r="B2380">
        <v>98.152603693382005</v>
      </c>
      <c r="C2380">
        <v>2000</v>
      </c>
    </row>
    <row r="2381" spans="1:11" x14ac:dyDescent="0.25">
      <c r="A2381">
        <v>71.763524822776205</v>
      </c>
      <c r="B2381">
        <v>89.126358544983006</v>
      </c>
      <c r="C2381">
        <v>2000</v>
      </c>
    </row>
    <row r="2382" spans="1:11" x14ac:dyDescent="0.25">
      <c r="A2382">
        <v>71.326508798327396</v>
      </c>
      <c r="B2382">
        <v>89.563374569431801</v>
      </c>
      <c r="C2382">
        <v>2001</v>
      </c>
    </row>
    <row r="2383" spans="1:11" x14ac:dyDescent="0.25">
      <c r="A2383">
        <v>80.352753946726395</v>
      </c>
      <c r="B2383">
        <v>98.5896197178308</v>
      </c>
      <c r="C2383">
        <v>2001</v>
      </c>
    </row>
    <row r="2384" spans="1:11" x14ac:dyDescent="0.25">
      <c r="A2384">
        <v>81.981642241119999</v>
      </c>
      <c r="B2384">
        <v>100.21850801222401</v>
      </c>
      <c r="C2384">
        <v>2001</v>
      </c>
    </row>
    <row r="2385" spans="1:11" x14ac:dyDescent="0.25">
      <c r="A2385">
        <v>93.490393869965601</v>
      </c>
      <c r="B2385">
        <v>111.72725964107001</v>
      </c>
      <c r="C2385">
        <v>2001</v>
      </c>
    </row>
    <row r="2386" spans="1:11" x14ac:dyDescent="0.25">
      <c r="A2386">
        <v>93.927409894414396</v>
      </c>
      <c r="B2386">
        <v>111.290243616621</v>
      </c>
      <c r="C2386">
        <v>2000</v>
      </c>
    </row>
    <row r="2387" spans="1:11" x14ac:dyDescent="0.25">
      <c r="A2387">
        <v>82.418658265568794</v>
      </c>
      <c r="B2387">
        <v>99.781491987775595</v>
      </c>
      <c r="C2387">
        <v>2000</v>
      </c>
    </row>
    <row r="2388" spans="1:11" x14ac:dyDescent="0.25">
      <c r="A2388" t="s">
        <v>86</v>
      </c>
    </row>
    <row r="2389" spans="1:11" x14ac:dyDescent="0.25">
      <c r="A2389">
        <v>764</v>
      </c>
      <c r="B2389">
        <v>0</v>
      </c>
      <c r="C2389">
        <v>22.1898686160614</v>
      </c>
      <c r="D2389">
        <v>8.9093624327072405</v>
      </c>
      <c r="E2389">
        <v>6</v>
      </c>
      <c r="F2389">
        <v>1.01722196789785</v>
      </c>
      <c r="G2389" t="s">
        <v>83</v>
      </c>
      <c r="H2389" t="s">
        <v>83</v>
      </c>
      <c r="I2389">
        <v>0</v>
      </c>
      <c r="J2389">
        <v>0</v>
      </c>
      <c r="K2389">
        <v>9.5703858509913295E-2</v>
      </c>
    </row>
    <row r="2390" spans="1:11" x14ac:dyDescent="0.25">
      <c r="A2390" t="s">
        <v>85</v>
      </c>
    </row>
    <row r="2391" spans="1:11" x14ac:dyDescent="0.25">
      <c r="A2391">
        <v>16.002425476851801</v>
      </c>
      <c r="B2391">
        <v>143.57493228813101</v>
      </c>
      <c r="C2391">
        <v>2000</v>
      </c>
    </row>
    <row r="2392" spans="1:11" x14ac:dyDescent="0.25">
      <c r="A2392">
        <v>0</v>
      </c>
      <c r="B2392">
        <v>127.57250681127999</v>
      </c>
      <c r="C2392">
        <v>2000</v>
      </c>
    </row>
    <row r="2393" spans="1:11" x14ac:dyDescent="0.25">
      <c r="A2393">
        <v>0</v>
      </c>
      <c r="B2393">
        <v>128.44653886017699</v>
      </c>
      <c r="C2393">
        <v>2001</v>
      </c>
    </row>
    <row r="2394" spans="1:11" x14ac:dyDescent="0.25">
      <c r="A2394">
        <v>15.378787667259299</v>
      </c>
      <c r="B2394">
        <v>143.825326527437</v>
      </c>
      <c r="C2394">
        <v>2001</v>
      </c>
    </row>
    <row r="2395" spans="1:11" x14ac:dyDescent="0.25">
      <c r="A2395">
        <v>21.553461139822701</v>
      </c>
      <c r="B2395">
        <v>150</v>
      </c>
      <c r="C2395">
        <v>2001</v>
      </c>
    </row>
    <row r="2396" spans="1:11" x14ac:dyDescent="0.25">
      <c r="A2396">
        <v>22.427493188720401</v>
      </c>
      <c r="B2396">
        <v>150</v>
      </c>
      <c r="C2396">
        <v>2000</v>
      </c>
    </row>
    <row r="2397" spans="1:11" x14ac:dyDescent="0.25">
      <c r="A2397" t="s">
        <v>86</v>
      </c>
    </row>
    <row r="2398" spans="1:11" x14ac:dyDescent="0.25">
      <c r="A2398">
        <v>732</v>
      </c>
      <c r="B2398">
        <v>0</v>
      </c>
      <c r="C2398">
        <v>3.5624253783044701</v>
      </c>
      <c r="D2398">
        <v>26.949605240024798</v>
      </c>
      <c r="E2398">
        <v>6</v>
      </c>
      <c r="F2398">
        <v>1.01722196789785</v>
      </c>
      <c r="G2398" t="s">
        <v>83</v>
      </c>
      <c r="H2398" t="s">
        <v>83</v>
      </c>
      <c r="I2398">
        <v>0</v>
      </c>
      <c r="J2398">
        <v>0</v>
      </c>
      <c r="K2398">
        <v>9.5418080883047596E-2</v>
      </c>
    </row>
    <row r="2399" spans="1:11" x14ac:dyDescent="0.25">
      <c r="A2399" t="s">
        <v>85</v>
      </c>
    </row>
    <row r="2400" spans="1:11" x14ac:dyDescent="0.25">
      <c r="A2400">
        <v>130.55775906919101</v>
      </c>
      <c r="B2400">
        <v>2.5700388516324901</v>
      </c>
      <c r="C2400">
        <v>2000</v>
      </c>
    </row>
    <row r="2401" spans="1:11" x14ac:dyDescent="0.25">
      <c r="A2401">
        <v>127.987720217559</v>
      </c>
      <c r="B2401">
        <v>0</v>
      </c>
      <c r="C2401">
        <v>2000</v>
      </c>
    </row>
    <row r="2402" spans="1:11" x14ac:dyDescent="0.25">
      <c r="A2402">
        <v>128.86175226645699</v>
      </c>
      <c r="B2402">
        <v>0</v>
      </c>
      <c r="C2402">
        <v>2001</v>
      </c>
    </row>
    <row r="2403" spans="1:11" x14ac:dyDescent="0.25">
      <c r="A2403">
        <v>131.32974369976401</v>
      </c>
      <c r="B2403">
        <v>2.4679914333077901</v>
      </c>
      <c r="C2403">
        <v>2001</v>
      </c>
    </row>
    <row r="2404" spans="1:11" x14ac:dyDescent="0.25">
      <c r="A2404">
        <v>150</v>
      </c>
      <c r="B2404">
        <v>21.138247733543299</v>
      </c>
      <c r="C2404">
        <v>2001</v>
      </c>
    </row>
    <row r="2405" spans="1:11" x14ac:dyDescent="0.25">
      <c r="A2405">
        <v>150</v>
      </c>
      <c r="B2405">
        <v>22.012279782440999</v>
      </c>
      <c r="C2405">
        <v>2000</v>
      </c>
    </row>
    <row r="2406" spans="1:11" x14ac:dyDescent="0.25">
      <c r="A2406" t="s">
        <v>86</v>
      </c>
    </row>
    <row r="2407" spans="1:11" x14ac:dyDescent="0.25">
      <c r="A2407">
        <v>797</v>
      </c>
      <c r="B2407">
        <v>0</v>
      </c>
      <c r="C2407">
        <v>25.479622494149002</v>
      </c>
      <c r="D2407">
        <v>5.0233366300810198</v>
      </c>
      <c r="E2407">
        <v>8</v>
      </c>
      <c r="F2407">
        <v>1.01722196789785</v>
      </c>
      <c r="G2407" t="s">
        <v>84</v>
      </c>
      <c r="H2407" t="s">
        <v>83</v>
      </c>
      <c r="I2407">
        <v>840</v>
      </c>
      <c r="J2407">
        <v>0</v>
      </c>
      <c r="K2407">
        <v>9.6846384952709502E-2</v>
      </c>
    </row>
    <row r="2408" spans="1:11" x14ac:dyDescent="0.25">
      <c r="A2408" t="s">
        <v>85</v>
      </c>
    </row>
    <row r="2409" spans="1:11" x14ac:dyDescent="0.25">
      <c r="A2409">
        <v>146.49292196655301</v>
      </c>
      <c r="B2409">
        <v>63.320001550838299</v>
      </c>
      <c r="C2409">
        <v>2000</v>
      </c>
    </row>
    <row r="2410" spans="1:11" x14ac:dyDescent="0.25">
      <c r="A2410">
        <v>132.95441240349101</v>
      </c>
      <c r="B2410">
        <v>49.781491987775603</v>
      </c>
      <c r="C2410">
        <v>2000</v>
      </c>
    </row>
    <row r="2411" spans="1:11" x14ac:dyDescent="0.25">
      <c r="A2411">
        <v>128.649658769225</v>
      </c>
      <c r="B2411">
        <v>45.4767383535101</v>
      </c>
      <c r="C2411">
        <v>2000</v>
      </c>
    </row>
    <row r="2412" spans="1:11" x14ac:dyDescent="0.25">
      <c r="A2412">
        <v>128.21264274477599</v>
      </c>
      <c r="B2412">
        <v>45.913754377958902</v>
      </c>
      <c r="C2412">
        <v>2001</v>
      </c>
    </row>
    <row r="2413" spans="1:11" x14ac:dyDescent="0.25">
      <c r="A2413">
        <v>132.517396379042</v>
      </c>
      <c r="B2413">
        <v>50.218508012224397</v>
      </c>
      <c r="C2413">
        <v>2001</v>
      </c>
    </row>
    <row r="2414" spans="1:11" x14ac:dyDescent="0.25">
      <c r="A2414">
        <v>146.40300724282</v>
      </c>
      <c r="B2414">
        <v>64.104118876002801</v>
      </c>
      <c r="C2414">
        <v>2001</v>
      </c>
    </row>
    <row r="2415" spans="1:11" x14ac:dyDescent="0.25">
      <c r="A2415">
        <v>150</v>
      </c>
      <c r="B2415">
        <v>67.701111633182407</v>
      </c>
      <c r="C2415">
        <v>2001</v>
      </c>
    </row>
    <row r="2416" spans="1:11" x14ac:dyDescent="0.25">
      <c r="A2416">
        <v>150</v>
      </c>
      <c r="B2416">
        <v>66.827079584284803</v>
      </c>
      <c r="C2416">
        <v>2000</v>
      </c>
    </row>
    <row r="2417" spans="1:11" x14ac:dyDescent="0.25">
      <c r="A2417" t="s">
        <v>86</v>
      </c>
    </row>
    <row r="2418" spans="1:11" x14ac:dyDescent="0.25">
      <c r="A2418">
        <v>730</v>
      </c>
      <c r="B2418">
        <v>0</v>
      </c>
      <c r="C2418">
        <v>17.150797015587202</v>
      </c>
      <c r="D2418">
        <v>13.1760036454668</v>
      </c>
      <c r="E2418">
        <v>10</v>
      </c>
      <c r="F2418">
        <v>1.01722196789785</v>
      </c>
      <c r="G2418" t="s">
        <v>84</v>
      </c>
      <c r="H2418" t="s">
        <v>84</v>
      </c>
      <c r="I2418">
        <v>664</v>
      </c>
      <c r="J2418">
        <v>733</v>
      </c>
      <c r="K2418">
        <v>9.4763910412348204E-2</v>
      </c>
    </row>
    <row r="2419" spans="1:11" x14ac:dyDescent="0.25">
      <c r="A2419" t="s">
        <v>85</v>
      </c>
    </row>
    <row r="2420" spans="1:11" x14ac:dyDescent="0.25">
      <c r="A2420">
        <v>100.63489994901499</v>
      </c>
      <c r="B2420">
        <v>46.115132508857499</v>
      </c>
      <c r="C2420">
        <v>2000</v>
      </c>
    </row>
    <row r="2421" spans="1:11" x14ac:dyDescent="0.25">
      <c r="A2421">
        <v>100.21850801222401</v>
      </c>
      <c r="B2421">
        <v>45.698740572067102</v>
      </c>
      <c r="C2421">
        <v>2000</v>
      </c>
    </row>
    <row r="2422" spans="1:11" x14ac:dyDescent="0.25">
      <c r="A2422">
        <v>88.507455076539102</v>
      </c>
      <c r="B2422">
        <v>33.9876876363818</v>
      </c>
      <c r="C2422">
        <v>2000</v>
      </c>
    </row>
    <row r="2423" spans="1:11" x14ac:dyDescent="0.25">
      <c r="A2423">
        <v>88.070439052090293</v>
      </c>
      <c r="B2423">
        <v>34.424703660830602</v>
      </c>
      <c r="C2423">
        <v>2001</v>
      </c>
    </row>
    <row r="2424" spans="1:11" x14ac:dyDescent="0.25">
      <c r="A2424">
        <v>99.781491987775595</v>
      </c>
      <c r="B2424">
        <v>46.135756596515897</v>
      </c>
      <c r="C2424">
        <v>2001</v>
      </c>
    </row>
    <row r="2425" spans="1:11" x14ac:dyDescent="0.25">
      <c r="A2425">
        <v>100.197883924566</v>
      </c>
      <c r="B2425">
        <v>46.552148533306301</v>
      </c>
      <c r="C2425">
        <v>2001</v>
      </c>
    </row>
    <row r="2426" spans="1:11" x14ac:dyDescent="0.25">
      <c r="A2426">
        <v>103.864243403484</v>
      </c>
      <c r="B2426">
        <v>50.218508012224397</v>
      </c>
      <c r="C2426">
        <v>2001</v>
      </c>
    </row>
    <row r="2427" spans="1:11" x14ac:dyDescent="0.25">
      <c r="A2427">
        <v>109.51472545121401</v>
      </c>
      <c r="B2427">
        <v>55.868990059954598</v>
      </c>
      <c r="C2427">
        <v>2001</v>
      </c>
    </row>
    <row r="2428" spans="1:11" x14ac:dyDescent="0.25">
      <c r="A2428">
        <v>109.951741475663</v>
      </c>
      <c r="B2428">
        <v>55.431974035505696</v>
      </c>
      <c r="C2428">
        <v>2000</v>
      </c>
    </row>
    <row r="2429" spans="1:11" x14ac:dyDescent="0.25">
      <c r="A2429">
        <v>104.301259427933</v>
      </c>
      <c r="B2429">
        <v>49.781491987775603</v>
      </c>
      <c r="C2429">
        <v>2000</v>
      </c>
    </row>
    <row r="2430" spans="1:11" x14ac:dyDescent="0.25">
      <c r="A2430" t="s">
        <v>86</v>
      </c>
    </row>
    <row r="2431" spans="1:11" x14ac:dyDescent="0.25">
      <c r="A2431">
        <v>198</v>
      </c>
      <c r="B2431">
        <v>0</v>
      </c>
      <c r="C2431">
        <v>9.8596632315930908</v>
      </c>
      <c r="D2431">
        <v>19.844627249333598</v>
      </c>
      <c r="E2431">
        <v>6</v>
      </c>
      <c r="F2431">
        <v>1.01722196789785</v>
      </c>
      <c r="G2431" t="s">
        <v>83</v>
      </c>
      <c r="H2431" t="s">
        <v>83</v>
      </c>
      <c r="I2431">
        <v>0</v>
      </c>
      <c r="J2431">
        <v>0</v>
      </c>
      <c r="K2431">
        <v>0</v>
      </c>
    </row>
    <row r="2432" spans="1:11" x14ac:dyDescent="0.25">
      <c r="A2432" t="s">
        <v>85</v>
      </c>
    </row>
    <row r="2433" spans="1:11" x14ac:dyDescent="0.25">
      <c r="A2433">
        <v>6.8267772073244597</v>
      </c>
      <c r="B2433">
        <v>136.25968800237499</v>
      </c>
      <c r="C2433">
        <v>2000</v>
      </c>
    </row>
    <row r="2434" spans="1:11" x14ac:dyDescent="0.25">
      <c r="A2434">
        <v>0</v>
      </c>
      <c r="B2434">
        <v>129.43291079505099</v>
      </c>
      <c r="C2434">
        <v>2000</v>
      </c>
    </row>
    <row r="2435" spans="1:11" x14ac:dyDescent="0.25">
      <c r="A2435">
        <v>0</v>
      </c>
      <c r="B2435">
        <v>128.558878746153</v>
      </c>
      <c r="C2435">
        <v>2001</v>
      </c>
    </row>
    <row r="2436" spans="1:11" x14ac:dyDescent="0.25">
      <c r="A2436">
        <v>7.1168922552258298</v>
      </c>
      <c r="B2436">
        <v>135.67577100137899</v>
      </c>
      <c r="C2436">
        <v>2001</v>
      </c>
    </row>
    <row r="2437" spans="1:11" x14ac:dyDescent="0.25">
      <c r="A2437">
        <v>21.441121253847101</v>
      </c>
      <c r="B2437">
        <v>150</v>
      </c>
      <c r="C2437">
        <v>2001</v>
      </c>
    </row>
    <row r="2438" spans="1:11" x14ac:dyDescent="0.25">
      <c r="A2438">
        <v>20.5670892049495</v>
      </c>
      <c r="B2438">
        <v>150</v>
      </c>
      <c r="C2438">
        <v>2000</v>
      </c>
    </row>
    <row r="2439" spans="1:11" x14ac:dyDescent="0.25">
      <c r="A2439" t="s">
        <v>86</v>
      </c>
    </row>
    <row r="2440" spans="1:11" x14ac:dyDescent="0.25">
      <c r="A2440">
        <v>120</v>
      </c>
      <c r="B2440">
        <v>0</v>
      </c>
      <c r="C2440">
        <v>12.4152302637504</v>
      </c>
      <c r="D2440">
        <v>17.0822363254922</v>
      </c>
      <c r="E2440">
        <v>8</v>
      </c>
      <c r="F2440">
        <v>1.01722196789785</v>
      </c>
      <c r="G2440" t="s">
        <v>84</v>
      </c>
      <c r="H2440" t="s">
        <v>84</v>
      </c>
      <c r="I2440">
        <v>104</v>
      </c>
      <c r="J2440">
        <v>435</v>
      </c>
      <c r="K2440">
        <v>0</v>
      </c>
    </row>
    <row r="2441" spans="1:11" x14ac:dyDescent="0.25">
      <c r="A2441" t="s">
        <v>85</v>
      </c>
    </row>
    <row r="2442" spans="1:11" x14ac:dyDescent="0.25">
      <c r="A2442">
        <v>26.9537917966694</v>
      </c>
      <c r="B2442">
        <v>89.292769847112893</v>
      </c>
      <c r="C2442">
        <v>2000</v>
      </c>
    </row>
    <row r="2443" spans="1:11" x14ac:dyDescent="0.25">
      <c r="A2443">
        <v>18.174898287179101</v>
      </c>
      <c r="B2443">
        <v>80.513876337622506</v>
      </c>
      <c r="C2443">
        <v>2000</v>
      </c>
    </row>
    <row r="2444" spans="1:11" x14ac:dyDescent="0.25">
      <c r="A2444">
        <v>17.737882262730299</v>
      </c>
      <c r="B2444">
        <v>80.9508923620714</v>
      </c>
      <c r="C2444">
        <v>2001</v>
      </c>
    </row>
    <row r="2445" spans="1:11" x14ac:dyDescent="0.25">
      <c r="A2445">
        <v>26.516775772220601</v>
      </c>
      <c r="B2445">
        <v>89.729785871561702</v>
      </c>
      <c r="C2445">
        <v>2001</v>
      </c>
    </row>
    <row r="2446" spans="1:11" x14ac:dyDescent="0.25">
      <c r="A2446">
        <v>37.0054979128833</v>
      </c>
      <c r="B2446">
        <v>100.21850801222401</v>
      </c>
      <c r="C2446">
        <v>2001</v>
      </c>
    </row>
    <row r="2447" spans="1:11" x14ac:dyDescent="0.25">
      <c r="A2447">
        <v>38.595740915807298</v>
      </c>
      <c r="B2447">
        <v>101.808751015148</v>
      </c>
      <c r="C2447">
        <v>2001</v>
      </c>
    </row>
    <row r="2448" spans="1:11" x14ac:dyDescent="0.25">
      <c r="A2448">
        <v>39.032756940256199</v>
      </c>
      <c r="B2448">
        <v>101.37173499070001</v>
      </c>
      <c r="C2448">
        <v>2000</v>
      </c>
    </row>
    <row r="2449" spans="1:11" x14ac:dyDescent="0.25">
      <c r="A2449">
        <v>37.442513937332201</v>
      </c>
      <c r="B2449">
        <v>99.781491987775595</v>
      </c>
      <c r="C2449">
        <v>2000</v>
      </c>
    </row>
    <row r="2450" spans="1:11" x14ac:dyDescent="0.25">
      <c r="A2450" t="s">
        <v>86</v>
      </c>
    </row>
    <row r="2451" spans="1:11" x14ac:dyDescent="0.25">
      <c r="A2451">
        <v>194</v>
      </c>
      <c r="B2451">
        <v>0</v>
      </c>
      <c r="C2451">
        <v>3.1087550921218798</v>
      </c>
      <c r="D2451">
        <v>26.168592164418399</v>
      </c>
      <c r="E2451">
        <v>8</v>
      </c>
      <c r="F2451">
        <v>1.01722196789785</v>
      </c>
      <c r="G2451" t="s">
        <v>84</v>
      </c>
      <c r="H2451" t="s">
        <v>83</v>
      </c>
      <c r="I2451">
        <v>776</v>
      </c>
      <c r="J2451">
        <v>0</v>
      </c>
      <c r="K2451">
        <v>0</v>
      </c>
    </row>
    <row r="2452" spans="1:11" x14ac:dyDescent="0.25">
      <c r="A2452" t="s">
        <v>85</v>
      </c>
    </row>
    <row r="2453" spans="1:11" x14ac:dyDescent="0.25">
      <c r="A2453">
        <v>33.281481034237302</v>
      </c>
      <c r="B2453">
        <v>131.30048270536801</v>
      </c>
      <c r="C2453">
        <v>2000</v>
      </c>
    </row>
    <row r="2454" spans="1:11" x14ac:dyDescent="0.25">
      <c r="A2454">
        <v>31.0602795363917</v>
      </c>
      <c r="B2454">
        <v>129.079281207523</v>
      </c>
      <c r="C2454">
        <v>2000</v>
      </c>
    </row>
    <row r="2455" spans="1:11" x14ac:dyDescent="0.25">
      <c r="A2455">
        <v>30.623263511942898</v>
      </c>
      <c r="B2455">
        <v>129.51629723197101</v>
      </c>
      <c r="C2455">
        <v>2001</v>
      </c>
    </row>
    <row r="2456" spans="1:11" x14ac:dyDescent="0.25">
      <c r="A2456">
        <v>32.798505627472501</v>
      </c>
      <c r="B2456">
        <v>131.69153934750099</v>
      </c>
      <c r="C2456">
        <v>2001</v>
      </c>
    </row>
    <row r="2457" spans="1:11" x14ac:dyDescent="0.25">
      <c r="A2457">
        <v>49.581216395854199</v>
      </c>
      <c r="B2457">
        <v>148.474250115883</v>
      </c>
      <c r="C2457">
        <v>2001</v>
      </c>
    </row>
    <row r="2458" spans="1:11" x14ac:dyDescent="0.25">
      <c r="A2458">
        <v>51.106966279971502</v>
      </c>
      <c r="B2458">
        <v>150</v>
      </c>
      <c r="C2458">
        <v>2001</v>
      </c>
    </row>
    <row r="2459" spans="1:11" x14ac:dyDescent="0.25">
      <c r="A2459">
        <v>51.980998328869099</v>
      </c>
      <c r="B2459">
        <v>150</v>
      </c>
      <c r="C2459">
        <v>2000</v>
      </c>
    </row>
    <row r="2460" spans="1:11" x14ac:dyDescent="0.25">
      <c r="A2460">
        <v>50.418783604145801</v>
      </c>
      <c r="B2460">
        <v>148.43778527527701</v>
      </c>
      <c r="C2460">
        <v>2000</v>
      </c>
    </row>
    <row r="2461" spans="1:11" x14ac:dyDescent="0.25">
      <c r="A2461" t="s">
        <v>86</v>
      </c>
    </row>
    <row r="2462" spans="1:11" x14ac:dyDescent="0.25">
      <c r="A2462">
        <v>779</v>
      </c>
      <c r="B2462">
        <v>0</v>
      </c>
      <c r="C2462">
        <v>27.835989774030999</v>
      </c>
      <c r="D2462">
        <v>1.43827135965738</v>
      </c>
      <c r="E2462">
        <v>6</v>
      </c>
      <c r="F2462">
        <v>1.01722196789785</v>
      </c>
      <c r="G2462" t="s">
        <v>84</v>
      </c>
      <c r="H2462" t="s">
        <v>84</v>
      </c>
      <c r="I2462">
        <v>741</v>
      </c>
      <c r="J2462">
        <v>762</v>
      </c>
      <c r="K2462">
        <v>9.6278525939506795E-2</v>
      </c>
    </row>
    <row r="2463" spans="1:11" x14ac:dyDescent="0.25">
      <c r="A2463" t="s">
        <v>85</v>
      </c>
    </row>
    <row r="2464" spans="1:11" x14ac:dyDescent="0.25">
      <c r="A2464">
        <v>41.382143149800498</v>
      </c>
      <c r="B2464">
        <v>95.885847347730802</v>
      </c>
      <c r="C2464">
        <v>2000</v>
      </c>
    </row>
    <row r="2465" spans="1:11" x14ac:dyDescent="0.25">
      <c r="A2465">
        <v>21.699126019543701</v>
      </c>
      <c r="B2465">
        <v>76.202830217474101</v>
      </c>
      <c r="C2465">
        <v>2000</v>
      </c>
    </row>
    <row r="2466" spans="1:11" x14ac:dyDescent="0.25">
      <c r="A2466">
        <v>22.1361420439925</v>
      </c>
      <c r="B2466">
        <v>75.765814193025307</v>
      </c>
      <c r="C2466">
        <v>2001</v>
      </c>
    </row>
    <row r="2467" spans="1:11" x14ac:dyDescent="0.25">
      <c r="A2467">
        <v>41.8191591742493</v>
      </c>
      <c r="B2467">
        <v>95.448831323282107</v>
      </c>
      <c r="C2467">
        <v>2001</v>
      </c>
    </row>
    <row r="2468" spans="1:11" x14ac:dyDescent="0.25">
      <c r="A2468">
        <v>42.836170605849397</v>
      </c>
      <c r="B2468">
        <v>96.465842754882203</v>
      </c>
      <c r="C2468">
        <v>2001</v>
      </c>
    </row>
    <row r="2469" spans="1:11" x14ac:dyDescent="0.25">
      <c r="A2469">
        <v>42.399154581400602</v>
      </c>
      <c r="B2469">
        <v>96.902858779330998</v>
      </c>
      <c r="C2469">
        <v>2000</v>
      </c>
    </row>
    <row r="2470" spans="1:11" x14ac:dyDescent="0.25">
      <c r="A2470" t="s">
        <v>86</v>
      </c>
    </row>
    <row r="2471" spans="1:11" x14ac:dyDescent="0.25">
      <c r="A2471">
        <v>39</v>
      </c>
      <c r="B2471">
        <v>0</v>
      </c>
      <c r="C2471">
        <v>18.668924347180401</v>
      </c>
      <c r="D2471">
        <v>10.1286678604942</v>
      </c>
      <c r="E2471">
        <v>6</v>
      </c>
      <c r="F2471">
        <v>1.01722196789785</v>
      </c>
      <c r="G2471" t="s">
        <v>83</v>
      </c>
      <c r="H2471" t="s">
        <v>84</v>
      </c>
      <c r="I2471">
        <v>0</v>
      </c>
      <c r="J2471">
        <v>674</v>
      </c>
      <c r="K2471">
        <v>0</v>
      </c>
    </row>
    <row r="2472" spans="1:11" x14ac:dyDescent="0.25">
      <c r="A2472" t="s">
        <v>85</v>
      </c>
    </row>
    <row r="2473" spans="1:11" x14ac:dyDescent="0.25">
      <c r="A2473">
        <v>32.265172894078397</v>
      </c>
      <c r="B2473">
        <v>13.342577538911501</v>
      </c>
      <c r="C2473">
        <v>2000</v>
      </c>
    </row>
    <row r="2474" spans="1:11" x14ac:dyDescent="0.25">
      <c r="A2474">
        <v>18.922595355166901</v>
      </c>
      <c r="B2474">
        <v>0</v>
      </c>
      <c r="C2474">
        <v>2000</v>
      </c>
    </row>
    <row r="2475" spans="1:11" x14ac:dyDescent="0.25">
      <c r="A2475">
        <v>19.796627404064601</v>
      </c>
      <c r="B2475">
        <v>0</v>
      </c>
      <c r="C2475">
        <v>2001</v>
      </c>
    </row>
    <row r="2476" spans="1:11" x14ac:dyDescent="0.25">
      <c r="A2476">
        <v>32.855895871852901</v>
      </c>
      <c r="B2476">
        <v>13.0592684677883</v>
      </c>
      <c r="C2476">
        <v>2001</v>
      </c>
    </row>
    <row r="2477" spans="1:11" x14ac:dyDescent="0.25">
      <c r="A2477">
        <v>39.9410921237317</v>
      </c>
      <c r="B2477">
        <v>20.144464719667099</v>
      </c>
      <c r="C2477">
        <v>2001</v>
      </c>
    </row>
    <row r="2478" spans="1:11" x14ac:dyDescent="0.25">
      <c r="A2478">
        <v>39.504076099282898</v>
      </c>
      <c r="B2478">
        <v>20.581480744116</v>
      </c>
      <c r="C2478">
        <v>2000</v>
      </c>
    </row>
    <row r="2479" spans="1:11" x14ac:dyDescent="0.25">
      <c r="A2479" t="s">
        <v>86</v>
      </c>
    </row>
    <row r="2480" spans="1:11" x14ac:dyDescent="0.25">
      <c r="A2480">
        <v>838</v>
      </c>
      <c r="B2480">
        <v>0</v>
      </c>
      <c r="C2480">
        <v>22.316112981243901</v>
      </c>
      <c r="D2480">
        <v>6.2400777869395396</v>
      </c>
      <c r="E2480">
        <v>6</v>
      </c>
      <c r="F2480">
        <v>1.01722196789785</v>
      </c>
      <c r="G2480" t="s">
        <v>83</v>
      </c>
      <c r="H2480" t="s">
        <v>83</v>
      </c>
      <c r="I2480">
        <v>0</v>
      </c>
      <c r="J2480">
        <v>0</v>
      </c>
      <c r="K2480">
        <v>9.9336241494793198E-2</v>
      </c>
    </row>
    <row r="2481" spans="1:11" x14ac:dyDescent="0.25">
      <c r="A2481" t="s">
        <v>85</v>
      </c>
    </row>
    <row r="2482" spans="1:11" x14ac:dyDescent="0.25">
      <c r="A2482">
        <v>145.492102261741</v>
      </c>
      <c r="B2482">
        <v>16.121394423228999</v>
      </c>
      <c r="C2482">
        <v>2000</v>
      </c>
    </row>
    <row r="2483" spans="1:11" x14ac:dyDescent="0.25">
      <c r="A2483">
        <v>129.370707838512</v>
      </c>
      <c r="B2483">
        <v>0</v>
      </c>
      <c r="C2483">
        <v>2000</v>
      </c>
    </row>
    <row r="2484" spans="1:11" x14ac:dyDescent="0.25">
      <c r="A2484">
        <v>130.24473988740999</v>
      </c>
      <c r="B2484">
        <v>0</v>
      </c>
      <c r="C2484">
        <v>2001</v>
      </c>
    </row>
    <row r="2485" spans="1:11" x14ac:dyDescent="0.25">
      <c r="A2485">
        <v>145.68309510170599</v>
      </c>
      <c r="B2485">
        <v>15.438355214296401</v>
      </c>
      <c r="C2485">
        <v>2001</v>
      </c>
    </row>
    <row r="2486" spans="1:11" x14ac:dyDescent="0.25">
      <c r="A2486">
        <v>150</v>
      </c>
      <c r="B2486">
        <v>19.7552601125903</v>
      </c>
      <c r="C2486">
        <v>2001</v>
      </c>
    </row>
    <row r="2487" spans="1:11" x14ac:dyDescent="0.25">
      <c r="A2487">
        <v>150</v>
      </c>
      <c r="B2487">
        <v>20.629292161487999</v>
      </c>
      <c r="C2487">
        <v>2000</v>
      </c>
    </row>
    <row r="2488" spans="1:11" x14ac:dyDescent="0.25">
      <c r="A2488" t="s">
        <v>86</v>
      </c>
    </row>
    <row r="2489" spans="1:11" x14ac:dyDescent="0.25">
      <c r="A2489">
        <v>590</v>
      </c>
      <c r="B2489">
        <v>0</v>
      </c>
      <c r="C2489">
        <v>2.8778372621732702</v>
      </c>
      <c r="D2489">
        <v>25.618570292248499</v>
      </c>
      <c r="E2489">
        <v>8</v>
      </c>
      <c r="F2489">
        <v>1.01722196789785</v>
      </c>
      <c r="G2489" t="s">
        <v>84</v>
      </c>
      <c r="H2489" t="s">
        <v>83</v>
      </c>
      <c r="I2489">
        <v>562</v>
      </c>
      <c r="J2489">
        <v>0</v>
      </c>
      <c r="K2489">
        <v>0</v>
      </c>
    </row>
    <row r="2490" spans="1:11" x14ac:dyDescent="0.25">
      <c r="A2490" t="s">
        <v>85</v>
      </c>
    </row>
    <row r="2491" spans="1:11" x14ac:dyDescent="0.25">
      <c r="A2491">
        <v>132.08252818521501</v>
      </c>
      <c r="B2491">
        <v>88.038531390122401</v>
      </c>
      <c r="C2491">
        <v>2000</v>
      </c>
    </row>
    <row r="2492" spans="1:11" x14ac:dyDescent="0.25">
      <c r="A2492">
        <v>130.068504991037</v>
      </c>
      <c r="B2492">
        <v>86.024508195945103</v>
      </c>
      <c r="C2492">
        <v>2000</v>
      </c>
    </row>
    <row r="2493" spans="1:11" x14ac:dyDescent="0.25">
      <c r="A2493">
        <v>129.63148896658799</v>
      </c>
      <c r="B2493">
        <v>86.461524220393898</v>
      </c>
      <c r="C2493">
        <v>2001</v>
      </c>
    </row>
    <row r="2494" spans="1:11" x14ac:dyDescent="0.25">
      <c r="A2494">
        <v>131.687342258879</v>
      </c>
      <c r="B2494">
        <v>88.517377512684703</v>
      </c>
      <c r="C2494">
        <v>2001</v>
      </c>
    </row>
    <row r="2495" spans="1:11" x14ac:dyDescent="0.25">
      <c r="A2495">
        <v>143.52986672545299</v>
      </c>
      <c r="B2495">
        <v>100.359901979258</v>
      </c>
      <c r="C2495">
        <v>2001</v>
      </c>
    </row>
    <row r="2496" spans="1:11" x14ac:dyDescent="0.25">
      <c r="A2496">
        <v>150</v>
      </c>
      <c r="B2496">
        <v>106.83003525380499</v>
      </c>
      <c r="C2496">
        <v>2001</v>
      </c>
    </row>
    <row r="2497" spans="1:11" x14ac:dyDescent="0.25">
      <c r="A2497">
        <v>150</v>
      </c>
      <c r="B2497">
        <v>105.956003204908</v>
      </c>
      <c r="C2497">
        <v>2000</v>
      </c>
    </row>
    <row r="2498" spans="1:11" x14ac:dyDescent="0.25">
      <c r="A2498">
        <v>143.68409481583399</v>
      </c>
      <c r="B2498">
        <v>99.640098020741803</v>
      </c>
      <c r="C2498">
        <v>2000</v>
      </c>
    </row>
    <row r="2499" spans="1:11" x14ac:dyDescent="0.25">
      <c r="A2499" t="s">
        <v>86</v>
      </c>
    </row>
    <row r="2500" spans="1:11" x14ac:dyDescent="0.25">
      <c r="A2500">
        <v>672</v>
      </c>
      <c r="B2500">
        <v>0</v>
      </c>
      <c r="C2500">
        <v>25.104520096754801</v>
      </c>
      <c r="D2500">
        <v>3.1087550921218798</v>
      </c>
      <c r="E2500">
        <v>6</v>
      </c>
      <c r="F2500">
        <v>1.01722196789785</v>
      </c>
      <c r="G2500" t="s">
        <v>83</v>
      </c>
      <c r="H2500" t="s">
        <v>84</v>
      </c>
      <c r="I2500">
        <v>0</v>
      </c>
      <c r="J2500">
        <v>675</v>
      </c>
      <c r="K2500">
        <v>0</v>
      </c>
    </row>
    <row r="2501" spans="1:11" x14ac:dyDescent="0.25">
      <c r="A2501" t="s">
        <v>85</v>
      </c>
    </row>
    <row r="2502" spans="1:11" x14ac:dyDescent="0.25">
      <c r="A2502">
        <v>77.730473128284601</v>
      </c>
      <c r="B2502">
        <v>17.946007522051602</v>
      </c>
      <c r="C2502">
        <v>2000</v>
      </c>
    </row>
    <row r="2503" spans="1:11" x14ac:dyDescent="0.25">
      <c r="A2503">
        <v>59.784465606232899</v>
      </c>
      <c r="B2503">
        <v>0</v>
      </c>
      <c r="C2503">
        <v>2000</v>
      </c>
    </row>
    <row r="2504" spans="1:11" x14ac:dyDescent="0.25">
      <c r="A2504">
        <v>60.658497655130603</v>
      </c>
      <c r="B2504">
        <v>0</v>
      </c>
      <c r="C2504">
        <v>2001</v>
      </c>
    </row>
    <row r="2505" spans="1:11" x14ac:dyDescent="0.25">
      <c r="A2505">
        <v>78.215642930777506</v>
      </c>
      <c r="B2505">
        <v>17.557145275646999</v>
      </c>
      <c r="C2505">
        <v>2001</v>
      </c>
    </row>
    <row r="2506" spans="1:11" x14ac:dyDescent="0.25">
      <c r="A2506">
        <v>80.389787848443007</v>
      </c>
      <c r="B2506">
        <v>19.7312901933125</v>
      </c>
      <c r="C2506">
        <v>2001</v>
      </c>
    </row>
    <row r="2507" spans="1:11" x14ac:dyDescent="0.25">
      <c r="A2507">
        <v>79.952771823994198</v>
      </c>
      <c r="B2507">
        <v>20.168306217761302</v>
      </c>
      <c r="C2507">
        <v>2000</v>
      </c>
    </row>
    <row r="2508" spans="1:11" x14ac:dyDescent="0.25">
      <c r="A2508" t="s">
        <v>86</v>
      </c>
    </row>
    <row r="2509" spans="1:11" x14ac:dyDescent="0.25">
      <c r="A2509">
        <v>31</v>
      </c>
      <c r="B2509">
        <v>0</v>
      </c>
      <c r="C2509">
        <v>13.0287966593148</v>
      </c>
      <c r="D2509">
        <v>14.8740453294254</v>
      </c>
      <c r="E2509">
        <v>6</v>
      </c>
      <c r="F2509">
        <v>1.01722196789785</v>
      </c>
      <c r="G2509" t="s">
        <v>83</v>
      </c>
      <c r="H2509" t="s">
        <v>84</v>
      </c>
      <c r="I2509">
        <v>0</v>
      </c>
      <c r="J2509">
        <v>24</v>
      </c>
      <c r="K2509">
        <v>0</v>
      </c>
    </row>
    <row r="2510" spans="1:11" x14ac:dyDescent="0.25">
      <c r="A2510" t="s">
        <v>85</v>
      </c>
    </row>
    <row r="2511" spans="1:11" x14ac:dyDescent="0.25">
      <c r="A2511">
        <v>9.3147793751222103</v>
      </c>
      <c r="B2511">
        <v>9.8238597984103997</v>
      </c>
      <c r="C2511">
        <v>2000</v>
      </c>
    </row>
    <row r="2512" spans="1:11" x14ac:dyDescent="0.25">
      <c r="A2512">
        <v>0</v>
      </c>
      <c r="B2512">
        <v>0.50908042328819703</v>
      </c>
      <c r="C2512">
        <v>2000</v>
      </c>
    </row>
    <row r="2513" spans="1:11" x14ac:dyDescent="0.25">
      <c r="A2513">
        <v>0</v>
      </c>
      <c r="B2513">
        <v>1.3831124721858401</v>
      </c>
      <c r="C2513">
        <v>2001</v>
      </c>
    </row>
    <row r="2514" spans="1:11" x14ac:dyDescent="0.25">
      <c r="A2514">
        <v>9.11072156188213</v>
      </c>
      <c r="B2514">
        <v>10.493834034068</v>
      </c>
      <c r="C2514">
        <v>2001</v>
      </c>
    </row>
    <row r="2515" spans="1:11" x14ac:dyDescent="0.25">
      <c r="A2515">
        <v>19.511780772390601</v>
      </c>
      <c r="B2515">
        <v>20.894893244576402</v>
      </c>
      <c r="C2515">
        <v>2001</v>
      </c>
    </row>
    <row r="2516" spans="1:11" x14ac:dyDescent="0.25">
      <c r="A2516">
        <v>19.9487967968394</v>
      </c>
      <c r="B2516">
        <v>20.4578772201276</v>
      </c>
      <c r="C2516">
        <v>2000</v>
      </c>
    </row>
    <row r="2517" spans="1:11" x14ac:dyDescent="0.25">
      <c r="A2517" t="s">
        <v>86</v>
      </c>
    </row>
    <row r="2518" spans="1:11" x14ac:dyDescent="0.25">
      <c r="A2518">
        <v>40</v>
      </c>
      <c r="B2518">
        <v>0</v>
      </c>
      <c r="C2518">
        <v>17.5702223210467</v>
      </c>
      <c r="D2518">
        <v>10.2544557824554</v>
      </c>
      <c r="E2518">
        <v>6</v>
      </c>
      <c r="F2518">
        <v>1.01722196789785</v>
      </c>
      <c r="G2518" t="s">
        <v>84</v>
      </c>
      <c r="H2518" t="s">
        <v>84</v>
      </c>
      <c r="I2518">
        <v>26</v>
      </c>
      <c r="J2518">
        <v>759</v>
      </c>
      <c r="K2518">
        <v>0</v>
      </c>
    </row>
    <row r="2519" spans="1:11" x14ac:dyDescent="0.25">
      <c r="A2519" t="s">
        <v>85</v>
      </c>
    </row>
    <row r="2520" spans="1:11" x14ac:dyDescent="0.25">
      <c r="A2520">
        <v>21.811090555889901</v>
      </c>
      <c r="B2520">
        <v>13.906457844142301</v>
      </c>
      <c r="C2520">
        <v>2000</v>
      </c>
    </row>
    <row r="2521" spans="1:11" x14ac:dyDescent="0.25">
      <c r="A2521">
        <v>9.3870672057225093</v>
      </c>
      <c r="B2521">
        <v>1.4824344939749401</v>
      </c>
      <c r="C2521">
        <v>2000</v>
      </c>
    </row>
    <row r="2522" spans="1:11" x14ac:dyDescent="0.25">
      <c r="A2522">
        <v>9.8240832301713308</v>
      </c>
      <c r="B2522">
        <v>1.0454184695261199</v>
      </c>
      <c r="C2522">
        <v>2001</v>
      </c>
    </row>
    <row r="2523" spans="1:11" x14ac:dyDescent="0.25">
      <c r="A2523">
        <v>22.2481065803387</v>
      </c>
      <c r="B2523">
        <v>13.4694418196935</v>
      </c>
      <c r="C2523">
        <v>2001</v>
      </c>
    </row>
    <row r="2524" spans="1:11" x14ac:dyDescent="0.25">
      <c r="A2524">
        <v>29.4991018014905</v>
      </c>
      <c r="B2524">
        <v>20.720437040845301</v>
      </c>
      <c r="C2524">
        <v>2001</v>
      </c>
    </row>
    <row r="2525" spans="1:11" x14ac:dyDescent="0.25">
      <c r="A2525">
        <v>29.062085777041698</v>
      </c>
      <c r="B2525">
        <v>21.157453065294099</v>
      </c>
      <c r="C2525">
        <v>2000</v>
      </c>
    </row>
    <row r="2526" spans="1:11" x14ac:dyDescent="0.25">
      <c r="A2526" t="s">
        <v>86</v>
      </c>
    </row>
    <row r="2527" spans="1:11" x14ac:dyDescent="0.25">
      <c r="A2527">
        <v>21</v>
      </c>
      <c r="B2527">
        <v>0</v>
      </c>
      <c r="C2527">
        <v>0.73367157822863904</v>
      </c>
      <c r="D2527">
        <v>27.0910065252734</v>
      </c>
      <c r="E2527">
        <v>6</v>
      </c>
      <c r="F2527">
        <v>1.01722196789785</v>
      </c>
      <c r="G2527" t="s">
        <v>84</v>
      </c>
      <c r="H2527" t="s">
        <v>84</v>
      </c>
      <c r="I2527">
        <v>26</v>
      </c>
      <c r="J2527">
        <v>759</v>
      </c>
      <c r="K2527">
        <v>0</v>
      </c>
    </row>
    <row r="2528" spans="1:11" x14ac:dyDescent="0.25">
      <c r="A2528" t="s">
        <v>85</v>
      </c>
    </row>
    <row r="2529" spans="1:11" x14ac:dyDescent="0.25">
      <c r="A2529">
        <v>10.4032212879568</v>
      </c>
      <c r="B2529">
        <v>1.50384870799923</v>
      </c>
      <c r="C2529">
        <v>2000</v>
      </c>
    </row>
    <row r="2530" spans="1:11" x14ac:dyDescent="0.25">
      <c r="A2530">
        <v>9.8844371398275293</v>
      </c>
      <c r="B2530">
        <v>0.98506455986991903</v>
      </c>
      <c r="C2530">
        <v>2000</v>
      </c>
    </row>
    <row r="2531" spans="1:11" x14ac:dyDescent="0.25">
      <c r="A2531">
        <v>10.321453164276299</v>
      </c>
      <c r="B2531">
        <v>0.54804853542109699</v>
      </c>
      <c r="C2531">
        <v>2001</v>
      </c>
    </row>
    <row r="2532" spans="1:11" x14ac:dyDescent="0.25">
      <c r="A2532">
        <v>10.8402373124057</v>
      </c>
      <c r="B2532">
        <v>1.0668326835504001</v>
      </c>
      <c r="C2532">
        <v>2001</v>
      </c>
    </row>
    <row r="2533" spans="1:11" x14ac:dyDescent="0.25">
      <c r="A2533">
        <v>29.996471735595499</v>
      </c>
      <c r="B2533">
        <v>20.223067106740299</v>
      </c>
      <c r="C2533">
        <v>2001</v>
      </c>
    </row>
    <row r="2534" spans="1:11" x14ac:dyDescent="0.25">
      <c r="A2534">
        <v>29.5594557111467</v>
      </c>
      <c r="B2534">
        <v>20.660083131189101</v>
      </c>
      <c r="C2534">
        <v>2000</v>
      </c>
    </row>
    <row r="2535" spans="1:11" x14ac:dyDescent="0.25">
      <c r="A2535" t="s">
        <v>86</v>
      </c>
    </row>
    <row r="2536" spans="1:11" x14ac:dyDescent="0.25">
      <c r="A2536">
        <v>740</v>
      </c>
      <c r="B2536">
        <v>0</v>
      </c>
      <c r="C2536">
        <v>3.53907563895579</v>
      </c>
      <c r="D2536">
        <v>23.469180685231098</v>
      </c>
      <c r="E2536">
        <v>8</v>
      </c>
      <c r="F2536">
        <v>1.01722196789785</v>
      </c>
      <c r="G2536" t="s">
        <v>84</v>
      </c>
      <c r="H2536" t="s">
        <v>84</v>
      </c>
      <c r="I2536">
        <v>199</v>
      </c>
      <c r="J2536">
        <v>423</v>
      </c>
      <c r="K2536">
        <v>9.5418080883047596E-2</v>
      </c>
    </row>
    <row r="2537" spans="1:11" x14ac:dyDescent="0.25">
      <c r="A2537" t="s">
        <v>85</v>
      </c>
    </row>
    <row r="2538" spans="1:11" x14ac:dyDescent="0.25">
      <c r="A2538">
        <v>34.7556779285731</v>
      </c>
      <c r="B2538">
        <v>105.700187158627</v>
      </c>
      <c r="C2538">
        <v>2000</v>
      </c>
    </row>
    <row r="2539" spans="1:11" x14ac:dyDescent="0.25">
      <c r="A2539">
        <v>32.253173545135397</v>
      </c>
      <c r="B2539">
        <v>103.19768277518899</v>
      </c>
      <c r="C2539">
        <v>2000</v>
      </c>
    </row>
    <row r="2540" spans="1:11" x14ac:dyDescent="0.25">
      <c r="A2540">
        <v>32.690189569584199</v>
      </c>
      <c r="B2540">
        <v>102.76066675074</v>
      </c>
      <c r="C2540">
        <v>2001</v>
      </c>
    </row>
    <row r="2541" spans="1:11" x14ac:dyDescent="0.25">
      <c r="A2541">
        <v>35.192693953021902</v>
      </c>
      <c r="B2541">
        <v>105.26317113417799</v>
      </c>
      <c r="C2541">
        <v>2001</v>
      </c>
    </row>
    <row r="2542" spans="1:11" x14ac:dyDescent="0.25">
      <c r="A2542">
        <v>50.218508012224397</v>
      </c>
      <c r="B2542">
        <v>120.28898519338</v>
      </c>
      <c r="C2542">
        <v>2001</v>
      </c>
    </row>
    <row r="2543" spans="1:11" x14ac:dyDescent="0.25">
      <c r="A2543">
        <v>51.7879107644412</v>
      </c>
      <c r="B2543">
        <v>121.858387945597</v>
      </c>
      <c r="C2543">
        <v>2001</v>
      </c>
    </row>
    <row r="2544" spans="1:11" x14ac:dyDescent="0.25">
      <c r="A2544">
        <v>51.350894739992398</v>
      </c>
      <c r="B2544">
        <v>122.295403970046</v>
      </c>
      <c r="C2544">
        <v>2000</v>
      </c>
    </row>
    <row r="2545" spans="1:11" x14ac:dyDescent="0.25">
      <c r="A2545">
        <v>49.781491987775603</v>
      </c>
      <c r="B2545">
        <v>120.72600121782899</v>
      </c>
      <c r="C2545">
        <v>2000</v>
      </c>
    </row>
    <row r="2546" spans="1:11" x14ac:dyDescent="0.25">
      <c r="A2546" t="s">
        <v>86</v>
      </c>
    </row>
    <row r="2547" spans="1:11" x14ac:dyDescent="0.25">
      <c r="A2547">
        <v>426</v>
      </c>
      <c r="B2547">
        <v>0</v>
      </c>
      <c r="C2547">
        <v>7.0774910542566296</v>
      </c>
      <c r="D2547">
        <v>19.622042432399901</v>
      </c>
      <c r="E2547">
        <v>6</v>
      </c>
      <c r="F2547">
        <v>1.01722196789785</v>
      </c>
      <c r="G2547" t="s">
        <v>84</v>
      </c>
      <c r="H2547" t="s">
        <v>83</v>
      </c>
      <c r="I2547">
        <v>737</v>
      </c>
      <c r="J2547">
        <v>0</v>
      </c>
      <c r="K2547">
        <v>0</v>
      </c>
    </row>
    <row r="2548" spans="1:11" x14ac:dyDescent="0.25">
      <c r="A2548" t="s">
        <v>85</v>
      </c>
    </row>
    <row r="2549" spans="1:11" x14ac:dyDescent="0.25">
      <c r="A2549">
        <v>59.6418313982333</v>
      </c>
      <c r="B2549">
        <v>135.964534652802</v>
      </c>
      <c r="C2549">
        <v>2000</v>
      </c>
    </row>
    <row r="2550" spans="1:11" x14ac:dyDescent="0.25">
      <c r="A2550">
        <v>54.579367550275101</v>
      </c>
      <c r="B2550">
        <v>130.90207080484299</v>
      </c>
      <c r="C2550">
        <v>2000</v>
      </c>
    </row>
    <row r="2551" spans="1:11" x14ac:dyDescent="0.25">
      <c r="A2551">
        <v>54.1423515258263</v>
      </c>
      <c r="B2551">
        <v>131.339086829292</v>
      </c>
      <c r="C2551">
        <v>2001</v>
      </c>
    </row>
    <row r="2552" spans="1:11" x14ac:dyDescent="0.25">
      <c r="A2552">
        <v>59.088971514372098</v>
      </c>
      <c r="B2552">
        <v>136.28570681783799</v>
      </c>
      <c r="C2552">
        <v>2001</v>
      </c>
    </row>
    <row r="2553" spans="1:11" x14ac:dyDescent="0.25">
      <c r="A2553">
        <v>72.803264696534001</v>
      </c>
      <c r="B2553">
        <v>150</v>
      </c>
      <c r="C2553">
        <v>2001</v>
      </c>
    </row>
    <row r="2554" spans="1:11" x14ac:dyDescent="0.25">
      <c r="A2554">
        <v>73.677296745431704</v>
      </c>
      <c r="B2554">
        <v>150</v>
      </c>
      <c r="C2554">
        <v>2000</v>
      </c>
    </row>
    <row r="2555" spans="1:11" x14ac:dyDescent="0.25">
      <c r="A2555" t="s">
        <v>86</v>
      </c>
    </row>
    <row r="2556" spans="1:11" x14ac:dyDescent="0.25">
      <c r="A2556">
        <v>429</v>
      </c>
      <c r="B2556">
        <v>0</v>
      </c>
      <c r="C2556">
        <v>0.65461018267214399</v>
      </c>
      <c r="D2556">
        <v>25.9282106102021</v>
      </c>
      <c r="E2556">
        <v>6</v>
      </c>
      <c r="F2556">
        <v>1.01722196789785</v>
      </c>
      <c r="G2556" t="s">
        <v>84</v>
      </c>
      <c r="H2556" t="s">
        <v>83</v>
      </c>
      <c r="I2556">
        <v>758</v>
      </c>
      <c r="J2556">
        <v>0</v>
      </c>
      <c r="K2556">
        <v>0</v>
      </c>
    </row>
    <row r="2557" spans="1:11" x14ac:dyDescent="0.25">
      <c r="A2557" t="s">
        <v>85</v>
      </c>
    </row>
    <row r="2558" spans="1:11" x14ac:dyDescent="0.25">
      <c r="A2558">
        <v>58.961040412888003</v>
      </c>
      <c r="B2558">
        <v>131.45285926864301</v>
      </c>
      <c r="C2558">
        <v>2000</v>
      </c>
    </row>
    <row r="2559" spans="1:11" x14ac:dyDescent="0.25">
      <c r="A2559">
        <v>58.4927802863129</v>
      </c>
      <c r="B2559">
        <v>130.984599142067</v>
      </c>
      <c r="C2559">
        <v>2000</v>
      </c>
    </row>
    <row r="2560" spans="1:11" x14ac:dyDescent="0.25">
      <c r="A2560">
        <v>58.055764261864098</v>
      </c>
      <c r="B2560">
        <v>131.42161516651601</v>
      </c>
      <c r="C2560">
        <v>2001</v>
      </c>
    </row>
    <row r="2561" spans="1:11" x14ac:dyDescent="0.25">
      <c r="A2561">
        <v>58.513262733691398</v>
      </c>
      <c r="B2561">
        <v>131.87911363834399</v>
      </c>
      <c r="C2561">
        <v>2001</v>
      </c>
    </row>
    <row r="2562" spans="1:11" x14ac:dyDescent="0.25">
      <c r="A2562">
        <v>76.634149095347794</v>
      </c>
      <c r="B2562">
        <v>150</v>
      </c>
      <c r="C2562">
        <v>2001</v>
      </c>
    </row>
    <row r="2563" spans="1:11" x14ac:dyDescent="0.25">
      <c r="A2563">
        <v>77.508181144245398</v>
      </c>
      <c r="B2563">
        <v>150</v>
      </c>
      <c r="C2563">
        <v>2000</v>
      </c>
    </row>
    <row r="2564" spans="1:11" x14ac:dyDescent="0.25">
      <c r="A2564" t="s">
        <v>86</v>
      </c>
    </row>
    <row r="2565" spans="1:11" x14ac:dyDescent="0.25">
      <c r="A2565">
        <v>814</v>
      </c>
      <c r="B2565">
        <v>0</v>
      </c>
      <c r="C2565">
        <v>9.1916612009840293</v>
      </c>
      <c r="D2565">
        <v>16.7553382273388</v>
      </c>
      <c r="E2565">
        <v>6</v>
      </c>
      <c r="F2565">
        <v>1.01722196789785</v>
      </c>
      <c r="G2565" t="s">
        <v>83</v>
      </c>
      <c r="H2565" t="s">
        <v>83</v>
      </c>
      <c r="I2565">
        <v>0</v>
      </c>
      <c r="J2565">
        <v>0</v>
      </c>
      <c r="K2565">
        <v>9.7391432165086E-2</v>
      </c>
    </row>
    <row r="2566" spans="1:11" x14ac:dyDescent="0.25">
      <c r="A2566" t="s">
        <v>85</v>
      </c>
    </row>
    <row r="2567" spans="1:11" x14ac:dyDescent="0.25">
      <c r="A2567">
        <v>6.3446741058465097</v>
      </c>
      <c r="B2567">
        <v>138.434390883085</v>
      </c>
      <c r="C2567">
        <v>2000</v>
      </c>
    </row>
    <row r="2568" spans="1:11" x14ac:dyDescent="0.25">
      <c r="A2568">
        <v>0</v>
      </c>
      <c r="B2568">
        <v>132.08971677723801</v>
      </c>
      <c r="C2568">
        <v>2000</v>
      </c>
    </row>
    <row r="2569" spans="1:11" x14ac:dyDescent="0.25">
      <c r="A2569">
        <v>0</v>
      </c>
      <c r="B2569">
        <v>131.21568472834099</v>
      </c>
      <c r="C2569">
        <v>2001</v>
      </c>
    </row>
    <row r="2570" spans="1:11" x14ac:dyDescent="0.25">
      <c r="A2570">
        <v>6.6542978253236802</v>
      </c>
      <c r="B2570">
        <v>137.86998255366399</v>
      </c>
      <c r="C2570">
        <v>2001</v>
      </c>
    </row>
    <row r="2571" spans="1:11" x14ac:dyDescent="0.25">
      <c r="A2571">
        <v>18.784315271659398</v>
      </c>
      <c r="B2571">
        <v>150</v>
      </c>
      <c r="C2571">
        <v>2001</v>
      </c>
    </row>
    <row r="2572" spans="1:11" x14ac:dyDescent="0.25">
      <c r="A2572">
        <v>17.910283222761699</v>
      </c>
      <c r="B2572">
        <v>150</v>
      </c>
      <c r="C2572">
        <v>2000</v>
      </c>
    </row>
    <row r="2573" spans="1:11" x14ac:dyDescent="0.25">
      <c r="A2573" t="s">
        <v>86</v>
      </c>
    </row>
    <row r="2574" spans="1:11" x14ac:dyDescent="0.25">
      <c r="A2574">
        <v>423</v>
      </c>
      <c r="B2574">
        <v>0</v>
      </c>
      <c r="C2574">
        <v>23.940887116267</v>
      </c>
      <c r="D2574">
        <v>1.5774667939537299</v>
      </c>
      <c r="E2574">
        <v>6</v>
      </c>
      <c r="F2574">
        <v>1.01722196789785</v>
      </c>
      <c r="G2574" t="s">
        <v>84</v>
      </c>
      <c r="H2574" t="s">
        <v>84</v>
      </c>
      <c r="I2574">
        <v>740</v>
      </c>
      <c r="J2574">
        <v>428</v>
      </c>
      <c r="K2574">
        <v>0</v>
      </c>
    </row>
    <row r="2575" spans="1:11" x14ac:dyDescent="0.25">
      <c r="A2575" t="s">
        <v>85</v>
      </c>
    </row>
    <row r="2576" spans="1:11" x14ac:dyDescent="0.25">
      <c r="A2576">
        <v>68.296983051256603</v>
      </c>
      <c r="B2576">
        <v>139.20684291385001</v>
      </c>
      <c r="C2576">
        <v>2000</v>
      </c>
    </row>
    <row r="2577" spans="1:11" x14ac:dyDescent="0.25">
      <c r="A2577">
        <v>51.3682194237225</v>
      </c>
      <c r="B2577">
        <v>122.278079286316</v>
      </c>
      <c r="C2577">
        <v>2000</v>
      </c>
    </row>
    <row r="2578" spans="1:11" x14ac:dyDescent="0.25">
      <c r="A2578">
        <v>51.805235448171302</v>
      </c>
      <c r="B2578">
        <v>121.84106326186701</v>
      </c>
      <c r="C2578">
        <v>2001</v>
      </c>
    </row>
    <row r="2579" spans="1:11" x14ac:dyDescent="0.25">
      <c r="A2579">
        <v>68.733999075705398</v>
      </c>
      <c r="B2579">
        <v>138.769826889401</v>
      </c>
      <c r="C2579">
        <v>2001</v>
      </c>
    </row>
    <row r="2580" spans="1:11" x14ac:dyDescent="0.25">
      <c r="A2580">
        <v>69.8494365428067</v>
      </c>
      <c r="B2580">
        <v>139.88526435650201</v>
      </c>
      <c r="C2580">
        <v>2001</v>
      </c>
    </row>
    <row r="2581" spans="1:11" x14ac:dyDescent="0.25">
      <c r="A2581">
        <v>69.412420518357806</v>
      </c>
      <c r="B2581">
        <v>140.32228038095101</v>
      </c>
      <c r="C2581">
        <v>2000</v>
      </c>
    </row>
    <row r="2582" spans="1:11" x14ac:dyDescent="0.25">
      <c r="A2582" t="s">
        <v>86</v>
      </c>
    </row>
    <row r="2583" spans="1:11" x14ac:dyDescent="0.25">
      <c r="A2583">
        <v>817</v>
      </c>
      <c r="B2583">
        <v>0</v>
      </c>
      <c r="C2583">
        <v>24.049631053596201</v>
      </c>
      <c r="D2583">
        <v>1.13483219550334</v>
      </c>
      <c r="E2583">
        <v>6</v>
      </c>
      <c r="F2583">
        <v>1.01722196789785</v>
      </c>
      <c r="G2583" t="s">
        <v>84</v>
      </c>
      <c r="H2583" t="s">
        <v>84</v>
      </c>
      <c r="I2583">
        <v>36</v>
      </c>
      <c r="J2583">
        <v>800</v>
      </c>
      <c r="K2583">
        <v>9.7654513304302804E-2</v>
      </c>
    </row>
    <row r="2584" spans="1:11" x14ac:dyDescent="0.25">
      <c r="A2584" t="s">
        <v>85</v>
      </c>
    </row>
    <row r="2585" spans="1:11" x14ac:dyDescent="0.25">
      <c r="A2585">
        <v>45.564102957758003</v>
      </c>
      <c r="B2585">
        <v>74.107043599755201</v>
      </c>
      <c r="C2585">
        <v>2000</v>
      </c>
    </row>
    <row r="2586" spans="1:11" x14ac:dyDescent="0.25">
      <c r="A2586">
        <v>28.558445754725501</v>
      </c>
      <c r="B2586">
        <v>57.101386396722802</v>
      </c>
      <c r="C2586">
        <v>2000</v>
      </c>
    </row>
    <row r="2587" spans="1:11" x14ac:dyDescent="0.25">
      <c r="A2587">
        <v>28.995461779174299</v>
      </c>
      <c r="B2587">
        <v>56.664370372273901</v>
      </c>
      <c r="C2587">
        <v>2001</v>
      </c>
    </row>
    <row r="2588" spans="1:11" x14ac:dyDescent="0.25">
      <c r="A2588">
        <v>46.001118982206798</v>
      </c>
      <c r="B2588">
        <v>73.670027575306406</v>
      </c>
      <c r="C2588">
        <v>2001</v>
      </c>
    </row>
    <row r="2589" spans="1:11" x14ac:dyDescent="0.25">
      <c r="A2589">
        <v>46.803566523156</v>
      </c>
      <c r="B2589">
        <v>74.472475116255595</v>
      </c>
      <c r="C2589">
        <v>2001</v>
      </c>
    </row>
    <row r="2590" spans="1:11" x14ac:dyDescent="0.25">
      <c r="A2590">
        <v>46.366550498707198</v>
      </c>
      <c r="B2590">
        <v>74.909491140704404</v>
      </c>
      <c r="C2590">
        <v>2000</v>
      </c>
    </row>
    <row r="2591" spans="1:11" x14ac:dyDescent="0.25">
      <c r="A2591" t="s">
        <v>86</v>
      </c>
    </row>
    <row r="2592" spans="1:11" x14ac:dyDescent="0.25">
      <c r="A2592">
        <v>728</v>
      </c>
      <c r="B2592">
        <v>0</v>
      </c>
      <c r="C2592">
        <v>9.0299965090511591</v>
      </c>
      <c r="D2592">
        <v>16.079897854190499</v>
      </c>
      <c r="E2592">
        <v>6</v>
      </c>
      <c r="F2592">
        <v>1.01722196789785</v>
      </c>
      <c r="G2592" t="s">
        <v>84</v>
      </c>
      <c r="H2592" t="s">
        <v>84</v>
      </c>
      <c r="I2592">
        <v>405</v>
      </c>
      <c r="J2592">
        <v>402</v>
      </c>
      <c r="K2592">
        <v>9.5418080883047596E-2</v>
      </c>
    </row>
    <row r="2593" spans="1:11" x14ac:dyDescent="0.25">
      <c r="A2593" t="s">
        <v>85</v>
      </c>
    </row>
    <row r="2594" spans="1:11" x14ac:dyDescent="0.25">
      <c r="A2594">
        <v>60.355132850047902</v>
      </c>
      <c r="B2594">
        <v>125.11064487841</v>
      </c>
      <c r="C2594">
        <v>2000</v>
      </c>
    </row>
    <row r="2595" spans="1:11" x14ac:dyDescent="0.25">
      <c r="A2595">
        <v>53.969961084406997</v>
      </c>
      <c r="B2595">
        <v>118.725473112769</v>
      </c>
      <c r="C2595">
        <v>2000</v>
      </c>
    </row>
    <row r="2596" spans="1:11" x14ac:dyDescent="0.25">
      <c r="A2596">
        <v>53.532945059958202</v>
      </c>
      <c r="B2596">
        <v>119.162489137218</v>
      </c>
      <c r="C2596">
        <v>2001</v>
      </c>
    </row>
    <row r="2597" spans="1:11" x14ac:dyDescent="0.25">
      <c r="A2597">
        <v>59.9181168255991</v>
      </c>
      <c r="B2597">
        <v>125.54766090285899</v>
      </c>
      <c r="C2597">
        <v>2001</v>
      </c>
    </row>
    <row r="2598" spans="1:11" x14ac:dyDescent="0.25">
      <c r="A2598">
        <v>71.288321639084202</v>
      </c>
      <c r="B2598">
        <v>136.91786571634401</v>
      </c>
      <c r="C2598">
        <v>2001</v>
      </c>
    </row>
    <row r="2599" spans="1:11" x14ac:dyDescent="0.25">
      <c r="A2599">
        <v>71.725337663532997</v>
      </c>
      <c r="B2599">
        <v>136.480849691895</v>
      </c>
      <c r="C2599">
        <v>2000</v>
      </c>
    </row>
    <row r="2600" spans="1:11" x14ac:dyDescent="0.25">
      <c r="A2600" t="s">
        <v>86</v>
      </c>
    </row>
    <row r="2601" spans="1:11" x14ac:dyDescent="0.25">
      <c r="A2601">
        <v>757</v>
      </c>
      <c r="B2601">
        <v>0</v>
      </c>
      <c r="C2601">
        <v>7.95454032797082</v>
      </c>
      <c r="D2601">
        <v>17.093944888907298</v>
      </c>
      <c r="E2601">
        <v>8</v>
      </c>
      <c r="F2601">
        <v>1.01722196789785</v>
      </c>
      <c r="G2601" t="s">
        <v>84</v>
      </c>
      <c r="H2601" t="s">
        <v>83</v>
      </c>
      <c r="I2601">
        <v>791</v>
      </c>
      <c r="J2601">
        <v>0</v>
      </c>
      <c r="K2601">
        <v>9.5703858509913295E-2</v>
      </c>
    </row>
    <row r="2602" spans="1:11" x14ac:dyDescent="0.25">
      <c r="A2602" t="s">
        <v>85</v>
      </c>
    </row>
    <row r="2603" spans="1:11" x14ac:dyDescent="0.25">
      <c r="A2603">
        <v>101.58265228803</v>
      </c>
      <c r="B2603">
        <v>137.71608785221699</v>
      </c>
      <c r="C2603">
        <v>2000</v>
      </c>
    </row>
    <row r="2604" spans="1:11" x14ac:dyDescent="0.25">
      <c r="A2604">
        <v>100.21850801222401</v>
      </c>
      <c r="B2604">
        <v>136.351943576411</v>
      </c>
      <c r="C2604">
        <v>2000</v>
      </c>
    </row>
    <row r="2605" spans="1:11" x14ac:dyDescent="0.25">
      <c r="A2605">
        <v>95.936102668283397</v>
      </c>
      <c r="B2605">
        <v>132.06953823246999</v>
      </c>
      <c r="C2605">
        <v>2000</v>
      </c>
    </row>
    <row r="2606" spans="1:11" x14ac:dyDescent="0.25">
      <c r="A2606">
        <v>95.499086643834502</v>
      </c>
      <c r="B2606">
        <v>132.506554256919</v>
      </c>
      <c r="C2606">
        <v>2001</v>
      </c>
    </row>
    <row r="2607" spans="1:11" x14ac:dyDescent="0.25">
      <c r="A2607">
        <v>99.781491987775595</v>
      </c>
      <c r="B2607">
        <v>136.78895960086001</v>
      </c>
      <c r="C2607">
        <v>2001</v>
      </c>
    </row>
    <row r="2608" spans="1:11" x14ac:dyDescent="0.25">
      <c r="A2608">
        <v>101.101955838348</v>
      </c>
      <c r="B2608">
        <v>138.10942345143201</v>
      </c>
      <c r="C2608">
        <v>2001</v>
      </c>
    </row>
    <row r="2609" spans="1:11" x14ac:dyDescent="0.25">
      <c r="A2609">
        <v>112.992532386916</v>
      </c>
      <c r="B2609">
        <v>150</v>
      </c>
      <c r="C2609">
        <v>2001</v>
      </c>
    </row>
    <row r="2610" spans="1:11" x14ac:dyDescent="0.25">
      <c r="A2610">
        <v>113.866564435813</v>
      </c>
      <c r="B2610">
        <v>150</v>
      </c>
      <c r="C2610">
        <v>2000</v>
      </c>
    </row>
    <row r="2611" spans="1:11" x14ac:dyDescent="0.25">
      <c r="A2611" t="s">
        <v>86</v>
      </c>
    </row>
    <row r="2612" spans="1:11" x14ac:dyDescent="0.25">
      <c r="A2612">
        <v>104</v>
      </c>
      <c r="B2612">
        <v>0</v>
      </c>
      <c r="C2612">
        <v>12.3161730851584</v>
      </c>
      <c r="D2612">
        <v>12.6313505767931</v>
      </c>
      <c r="E2612">
        <v>6</v>
      </c>
      <c r="F2612">
        <v>1.01722196789785</v>
      </c>
      <c r="G2612" t="s">
        <v>84</v>
      </c>
      <c r="H2612" t="s">
        <v>84</v>
      </c>
      <c r="I2612">
        <v>81</v>
      </c>
      <c r="J2612">
        <v>807</v>
      </c>
      <c r="K2612">
        <v>0</v>
      </c>
    </row>
    <row r="2613" spans="1:11" x14ac:dyDescent="0.25">
      <c r="A2613" t="s">
        <v>85</v>
      </c>
    </row>
    <row r="2614" spans="1:11" x14ac:dyDescent="0.25">
      <c r="A2614">
        <v>9.2107256647294005</v>
      </c>
      <c r="B2614">
        <v>71.614621663282193</v>
      </c>
      <c r="C2614">
        <v>2000</v>
      </c>
    </row>
    <row r="2615" spans="1:11" x14ac:dyDescent="0.25">
      <c r="A2615">
        <v>0.50187615794664098</v>
      </c>
      <c r="B2615">
        <v>62.905772156499403</v>
      </c>
      <c r="C2615">
        <v>2000</v>
      </c>
    </row>
    <row r="2616" spans="1:11" x14ac:dyDescent="0.25">
      <c r="A2616">
        <v>0.93889218239546202</v>
      </c>
      <c r="B2616">
        <v>62.468756132050601</v>
      </c>
      <c r="C2616">
        <v>2001</v>
      </c>
    </row>
    <row r="2617" spans="1:11" x14ac:dyDescent="0.25">
      <c r="A2617">
        <v>9.6477416891782202</v>
      </c>
      <c r="B2617">
        <v>71.177605638833299</v>
      </c>
      <c r="C2617">
        <v>2001</v>
      </c>
    </row>
    <row r="2618" spans="1:11" x14ac:dyDescent="0.25">
      <c r="A2618">
        <v>18.5794553375733</v>
      </c>
      <c r="B2618">
        <v>80.109319287228402</v>
      </c>
      <c r="C2618">
        <v>2001</v>
      </c>
    </row>
    <row r="2619" spans="1:11" x14ac:dyDescent="0.25">
      <c r="A2619">
        <v>18.142439313124399</v>
      </c>
      <c r="B2619">
        <v>80.546335311677197</v>
      </c>
      <c r="C2619">
        <v>2000</v>
      </c>
    </row>
    <row r="2620" spans="1:11" x14ac:dyDescent="0.25">
      <c r="A2620" t="s">
        <v>86</v>
      </c>
    </row>
    <row r="2621" spans="1:11" x14ac:dyDescent="0.25">
      <c r="A2621">
        <v>789</v>
      </c>
      <c r="B2621">
        <v>0</v>
      </c>
      <c r="C2621">
        <v>24.556410078074101</v>
      </c>
      <c r="D2621">
        <v>0.324742352207195</v>
      </c>
      <c r="E2621">
        <v>6</v>
      </c>
      <c r="F2621">
        <v>1.01722196789785</v>
      </c>
      <c r="G2621" t="s">
        <v>83</v>
      </c>
      <c r="H2621" t="s">
        <v>84</v>
      </c>
      <c r="I2621">
        <v>0</v>
      </c>
      <c r="J2621">
        <v>755</v>
      </c>
      <c r="K2621">
        <v>9.6564847345998198E-2</v>
      </c>
    </row>
    <row r="2622" spans="1:11" x14ac:dyDescent="0.25">
      <c r="A2622" t="s">
        <v>85</v>
      </c>
    </row>
    <row r="2623" spans="1:11" x14ac:dyDescent="0.25">
      <c r="A2623">
        <v>22.324285102201401</v>
      </c>
      <c r="B2623">
        <v>17.1483479855167</v>
      </c>
      <c r="C2623">
        <v>2000</v>
      </c>
    </row>
    <row r="2624" spans="1:11" x14ac:dyDescent="0.25">
      <c r="A2624">
        <v>5.1759371166847199</v>
      </c>
      <c r="B2624">
        <v>0</v>
      </c>
      <c r="C2624">
        <v>2000</v>
      </c>
    </row>
    <row r="2625" spans="1:11" x14ac:dyDescent="0.25">
      <c r="A2625">
        <v>4.3019050677870698</v>
      </c>
      <c r="B2625">
        <v>0</v>
      </c>
      <c r="C2625">
        <v>2001</v>
      </c>
    </row>
    <row r="2626" spans="1:11" x14ac:dyDescent="0.25">
      <c r="A2626">
        <v>21.881565257878101</v>
      </c>
      <c r="B2626">
        <v>17.579660190091101</v>
      </c>
      <c r="C2626">
        <v>2001</v>
      </c>
    </row>
    <row r="2627" spans="1:11" x14ac:dyDescent="0.25">
      <c r="A2627">
        <v>22.114044687199598</v>
      </c>
      <c r="B2627">
        <v>17.812139619412498</v>
      </c>
      <c r="C2627">
        <v>2001</v>
      </c>
    </row>
    <row r="2628" spans="1:11" x14ac:dyDescent="0.25">
      <c r="A2628">
        <v>22.5510607116484</v>
      </c>
      <c r="B2628">
        <v>17.3751235949637</v>
      </c>
      <c r="C2628">
        <v>2000</v>
      </c>
    </row>
    <row r="2629" spans="1:11" x14ac:dyDescent="0.25">
      <c r="A2629" t="s">
        <v>86</v>
      </c>
    </row>
    <row r="2630" spans="1:11" x14ac:dyDescent="0.25">
      <c r="A2630">
        <v>356</v>
      </c>
      <c r="B2630">
        <v>0</v>
      </c>
      <c r="C2630">
        <v>19.769014024953599</v>
      </c>
      <c r="D2630">
        <v>4.3724960889068898</v>
      </c>
      <c r="E2630">
        <v>8</v>
      </c>
      <c r="F2630">
        <v>1.01722196789785</v>
      </c>
      <c r="G2630" t="s">
        <v>84</v>
      </c>
      <c r="H2630" t="s">
        <v>84</v>
      </c>
      <c r="I2630">
        <v>785</v>
      </c>
      <c r="J2630">
        <v>438</v>
      </c>
      <c r="K2630">
        <v>0</v>
      </c>
    </row>
    <row r="2631" spans="1:11" x14ac:dyDescent="0.25">
      <c r="A2631" t="s">
        <v>85</v>
      </c>
    </row>
    <row r="2632" spans="1:11" x14ac:dyDescent="0.25">
      <c r="A2632">
        <v>60.2966750125806</v>
      </c>
      <c r="B2632">
        <v>96.290360408974806</v>
      </c>
      <c r="C2632">
        <v>2000</v>
      </c>
    </row>
    <row r="2633" spans="1:11" x14ac:dyDescent="0.25">
      <c r="A2633">
        <v>50.218508012224397</v>
      </c>
      <c r="B2633">
        <v>86.212193408618603</v>
      </c>
      <c r="C2633">
        <v>2000</v>
      </c>
    </row>
    <row r="2634" spans="1:11" x14ac:dyDescent="0.25">
      <c r="A2634">
        <v>46.317871138164001</v>
      </c>
      <c r="B2634">
        <v>82.311556534558207</v>
      </c>
      <c r="C2634">
        <v>2000</v>
      </c>
    </row>
    <row r="2635" spans="1:11" x14ac:dyDescent="0.25">
      <c r="A2635">
        <v>45.880855113715199</v>
      </c>
      <c r="B2635">
        <v>82.748572559007002</v>
      </c>
      <c r="C2635">
        <v>2001</v>
      </c>
    </row>
    <row r="2636" spans="1:11" x14ac:dyDescent="0.25">
      <c r="A2636">
        <v>49.781491987775603</v>
      </c>
      <c r="B2636">
        <v>86.649209433067398</v>
      </c>
      <c r="C2636">
        <v>2001</v>
      </c>
    </row>
    <row r="2637" spans="1:11" x14ac:dyDescent="0.25">
      <c r="A2637">
        <v>59.859658988131798</v>
      </c>
      <c r="B2637">
        <v>96.727376433423601</v>
      </c>
      <c r="C2637">
        <v>2001</v>
      </c>
    </row>
    <row r="2638" spans="1:11" x14ac:dyDescent="0.25">
      <c r="A2638">
        <v>62.9514806233095</v>
      </c>
      <c r="B2638">
        <v>99.819198068601295</v>
      </c>
      <c r="C2638">
        <v>2001</v>
      </c>
    </row>
    <row r="2639" spans="1:11" x14ac:dyDescent="0.25">
      <c r="A2639">
        <v>63.388496647758402</v>
      </c>
      <c r="B2639">
        <v>99.382182044152501</v>
      </c>
      <c r="C2639">
        <v>2000</v>
      </c>
    </row>
    <row r="2640" spans="1:11" x14ac:dyDescent="0.25">
      <c r="A2640" t="s">
        <v>86</v>
      </c>
    </row>
    <row r="2641" spans="1:11" x14ac:dyDescent="0.25">
      <c r="A2641">
        <v>357</v>
      </c>
      <c r="B2641">
        <v>0</v>
      </c>
      <c r="C2641">
        <v>2.8007141025914701</v>
      </c>
      <c r="D2641">
        <v>21.245286842636698</v>
      </c>
      <c r="E2641">
        <v>6</v>
      </c>
      <c r="F2641">
        <v>1.01722196789785</v>
      </c>
      <c r="G2641" t="s">
        <v>84</v>
      </c>
      <c r="H2641" t="s">
        <v>84</v>
      </c>
      <c r="I2641">
        <v>344</v>
      </c>
      <c r="J2641">
        <v>273</v>
      </c>
      <c r="K2641">
        <v>0</v>
      </c>
    </row>
    <row r="2642" spans="1:11" x14ac:dyDescent="0.25">
      <c r="A2642" t="s">
        <v>85</v>
      </c>
    </row>
    <row r="2643" spans="1:11" x14ac:dyDescent="0.25">
      <c r="A2643">
        <v>74.176899840210794</v>
      </c>
      <c r="B2643">
        <v>73.8831213591031</v>
      </c>
      <c r="C2643">
        <v>2000</v>
      </c>
    </row>
    <row r="2644" spans="1:11" x14ac:dyDescent="0.25">
      <c r="A2644">
        <v>72.196495906103607</v>
      </c>
      <c r="B2644">
        <v>71.902717424995899</v>
      </c>
      <c r="C2644">
        <v>2000</v>
      </c>
    </row>
    <row r="2645" spans="1:11" x14ac:dyDescent="0.25">
      <c r="A2645">
        <v>72.633511930552402</v>
      </c>
      <c r="B2645">
        <v>71.465701400547104</v>
      </c>
      <c r="C2645">
        <v>2001</v>
      </c>
    </row>
    <row r="2646" spans="1:11" x14ac:dyDescent="0.25">
      <c r="A2646">
        <v>74.613915864659603</v>
      </c>
      <c r="B2646">
        <v>73.446105334654305</v>
      </c>
      <c r="C2646">
        <v>2001</v>
      </c>
    </row>
    <row r="2647" spans="1:11" x14ac:dyDescent="0.25">
      <c r="A2647">
        <v>89.636602259341302</v>
      </c>
      <c r="B2647">
        <v>88.468791729336004</v>
      </c>
      <c r="C2647">
        <v>2001</v>
      </c>
    </row>
    <row r="2648" spans="1:11" x14ac:dyDescent="0.25">
      <c r="A2648">
        <v>89.199586234892493</v>
      </c>
      <c r="B2648">
        <v>88.905807753784899</v>
      </c>
      <c r="C2648">
        <v>2000</v>
      </c>
    </row>
    <row r="2649" spans="1:11" x14ac:dyDescent="0.25">
      <c r="A2649" t="s">
        <v>86</v>
      </c>
    </row>
    <row r="2650" spans="1:11" x14ac:dyDescent="0.25">
      <c r="A2650">
        <v>749</v>
      </c>
      <c r="B2650">
        <v>0</v>
      </c>
      <c r="C2650">
        <v>14.7406797171089</v>
      </c>
      <c r="D2650">
        <v>9.2567487762716496</v>
      </c>
      <c r="E2650">
        <v>6</v>
      </c>
      <c r="F2650">
        <v>1.01722196789785</v>
      </c>
      <c r="G2650" t="s">
        <v>83</v>
      </c>
      <c r="H2650" t="s">
        <v>84</v>
      </c>
      <c r="I2650">
        <v>0</v>
      </c>
      <c r="J2650">
        <v>729</v>
      </c>
      <c r="K2650">
        <v>9.4312854387899395E-2</v>
      </c>
    </row>
    <row r="2651" spans="1:11" x14ac:dyDescent="0.25">
      <c r="A2651" t="s">
        <v>85</v>
      </c>
    </row>
    <row r="2652" spans="1:11" x14ac:dyDescent="0.25">
      <c r="A2652">
        <v>90.242901713512396</v>
      </c>
      <c r="B2652">
        <v>10.2890136800261</v>
      </c>
      <c r="C2652">
        <v>2000</v>
      </c>
    </row>
    <row r="2653" spans="1:11" x14ac:dyDescent="0.25">
      <c r="A2653">
        <v>79.953888033486294</v>
      </c>
      <c r="B2653">
        <v>0</v>
      </c>
      <c r="C2653">
        <v>2000</v>
      </c>
    </row>
    <row r="2654" spans="1:11" x14ac:dyDescent="0.25">
      <c r="A2654">
        <v>79.079855984588605</v>
      </c>
      <c r="B2654">
        <v>0</v>
      </c>
      <c r="C2654">
        <v>2001</v>
      </c>
    </row>
    <row r="2655" spans="1:11" x14ac:dyDescent="0.25">
      <c r="A2655">
        <v>89.637311479095899</v>
      </c>
      <c r="B2655">
        <v>10.557455494507201</v>
      </c>
      <c r="C2655">
        <v>2001</v>
      </c>
    </row>
    <row r="2656" spans="1:11" x14ac:dyDescent="0.25">
      <c r="A2656">
        <v>96.267108415521705</v>
      </c>
      <c r="B2656">
        <v>17.1872524309331</v>
      </c>
      <c r="C2656">
        <v>2001</v>
      </c>
    </row>
    <row r="2657" spans="1:11" x14ac:dyDescent="0.25">
      <c r="A2657">
        <v>96.704124439970499</v>
      </c>
      <c r="B2657">
        <v>16.750236406484198</v>
      </c>
      <c r="C2657">
        <v>2000</v>
      </c>
    </row>
    <row r="2658" spans="1:11" x14ac:dyDescent="0.25">
      <c r="A2658" t="s">
        <v>86</v>
      </c>
    </row>
    <row r="2659" spans="1:11" x14ac:dyDescent="0.25">
      <c r="A2659">
        <v>771</v>
      </c>
      <c r="B2659">
        <v>0</v>
      </c>
      <c r="C2659">
        <v>22.928607104097502</v>
      </c>
      <c r="D2659">
        <v>0.58252287450581297</v>
      </c>
      <c r="E2659">
        <v>8</v>
      </c>
      <c r="F2659">
        <v>1.01722196789785</v>
      </c>
      <c r="G2659" t="s">
        <v>84</v>
      </c>
      <c r="H2659" t="s">
        <v>84</v>
      </c>
      <c r="I2659">
        <v>817</v>
      </c>
      <c r="J2659">
        <v>347</v>
      </c>
      <c r="K2659">
        <v>9.5989877373728896E-2</v>
      </c>
    </row>
    <row r="2660" spans="1:11" x14ac:dyDescent="0.25">
      <c r="A2660" t="s">
        <v>85</v>
      </c>
    </row>
    <row r="2661" spans="1:11" x14ac:dyDescent="0.25">
      <c r="A2661">
        <v>63.338077730186498</v>
      </c>
      <c r="B2661">
        <v>90.363911042163906</v>
      </c>
      <c r="C2661">
        <v>2000</v>
      </c>
    </row>
    <row r="2662" spans="1:11" x14ac:dyDescent="0.25">
      <c r="A2662">
        <v>50.218508012224397</v>
      </c>
      <c r="B2662">
        <v>77.244341324201798</v>
      </c>
      <c r="C2662">
        <v>2000</v>
      </c>
    </row>
    <row r="2663" spans="1:11" x14ac:dyDescent="0.25">
      <c r="A2663">
        <v>47.125104163717097</v>
      </c>
      <c r="B2663">
        <v>74.150937475694505</v>
      </c>
      <c r="C2663">
        <v>2000</v>
      </c>
    </row>
    <row r="2664" spans="1:11" x14ac:dyDescent="0.25">
      <c r="A2664">
        <v>46.688088139268302</v>
      </c>
      <c r="B2664">
        <v>74.5879535001433</v>
      </c>
      <c r="C2664">
        <v>2001</v>
      </c>
    </row>
    <row r="2665" spans="1:11" x14ac:dyDescent="0.25">
      <c r="A2665">
        <v>49.781491987775603</v>
      </c>
      <c r="B2665">
        <v>77.681357348650593</v>
      </c>
      <c r="C2665">
        <v>2001</v>
      </c>
    </row>
    <row r="2666" spans="1:11" x14ac:dyDescent="0.25">
      <c r="A2666">
        <v>62.901061705737703</v>
      </c>
      <c r="B2666">
        <v>90.800927066612701</v>
      </c>
      <c r="C2666">
        <v>2001</v>
      </c>
    </row>
    <row r="2667" spans="1:11" x14ac:dyDescent="0.25">
      <c r="A2667">
        <v>63.312967580497002</v>
      </c>
      <c r="B2667">
        <v>91.212832941372</v>
      </c>
      <c r="C2667">
        <v>2001</v>
      </c>
    </row>
    <row r="2668" spans="1:11" x14ac:dyDescent="0.25">
      <c r="A2668">
        <v>63.749983604945797</v>
      </c>
      <c r="B2668">
        <v>90.775816916923205</v>
      </c>
      <c r="C2668">
        <v>2000</v>
      </c>
    </row>
    <row r="2669" spans="1:11" x14ac:dyDescent="0.25">
      <c r="A2669" t="s">
        <v>86</v>
      </c>
    </row>
    <row r="2670" spans="1:11" x14ac:dyDescent="0.25">
      <c r="A2670">
        <v>184</v>
      </c>
      <c r="B2670">
        <v>0</v>
      </c>
      <c r="C2670">
        <v>18.5925487258692</v>
      </c>
      <c r="D2670">
        <v>4.7688842292840103</v>
      </c>
      <c r="E2670">
        <v>6</v>
      </c>
      <c r="F2670">
        <v>1.01722196789785</v>
      </c>
      <c r="G2670" t="s">
        <v>83</v>
      </c>
      <c r="H2670" t="s">
        <v>84</v>
      </c>
      <c r="I2670">
        <v>0</v>
      </c>
      <c r="J2670">
        <v>768</v>
      </c>
      <c r="K2670">
        <v>0</v>
      </c>
    </row>
    <row r="2671" spans="1:11" x14ac:dyDescent="0.25">
      <c r="A2671" t="s">
        <v>85</v>
      </c>
    </row>
    <row r="2672" spans="1:11" x14ac:dyDescent="0.25">
      <c r="A2672">
        <v>12.9730143868045</v>
      </c>
      <c r="B2672">
        <v>121.224861957675</v>
      </c>
      <c r="C2672">
        <v>2000</v>
      </c>
    </row>
    <row r="2673" spans="1:11" x14ac:dyDescent="0.25">
      <c r="A2673">
        <v>0</v>
      </c>
      <c r="B2673">
        <v>108.25184757087</v>
      </c>
      <c r="C2673">
        <v>2000</v>
      </c>
    </row>
    <row r="2674" spans="1:11" x14ac:dyDescent="0.25">
      <c r="A2674">
        <v>0</v>
      </c>
      <c r="B2674">
        <v>107.37781552197301</v>
      </c>
      <c r="C2674">
        <v>2001</v>
      </c>
    </row>
    <row r="2675" spans="1:11" x14ac:dyDescent="0.25">
      <c r="A2675">
        <v>13.3208201804024</v>
      </c>
      <c r="B2675">
        <v>120.698635702375</v>
      </c>
      <c r="C2675">
        <v>2001</v>
      </c>
    </row>
    <row r="2676" spans="1:11" x14ac:dyDescent="0.25">
      <c r="A2676">
        <v>16.7375356730482</v>
      </c>
      <c r="B2676">
        <v>124.11535119502101</v>
      </c>
      <c r="C2676">
        <v>2001</v>
      </c>
    </row>
    <row r="2677" spans="1:11" x14ac:dyDescent="0.25">
      <c r="A2677">
        <v>16.300519648599298</v>
      </c>
      <c r="B2677">
        <v>124.55236721947</v>
      </c>
      <c r="C2677">
        <v>2000</v>
      </c>
    </row>
    <row r="2678" spans="1:11" x14ac:dyDescent="0.25">
      <c r="A2678" t="s">
        <v>86</v>
      </c>
    </row>
    <row r="2679" spans="1:11" x14ac:dyDescent="0.25">
      <c r="A2679">
        <v>34</v>
      </c>
      <c r="B2679">
        <v>0</v>
      </c>
      <c r="C2679">
        <v>22.664871764952199</v>
      </c>
      <c r="D2679">
        <v>0.33818373610278502</v>
      </c>
      <c r="E2679">
        <v>6</v>
      </c>
      <c r="F2679">
        <v>1.01722196789785</v>
      </c>
      <c r="G2679" t="s">
        <v>83</v>
      </c>
      <c r="H2679" t="s">
        <v>84</v>
      </c>
      <c r="I2679">
        <v>0</v>
      </c>
      <c r="J2679">
        <v>25</v>
      </c>
      <c r="K2679">
        <v>0</v>
      </c>
    </row>
    <row r="2680" spans="1:11" x14ac:dyDescent="0.25">
      <c r="A2680" t="s">
        <v>85</v>
      </c>
    </row>
    <row r="2681" spans="1:11" x14ac:dyDescent="0.25">
      <c r="A2681">
        <v>15.811188944033301</v>
      </c>
      <c r="B2681">
        <v>19.723282257394299</v>
      </c>
      <c r="C2681">
        <v>2000</v>
      </c>
    </row>
    <row r="2682" spans="1:11" x14ac:dyDescent="0.25">
      <c r="A2682">
        <v>0</v>
      </c>
      <c r="B2682">
        <v>3.9120933133610101</v>
      </c>
      <c r="C2682">
        <v>2000</v>
      </c>
    </row>
    <row r="2683" spans="1:11" x14ac:dyDescent="0.25">
      <c r="A2683">
        <v>0</v>
      </c>
      <c r="B2683">
        <v>3.0380612644633702</v>
      </c>
      <c r="C2683">
        <v>2001</v>
      </c>
    </row>
    <row r="2684" spans="1:11" x14ac:dyDescent="0.25">
      <c r="A2684">
        <v>16.241780095409201</v>
      </c>
      <c r="B2684">
        <v>19.279841359872499</v>
      </c>
      <c r="C2684">
        <v>2001</v>
      </c>
    </row>
    <row r="2685" spans="1:11" x14ac:dyDescent="0.25">
      <c r="A2685">
        <v>16.484124545030902</v>
      </c>
      <c r="B2685">
        <v>19.522185809494299</v>
      </c>
      <c r="C2685">
        <v>2001</v>
      </c>
    </row>
    <row r="2686" spans="1:11" x14ac:dyDescent="0.25">
      <c r="A2686">
        <v>16.0471085205821</v>
      </c>
      <c r="B2686">
        <v>19.959201833943101</v>
      </c>
      <c r="C2686">
        <v>2000</v>
      </c>
    </row>
    <row r="2687" spans="1:11" x14ac:dyDescent="0.25">
      <c r="A2687" t="s">
        <v>86</v>
      </c>
    </row>
    <row r="2688" spans="1:11" x14ac:dyDescent="0.25">
      <c r="A2688">
        <v>505</v>
      </c>
      <c r="B2688">
        <v>0</v>
      </c>
      <c r="C2688">
        <v>5.9658669549633503</v>
      </c>
      <c r="D2688">
        <v>16.608980036021201</v>
      </c>
      <c r="E2688">
        <v>6</v>
      </c>
      <c r="F2688">
        <v>1.01722196789785</v>
      </c>
      <c r="G2688" t="s">
        <v>84</v>
      </c>
      <c r="H2688" t="s">
        <v>83</v>
      </c>
      <c r="I2688">
        <v>503</v>
      </c>
      <c r="J2688">
        <v>0</v>
      </c>
      <c r="K2688">
        <v>0</v>
      </c>
    </row>
    <row r="2689" spans="1:11" x14ac:dyDescent="0.25">
      <c r="A2689" t="s">
        <v>85</v>
      </c>
    </row>
    <row r="2690" spans="1:11" x14ac:dyDescent="0.25">
      <c r="A2690">
        <v>138.09491480561601</v>
      </c>
      <c r="B2690">
        <v>19.063096499984599</v>
      </c>
      <c r="C2690">
        <v>2000</v>
      </c>
    </row>
    <row r="2691" spans="1:11" x14ac:dyDescent="0.25">
      <c r="A2691">
        <v>133.81866459620201</v>
      </c>
      <c r="B2691">
        <v>14.786846290570001</v>
      </c>
      <c r="C2691">
        <v>2000</v>
      </c>
    </row>
    <row r="2692" spans="1:11" x14ac:dyDescent="0.25">
      <c r="A2692">
        <v>134.25568062065099</v>
      </c>
      <c r="B2692">
        <v>14.3498302661212</v>
      </c>
      <c r="C2692">
        <v>2001</v>
      </c>
    </row>
    <row r="2693" spans="1:11" x14ac:dyDescent="0.25">
      <c r="A2693">
        <v>138.41644037025901</v>
      </c>
      <c r="B2693">
        <v>18.510590015729299</v>
      </c>
      <c r="C2693">
        <v>2001</v>
      </c>
    </row>
    <row r="2694" spans="1:11" x14ac:dyDescent="0.25">
      <c r="A2694">
        <v>150</v>
      </c>
      <c r="B2694">
        <v>30.094149645470701</v>
      </c>
      <c r="C2694">
        <v>2001</v>
      </c>
    </row>
    <row r="2695" spans="1:11" x14ac:dyDescent="0.25">
      <c r="A2695">
        <v>150</v>
      </c>
      <c r="B2695">
        <v>30.968181694368301</v>
      </c>
      <c r="C2695">
        <v>2000</v>
      </c>
    </row>
    <row r="2696" spans="1:11" x14ac:dyDescent="0.25">
      <c r="A2696" t="s">
        <v>86</v>
      </c>
    </row>
    <row r="2697" spans="1:11" x14ac:dyDescent="0.25">
      <c r="A2697">
        <v>731</v>
      </c>
      <c r="B2697">
        <v>0</v>
      </c>
      <c r="C2697">
        <v>15.532507245994299</v>
      </c>
      <c r="D2697">
        <v>6.5377071572398897</v>
      </c>
      <c r="E2697">
        <v>6</v>
      </c>
      <c r="F2697">
        <v>1.01722196789785</v>
      </c>
      <c r="G2697" t="s">
        <v>83</v>
      </c>
      <c r="H2697" t="s">
        <v>84</v>
      </c>
      <c r="I2697">
        <v>0</v>
      </c>
      <c r="J2697">
        <v>511</v>
      </c>
      <c r="K2697">
        <v>9.5111036399799301E-2</v>
      </c>
    </row>
    <row r="2698" spans="1:11" x14ac:dyDescent="0.25">
      <c r="A2698" t="s">
        <v>85</v>
      </c>
    </row>
    <row r="2699" spans="1:11" x14ac:dyDescent="0.25">
      <c r="A2699">
        <v>133.71102865599801</v>
      </c>
      <c r="B2699">
        <v>11.1369220956327</v>
      </c>
      <c r="C2699">
        <v>2000</v>
      </c>
    </row>
    <row r="2700" spans="1:11" x14ac:dyDescent="0.25">
      <c r="A2700">
        <v>122.574106560365</v>
      </c>
      <c r="B2700">
        <v>0</v>
      </c>
      <c r="C2700">
        <v>2000</v>
      </c>
    </row>
    <row r="2701" spans="1:11" x14ac:dyDescent="0.25">
      <c r="A2701">
        <v>123.448138609263</v>
      </c>
      <c r="B2701">
        <v>0</v>
      </c>
      <c r="C2701">
        <v>2001</v>
      </c>
    </row>
    <row r="2702" spans="1:11" x14ac:dyDescent="0.25">
      <c r="A2702">
        <v>134.277498918573</v>
      </c>
      <c r="B2702">
        <v>10.8293603093108</v>
      </c>
      <c r="C2702">
        <v>2001</v>
      </c>
    </row>
    <row r="2703" spans="1:11" x14ac:dyDescent="0.25">
      <c r="A2703">
        <v>138.83562886380599</v>
      </c>
      <c r="B2703">
        <v>15.387490254543501</v>
      </c>
      <c r="C2703">
        <v>2001</v>
      </c>
    </row>
    <row r="2704" spans="1:11" x14ac:dyDescent="0.25">
      <c r="A2704">
        <v>138.39861283935701</v>
      </c>
      <c r="B2704">
        <v>15.824506278992301</v>
      </c>
      <c r="C2704">
        <v>2000</v>
      </c>
    </row>
    <row r="2705" spans="1:11" x14ac:dyDescent="0.25">
      <c r="A2705" t="s">
        <v>86</v>
      </c>
    </row>
    <row r="2706" spans="1:11" x14ac:dyDescent="0.25">
      <c r="A2706">
        <v>264</v>
      </c>
      <c r="B2706">
        <v>0</v>
      </c>
      <c r="C2706">
        <v>17.2689319533572</v>
      </c>
      <c r="D2706">
        <v>4.7038453423912197</v>
      </c>
      <c r="E2706">
        <v>6</v>
      </c>
      <c r="F2706">
        <v>1.01722196789785</v>
      </c>
      <c r="G2706" t="s">
        <v>84</v>
      </c>
      <c r="H2706" t="s">
        <v>83</v>
      </c>
      <c r="I2706">
        <v>724</v>
      </c>
      <c r="J2706">
        <v>0</v>
      </c>
      <c r="K2706">
        <v>0</v>
      </c>
    </row>
    <row r="2707" spans="1:11" x14ac:dyDescent="0.25">
      <c r="A2707" t="s">
        <v>85</v>
      </c>
    </row>
    <row r="2708" spans="1:11" x14ac:dyDescent="0.25">
      <c r="A2708">
        <v>146.62710172887699</v>
      </c>
      <c r="B2708">
        <v>139.39727355034401</v>
      </c>
      <c r="C2708">
        <v>2000</v>
      </c>
    </row>
    <row r="2709" spans="1:11" x14ac:dyDescent="0.25">
      <c r="A2709">
        <v>134.24439216044999</v>
      </c>
      <c r="B2709">
        <v>127.01456398191699</v>
      </c>
      <c r="C2709">
        <v>2000</v>
      </c>
    </row>
    <row r="2710" spans="1:11" x14ac:dyDescent="0.25">
      <c r="A2710">
        <v>134.681408184899</v>
      </c>
      <c r="B2710">
        <v>126.577547957468</v>
      </c>
      <c r="C2710">
        <v>2001</v>
      </c>
    </row>
    <row r="2711" spans="1:11" x14ac:dyDescent="0.25">
      <c r="A2711">
        <v>146.72065639260799</v>
      </c>
      <c r="B2711">
        <v>138.61679616517799</v>
      </c>
      <c r="C2711">
        <v>2001</v>
      </c>
    </row>
    <row r="2712" spans="1:11" x14ac:dyDescent="0.25">
      <c r="A2712">
        <v>150</v>
      </c>
      <c r="B2712">
        <v>141.896139772569</v>
      </c>
      <c r="C2712">
        <v>2001</v>
      </c>
    </row>
    <row r="2713" spans="1:11" x14ac:dyDescent="0.25">
      <c r="A2713">
        <v>150</v>
      </c>
      <c r="B2713">
        <v>142.77017182146699</v>
      </c>
      <c r="C2713">
        <v>2000</v>
      </c>
    </row>
    <row r="2714" spans="1:11" x14ac:dyDescent="0.25">
      <c r="A2714" t="s">
        <v>86</v>
      </c>
    </row>
    <row r="2715" spans="1:11" x14ac:dyDescent="0.25">
      <c r="A2715">
        <v>23</v>
      </c>
      <c r="B2715">
        <v>0</v>
      </c>
      <c r="C2715">
        <v>10.545987649711201</v>
      </c>
      <c r="D2715">
        <v>11.252238926034201</v>
      </c>
      <c r="E2715">
        <v>6</v>
      </c>
      <c r="F2715">
        <v>1.01722196789785</v>
      </c>
      <c r="G2715" t="s">
        <v>83</v>
      </c>
      <c r="H2715" t="s">
        <v>84</v>
      </c>
      <c r="I2715">
        <v>0</v>
      </c>
      <c r="J2715">
        <v>35</v>
      </c>
      <c r="K2715">
        <v>0</v>
      </c>
    </row>
    <row r="2716" spans="1:11" x14ac:dyDescent="0.25">
      <c r="A2716" t="s">
        <v>85</v>
      </c>
    </row>
    <row r="2717" spans="1:11" x14ac:dyDescent="0.25">
      <c r="A2717">
        <v>7.5628536141940597</v>
      </c>
      <c r="B2717">
        <v>21.108722158830901</v>
      </c>
      <c r="C2717">
        <v>2000</v>
      </c>
    </row>
    <row r="2718" spans="1:11" x14ac:dyDescent="0.25">
      <c r="A2718">
        <v>0</v>
      </c>
      <c r="B2718">
        <v>13.5458685446368</v>
      </c>
      <c r="C2718">
        <v>2000</v>
      </c>
    </row>
    <row r="2719" spans="1:11" x14ac:dyDescent="0.25">
      <c r="A2719">
        <v>0</v>
      </c>
      <c r="B2719">
        <v>14.4199005935345</v>
      </c>
      <c r="C2719">
        <v>2001</v>
      </c>
    </row>
    <row r="2720" spans="1:11" x14ac:dyDescent="0.25">
      <c r="A2720">
        <v>7.3514251486467197</v>
      </c>
      <c r="B2720">
        <v>21.771325742181201</v>
      </c>
      <c r="C2720">
        <v>2001</v>
      </c>
    </row>
    <row r="2721" spans="1:11" x14ac:dyDescent="0.25">
      <c r="A2721">
        <v>15.195165817326</v>
      </c>
      <c r="B2721">
        <v>29.6150664108604</v>
      </c>
      <c r="C2721">
        <v>2001</v>
      </c>
    </row>
    <row r="2722" spans="1:11" x14ac:dyDescent="0.25">
      <c r="A2722">
        <v>15.6321818417748</v>
      </c>
      <c r="B2722">
        <v>29.178050386411599</v>
      </c>
      <c r="C2722">
        <v>2000</v>
      </c>
    </row>
    <row r="2723" spans="1:11" x14ac:dyDescent="0.25">
      <c r="A2723" t="s">
        <v>86</v>
      </c>
    </row>
    <row r="2724" spans="1:11" x14ac:dyDescent="0.25">
      <c r="A2724">
        <v>759</v>
      </c>
      <c r="B2724">
        <v>0</v>
      </c>
      <c r="C2724">
        <v>9.7483571669554703</v>
      </c>
      <c r="D2724">
        <v>11.9860027056151</v>
      </c>
      <c r="E2724">
        <v>6</v>
      </c>
      <c r="F2724">
        <v>1.01722196789785</v>
      </c>
      <c r="G2724" t="s">
        <v>84</v>
      </c>
      <c r="H2724" t="s">
        <v>84</v>
      </c>
      <c r="I2724">
        <v>21</v>
      </c>
      <c r="J2724">
        <v>673</v>
      </c>
      <c r="K2724">
        <v>9.5703858509913295E-2</v>
      </c>
    </row>
    <row r="2725" spans="1:11" x14ac:dyDescent="0.25">
      <c r="A2725" t="s">
        <v>85</v>
      </c>
    </row>
    <row r="2726" spans="1:11" x14ac:dyDescent="0.25">
      <c r="A2726">
        <v>36.796455967606398</v>
      </c>
      <c r="B2726">
        <v>27.209341791094701</v>
      </c>
      <c r="C2726">
        <v>2000</v>
      </c>
    </row>
    <row r="2727" spans="1:11" x14ac:dyDescent="0.25">
      <c r="A2727">
        <v>29.9033265094237</v>
      </c>
      <c r="B2727">
        <v>20.316212332911999</v>
      </c>
      <c r="C2727">
        <v>2000</v>
      </c>
    </row>
    <row r="2728" spans="1:11" x14ac:dyDescent="0.25">
      <c r="A2728">
        <v>29.466310484974901</v>
      </c>
      <c r="B2728">
        <v>20.7532283573609</v>
      </c>
      <c r="C2728">
        <v>2001</v>
      </c>
    </row>
    <row r="2729" spans="1:11" x14ac:dyDescent="0.25">
      <c r="A2729">
        <v>36.359439943157597</v>
      </c>
      <c r="B2729">
        <v>27.646357815543499</v>
      </c>
      <c r="C2729">
        <v>2001</v>
      </c>
    </row>
    <row r="2730" spans="1:11" x14ac:dyDescent="0.25">
      <c r="A2730">
        <v>44.834823735618301</v>
      </c>
      <c r="B2730">
        <v>36.121741608004299</v>
      </c>
      <c r="C2730">
        <v>2001</v>
      </c>
    </row>
    <row r="2731" spans="1:11" x14ac:dyDescent="0.25">
      <c r="A2731">
        <v>45.271839760067202</v>
      </c>
      <c r="B2731">
        <v>35.684725583555398</v>
      </c>
      <c r="C2731">
        <v>2000</v>
      </c>
    </row>
    <row r="2732" spans="1:11" x14ac:dyDescent="0.25">
      <c r="A2732" t="s">
        <v>86</v>
      </c>
    </row>
    <row r="2733" spans="1:11" x14ac:dyDescent="0.25">
      <c r="A2733">
        <v>854</v>
      </c>
      <c r="B2733">
        <v>0</v>
      </c>
      <c r="C2733">
        <v>12.2514458814279</v>
      </c>
      <c r="D2733">
        <v>9.4672279815612193</v>
      </c>
      <c r="E2733">
        <v>8</v>
      </c>
      <c r="F2733">
        <v>1.01722196789785</v>
      </c>
      <c r="G2733" t="s">
        <v>83</v>
      </c>
      <c r="H2733" t="s">
        <v>84</v>
      </c>
      <c r="I2733">
        <v>0</v>
      </c>
      <c r="J2733">
        <v>171</v>
      </c>
      <c r="K2733">
        <v>0.10154742324603699</v>
      </c>
    </row>
    <row r="2734" spans="1:11" x14ac:dyDescent="0.25">
      <c r="A2734" t="s">
        <v>85</v>
      </c>
    </row>
    <row r="2735" spans="1:11" x14ac:dyDescent="0.25">
      <c r="A2735">
        <v>8.7930767631685391</v>
      </c>
      <c r="B2735">
        <v>107.068323458921</v>
      </c>
      <c r="C2735">
        <v>2000</v>
      </c>
    </row>
    <row r="2736" spans="1:11" x14ac:dyDescent="0.25">
      <c r="A2736">
        <v>1.32021774843882</v>
      </c>
      <c r="B2736">
        <v>99.595464444191293</v>
      </c>
      <c r="C2736">
        <v>2000</v>
      </c>
    </row>
    <row r="2737" spans="1:11" x14ac:dyDescent="0.25">
      <c r="A2737">
        <v>0</v>
      </c>
      <c r="B2737">
        <v>98.2752466957525</v>
      </c>
      <c r="C2737">
        <v>2000</v>
      </c>
    </row>
    <row r="2738" spans="1:11" x14ac:dyDescent="0.25">
      <c r="A2738">
        <v>0</v>
      </c>
      <c r="B2738">
        <v>99.149278744650104</v>
      </c>
      <c r="C2738">
        <v>2001</v>
      </c>
    </row>
    <row r="2739" spans="1:11" x14ac:dyDescent="0.25">
      <c r="A2739">
        <v>1.25525681115856</v>
      </c>
      <c r="B2739">
        <v>100.40453555580901</v>
      </c>
      <c r="C2739">
        <v>2001</v>
      </c>
    </row>
    <row r="2740" spans="1:11" x14ac:dyDescent="0.25">
      <c r="A2740">
        <v>8.5330841610268102</v>
      </c>
      <c r="B2740">
        <v>107.682362905677</v>
      </c>
      <c r="C2740">
        <v>2001</v>
      </c>
    </row>
    <row r="2741" spans="1:11" x14ac:dyDescent="0.25">
      <c r="A2741">
        <v>15.1389135546742</v>
      </c>
      <c r="B2741">
        <v>114.288192299324</v>
      </c>
      <c r="C2741">
        <v>2001</v>
      </c>
    </row>
    <row r="2742" spans="1:11" x14ac:dyDescent="0.25">
      <c r="A2742">
        <v>15.5759295791231</v>
      </c>
      <c r="B2742">
        <v>113.851176274876</v>
      </c>
      <c r="C2742">
        <v>2000</v>
      </c>
    </row>
    <row r="2743" spans="1:11" x14ac:dyDescent="0.25">
      <c r="A2743" t="s">
        <v>86</v>
      </c>
    </row>
    <row r="2744" spans="1:11" x14ac:dyDescent="0.25">
      <c r="A2744">
        <v>776</v>
      </c>
      <c r="B2744">
        <v>0</v>
      </c>
      <c r="C2744">
        <v>20.085107272417499</v>
      </c>
      <c r="D2744">
        <v>1.6318778471278099</v>
      </c>
      <c r="E2744">
        <v>6</v>
      </c>
      <c r="F2744">
        <v>1.01722196789785</v>
      </c>
      <c r="G2744" t="s">
        <v>84</v>
      </c>
      <c r="H2744" t="s">
        <v>84</v>
      </c>
      <c r="I2744">
        <v>171</v>
      </c>
      <c r="J2744">
        <v>194</v>
      </c>
      <c r="K2744">
        <v>9.6278525939506795E-2</v>
      </c>
    </row>
    <row r="2745" spans="1:11" x14ac:dyDescent="0.25">
      <c r="A2745" t="s">
        <v>85</v>
      </c>
    </row>
    <row r="2746" spans="1:11" x14ac:dyDescent="0.25">
      <c r="A2746">
        <v>29.232504461539001</v>
      </c>
      <c r="B2746">
        <v>128.59923249883099</v>
      </c>
      <c r="C2746">
        <v>2000</v>
      </c>
    </row>
    <row r="2747" spans="1:11" x14ac:dyDescent="0.25">
      <c r="A2747">
        <v>15.030188908353299</v>
      </c>
      <c r="B2747">
        <v>114.396916945645</v>
      </c>
      <c r="C2747">
        <v>2000</v>
      </c>
    </row>
    <row r="2748" spans="1:11" x14ac:dyDescent="0.25">
      <c r="A2748">
        <v>15.467204932802201</v>
      </c>
      <c r="B2748">
        <v>113.959900921196</v>
      </c>
      <c r="C2748">
        <v>2001</v>
      </c>
    </row>
    <row r="2749" spans="1:11" x14ac:dyDescent="0.25">
      <c r="A2749">
        <v>29.669520485987899</v>
      </c>
      <c r="B2749">
        <v>128.16221647438201</v>
      </c>
      <c r="C2749">
        <v>2001</v>
      </c>
    </row>
    <row r="2750" spans="1:11" x14ac:dyDescent="0.25">
      <c r="A2750">
        <v>30.82343237776</v>
      </c>
      <c r="B2750">
        <v>129.316128366154</v>
      </c>
      <c r="C2750">
        <v>2001</v>
      </c>
    </row>
    <row r="2751" spans="1:11" x14ac:dyDescent="0.25">
      <c r="A2751">
        <v>30.386416353311201</v>
      </c>
      <c r="B2751">
        <v>129.75314439060301</v>
      </c>
      <c r="C2751">
        <v>2000</v>
      </c>
    </row>
    <row r="2752" spans="1:11" x14ac:dyDescent="0.25">
      <c r="A2752" t="s">
        <v>86</v>
      </c>
    </row>
    <row r="2753" spans="1:11" x14ac:dyDescent="0.25">
      <c r="A2753">
        <v>670</v>
      </c>
      <c r="B2753">
        <v>0</v>
      </c>
      <c r="C2753">
        <v>18.7212443583477</v>
      </c>
      <c r="D2753">
        <v>2.81422256741934</v>
      </c>
      <c r="E2753">
        <v>6</v>
      </c>
      <c r="F2753">
        <v>1.01722196789785</v>
      </c>
      <c r="G2753" t="s">
        <v>83</v>
      </c>
      <c r="H2753" t="s">
        <v>84</v>
      </c>
      <c r="I2753">
        <v>0</v>
      </c>
      <c r="J2753">
        <v>766</v>
      </c>
      <c r="K2753">
        <v>0</v>
      </c>
    </row>
    <row r="2754" spans="1:11" x14ac:dyDescent="0.25">
      <c r="A2754" t="s">
        <v>85</v>
      </c>
    </row>
    <row r="2755" spans="1:11" x14ac:dyDescent="0.25">
      <c r="A2755">
        <v>77.248273267007406</v>
      </c>
      <c r="B2755">
        <v>13.047965125624501</v>
      </c>
      <c r="C2755">
        <v>2000</v>
      </c>
    </row>
    <row r="2756" spans="1:11" x14ac:dyDescent="0.25">
      <c r="A2756">
        <v>64.200308141382905</v>
      </c>
      <c r="B2756">
        <v>0</v>
      </c>
      <c r="C2756">
        <v>2000</v>
      </c>
    </row>
    <row r="2757" spans="1:11" x14ac:dyDescent="0.25">
      <c r="A2757">
        <v>63.326276092485301</v>
      </c>
      <c r="B2757">
        <v>0</v>
      </c>
      <c r="C2757">
        <v>2001</v>
      </c>
    </row>
    <row r="2758" spans="1:11" x14ac:dyDescent="0.25">
      <c r="A2758">
        <v>76.754148642936997</v>
      </c>
      <c r="B2758">
        <v>13.427872550451699</v>
      </c>
      <c r="C2758">
        <v>2001</v>
      </c>
    </row>
    <row r="2759" spans="1:11" x14ac:dyDescent="0.25">
      <c r="A2759">
        <v>78.772658803938199</v>
      </c>
      <c r="B2759">
        <v>15.4463827114529</v>
      </c>
      <c r="C2759">
        <v>2001</v>
      </c>
    </row>
    <row r="2760" spans="1:11" x14ac:dyDescent="0.25">
      <c r="A2760">
        <v>79.209674828386994</v>
      </c>
      <c r="B2760">
        <v>15.0093666870041</v>
      </c>
      <c r="C2760">
        <v>2000</v>
      </c>
    </row>
    <row r="2761" spans="1:11" x14ac:dyDescent="0.25">
      <c r="A2761" t="s">
        <v>86</v>
      </c>
    </row>
    <row r="2762" spans="1:11" x14ac:dyDescent="0.25">
      <c r="A2762">
        <v>761</v>
      </c>
      <c r="B2762">
        <v>0</v>
      </c>
      <c r="C2762">
        <v>5.2588445643099497</v>
      </c>
      <c r="D2762">
        <v>16.244666757607799</v>
      </c>
      <c r="E2762">
        <v>8</v>
      </c>
      <c r="F2762">
        <v>1.01722196789785</v>
      </c>
      <c r="G2762" t="s">
        <v>84</v>
      </c>
      <c r="H2762" t="s">
        <v>84</v>
      </c>
      <c r="I2762">
        <v>826</v>
      </c>
      <c r="J2762">
        <v>600</v>
      </c>
      <c r="K2762">
        <v>9.5703858509913295E-2</v>
      </c>
    </row>
    <row r="2763" spans="1:11" x14ac:dyDescent="0.25">
      <c r="A2763" t="s">
        <v>85</v>
      </c>
    </row>
    <row r="2764" spans="1:11" x14ac:dyDescent="0.25">
      <c r="A2764">
        <v>124.041571079777</v>
      </c>
      <c r="B2764">
        <v>44.636921539263497</v>
      </c>
      <c r="C2764">
        <v>2000</v>
      </c>
    </row>
    <row r="2765" spans="1:11" x14ac:dyDescent="0.25">
      <c r="A2765">
        <v>120.323006427148</v>
      </c>
      <c r="B2765">
        <v>40.918356886633902</v>
      </c>
      <c r="C2765">
        <v>2000</v>
      </c>
    </row>
    <row r="2766" spans="1:11" x14ac:dyDescent="0.25">
      <c r="A2766">
        <v>120.760022451596</v>
      </c>
      <c r="B2766">
        <v>40.4813408621851</v>
      </c>
      <c r="C2766">
        <v>2001</v>
      </c>
    </row>
    <row r="2767" spans="1:11" x14ac:dyDescent="0.25">
      <c r="A2767">
        <v>124.47858710422599</v>
      </c>
      <c r="B2767">
        <v>44.199905514814603</v>
      </c>
      <c r="C2767">
        <v>2001</v>
      </c>
    </row>
    <row r="2768" spans="1:11" x14ac:dyDescent="0.25">
      <c r="A2768">
        <v>130.06017357718699</v>
      </c>
      <c r="B2768">
        <v>49.781491987775603</v>
      </c>
      <c r="C2768">
        <v>2001</v>
      </c>
    </row>
    <row r="2769" spans="1:11" x14ac:dyDescent="0.25">
      <c r="A2769">
        <v>135.96530112664601</v>
      </c>
      <c r="B2769">
        <v>55.686619537234797</v>
      </c>
      <c r="C2769">
        <v>2001</v>
      </c>
    </row>
    <row r="2770" spans="1:11" x14ac:dyDescent="0.25">
      <c r="A2770">
        <v>135.528285102197</v>
      </c>
      <c r="B2770">
        <v>56.123635561683599</v>
      </c>
      <c r="C2770">
        <v>2000</v>
      </c>
    </row>
    <row r="2771" spans="1:11" x14ac:dyDescent="0.25">
      <c r="A2771">
        <v>129.62315755273801</v>
      </c>
      <c r="B2771">
        <v>50.218508012224397</v>
      </c>
      <c r="C2771">
        <v>2000</v>
      </c>
    </row>
    <row r="2772" spans="1:11" x14ac:dyDescent="0.25">
      <c r="A2772" t="s">
        <v>86</v>
      </c>
    </row>
    <row r="2773" spans="1:11" x14ac:dyDescent="0.25">
      <c r="A2773">
        <v>852</v>
      </c>
      <c r="B2773">
        <v>0</v>
      </c>
      <c r="C2773">
        <v>12.9701987268864</v>
      </c>
      <c r="D2773">
        <v>8.3062823539034092</v>
      </c>
      <c r="E2773">
        <v>6</v>
      </c>
      <c r="F2773">
        <v>1.01722196789785</v>
      </c>
      <c r="G2773" t="s">
        <v>84</v>
      </c>
      <c r="H2773" t="s">
        <v>83</v>
      </c>
      <c r="I2773">
        <v>248</v>
      </c>
      <c r="J2773">
        <v>0</v>
      </c>
      <c r="K2773">
        <v>0.101176352290388</v>
      </c>
    </row>
    <row r="2774" spans="1:11" x14ac:dyDescent="0.25">
      <c r="A2774" t="s">
        <v>85</v>
      </c>
    </row>
    <row r="2775" spans="1:11" x14ac:dyDescent="0.25">
      <c r="A2775">
        <v>128.75809484726301</v>
      </c>
      <c r="B2775">
        <v>144.21187637539799</v>
      </c>
      <c r="C2775">
        <v>2000</v>
      </c>
    </row>
    <row r="2776" spans="1:11" x14ac:dyDescent="0.25">
      <c r="A2776">
        <v>119.71998243207599</v>
      </c>
      <c r="B2776">
        <v>135.17376396021101</v>
      </c>
      <c r="C2776">
        <v>2000</v>
      </c>
    </row>
    <row r="2777" spans="1:11" x14ac:dyDescent="0.25">
      <c r="A2777">
        <v>120.15699845652399</v>
      </c>
      <c r="B2777">
        <v>134.736747935762</v>
      </c>
      <c r="C2777">
        <v>2001</v>
      </c>
    </row>
    <row r="2778" spans="1:11" x14ac:dyDescent="0.25">
      <c r="A2778">
        <v>129.46151698757399</v>
      </c>
      <c r="B2778">
        <v>144.04126646681101</v>
      </c>
      <c r="C2778">
        <v>2001</v>
      </c>
    </row>
    <row r="2779" spans="1:11" x14ac:dyDescent="0.25">
      <c r="A2779">
        <v>135.42025052076301</v>
      </c>
      <c r="B2779">
        <v>150</v>
      </c>
      <c r="C2779">
        <v>2001</v>
      </c>
    </row>
    <row r="2780" spans="1:11" x14ac:dyDescent="0.25">
      <c r="A2780">
        <v>134.54621847186499</v>
      </c>
      <c r="B2780">
        <v>150</v>
      </c>
      <c r="C2780">
        <v>2000</v>
      </c>
    </row>
    <row r="2781" spans="1:11" x14ac:dyDescent="0.25">
      <c r="A2781" t="s">
        <v>86</v>
      </c>
    </row>
    <row r="2782" spans="1:11" x14ac:dyDescent="0.25">
      <c r="A2782">
        <v>783</v>
      </c>
      <c r="B2782">
        <v>0</v>
      </c>
      <c r="C2782">
        <v>17.519944970221601</v>
      </c>
      <c r="D2782">
        <v>3.6309846027771999</v>
      </c>
      <c r="E2782">
        <v>8</v>
      </c>
      <c r="F2782">
        <v>1.01722196789785</v>
      </c>
      <c r="G2782" t="s">
        <v>84</v>
      </c>
      <c r="H2782" t="s">
        <v>84</v>
      </c>
      <c r="I2782">
        <v>765</v>
      </c>
      <c r="J2782">
        <v>265</v>
      </c>
      <c r="K2782">
        <v>9.6278525939506795E-2</v>
      </c>
    </row>
    <row r="2783" spans="1:11" x14ac:dyDescent="0.25">
      <c r="A2783" t="s">
        <v>85</v>
      </c>
    </row>
    <row r="2784" spans="1:11" x14ac:dyDescent="0.25">
      <c r="A2784">
        <v>106.311204400063</v>
      </c>
      <c r="B2784">
        <v>123.68339289988999</v>
      </c>
      <c r="C2784">
        <v>2000</v>
      </c>
    </row>
    <row r="2785" spans="1:11" x14ac:dyDescent="0.25">
      <c r="A2785">
        <v>99.781491987775595</v>
      </c>
      <c r="B2785">
        <v>117.153680487603</v>
      </c>
      <c r="C2785">
        <v>2000</v>
      </c>
    </row>
    <row r="2786" spans="1:11" x14ac:dyDescent="0.25">
      <c r="A2786">
        <v>93.922732505604102</v>
      </c>
      <c r="B2786">
        <v>111.294921005432</v>
      </c>
      <c r="C2786">
        <v>2000</v>
      </c>
    </row>
    <row r="2787" spans="1:11" x14ac:dyDescent="0.25">
      <c r="A2787">
        <v>94.359748530052897</v>
      </c>
      <c r="B2787">
        <v>110.85790498098299</v>
      </c>
      <c r="C2787">
        <v>2001</v>
      </c>
    </row>
    <row r="2788" spans="1:11" x14ac:dyDescent="0.25">
      <c r="A2788">
        <v>100.21850801222401</v>
      </c>
      <c r="B2788">
        <v>116.716664463154</v>
      </c>
      <c r="C2788">
        <v>2001</v>
      </c>
    </row>
    <row r="2789" spans="1:11" x14ac:dyDescent="0.25">
      <c r="A2789">
        <v>106.748220424512</v>
      </c>
      <c r="B2789">
        <v>123.246376875442</v>
      </c>
      <c r="C2789">
        <v>2001</v>
      </c>
    </row>
    <row r="2790" spans="1:11" x14ac:dyDescent="0.25">
      <c r="A2790">
        <v>109.315714259519</v>
      </c>
      <c r="B2790">
        <v>125.813870710449</v>
      </c>
      <c r="C2790">
        <v>2001</v>
      </c>
    </row>
    <row r="2791" spans="1:11" x14ac:dyDescent="0.25">
      <c r="A2791">
        <v>108.878698235071</v>
      </c>
      <c r="B2791">
        <v>126.250886734898</v>
      </c>
      <c r="C2791">
        <v>2000</v>
      </c>
    </row>
    <row r="2792" spans="1:11" x14ac:dyDescent="0.25">
      <c r="A2792" t="s">
        <v>86</v>
      </c>
    </row>
    <row r="2793" spans="1:11" x14ac:dyDescent="0.25">
      <c r="A2793">
        <v>268</v>
      </c>
      <c r="B2793">
        <v>0</v>
      </c>
      <c r="C2793">
        <v>4.9897040249807096</v>
      </c>
      <c r="D2793">
        <v>15.7430170237512</v>
      </c>
      <c r="E2793">
        <v>8</v>
      </c>
      <c r="F2793">
        <v>1.01722196789785</v>
      </c>
      <c r="G2793" t="s">
        <v>84</v>
      </c>
      <c r="H2793" t="s">
        <v>83</v>
      </c>
      <c r="I2793">
        <v>598</v>
      </c>
      <c r="J2793">
        <v>0</v>
      </c>
      <c r="K2793">
        <v>0</v>
      </c>
    </row>
    <row r="2794" spans="1:11" x14ac:dyDescent="0.25">
      <c r="A2794" t="s">
        <v>85</v>
      </c>
    </row>
    <row r="2795" spans="1:11" x14ac:dyDescent="0.25">
      <c r="A2795">
        <v>139.047748237402</v>
      </c>
      <c r="B2795">
        <v>102.1436038791</v>
      </c>
      <c r="C2795">
        <v>2000</v>
      </c>
    </row>
    <row r="2796" spans="1:11" x14ac:dyDescent="0.25">
      <c r="A2796">
        <v>136.68563634607801</v>
      </c>
      <c r="B2796">
        <v>99.781491987775595</v>
      </c>
      <c r="C2796">
        <v>2000</v>
      </c>
    </row>
    <row r="2797" spans="1:11" x14ac:dyDescent="0.25">
      <c r="A2797">
        <v>135.55826036621701</v>
      </c>
      <c r="B2797">
        <v>98.654116007914993</v>
      </c>
      <c r="C2797">
        <v>2000</v>
      </c>
    </row>
    <row r="2798" spans="1:11" x14ac:dyDescent="0.25">
      <c r="A2798">
        <v>135.121244341768</v>
      </c>
      <c r="B2798">
        <v>99.091132032363802</v>
      </c>
      <c r="C2798">
        <v>2001</v>
      </c>
    </row>
    <row r="2799" spans="1:11" x14ac:dyDescent="0.25">
      <c r="A2799">
        <v>136.24862032162901</v>
      </c>
      <c r="B2799">
        <v>100.21850801222401</v>
      </c>
      <c r="C2799">
        <v>2001</v>
      </c>
    </row>
    <row r="2800" spans="1:11" x14ac:dyDescent="0.25">
      <c r="A2800">
        <v>138.68826357493799</v>
      </c>
      <c r="B2800">
        <v>102.658151265534</v>
      </c>
      <c r="C2800">
        <v>2001</v>
      </c>
    </row>
    <row r="2801" spans="1:11" x14ac:dyDescent="0.25">
      <c r="A2801">
        <v>150</v>
      </c>
      <c r="B2801">
        <v>113.969887690596</v>
      </c>
      <c r="C2801">
        <v>2001</v>
      </c>
    </row>
    <row r="2802" spans="1:11" x14ac:dyDescent="0.25">
      <c r="A2802">
        <v>150</v>
      </c>
      <c r="B2802">
        <v>113.09585564169799</v>
      </c>
      <c r="C2802">
        <v>2000</v>
      </c>
    </row>
    <row r="2803" spans="1:11" x14ac:dyDescent="0.25">
      <c r="A2803" t="s">
        <v>86</v>
      </c>
    </row>
    <row r="2804" spans="1:11" x14ac:dyDescent="0.25">
      <c r="A2804">
        <v>820</v>
      </c>
      <c r="B2804">
        <v>0</v>
      </c>
      <c r="C2804">
        <v>19.8112420391409</v>
      </c>
      <c r="D2804">
        <v>0.90307027101938797</v>
      </c>
      <c r="E2804">
        <v>8</v>
      </c>
      <c r="F2804">
        <v>1.01722196789785</v>
      </c>
      <c r="G2804" t="s">
        <v>83</v>
      </c>
      <c r="H2804" t="s">
        <v>84</v>
      </c>
      <c r="I2804">
        <v>0</v>
      </c>
      <c r="J2804">
        <v>189</v>
      </c>
      <c r="K2804">
        <v>9.7654513304302804E-2</v>
      </c>
    </row>
    <row r="2805" spans="1:11" x14ac:dyDescent="0.25">
      <c r="A2805" t="s">
        <v>85</v>
      </c>
    </row>
    <row r="2806" spans="1:11" x14ac:dyDescent="0.25">
      <c r="A2806">
        <v>13.799143285968899</v>
      </c>
      <c r="B2806">
        <v>106.127822478924</v>
      </c>
      <c r="C2806">
        <v>2000</v>
      </c>
    </row>
    <row r="2807" spans="1:11" x14ac:dyDescent="0.25">
      <c r="A2807">
        <v>7.9818624856600202</v>
      </c>
      <c r="B2807">
        <v>100.310541678615</v>
      </c>
      <c r="C2807">
        <v>2000</v>
      </c>
    </row>
    <row r="2808" spans="1:11" x14ac:dyDescent="0.25">
      <c r="A2808">
        <v>0</v>
      </c>
      <c r="B2808">
        <v>92.328679192955406</v>
      </c>
      <c r="C2808">
        <v>2000</v>
      </c>
    </row>
    <row r="2809" spans="1:11" x14ac:dyDescent="0.25">
      <c r="A2809">
        <v>0</v>
      </c>
      <c r="B2809">
        <v>91.454647144057702</v>
      </c>
      <c r="C2809">
        <v>2001</v>
      </c>
    </row>
    <row r="2810" spans="1:11" x14ac:dyDescent="0.25">
      <c r="A2810">
        <v>8.2348111773268506</v>
      </c>
      <c r="B2810">
        <v>99.689458321384606</v>
      </c>
      <c r="C2810">
        <v>2001</v>
      </c>
    </row>
    <row r="2811" spans="1:11" x14ac:dyDescent="0.25">
      <c r="A2811">
        <v>14.2181838932401</v>
      </c>
      <c r="B2811">
        <v>105.672831037298</v>
      </c>
      <c r="C2811">
        <v>2001</v>
      </c>
    </row>
    <row r="2812" spans="1:11" x14ac:dyDescent="0.25">
      <c r="A2812">
        <v>14.8657387143547</v>
      </c>
      <c r="B2812">
        <v>106.320385858412</v>
      </c>
      <c r="C2812">
        <v>2001</v>
      </c>
    </row>
    <row r="2813" spans="1:11" x14ac:dyDescent="0.25">
      <c r="A2813">
        <v>14.4287226899059</v>
      </c>
      <c r="B2813">
        <v>106.757401882861</v>
      </c>
      <c r="C2813">
        <v>2000</v>
      </c>
    </row>
    <row r="2814" spans="1:11" x14ac:dyDescent="0.25">
      <c r="A2814" t="s">
        <v>86</v>
      </c>
    </row>
    <row r="2815" spans="1:11" x14ac:dyDescent="0.25">
      <c r="A2815">
        <v>803</v>
      </c>
      <c r="B2815">
        <v>0</v>
      </c>
      <c r="C2815">
        <v>19.637475291242801</v>
      </c>
      <c r="D2815">
        <v>1.0569242547489499</v>
      </c>
      <c r="E2815">
        <v>6</v>
      </c>
      <c r="F2815">
        <v>1.01722196789785</v>
      </c>
      <c r="G2815" t="s">
        <v>83</v>
      </c>
      <c r="H2815" t="s">
        <v>84</v>
      </c>
      <c r="I2815">
        <v>0</v>
      </c>
      <c r="J2815">
        <v>678</v>
      </c>
      <c r="K2815">
        <v>9.7122043571393105E-2</v>
      </c>
    </row>
    <row r="2816" spans="1:11" x14ac:dyDescent="0.25">
      <c r="A2816" t="s">
        <v>85</v>
      </c>
    </row>
    <row r="2817" spans="1:11" x14ac:dyDescent="0.25">
      <c r="A2817">
        <v>87.966795402459297</v>
      </c>
      <c r="B2817">
        <v>13.678443782717901</v>
      </c>
      <c r="C2817">
        <v>2000</v>
      </c>
    </row>
    <row r="2818" spans="1:11" x14ac:dyDescent="0.25">
      <c r="A2818">
        <v>74.288351619741505</v>
      </c>
      <c r="B2818">
        <v>0</v>
      </c>
      <c r="C2818">
        <v>2000</v>
      </c>
    </row>
    <row r="2819" spans="1:11" x14ac:dyDescent="0.25">
      <c r="A2819">
        <v>73.414319570843801</v>
      </c>
      <c r="B2819">
        <v>0</v>
      </c>
      <c r="C2819">
        <v>2001</v>
      </c>
    </row>
    <row r="2820" spans="1:11" x14ac:dyDescent="0.25">
      <c r="A2820">
        <v>87.507459675768004</v>
      </c>
      <c r="B2820">
        <v>14.093140104924201</v>
      </c>
      <c r="C2820">
        <v>2001</v>
      </c>
    </row>
    <row r="2821" spans="1:11" x14ac:dyDescent="0.25">
      <c r="A2821">
        <v>88.265977834622802</v>
      </c>
      <c r="B2821">
        <v>14.851658263778999</v>
      </c>
      <c r="C2821">
        <v>2001</v>
      </c>
    </row>
    <row r="2822" spans="1:11" x14ac:dyDescent="0.25">
      <c r="A2822">
        <v>88.702993859071597</v>
      </c>
      <c r="B2822">
        <v>14.414642239330099</v>
      </c>
      <c r="C2822">
        <v>2000</v>
      </c>
    </row>
    <row r="2823" spans="1:11" x14ac:dyDescent="0.25">
      <c r="A2823" t="s">
        <v>86</v>
      </c>
    </row>
    <row r="2824" spans="1:11" x14ac:dyDescent="0.25">
      <c r="A2824">
        <v>261</v>
      </c>
      <c r="B2824">
        <v>0</v>
      </c>
      <c r="C2824">
        <v>16.554252047268999</v>
      </c>
      <c r="D2824">
        <v>3.8580545856177699</v>
      </c>
      <c r="E2824">
        <v>6</v>
      </c>
      <c r="F2824">
        <v>1.01722196789785</v>
      </c>
      <c r="G2824" t="s">
        <v>84</v>
      </c>
      <c r="H2824" t="s">
        <v>84</v>
      </c>
      <c r="I2824">
        <v>267</v>
      </c>
      <c r="J2824">
        <v>253</v>
      </c>
      <c r="K2824">
        <v>0</v>
      </c>
    </row>
    <row r="2825" spans="1:11" x14ac:dyDescent="0.25">
      <c r="A2825" t="s">
        <v>85</v>
      </c>
    </row>
    <row r="2826" spans="1:11" x14ac:dyDescent="0.25">
      <c r="A2826">
        <v>138.66355339096501</v>
      </c>
      <c r="B2826">
        <v>117.35004530071301</v>
      </c>
      <c r="C2826">
        <v>2000</v>
      </c>
    </row>
    <row r="2827" spans="1:11" x14ac:dyDescent="0.25">
      <c r="A2827">
        <v>126.95792951087</v>
      </c>
      <c r="B2827">
        <v>105.644421420618</v>
      </c>
      <c r="C2827">
        <v>2000</v>
      </c>
    </row>
    <row r="2828" spans="1:11" x14ac:dyDescent="0.25">
      <c r="A2828">
        <v>127.394945535319</v>
      </c>
      <c r="B2828">
        <v>105.20740539616899</v>
      </c>
      <c r="C2828">
        <v>2001</v>
      </c>
    </row>
    <row r="2829" spans="1:11" x14ac:dyDescent="0.25">
      <c r="A2829">
        <v>139.10056941541399</v>
      </c>
      <c r="B2829">
        <v>116.913029276264</v>
      </c>
      <c r="C2829">
        <v>2001</v>
      </c>
    </row>
    <row r="2830" spans="1:11" x14ac:dyDescent="0.25">
      <c r="A2830">
        <v>141.828625975092</v>
      </c>
      <c r="B2830">
        <v>119.64108583594199</v>
      </c>
      <c r="C2830">
        <v>2001</v>
      </c>
    </row>
    <row r="2831" spans="1:11" x14ac:dyDescent="0.25">
      <c r="A2831">
        <v>141.39160995064401</v>
      </c>
      <c r="B2831">
        <v>120.078101860391</v>
      </c>
      <c r="C2831">
        <v>2000</v>
      </c>
    </row>
    <row r="2832" spans="1:11" x14ac:dyDescent="0.25">
      <c r="A2832" t="s">
        <v>86</v>
      </c>
    </row>
    <row r="2833" spans="1:11" x14ac:dyDescent="0.25">
      <c r="A2833">
        <v>729</v>
      </c>
      <c r="B2833">
        <v>0</v>
      </c>
      <c r="C2833">
        <v>9.0288054659148997</v>
      </c>
      <c r="D2833">
        <v>11.196805797167301</v>
      </c>
      <c r="E2833">
        <v>8</v>
      </c>
      <c r="F2833">
        <v>1.01722196789785</v>
      </c>
      <c r="G2833" t="s">
        <v>84</v>
      </c>
      <c r="H2833" t="s">
        <v>84</v>
      </c>
      <c r="I2833">
        <v>749</v>
      </c>
      <c r="J2833">
        <v>777</v>
      </c>
      <c r="K2833">
        <v>9.4312854387899395E-2</v>
      </c>
    </row>
    <row r="2834" spans="1:11" x14ac:dyDescent="0.25">
      <c r="A2834" t="s">
        <v>85</v>
      </c>
    </row>
    <row r="2835" spans="1:11" x14ac:dyDescent="0.25">
      <c r="A2835">
        <v>103.045461983902</v>
      </c>
      <c r="B2835">
        <v>23.1775580044776</v>
      </c>
      <c r="C2835">
        <v>2000</v>
      </c>
    </row>
    <row r="2836" spans="1:11" x14ac:dyDescent="0.25">
      <c r="A2836">
        <v>100.21850801222401</v>
      </c>
      <c r="B2836">
        <v>20.350604032799701</v>
      </c>
      <c r="C2836">
        <v>2000</v>
      </c>
    </row>
    <row r="2837" spans="1:11" x14ac:dyDescent="0.25">
      <c r="A2837">
        <v>96.661132412939693</v>
      </c>
      <c r="B2837">
        <v>16.793228433515001</v>
      </c>
      <c r="C2837">
        <v>2000</v>
      </c>
    </row>
    <row r="2838" spans="1:11" x14ac:dyDescent="0.25">
      <c r="A2838">
        <v>96.224116388490899</v>
      </c>
      <c r="B2838">
        <v>17.230244457963799</v>
      </c>
      <c r="C2838">
        <v>2001</v>
      </c>
    </row>
    <row r="2839" spans="1:11" x14ac:dyDescent="0.25">
      <c r="A2839">
        <v>99.781491987775595</v>
      </c>
      <c r="B2839">
        <v>20.7876200572485</v>
      </c>
      <c r="C2839">
        <v>2001</v>
      </c>
    </row>
    <row r="2840" spans="1:11" x14ac:dyDescent="0.25">
      <c r="A2840">
        <v>102.60844595945299</v>
      </c>
      <c r="B2840">
        <v>23.614574028926398</v>
      </c>
      <c r="C2840">
        <v>2001</v>
      </c>
    </row>
    <row r="2841" spans="1:11" x14ac:dyDescent="0.25">
      <c r="A2841">
        <v>110.525783266259</v>
      </c>
      <c r="B2841">
        <v>31.5319113357323</v>
      </c>
      <c r="C2841">
        <v>2001</v>
      </c>
    </row>
    <row r="2842" spans="1:11" x14ac:dyDescent="0.25">
      <c r="A2842">
        <v>110.96279929070801</v>
      </c>
      <c r="B2842">
        <v>31.094895311283501</v>
      </c>
      <c r="C2842">
        <v>2000</v>
      </c>
    </row>
    <row r="2843" spans="1:11" x14ac:dyDescent="0.25">
      <c r="A2843" t="s">
        <v>86</v>
      </c>
    </row>
    <row r="2844" spans="1:11" x14ac:dyDescent="0.25">
      <c r="A2844">
        <v>38</v>
      </c>
      <c r="B2844">
        <v>0</v>
      </c>
      <c r="C2844">
        <v>2.8007141025914901</v>
      </c>
      <c r="D2844">
        <v>17.341782660462201</v>
      </c>
      <c r="E2844">
        <v>8</v>
      </c>
      <c r="F2844">
        <v>1.01722196789785</v>
      </c>
      <c r="G2844" t="s">
        <v>84</v>
      </c>
      <c r="H2844" t="s">
        <v>84</v>
      </c>
      <c r="I2844">
        <v>28</v>
      </c>
      <c r="J2844">
        <v>742</v>
      </c>
      <c r="K2844">
        <v>0</v>
      </c>
    </row>
    <row r="2845" spans="1:11" x14ac:dyDescent="0.25">
      <c r="A2845" t="s">
        <v>85</v>
      </c>
    </row>
    <row r="2846" spans="1:11" x14ac:dyDescent="0.25">
      <c r="A2846">
        <v>23.9675506325332</v>
      </c>
      <c r="B2846">
        <v>40.088200707956503</v>
      </c>
      <c r="C2846">
        <v>2000</v>
      </c>
    </row>
    <row r="2847" spans="1:11" x14ac:dyDescent="0.25">
      <c r="A2847">
        <v>21.987146698425999</v>
      </c>
      <c r="B2847">
        <v>38.107796773849302</v>
      </c>
      <c r="C2847">
        <v>2000</v>
      </c>
    </row>
    <row r="2848" spans="1:11" x14ac:dyDescent="0.25">
      <c r="A2848">
        <v>22.424162722874801</v>
      </c>
      <c r="B2848">
        <v>37.6707807494004</v>
      </c>
      <c r="C2848">
        <v>2001</v>
      </c>
    </row>
    <row r="2849" spans="1:11" x14ac:dyDescent="0.25">
      <c r="A2849">
        <v>24.404566656982102</v>
      </c>
      <c r="B2849">
        <v>39.651184683507701</v>
      </c>
      <c r="C2849">
        <v>2001</v>
      </c>
    </row>
    <row r="2850" spans="1:11" x14ac:dyDescent="0.25">
      <c r="A2850">
        <v>34.53487396125</v>
      </c>
      <c r="B2850">
        <v>49.781491987775603</v>
      </c>
      <c r="C2850">
        <v>2001</v>
      </c>
    </row>
    <row r="2851" spans="1:11" x14ac:dyDescent="0.25">
      <c r="A2851">
        <v>36.667058774058098</v>
      </c>
      <c r="B2851">
        <v>51.913676800583801</v>
      </c>
      <c r="C2851">
        <v>2001</v>
      </c>
    </row>
    <row r="2852" spans="1:11" x14ac:dyDescent="0.25">
      <c r="A2852">
        <v>36.230042749609296</v>
      </c>
      <c r="B2852">
        <v>52.350692825032603</v>
      </c>
      <c r="C2852">
        <v>2000</v>
      </c>
    </row>
    <row r="2853" spans="1:11" x14ac:dyDescent="0.25">
      <c r="A2853">
        <v>34.097857936801098</v>
      </c>
      <c r="B2853">
        <v>50.218508012224397</v>
      </c>
      <c r="C2853">
        <v>2000</v>
      </c>
    </row>
    <row r="2854" spans="1:11" x14ac:dyDescent="0.25">
      <c r="A2854" t="s">
        <v>86</v>
      </c>
    </row>
    <row r="2855" spans="1:11" x14ac:dyDescent="0.25">
      <c r="A2855">
        <v>503</v>
      </c>
      <c r="B2855">
        <v>0</v>
      </c>
      <c r="C2855">
        <v>13.934895720313699</v>
      </c>
      <c r="D2855">
        <v>6.2056092161813599</v>
      </c>
      <c r="E2855">
        <v>6</v>
      </c>
      <c r="F2855">
        <v>1.01722196789785</v>
      </c>
      <c r="G2855" t="s">
        <v>83</v>
      </c>
      <c r="H2855" t="s">
        <v>84</v>
      </c>
      <c r="I2855">
        <v>0</v>
      </c>
      <c r="J2855">
        <v>505</v>
      </c>
      <c r="K2855">
        <v>0</v>
      </c>
    </row>
    <row r="2856" spans="1:11" x14ac:dyDescent="0.25">
      <c r="A2856" t="s">
        <v>85</v>
      </c>
    </row>
    <row r="2857" spans="1:11" x14ac:dyDescent="0.25">
      <c r="A2857">
        <v>129.690161112819</v>
      </c>
      <c r="B2857">
        <v>10.004641484729699</v>
      </c>
      <c r="C2857">
        <v>2000</v>
      </c>
    </row>
    <row r="2858" spans="1:11" x14ac:dyDescent="0.25">
      <c r="A2858">
        <v>119.685519628089</v>
      </c>
      <c r="B2858">
        <v>0</v>
      </c>
      <c r="C2858">
        <v>2000</v>
      </c>
    </row>
    <row r="2859" spans="1:11" x14ac:dyDescent="0.25">
      <c r="A2859">
        <v>120.559551676987</v>
      </c>
      <c r="B2859">
        <v>0</v>
      </c>
      <c r="C2859">
        <v>2001</v>
      </c>
    </row>
    <row r="2860" spans="1:11" x14ac:dyDescent="0.25">
      <c r="A2860">
        <v>130.26182871018</v>
      </c>
      <c r="B2860">
        <v>9.7022770331927504</v>
      </c>
      <c r="C2860">
        <v>2001</v>
      </c>
    </row>
    <row r="2861" spans="1:11" x14ac:dyDescent="0.25">
      <c r="A2861">
        <v>134.582531281879</v>
      </c>
      <c r="B2861">
        <v>14.0229796048924</v>
      </c>
      <c r="C2861">
        <v>2001</v>
      </c>
    </row>
    <row r="2862" spans="1:11" x14ac:dyDescent="0.25">
      <c r="A2862">
        <v>134.14551525742999</v>
      </c>
      <c r="B2862">
        <v>14.459995629341201</v>
      </c>
      <c r="C2862">
        <v>2000</v>
      </c>
    </row>
    <row r="2863" spans="1:11" x14ac:dyDescent="0.25">
      <c r="A2863" t="s">
        <v>86</v>
      </c>
    </row>
    <row r="2864" spans="1:11" x14ac:dyDescent="0.25">
      <c r="A2864">
        <v>422</v>
      </c>
      <c r="B2864">
        <v>0</v>
      </c>
      <c r="C2864">
        <v>10.3982830937763</v>
      </c>
      <c r="D2864">
        <v>9.7372475820256899</v>
      </c>
      <c r="E2864">
        <v>8</v>
      </c>
      <c r="F2864">
        <v>1.01722196789785</v>
      </c>
      <c r="G2864" t="s">
        <v>84</v>
      </c>
      <c r="H2864" t="s">
        <v>84</v>
      </c>
      <c r="I2864">
        <v>762</v>
      </c>
      <c r="J2864">
        <v>436</v>
      </c>
      <c r="K2864">
        <v>0</v>
      </c>
    </row>
    <row r="2865" spans="1:11" x14ac:dyDescent="0.25">
      <c r="A2865" t="s">
        <v>85</v>
      </c>
    </row>
    <row r="2866" spans="1:11" x14ac:dyDescent="0.25">
      <c r="A2866">
        <v>53.162662666827899</v>
      </c>
      <c r="B2866">
        <v>108.12326499732799</v>
      </c>
      <c r="C2866">
        <v>2000</v>
      </c>
    </row>
    <row r="2867" spans="1:11" x14ac:dyDescent="0.25">
      <c r="A2867">
        <v>50.218508012224397</v>
      </c>
      <c r="B2867">
        <v>105.179110342725</v>
      </c>
      <c r="C2867">
        <v>2000</v>
      </c>
    </row>
    <row r="2868" spans="1:11" x14ac:dyDescent="0.25">
      <c r="A2868">
        <v>45.809966178521201</v>
      </c>
      <c r="B2868">
        <v>100.770568509021</v>
      </c>
      <c r="C2868">
        <v>2000</v>
      </c>
    </row>
    <row r="2869" spans="1:11" x14ac:dyDescent="0.25">
      <c r="A2869">
        <v>45.372950154072399</v>
      </c>
      <c r="B2869">
        <v>101.20758453347</v>
      </c>
      <c r="C2869">
        <v>2001</v>
      </c>
    </row>
    <row r="2870" spans="1:11" x14ac:dyDescent="0.25">
      <c r="A2870">
        <v>49.781491987775603</v>
      </c>
      <c r="B2870">
        <v>105.616126367173</v>
      </c>
      <c r="C2870">
        <v>2001</v>
      </c>
    </row>
    <row r="2871" spans="1:11" x14ac:dyDescent="0.25">
      <c r="A2871">
        <v>52.725646642379097</v>
      </c>
      <c r="B2871">
        <v>108.560281021777</v>
      </c>
      <c r="C2871">
        <v>2001</v>
      </c>
    </row>
    <row r="2872" spans="1:11" x14ac:dyDescent="0.25">
      <c r="A2872">
        <v>59.610920437721802</v>
      </c>
      <c r="B2872">
        <v>115.44555481712</v>
      </c>
      <c r="C2872">
        <v>2001</v>
      </c>
    </row>
    <row r="2873" spans="1:11" x14ac:dyDescent="0.25">
      <c r="A2873">
        <v>60.047936462170597</v>
      </c>
      <c r="B2873">
        <v>115.008538792671</v>
      </c>
      <c r="C2873">
        <v>2000</v>
      </c>
    </row>
    <row r="2874" spans="1:11" x14ac:dyDescent="0.25">
      <c r="A2874" t="s">
        <v>86</v>
      </c>
    </row>
    <row r="2875" spans="1:11" x14ac:dyDescent="0.25">
      <c r="A2875">
        <v>276</v>
      </c>
      <c r="B2875">
        <v>0</v>
      </c>
      <c r="C2875">
        <v>4.77826737495496</v>
      </c>
      <c r="D2875">
        <v>15.293651144277</v>
      </c>
      <c r="E2875">
        <v>6</v>
      </c>
      <c r="F2875">
        <v>1.01722196789785</v>
      </c>
      <c r="G2875" t="s">
        <v>84</v>
      </c>
      <c r="H2875" t="s">
        <v>83</v>
      </c>
      <c r="I2875">
        <v>346</v>
      </c>
      <c r="J2875">
        <v>0</v>
      </c>
      <c r="K2875">
        <v>0</v>
      </c>
    </row>
    <row r="2876" spans="1:11" x14ac:dyDescent="0.25">
      <c r="A2876" t="s">
        <v>85</v>
      </c>
    </row>
    <row r="2877" spans="1:11" x14ac:dyDescent="0.25">
      <c r="A2877">
        <v>130.05025632782201</v>
      </c>
      <c r="B2877">
        <v>139.35224614454901</v>
      </c>
      <c r="C2877">
        <v>2000</v>
      </c>
    </row>
    <row r="2878" spans="1:11" x14ac:dyDescent="0.25">
      <c r="A2878">
        <v>126.723528499125</v>
      </c>
      <c r="B2878">
        <v>136.025518315852</v>
      </c>
      <c r="C2878">
        <v>2000</v>
      </c>
    </row>
    <row r="2879" spans="1:11" x14ac:dyDescent="0.25">
      <c r="A2879">
        <v>127.160544523574</v>
      </c>
      <c r="B2879">
        <v>135.58850229140299</v>
      </c>
      <c r="C2879">
        <v>2001</v>
      </c>
    </row>
    <row r="2880" spans="1:11" x14ac:dyDescent="0.25">
      <c r="A2880">
        <v>130.591307221183</v>
      </c>
      <c r="B2880">
        <v>139.01926498901199</v>
      </c>
      <c r="C2880">
        <v>2001</v>
      </c>
    </row>
    <row r="2881" spans="1:11" x14ac:dyDescent="0.25">
      <c r="A2881">
        <v>141.57204223217099</v>
      </c>
      <c r="B2881">
        <v>150</v>
      </c>
      <c r="C2881">
        <v>2001</v>
      </c>
    </row>
    <row r="2882" spans="1:11" x14ac:dyDescent="0.25">
      <c r="A2882">
        <v>140.698010183273</v>
      </c>
      <c r="B2882">
        <v>150</v>
      </c>
      <c r="C2882">
        <v>2000</v>
      </c>
    </row>
    <row r="2883" spans="1:11" x14ac:dyDescent="0.25">
      <c r="A2883" t="s">
        <v>86</v>
      </c>
    </row>
    <row r="2884" spans="1:11" x14ac:dyDescent="0.25">
      <c r="A2884">
        <v>758</v>
      </c>
      <c r="B2884">
        <v>0</v>
      </c>
      <c r="C2884">
        <v>19.9760136288185</v>
      </c>
      <c r="D2884">
        <v>6.4447684138940503E-2</v>
      </c>
      <c r="E2884">
        <v>8</v>
      </c>
      <c r="F2884">
        <v>1.01722196789785</v>
      </c>
      <c r="G2884" t="s">
        <v>84</v>
      </c>
      <c r="H2884" t="s">
        <v>84</v>
      </c>
      <c r="I2884">
        <v>162</v>
      </c>
      <c r="J2884">
        <v>429</v>
      </c>
      <c r="K2884">
        <v>9.5703858509913295E-2</v>
      </c>
    </row>
    <row r="2885" spans="1:11" x14ac:dyDescent="0.25">
      <c r="A2885" t="s">
        <v>85</v>
      </c>
    </row>
    <row r="2886" spans="1:11" x14ac:dyDescent="0.25">
      <c r="A2886">
        <v>58.814607242497097</v>
      </c>
      <c r="B2886">
        <v>130.57162939691</v>
      </c>
      <c r="C2886">
        <v>2000</v>
      </c>
    </row>
    <row r="2887" spans="1:11" x14ac:dyDescent="0.25">
      <c r="A2887">
        <v>50.218508012224397</v>
      </c>
      <c r="B2887">
        <v>121.97553016663799</v>
      </c>
      <c r="C2887">
        <v>2000</v>
      </c>
    </row>
    <row r="2888" spans="1:11" x14ac:dyDescent="0.25">
      <c r="A2888">
        <v>44.689432544484603</v>
      </c>
      <c r="B2888">
        <v>116.44645469889799</v>
      </c>
      <c r="C2888">
        <v>2000</v>
      </c>
    </row>
    <row r="2889" spans="1:11" x14ac:dyDescent="0.25">
      <c r="A2889">
        <v>44.252416520035801</v>
      </c>
      <c r="B2889">
        <v>116.883470723347</v>
      </c>
      <c r="C2889">
        <v>2001</v>
      </c>
    </row>
    <row r="2890" spans="1:11" x14ac:dyDescent="0.25">
      <c r="A2890">
        <v>49.781491987775603</v>
      </c>
      <c r="B2890">
        <v>122.412546191087</v>
      </c>
      <c r="C2890">
        <v>2001</v>
      </c>
    </row>
    <row r="2891" spans="1:11" x14ac:dyDescent="0.25">
      <c r="A2891">
        <v>58.377591218048302</v>
      </c>
      <c r="B2891">
        <v>131.00864542135901</v>
      </c>
      <c r="C2891">
        <v>2001</v>
      </c>
    </row>
    <row r="2892" spans="1:11" x14ac:dyDescent="0.25">
      <c r="A2892">
        <v>58.423162612534703</v>
      </c>
      <c r="B2892">
        <v>131.05421681584599</v>
      </c>
      <c r="C2892">
        <v>2001</v>
      </c>
    </row>
    <row r="2893" spans="1:11" x14ac:dyDescent="0.25">
      <c r="A2893">
        <v>58.860178636983498</v>
      </c>
      <c r="B2893">
        <v>130.61720079139701</v>
      </c>
      <c r="C2893">
        <v>2000</v>
      </c>
    </row>
    <row r="2894" spans="1:11" x14ac:dyDescent="0.25">
      <c r="A2894" t="s">
        <v>86</v>
      </c>
    </row>
    <row r="2895" spans="1:11" x14ac:dyDescent="0.25">
      <c r="A2895">
        <v>263</v>
      </c>
      <c r="B2895">
        <v>0</v>
      </c>
      <c r="C2895">
        <v>8.2164030279394904</v>
      </c>
      <c r="D2895">
        <v>11.8120120220552</v>
      </c>
      <c r="E2895">
        <v>6</v>
      </c>
      <c r="F2895">
        <v>1.01722196789785</v>
      </c>
      <c r="G2895" t="s">
        <v>84</v>
      </c>
      <c r="H2895" t="s">
        <v>84</v>
      </c>
      <c r="I2895">
        <v>275</v>
      </c>
      <c r="J2895">
        <v>251</v>
      </c>
      <c r="K2895">
        <v>0</v>
      </c>
    </row>
    <row r="2896" spans="1:11" x14ac:dyDescent="0.25">
      <c r="A2896" t="s">
        <v>85</v>
      </c>
    </row>
    <row r="2897" spans="1:11" x14ac:dyDescent="0.25">
      <c r="A2897">
        <v>133.64159545937201</v>
      </c>
      <c r="B2897">
        <v>130.37805795780699</v>
      </c>
      <c r="C2897">
        <v>2000</v>
      </c>
    </row>
    <row r="2898" spans="1:11" x14ac:dyDescent="0.25">
      <c r="A2898">
        <v>127.831721161354</v>
      </c>
      <c r="B2898">
        <v>124.56818365978999</v>
      </c>
      <c r="C2898">
        <v>2000</v>
      </c>
    </row>
    <row r="2899" spans="1:11" x14ac:dyDescent="0.25">
      <c r="A2899">
        <v>127.394705136905</v>
      </c>
      <c r="B2899">
        <v>125.005199684239</v>
      </c>
      <c r="C2899">
        <v>2001</v>
      </c>
    </row>
    <row r="2900" spans="1:11" x14ac:dyDescent="0.25">
      <c r="A2900">
        <v>133.20457943492301</v>
      </c>
      <c r="B2900">
        <v>130.815073982256</v>
      </c>
      <c r="C2900">
        <v>2001</v>
      </c>
    </row>
    <row r="2901" spans="1:11" x14ac:dyDescent="0.25">
      <c r="A2901">
        <v>141.55693323517499</v>
      </c>
      <c r="B2901">
        <v>139.16742778250801</v>
      </c>
      <c r="C2901">
        <v>2001</v>
      </c>
    </row>
    <row r="2902" spans="1:11" x14ac:dyDescent="0.25">
      <c r="A2902">
        <v>141.993949259624</v>
      </c>
      <c r="B2902">
        <v>138.73041175806</v>
      </c>
      <c r="C2902">
        <v>2000</v>
      </c>
    </row>
    <row r="2903" spans="1:11" x14ac:dyDescent="0.25">
      <c r="A2903" t="s">
        <v>86</v>
      </c>
    </row>
    <row r="2904" spans="1:11" x14ac:dyDescent="0.25">
      <c r="A2904">
        <v>341</v>
      </c>
      <c r="B2904">
        <v>0</v>
      </c>
      <c r="C2904">
        <v>10.4990188049476</v>
      </c>
      <c r="D2904">
        <v>9.2714067066665802</v>
      </c>
      <c r="E2904">
        <v>6</v>
      </c>
      <c r="F2904">
        <v>1.01722196789785</v>
      </c>
      <c r="G2904" t="s">
        <v>84</v>
      </c>
      <c r="H2904" t="s">
        <v>84</v>
      </c>
      <c r="I2904">
        <v>358</v>
      </c>
      <c r="J2904">
        <v>798</v>
      </c>
      <c r="K2904">
        <v>0</v>
      </c>
    </row>
    <row r="2905" spans="1:11" x14ac:dyDescent="0.25">
      <c r="A2905" t="s">
        <v>85</v>
      </c>
    </row>
    <row r="2906" spans="1:11" x14ac:dyDescent="0.25">
      <c r="A2906">
        <v>85.3702274511474</v>
      </c>
      <c r="B2906">
        <v>86.034088346187204</v>
      </c>
      <c r="C2906">
        <v>2000</v>
      </c>
    </row>
    <row r="2907" spans="1:11" x14ac:dyDescent="0.25">
      <c r="A2907">
        <v>77.946300058363903</v>
      </c>
      <c r="B2907">
        <v>78.610160953403707</v>
      </c>
      <c r="C2907">
        <v>2000</v>
      </c>
    </row>
    <row r="2908" spans="1:11" x14ac:dyDescent="0.25">
      <c r="A2908">
        <v>78.383316082812698</v>
      </c>
      <c r="B2908">
        <v>78.173144928954898</v>
      </c>
      <c r="C2908">
        <v>2001</v>
      </c>
    </row>
    <row r="2909" spans="1:11" x14ac:dyDescent="0.25">
      <c r="A2909">
        <v>85.807243475596195</v>
      </c>
      <c r="B2909">
        <v>85.597072321738494</v>
      </c>
      <c r="C2909">
        <v>2001</v>
      </c>
    </row>
    <row r="2910" spans="1:11" x14ac:dyDescent="0.25">
      <c r="A2910">
        <v>92.363118029018594</v>
      </c>
      <c r="B2910">
        <v>92.152946875160794</v>
      </c>
      <c r="C2910">
        <v>2001</v>
      </c>
    </row>
    <row r="2911" spans="1:11" x14ac:dyDescent="0.25">
      <c r="A2911">
        <v>91.926102004569799</v>
      </c>
      <c r="B2911">
        <v>92.589962899609603</v>
      </c>
      <c r="C2911">
        <v>2000</v>
      </c>
    </row>
    <row r="2912" spans="1:11" x14ac:dyDescent="0.25">
      <c r="A2912" t="s">
        <v>86</v>
      </c>
    </row>
    <row r="2913" spans="1:11" x14ac:dyDescent="0.25">
      <c r="A2913">
        <v>35</v>
      </c>
      <c r="B2913">
        <v>0</v>
      </c>
      <c r="C2913">
        <v>11.559233489859899</v>
      </c>
      <c r="D2913">
        <v>7.9868968269588203</v>
      </c>
      <c r="E2913">
        <v>6</v>
      </c>
      <c r="F2913">
        <v>1.01722196789785</v>
      </c>
      <c r="G2913" t="s">
        <v>84</v>
      </c>
      <c r="H2913" t="s">
        <v>84</v>
      </c>
      <c r="I2913">
        <v>23</v>
      </c>
      <c r="J2913">
        <v>754</v>
      </c>
      <c r="K2913">
        <v>0</v>
      </c>
    </row>
    <row r="2914" spans="1:11" x14ac:dyDescent="0.25">
      <c r="A2914" t="s">
        <v>85</v>
      </c>
    </row>
    <row r="2915" spans="1:11" x14ac:dyDescent="0.25">
      <c r="A2915">
        <v>23.532255396964899</v>
      </c>
      <c r="B2915">
        <v>37.625201603218699</v>
      </c>
      <c r="C2915">
        <v>2000</v>
      </c>
    </row>
    <row r="2916" spans="1:11" x14ac:dyDescent="0.25">
      <c r="A2916">
        <v>15.358643010966301</v>
      </c>
      <c r="B2916">
        <v>29.4515892172201</v>
      </c>
      <c r="C2916">
        <v>2000</v>
      </c>
    </row>
    <row r="2917" spans="1:11" x14ac:dyDescent="0.25">
      <c r="A2917">
        <v>15.795659035415101</v>
      </c>
      <c r="B2917">
        <v>29.014573192771302</v>
      </c>
      <c r="C2917">
        <v>2001</v>
      </c>
    </row>
    <row r="2918" spans="1:11" x14ac:dyDescent="0.25">
      <c r="A2918">
        <v>23.969271421413701</v>
      </c>
      <c r="B2918">
        <v>37.188185578769897</v>
      </c>
      <c r="C2918">
        <v>2001</v>
      </c>
    </row>
    <row r="2919" spans="1:11" x14ac:dyDescent="0.25">
      <c r="A2919">
        <v>29.616860328393599</v>
      </c>
      <c r="B2919">
        <v>42.835774485749802</v>
      </c>
      <c r="C2919">
        <v>2001</v>
      </c>
    </row>
    <row r="2920" spans="1:11" x14ac:dyDescent="0.25">
      <c r="A2920">
        <v>29.179844303944801</v>
      </c>
      <c r="B2920">
        <v>43.272790510198597</v>
      </c>
      <c r="C2920">
        <v>2000</v>
      </c>
    </row>
    <row r="2921" spans="1:11" x14ac:dyDescent="0.25">
      <c r="A2921" t="s">
        <v>86</v>
      </c>
    </row>
    <row r="2922" spans="1:11" x14ac:dyDescent="0.25">
      <c r="A2922">
        <v>746</v>
      </c>
      <c r="B2922">
        <v>0</v>
      </c>
      <c r="C2922">
        <v>2.3290253299399799</v>
      </c>
      <c r="D2922">
        <v>17.147953984420301</v>
      </c>
      <c r="E2922">
        <v>6</v>
      </c>
      <c r="F2922">
        <v>1.01722196789785</v>
      </c>
      <c r="G2922" t="s">
        <v>84</v>
      </c>
      <c r="H2922" t="s">
        <v>84</v>
      </c>
      <c r="I2922">
        <v>273</v>
      </c>
      <c r="J2922">
        <v>258</v>
      </c>
      <c r="K2922">
        <v>9.4763910412348204E-2</v>
      </c>
    </row>
    <row r="2923" spans="1:11" x14ac:dyDescent="0.25">
      <c r="A2923" t="s">
        <v>85</v>
      </c>
    </row>
    <row r="2924" spans="1:11" x14ac:dyDescent="0.25">
      <c r="A2924">
        <v>116.805345266506</v>
      </c>
      <c r="B2924">
        <v>115.54606364739</v>
      </c>
      <c r="C2924">
        <v>2000</v>
      </c>
    </row>
    <row r="2925" spans="1:11" x14ac:dyDescent="0.25">
      <c r="A2925">
        <v>115.15847566215</v>
      </c>
      <c r="B2925">
        <v>113.899194043034</v>
      </c>
      <c r="C2925">
        <v>2000</v>
      </c>
    </row>
    <row r="2926" spans="1:11" x14ac:dyDescent="0.25">
      <c r="A2926">
        <v>115.595491686599</v>
      </c>
      <c r="B2926">
        <v>113.46217801858501</v>
      </c>
      <c r="C2926">
        <v>2001</v>
      </c>
    </row>
    <row r="2927" spans="1:11" x14ac:dyDescent="0.25">
      <c r="A2927">
        <v>117.24236129095399</v>
      </c>
      <c r="B2927">
        <v>115.10904762294101</v>
      </c>
      <c r="C2927">
        <v>2001</v>
      </c>
    </row>
    <row r="2928" spans="1:11" x14ac:dyDescent="0.25">
      <c r="A2928">
        <v>129.367795836813</v>
      </c>
      <c r="B2928">
        <v>127.234482168799</v>
      </c>
      <c r="C2928">
        <v>2001</v>
      </c>
    </row>
    <row r="2929" spans="1:11" x14ac:dyDescent="0.25">
      <c r="A2929">
        <v>128.93077981236399</v>
      </c>
      <c r="B2929">
        <v>127.671498193248</v>
      </c>
      <c r="C2929">
        <v>2000</v>
      </c>
    </row>
    <row r="2930" spans="1:11" x14ac:dyDescent="0.25">
      <c r="A2930" t="s">
        <v>86</v>
      </c>
    </row>
    <row r="2931" spans="1:11" x14ac:dyDescent="0.25">
      <c r="A2931">
        <v>805</v>
      </c>
      <c r="B2931">
        <v>0</v>
      </c>
      <c r="C2931">
        <v>15.4386283395894</v>
      </c>
      <c r="D2931">
        <v>4.0025834555366098</v>
      </c>
      <c r="E2931">
        <v>6</v>
      </c>
      <c r="F2931">
        <v>1.01722196789785</v>
      </c>
      <c r="G2931" t="s">
        <v>84</v>
      </c>
      <c r="H2931" t="s">
        <v>83</v>
      </c>
      <c r="I2931">
        <v>733</v>
      </c>
      <c r="J2931">
        <v>0</v>
      </c>
      <c r="K2931">
        <v>9.7122043571393105E-2</v>
      </c>
    </row>
    <row r="2932" spans="1:11" x14ac:dyDescent="0.25">
      <c r="A2932" t="s">
        <v>85</v>
      </c>
    </row>
    <row r="2933" spans="1:11" x14ac:dyDescent="0.25">
      <c r="A2933">
        <v>147.214732826774</v>
      </c>
      <c r="B2933">
        <v>91.953778671540505</v>
      </c>
      <c r="C2933">
        <v>2000</v>
      </c>
    </row>
    <row r="2934" spans="1:11" x14ac:dyDescent="0.25">
      <c r="A2934">
        <v>136.471495317407</v>
      </c>
      <c r="B2934">
        <v>81.210541162173399</v>
      </c>
      <c r="C2934">
        <v>2000</v>
      </c>
    </row>
    <row r="2935" spans="1:11" x14ac:dyDescent="0.25">
      <c r="A2935">
        <v>136.034479292958</v>
      </c>
      <c r="B2935">
        <v>81.647557186622194</v>
      </c>
      <c r="C2935">
        <v>2001</v>
      </c>
    </row>
    <row r="2936" spans="1:11" x14ac:dyDescent="0.25">
      <c r="A2936">
        <v>147.124759365876</v>
      </c>
      <c r="B2936">
        <v>92.737837259539901</v>
      </c>
      <c r="C2936">
        <v>2001</v>
      </c>
    </row>
    <row r="2937" spans="1:11" x14ac:dyDescent="0.25">
      <c r="A2937">
        <v>150</v>
      </c>
      <c r="B2937">
        <v>95.613077893664098</v>
      </c>
      <c r="C2937">
        <v>2001</v>
      </c>
    </row>
    <row r="2938" spans="1:11" x14ac:dyDescent="0.25">
      <c r="A2938">
        <v>150</v>
      </c>
      <c r="B2938">
        <v>94.739045844766395</v>
      </c>
      <c r="C2938">
        <v>2000</v>
      </c>
    </row>
    <row r="2939" spans="1:11" x14ac:dyDescent="0.25">
      <c r="A2939" t="s">
        <v>86</v>
      </c>
    </row>
    <row r="2940" spans="1:11" x14ac:dyDescent="0.25">
      <c r="A2940">
        <v>751</v>
      </c>
      <c r="B2940">
        <v>0</v>
      </c>
      <c r="C2940">
        <v>19.351961014768101</v>
      </c>
      <c r="D2940">
        <v>2.5877382926857699E-2</v>
      </c>
      <c r="E2940">
        <v>8</v>
      </c>
      <c r="F2940">
        <v>1.01722196789785</v>
      </c>
      <c r="G2940" t="s">
        <v>83</v>
      </c>
      <c r="H2940" t="s">
        <v>84</v>
      </c>
      <c r="I2940">
        <v>0</v>
      </c>
      <c r="J2940">
        <v>662</v>
      </c>
      <c r="K2940">
        <v>9.5111036399799301E-2</v>
      </c>
    </row>
    <row r="2941" spans="1:11" x14ac:dyDescent="0.25">
      <c r="A2941" t="s">
        <v>85</v>
      </c>
    </row>
    <row r="2942" spans="1:11" x14ac:dyDescent="0.25">
      <c r="A2942">
        <v>53.085463718153598</v>
      </c>
      <c r="B2942">
        <v>13.902120295925901</v>
      </c>
      <c r="C2942">
        <v>2000</v>
      </c>
    </row>
    <row r="2943" spans="1:11" x14ac:dyDescent="0.25">
      <c r="A2943">
        <v>49.7287286938272</v>
      </c>
      <c r="B2943">
        <v>10.5453852715994</v>
      </c>
      <c r="C2943">
        <v>2000</v>
      </c>
    </row>
    <row r="2944" spans="1:11" x14ac:dyDescent="0.25">
      <c r="A2944">
        <v>39.1833434222278</v>
      </c>
      <c r="B2944">
        <v>0</v>
      </c>
      <c r="C2944">
        <v>2000</v>
      </c>
    </row>
    <row r="2945" spans="1:11" x14ac:dyDescent="0.25">
      <c r="A2945">
        <v>40.057375471125397</v>
      </c>
      <c r="B2945">
        <v>0</v>
      </c>
      <c r="C2945">
        <v>2001</v>
      </c>
    </row>
    <row r="2946" spans="1:11" x14ac:dyDescent="0.25">
      <c r="A2946">
        <v>50.271271306172899</v>
      </c>
      <c r="B2946">
        <v>10.213895835047399</v>
      </c>
      <c r="C2946">
        <v>2001</v>
      </c>
    </row>
    <row r="2947" spans="1:11" x14ac:dyDescent="0.25">
      <c r="A2947">
        <v>53.523060900799997</v>
      </c>
      <c r="B2947">
        <v>13.4656854296746</v>
      </c>
      <c r="C2947">
        <v>2001</v>
      </c>
    </row>
    <row r="2948" spans="1:11" x14ac:dyDescent="0.25">
      <c r="A2948">
        <v>53.5410683946482</v>
      </c>
      <c r="B2948">
        <v>13.483692923522799</v>
      </c>
      <c r="C2948">
        <v>2001</v>
      </c>
    </row>
    <row r="2949" spans="1:11" x14ac:dyDescent="0.25">
      <c r="A2949">
        <v>53.104052370199398</v>
      </c>
      <c r="B2949">
        <v>13.920708947971599</v>
      </c>
      <c r="C2949">
        <v>2000</v>
      </c>
    </row>
    <row r="2950" spans="1:11" x14ac:dyDescent="0.25">
      <c r="A2950" t="s">
        <v>86</v>
      </c>
    </row>
    <row r="2951" spans="1:11" x14ac:dyDescent="0.25">
      <c r="A2951">
        <v>595</v>
      </c>
      <c r="B2951">
        <v>0</v>
      </c>
      <c r="C2951">
        <v>2.4813517493884398</v>
      </c>
      <c r="D2951">
        <v>16.1780965719398</v>
      </c>
      <c r="E2951">
        <v>6</v>
      </c>
      <c r="F2951">
        <v>1.01722196789785</v>
      </c>
      <c r="G2951" t="s">
        <v>84</v>
      </c>
      <c r="H2951" t="s">
        <v>84</v>
      </c>
      <c r="I2951">
        <v>580</v>
      </c>
      <c r="J2951">
        <v>811</v>
      </c>
      <c r="K2951">
        <v>0</v>
      </c>
    </row>
    <row r="2952" spans="1:11" x14ac:dyDescent="0.25">
      <c r="A2952" t="s">
        <v>85</v>
      </c>
    </row>
    <row r="2953" spans="1:11" x14ac:dyDescent="0.25">
      <c r="A2953">
        <v>123.721487485669</v>
      </c>
      <c r="B2953">
        <v>72.339135810895201</v>
      </c>
      <c r="C2953">
        <v>2000</v>
      </c>
    </row>
    <row r="2954" spans="1:11" x14ac:dyDescent="0.25">
      <c r="A2954">
        <v>121.966906837168</v>
      </c>
      <c r="B2954">
        <v>70.584555162393599</v>
      </c>
      <c r="C2954">
        <v>2000</v>
      </c>
    </row>
    <row r="2955" spans="1:11" x14ac:dyDescent="0.25">
      <c r="A2955">
        <v>121.529890812719</v>
      </c>
      <c r="B2955">
        <v>71.021571186842394</v>
      </c>
      <c r="C2955">
        <v>2001</v>
      </c>
    </row>
    <row r="2956" spans="1:11" x14ac:dyDescent="0.25">
      <c r="A2956">
        <v>123.284471461221</v>
      </c>
      <c r="B2956">
        <v>72.776151835343995</v>
      </c>
      <c r="C2956">
        <v>2001</v>
      </c>
    </row>
    <row r="2957" spans="1:11" x14ac:dyDescent="0.25">
      <c r="A2957">
        <v>134.72411325393</v>
      </c>
      <c r="B2957">
        <v>84.215793628053504</v>
      </c>
      <c r="C2957">
        <v>2001</v>
      </c>
    </row>
    <row r="2958" spans="1:11" x14ac:dyDescent="0.25">
      <c r="A2958">
        <v>135.16112927837901</v>
      </c>
      <c r="B2958">
        <v>83.778777603604695</v>
      </c>
      <c r="C2958">
        <v>2000</v>
      </c>
    </row>
    <row r="2959" spans="1:11" x14ac:dyDescent="0.25">
      <c r="A2959" t="s">
        <v>86</v>
      </c>
    </row>
    <row r="2960" spans="1:11" x14ac:dyDescent="0.25">
      <c r="A2960">
        <v>680</v>
      </c>
      <c r="B2960">
        <v>0</v>
      </c>
      <c r="C2960">
        <v>11.125486006999401</v>
      </c>
      <c r="D2960">
        <v>7.3009377161222799</v>
      </c>
      <c r="E2960">
        <v>6</v>
      </c>
      <c r="F2960">
        <v>1.01722196789785</v>
      </c>
      <c r="G2960" t="s">
        <v>83</v>
      </c>
      <c r="H2960" t="s">
        <v>84</v>
      </c>
      <c r="I2960">
        <v>0</v>
      </c>
      <c r="J2960">
        <v>665</v>
      </c>
      <c r="K2960">
        <v>0</v>
      </c>
    </row>
    <row r="2961" spans="1:11" x14ac:dyDescent="0.25">
      <c r="A2961" t="s">
        <v>85</v>
      </c>
    </row>
    <row r="2962" spans="1:11" x14ac:dyDescent="0.25">
      <c r="A2962">
        <v>69.293442802613498</v>
      </c>
      <c r="B2962">
        <v>7.9988371287108802</v>
      </c>
      <c r="C2962">
        <v>2000</v>
      </c>
    </row>
    <row r="2963" spans="1:11" x14ac:dyDescent="0.25">
      <c r="A2963">
        <v>61.294605673902602</v>
      </c>
      <c r="B2963">
        <v>0</v>
      </c>
      <c r="C2963">
        <v>2000</v>
      </c>
    </row>
    <row r="2964" spans="1:11" x14ac:dyDescent="0.25">
      <c r="A2964">
        <v>62.168637722800199</v>
      </c>
      <c r="B2964">
        <v>0</v>
      </c>
      <c r="C2964">
        <v>2001</v>
      </c>
    </row>
    <row r="2965" spans="1:11" x14ac:dyDescent="0.25">
      <c r="A2965">
        <v>69.90361379318</v>
      </c>
      <c r="B2965">
        <v>7.7349760703798003</v>
      </c>
      <c r="C2965">
        <v>2001</v>
      </c>
    </row>
    <row r="2966" spans="1:11" x14ac:dyDescent="0.25">
      <c r="A2966">
        <v>74.979578878211797</v>
      </c>
      <c r="B2966">
        <v>12.8109411554116</v>
      </c>
      <c r="C2966">
        <v>2001</v>
      </c>
    </row>
    <row r="2967" spans="1:11" x14ac:dyDescent="0.25">
      <c r="A2967">
        <v>74.542562853763002</v>
      </c>
      <c r="B2967">
        <v>13.2479571798604</v>
      </c>
      <c r="C2967">
        <v>2000</v>
      </c>
    </row>
    <row r="2968" spans="1:11" x14ac:dyDescent="0.25">
      <c r="A2968" t="s">
        <v>86</v>
      </c>
    </row>
    <row r="2969" spans="1:11" x14ac:dyDescent="0.25">
      <c r="A2969">
        <v>600</v>
      </c>
      <c r="B2969">
        <v>0</v>
      </c>
      <c r="C2969">
        <v>17.046529703465598</v>
      </c>
      <c r="D2969">
        <v>0.971464492091343</v>
      </c>
      <c r="E2969">
        <v>6</v>
      </c>
      <c r="F2969">
        <v>1.01722196789785</v>
      </c>
      <c r="G2969" t="s">
        <v>84</v>
      </c>
      <c r="H2969" t="s">
        <v>84</v>
      </c>
      <c r="I2969">
        <v>761</v>
      </c>
      <c r="J2969">
        <v>597</v>
      </c>
      <c r="K2969">
        <v>0</v>
      </c>
    </row>
    <row r="2970" spans="1:11" x14ac:dyDescent="0.25">
      <c r="A2970" t="s">
        <v>85</v>
      </c>
    </row>
    <row r="2971" spans="1:11" x14ac:dyDescent="0.25">
      <c r="A2971">
        <v>147.69658835403899</v>
      </c>
      <c r="B2971">
        <v>68.062765807878407</v>
      </c>
      <c r="C2971">
        <v>2000</v>
      </c>
    </row>
    <row r="2972" spans="1:11" x14ac:dyDescent="0.25">
      <c r="A2972">
        <v>135.64287160502101</v>
      </c>
      <c r="B2972">
        <v>56.009049058859901</v>
      </c>
      <c r="C2972">
        <v>2000</v>
      </c>
    </row>
    <row r="2973" spans="1:11" x14ac:dyDescent="0.25">
      <c r="A2973">
        <v>135.20585558057201</v>
      </c>
      <c r="B2973">
        <v>56.446065083308802</v>
      </c>
      <c r="C2973">
        <v>2001</v>
      </c>
    </row>
    <row r="2974" spans="1:11" x14ac:dyDescent="0.25">
      <c r="A2974">
        <v>147.25957232959101</v>
      </c>
      <c r="B2974">
        <v>68.499781832327201</v>
      </c>
      <c r="C2974">
        <v>2001</v>
      </c>
    </row>
    <row r="2975" spans="1:11" x14ac:dyDescent="0.25">
      <c r="A2975">
        <v>147.94650145963001</v>
      </c>
      <c r="B2975">
        <v>69.186710962366902</v>
      </c>
      <c r="C2975">
        <v>2001</v>
      </c>
    </row>
    <row r="2976" spans="1:11" x14ac:dyDescent="0.25">
      <c r="A2976">
        <v>148.38351748407899</v>
      </c>
      <c r="B2976">
        <v>68.749694937918093</v>
      </c>
      <c r="C2976">
        <v>2000</v>
      </c>
    </row>
    <row r="2977" spans="1:11" x14ac:dyDescent="0.25">
      <c r="A2977" t="s">
        <v>86</v>
      </c>
    </row>
    <row r="2978" spans="1:11" x14ac:dyDescent="0.25">
      <c r="A2978">
        <v>349</v>
      </c>
      <c r="B2978">
        <v>0</v>
      </c>
      <c r="C2978">
        <v>10.168667214452</v>
      </c>
      <c r="D2978">
        <v>7.2865524093523204</v>
      </c>
      <c r="E2978">
        <v>6</v>
      </c>
      <c r="F2978">
        <v>1.01722196789785</v>
      </c>
      <c r="G2978" t="s">
        <v>84</v>
      </c>
      <c r="H2978" t="s">
        <v>84</v>
      </c>
      <c r="I2978">
        <v>769</v>
      </c>
      <c r="J2978">
        <v>333</v>
      </c>
      <c r="K2978">
        <v>0</v>
      </c>
    </row>
    <row r="2979" spans="1:11" x14ac:dyDescent="0.25">
      <c r="A2979" t="s">
        <v>85</v>
      </c>
    </row>
    <row r="2980" spans="1:11" x14ac:dyDescent="0.25">
      <c r="A2980">
        <v>82.385656698782</v>
      </c>
      <c r="B2980">
        <v>62.295741613165198</v>
      </c>
      <c r="C2980">
        <v>2000</v>
      </c>
    </row>
    <row r="2981" spans="1:11" x14ac:dyDescent="0.25">
      <c r="A2981">
        <v>75.195323155813696</v>
      </c>
      <c r="B2981">
        <v>55.105408070196901</v>
      </c>
      <c r="C2981">
        <v>2000</v>
      </c>
    </row>
    <row r="2982" spans="1:11" x14ac:dyDescent="0.25">
      <c r="A2982">
        <v>74.758307131364901</v>
      </c>
      <c r="B2982">
        <v>55.542424094645703</v>
      </c>
      <c r="C2982">
        <v>2001</v>
      </c>
    </row>
    <row r="2983" spans="1:11" x14ac:dyDescent="0.25">
      <c r="A2983">
        <v>81.948640674333205</v>
      </c>
      <c r="B2983">
        <v>62.732757637614</v>
      </c>
      <c r="C2983">
        <v>2001</v>
      </c>
    </row>
    <row r="2984" spans="1:11" x14ac:dyDescent="0.25">
      <c r="A2984">
        <v>87.101011294457393</v>
      </c>
      <c r="B2984">
        <v>67.885128257738202</v>
      </c>
      <c r="C2984">
        <v>2001</v>
      </c>
    </row>
    <row r="2985" spans="1:11" x14ac:dyDescent="0.25">
      <c r="A2985">
        <v>87.538027318906202</v>
      </c>
      <c r="B2985">
        <v>67.448112233289393</v>
      </c>
      <c r="C2985">
        <v>2000</v>
      </c>
    </row>
    <row r="2986" spans="1:11" x14ac:dyDescent="0.25">
      <c r="A2986" t="s">
        <v>86</v>
      </c>
    </row>
    <row r="2987" spans="1:11" x14ac:dyDescent="0.25">
      <c r="A2987">
        <v>739</v>
      </c>
      <c r="B2987">
        <v>0</v>
      </c>
      <c r="C2987">
        <v>12.2398460973592</v>
      </c>
      <c r="D2987">
        <v>5.0683952660821801</v>
      </c>
      <c r="E2987">
        <v>6</v>
      </c>
      <c r="F2987">
        <v>1.01722196789785</v>
      </c>
      <c r="G2987" t="s">
        <v>84</v>
      </c>
      <c r="H2987" t="s">
        <v>83</v>
      </c>
      <c r="I2987">
        <v>172</v>
      </c>
      <c r="J2987">
        <v>0</v>
      </c>
      <c r="K2987">
        <v>9.5111036399799301E-2</v>
      </c>
    </row>
    <row r="2988" spans="1:11" x14ac:dyDescent="0.25">
      <c r="A2988" t="s">
        <v>85</v>
      </c>
    </row>
    <row r="2989" spans="1:11" x14ac:dyDescent="0.25">
      <c r="A2989">
        <v>42.6584591923733</v>
      </c>
      <c r="B2989">
        <v>146.35211734669701</v>
      </c>
      <c r="C2989">
        <v>2000</v>
      </c>
    </row>
    <row r="2990" spans="1:11" x14ac:dyDescent="0.25">
      <c r="A2990">
        <v>33.849058994948599</v>
      </c>
      <c r="B2990">
        <v>137.54271714927299</v>
      </c>
      <c r="C2990">
        <v>2000</v>
      </c>
    </row>
    <row r="2991" spans="1:11" x14ac:dyDescent="0.25">
      <c r="A2991">
        <v>33.412042970499797</v>
      </c>
      <c r="B2991">
        <v>137.979733173722</v>
      </c>
      <c r="C2991">
        <v>2001</v>
      </c>
    </row>
    <row r="2992" spans="1:11" x14ac:dyDescent="0.25">
      <c r="A2992">
        <v>41.912399125319901</v>
      </c>
      <c r="B2992">
        <v>146.48008932854199</v>
      </c>
      <c r="C2992">
        <v>2001</v>
      </c>
    </row>
    <row r="2993" spans="1:11" x14ac:dyDescent="0.25">
      <c r="A2993">
        <v>45.432309796778299</v>
      </c>
      <c r="B2993">
        <v>150</v>
      </c>
      <c r="C2993">
        <v>2001</v>
      </c>
    </row>
    <row r="2994" spans="1:11" x14ac:dyDescent="0.25">
      <c r="A2994">
        <v>46.306341845675902</v>
      </c>
      <c r="B2994">
        <v>150</v>
      </c>
      <c r="C2994">
        <v>2000</v>
      </c>
    </row>
    <row r="2995" spans="1:11" x14ac:dyDescent="0.25">
      <c r="A2995" t="s">
        <v>86</v>
      </c>
    </row>
    <row r="2996" spans="1:11" x14ac:dyDescent="0.25">
      <c r="A2996">
        <v>107</v>
      </c>
      <c r="B2996">
        <v>0</v>
      </c>
      <c r="C2996">
        <v>7.4039023077695304E-2</v>
      </c>
      <c r="D2996">
        <v>17.078272365423398</v>
      </c>
      <c r="E2996">
        <v>6</v>
      </c>
      <c r="F2996">
        <v>1.01722196789785</v>
      </c>
      <c r="G2996" t="s">
        <v>83</v>
      </c>
      <c r="H2996" t="s">
        <v>84</v>
      </c>
      <c r="I2996">
        <v>0</v>
      </c>
      <c r="J2996">
        <v>115</v>
      </c>
      <c r="K2996">
        <v>0</v>
      </c>
    </row>
    <row r="2997" spans="1:11" x14ac:dyDescent="0.25">
      <c r="A2997" t="s">
        <v>85</v>
      </c>
    </row>
    <row r="2998" spans="1:11" x14ac:dyDescent="0.25">
      <c r="A2998">
        <v>5.1410291812527403E-2</v>
      </c>
      <c r="B2998">
        <v>59.785555296913401</v>
      </c>
      <c r="C2998">
        <v>2000</v>
      </c>
    </row>
    <row r="2999" spans="1:11" x14ac:dyDescent="0.25">
      <c r="A2999">
        <v>0</v>
      </c>
      <c r="B2999">
        <v>59.734145005100899</v>
      </c>
      <c r="C2999">
        <v>2000</v>
      </c>
    </row>
    <row r="3000" spans="1:11" x14ac:dyDescent="0.25">
      <c r="A3000">
        <v>0</v>
      </c>
      <c r="B3000">
        <v>58.860112956203203</v>
      </c>
      <c r="C3000">
        <v>2001</v>
      </c>
    </row>
    <row r="3001" spans="1:11" x14ac:dyDescent="0.25">
      <c r="A3001">
        <v>5.3296698768803899E-2</v>
      </c>
      <c r="B3001">
        <v>58.913409654972</v>
      </c>
      <c r="C3001">
        <v>2001</v>
      </c>
    </row>
    <row r="3002" spans="1:11" x14ac:dyDescent="0.25">
      <c r="A3002">
        <v>12.347023708056801</v>
      </c>
      <c r="B3002">
        <v>71.207136664260005</v>
      </c>
      <c r="C3002">
        <v>2001</v>
      </c>
    </row>
    <row r="3003" spans="1:11" x14ac:dyDescent="0.25">
      <c r="A3003">
        <v>11.910007683608001</v>
      </c>
      <c r="B3003">
        <v>71.6441526887088</v>
      </c>
      <c r="C3003">
        <v>2000</v>
      </c>
    </row>
    <row r="3004" spans="1:11" x14ac:dyDescent="0.25">
      <c r="A3004" t="s">
        <v>86</v>
      </c>
    </row>
    <row r="3005" spans="1:11" x14ac:dyDescent="0.25">
      <c r="A3005">
        <v>506</v>
      </c>
      <c r="B3005">
        <v>0</v>
      </c>
      <c r="C3005">
        <v>6.4933153482649901</v>
      </c>
      <c r="D3005">
        <v>10.4990188049476</v>
      </c>
      <c r="E3005">
        <v>6</v>
      </c>
      <c r="F3005">
        <v>1.01722196789785</v>
      </c>
      <c r="G3005" t="s">
        <v>83</v>
      </c>
      <c r="H3005" t="s">
        <v>84</v>
      </c>
      <c r="I3005">
        <v>0</v>
      </c>
      <c r="J3005">
        <v>517</v>
      </c>
      <c r="K3005">
        <v>0</v>
      </c>
    </row>
    <row r="3006" spans="1:11" x14ac:dyDescent="0.25">
      <c r="A3006" t="s">
        <v>85</v>
      </c>
    </row>
    <row r="3007" spans="1:11" x14ac:dyDescent="0.25">
      <c r="A3007">
        <v>131.28555085149699</v>
      </c>
      <c r="B3007">
        <v>4.5079684022368101</v>
      </c>
      <c r="C3007">
        <v>2000</v>
      </c>
    </row>
    <row r="3008" spans="1:11" x14ac:dyDescent="0.25">
      <c r="A3008">
        <v>126.77758244926</v>
      </c>
      <c r="B3008">
        <v>0</v>
      </c>
      <c r="C3008">
        <v>2000</v>
      </c>
    </row>
    <row r="3009" spans="1:11" x14ac:dyDescent="0.25">
      <c r="A3009">
        <v>125.903550400363</v>
      </c>
      <c r="B3009">
        <v>0</v>
      </c>
      <c r="C3009">
        <v>2001</v>
      </c>
    </row>
    <row r="3010" spans="1:11" x14ac:dyDescent="0.25">
      <c r="A3010">
        <v>130.57851662840801</v>
      </c>
      <c r="B3010">
        <v>4.6749662280449096</v>
      </c>
      <c r="C3010">
        <v>2001</v>
      </c>
    </row>
    <row r="3011" spans="1:11" x14ac:dyDescent="0.25">
      <c r="A3011">
        <v>138.137453120511</v>
      </c>
      <c r="B3011">
        <v>12.2339027201488</v>
      </c>
      <c r="C3011">
        <v>2001</v>
      </c>
    </row>
    <row r="3012" spans="1:11" x14ac:dyDescent="0.25">
      <c r="A3012">
        <v>138.57446914496001</v>
      </c>
      <c r="B3012">
        <v>11.7968866957</v>
      </c>
      <c r="C3012">
        <v>2000</v>
      </c>
    </row>
    <row r="3013" spans="1:11" x14ac:dyDescent="0.25">
      <c r="A3013" t="s">
        <v>86</v>
      </c>
    </row>
    <row r="3014" spans="1:11" x14ac:dyDescent="0.25">
      <c r="A3014">
        <v>517</v>
      </c>
      <c r="B3014">
        <v>0</v>
      </c>
      <c r="C3014">
        <v>10.7391897928264</v>
      </c>
      <c r="D3014">
        <v>6.2174139447595396</v>
      </c>
      <c r="E3014">
        <v>6</v>
      </c>
      <c r="F3014">
        <v>1.01722196789785</v>
      </c>
      <c r="G3014" t="s">
        <v>84</v>
      </c>
      <c r="H3014" t="s">
        <v>83</v>
      </c>
      <c r="I3014">
        <v>506</v>
      </c>
      <c r="J3014">
        <v>0</v>
      </c>
      <c r="K3014">
        <v>0</v>
      </c>
    </row>
    <row r="3015" spans="1:11" x14ac:dyDescent="0.25">
      <c r="A3015" t="s">
        <v>85</v>
      </c>
    </row>
    <row r="3016" spans="1:11" x14ac:dyDescent="0.25">
      <c r="A3016">
        <v>145.68374394700899</v>
      </c>
      <c r="B3016">
        <v>19.598342740701199</v>
      </c>
      <c r="C3016">
        <v>2000</v>
      </c>
    </row>
    <row r="3017" spans="1:11" x14ac:dyDescent="0.25">
      <c r="A3017">
        <v>138.228378523484</v>
      </c>
      <c r="B3017">
        <v>12.142977317176101</v>
      </c>
      <c r="C3017">
        <v>2000</v>
      </c>
    </row>
    <row r="3018" spans="1:11" x14ac:dyDescent="0.25">
      <c r="A3018">
        <v>137.79136249903499</v>
      </c>
      <c r="B3018">
        <v>12.579993341624901</v>
      </c>
      <c r="C3018">
        <v>2001</v>
      </c>
    </row>
    <row r="3019" spans="1:11" x14ac:dyDescent="0.25">
      <c r="A3019">
        <v>145.52350492942401</v>
      </c>
      <c r="B3019">
        <v>20.312135772013701</v>
      </c>
      <c r="C3019">
        <v>2001</v>
      </c>
    </row>
    <row r="3020" spans="1:11" x14ac:dyDescent="0.25">
      <c r="A3020">
        <v>150</v>
      </c>
      <c r="B3020">
        <v>24.788630842589502</v>
      </c>
      <c r="C3020">
        <v>2001</v>
      </c>
    </row>
    <row r="3021" spans="1:11" x14ac:dyDescent="0.25">
      <c r="A3021">
        <v>150</v>
      </c>
      <c r="B3021">
        <v>23.914598793691798</v>
      </c>
      <c r="C3021">
        <v>2000</v>
      </c>
    </row>
    <row r="3022" spans="1:11" x14ac:dyDescent="0.25">
      <c r="A3022" t="s">
        <v>86</v>
      </c>
    </row>
    <row r="3023" spans="1:11" x14ac:dyDescent="0.25">
      <c r="A3023">
        <v>511</v>
      </c>
      <c r="B3023">
        <v>0</v>
      </c>
      <c r="C3023">
        <v>6.8636661119687803</v>
      </c>
      <c r="D3023">
        <v>8.9869793445620996</v>
      </c>
      <c r="E3023">
        <v>6</v>
      </c>
      <c r="F3023">
        <v>1.01722196789785</v>
      </c>
      <c r="G3023" t="s">
        <v>84</v>
      </c>
      <c r="H3023" t="s">
        <v>83</v>
      </c>
      <c r="I3023">
        <v>731</v>
      </c>
      <c r="J3023">
        <v>0</v>
      </c>
      <c r="K3023">
        <v>0</v>
      </c>
    </row>
    <row r="3024" spans="1:11" x14ac:dyDescent="0.25">
      <c r="A3024" t="s">
        <v>85</v>
      </c>
    </row>
    <row r="3025" spans="1:11" x14ac:dyDescent="0.25">
      <c r="A3025">
        <v>143.52135656072599</v>
      </c>
      <c r="B3025">
        <v>20.5976894805179</v>
      </c>
      <c r="C3025">
        <v>2000</v>
      </c>
    </row>
    <row r="3026" spans="1:11" x14ac:dyDescent="0.25">
      <c r="A3026">
        <v>138.573393099279</v>
      </c>
      <c r="B3026">
        <v>15.6497260190707</v>
      </c>
      <c r="C3026">
        <v>2000</v>
      </c>
    </row>
    <row r="3027" spans="1:11" x14ac:dyDescent="0.25">
      <c r="A3027">
        <v>139.01040912372801</v>
      </c>
      <c r="B3027">
        <v>15.2127099946219</v>
      </c>
      <c r="C3027">
        <v>2001</v>
      </c>
    </row>
    <row r="3028" spans="1:11" x14ac:dyDescent="0.25">
      <c r="A3028">
        <v>143.76913536542699</v>
      </c>
      <c r="B3028">
        <v>19.971436236321601</v>
      </c>
      <c r="C3028">
        <v>2001</v>
      </c>
    </row>
    <row r="3029" spans="1:11" x14ac:dyDescent="0.25">
      <c r="A3029">
        <v>150</v>
      </c>
      <c r="B3029">
        <v>26.202300870894199</v>
      </c>
      <c r="C3029">
        <v>2001</v>
      </c>
    </row>
    <row r="3030" spans="1:11" x14ac:dyDescent="0.25">
      <c r="A3030">
        <v>150</v>
      </c>
      <c r="B3030">
        <v>27.076332919791898</v>
      </c>
      <c r="C3030">
        <v>2000</v>
      </c>
    </row>
    <row r="3031" spans="1:11" x14ac:dyDescent="0.25">
      <c r="A3031" t="s">
        <v>86</v>
      </c>
    </row>
    <row r="3032" spans="1:11" x14ac:dyDescent="0.25">
      <c r="A3032">
        <v>514</v>
      </c>
      <c r="B3032">
        <v>0</v>
      </c>
      <c r="C3032">
        <v>0.96469870669129398</v>
      </c>
      <c r="D3032">
        <v>14.835831611267899</v>
      </c>
      <c r="E3032">
        <v>6</v>
      </c>
      <c r="F3032">
        <v>1.01722196789785</v>
      </c>
      <c r="G3032" t="s">
        <v>84</v>
      </c>
      <c r="H3032" t="s">
        <v>84</v>
      </c>
      <c r="I3032">
        <v>513</v>
      </c>
      <c r="J3032">
        <v>486</v>
      </c>
      <c r="K3032">
        <v>0</v>
      </c>
    </row>
    <row r="3033" spans="1:11" x14ac:dyDescent="0.25">
      <c r="A3033" t="s">
        <v>85</v>
      </c>
    </row>
    <row r="3034" spans="1:11" x14ac:dyDescent="0.25">
      <c r="A3034">
        <v>119.60604826994999</v>
      </c>
      <c r="B3034">
        <v>6.9655266427229696</v>
      </c>
      <c r="C3034">
        <v>2000</v>
      </c>
    </row>
    <row r="3035" spans="1:11" x14ac:dyDescent="0.25">
      <c r="A3035">
        <v>118.923903272646</v>
      </c>
      <c r="B3035">
        <v>6.2833816454196603</v>
      </c>
      <c r="C3035">
        <v>2000</v>
      </c>
    </row>
    <row r="3036" spans="1:11" x14ac:dyDescent="0.25">
      <c r="A3036">
        <v>119.36091929709499</v>
      </c>
      <c r="B3036">
        <v>5.8463656209708397</v>
      </c>
      <c r="C3036">
        <v>2001</v>
      </c>
    </row>
    <row r="3037" spans="1:11" x14ac:dyDescent="0.25">
      <c r="A3037">
        <v>120.043064294399</v>
      </c>
      <c r="B3037">
        <v>6.5285106182741401</v>
      </c>
      <c r="C3037">
        <v>2001</v>
      </c>
    </row>
    <row r="3038" spans="1:11" x14ac:dyDescent="0.25">
      <c r="A3038">
        <v>130.533581431268</v>
      </c>
      <c r="B3038">
        <v>17.019027755143401</v>
      </c>
      <c r="C3038">
        <v>2001</v>
      </c>
    </row>
    <row r="3039" spans="1:11" x14ac:dyDescent="0.25">
      <c r="A3039">
        <v>130.096565406819</v>
      </c>
      <c r="B3039">
        <v>17.4560437795922</v>
      </c>
      <c r="C3039">
        <v>2000</v>
      </c>
    </row>
    <row r="3040" spans="1:11" x14ac:dyDescent="0.25">
      <c r="A3040" t="s">
        <v>86</v>
      </c>
    </row>
    <row r="3041" spans="1:11" x14ac:dyDescent="0.25">
      <c r="A3041">
        <v>848</v>
      </c>
      <c r="B3041">
        <v>0</v>
      </c>
      <c r="C3041">
        <v>5.2631264985202497</v>
      </c>
      <c r="D3041">
        <v>10.4947018991578</v>
      </c>
      <c r="E3041">
        <v>6</v>
      </c>
      <c r="F3041">
        <v>1.01722196789785</v>
      </c>
      <c r="G3041" t="s">
        <v>84</v>
      </c>
      <c r="H3041" t="s">
        <v>84</v>
      </c>
      <c r="I3041">
        <v>829</v>
      </c>
      <c r="J3041">
        <v>580</v>
      </c>
      <c r="K3041">
        <v>0.100596010928532</v>
      </c>
    </row>
    <row r="3042" spans="1:11" x14ac:dyDescent="0.25">
      <c r="A3042" t="s">
        <v>85</v>
      </c>
    </row>
    <row r="3043" spans="1:11" x14ac:dyDescent="0.25">
      <c r="A3043">
        <v>114.841901638001</v>
      </c>
      <c r="B3043">
        <v>62.867810602708502</v>
      </c>
      <c r="C3043">
        <v>2000</v>
      </c>
    </row>
    <row r="3044" spans="1:11" x14ac:dyDescent="0.25">
      <c r="A3044">
        <v>111.120309200655</v>
      </c>
      <c r="B3044">
        <v>59.1462181653622</v>
      </c>
      <c r="C3044">
        <v>2000</v>
      </c>
    </row>
    <row r="3045" spans="1:11" x14ac:dyDescent="0.25">
      <c r="A3045">
        <v>110.68329317620601</v>
      </c>
      <c r="B3045">
        <v>59.583234189811002</v>
      </c>
      <c r="C3045">
        <v>2001</v>
      </c>
    </row>
    <row r="3046" spans="1:11" x14ac:dyDescent="0.25">
      <c r="A3046">
        <v>114.40488561355301</v>
      </c>
      <c r="B3046">
        <v>63.304826627157297</v>
      </c>
      <c r="C3046">
        <v>2001</v>
      </c>
    </row>
    <row r="3047" spans="1:11" x14ac:dyDescent="0.25">
      <c r="A3047">
        <v>121.82576049297801</v>
      </c>
      <c r="B3047">
        <v>70.725701506583107</v>
      </c>
      <c r="C3047">
        <v>2001</v>
      </c>
    </row>
    <row r="3048" spans="1:11" x14ac:dyDescent="0.25">
      <c r="A3048">
        <v>122.262776517427</v>
      </c>
      <c r="B3048">
        <v>70.288685482134298</v>
      </c>
      <c r="C3048">
        <v>2000</v>
      </c>
    </row>
    <row r="3049" spans="1:11" x14ac:dyDescent="0.25">
      <c r="A3049" t="s">
        <v>86</v>
      </c>
    </row>
    <row r="3050" spans="1:11" x14ac:dyDescent="0.25">
      <c r="A3050">
        <v>113</v>
      </c>
      <c r="B3050">
        <v>0</v>
      </c>
      <c r="C3050">
        <v>11.0588098572603</v>
      </c>
      <c r="D3050">
        <v>3.8845446372454</v>
      </c>
      <c r="E3050">
        <v>6</v>
      </c>
      <c r="F3050">
        <v>1.01722196789785</v>
      </c>
      <c r="G3050" t="s">
        <v>83</v>
      </c>
      <c r="H3050" t="s">
        <v>84</v>
      </c>
      <c r="I3050">
        <v>0</v>
      </c>
      <c r="J3050">
        <v>97</v>
      </c>
      <c r="K3050">
        <v>0</v>
      </c>
    </row>
    <row r="3051" spans="1:11" x14ac:dyDescent="0.25">
      <c r="A3051" t="s">
        <v>85</v>
      </c>
    </row>
    <row r="3052" spans="1:11" x14ac:dyDescent="0.25">
      <c r="A3052">
        <v>7.6580528746063798</v>
      </c>
      <c r="B3052">
        <v>83.639638203056094</v>
      </c>
      <c r="C3052">
        <v>2000</v>
      </c>
    </row>
    <row r="3053" spans="1:11" x14ac:dyDescent="0.25">
      <c r="A3053">
        <v>0</v>
      </c>
      <c r="B3053">
        <v>75.981585328449697</v>
      </c>
      <c r="C3053">
        <v>2000</v>
      </c>
    </row>
    <row r="3054" spans="1:11" x14ac:dyDescent="0.25">
      <c r="A3054">
        <v>0</v>
      </c>
      <c r="B3054">
        <v>75.107553279551993</v>
      </c>
      <c r="C3054">
        <v>2001</v>
      </c>
    </row>
    <row r="3055" spans="1:11" x14ac:dyDescent="0.25">
      <c r="A3055">
        <v>7.9814660092363798</v>
      </c>
      <c r="B3055">
        <v>83.089019288788407</v>
      </c>
      <c r="C3055">
        <v>2001</v>
      </c>
    </row>
    <row r="3056" spans="1:11" x14ac:dyDescent="0.25">
      <c r="A3056">
        <v>10.7850553089638</v>
      </c>
      <c r="B3056">
        <v>85.892608588515898</v>
      </c>
      <c r="C3056">
        <v>2001</v>
      </c>
    </row>
    <row r="3057" spans="1:11" x14ac:dyDescent="0.25">
      <c r="A3057">
        <v>10.348039284515</v>
      </c>
      <c r="B3057">
        <v>86.329624612964693</v>
      </c>
      <c r="C3057">
        <v>2000</v>
      </c>
    </row>
    <row r="3058" spans="1:11" x14ac:dyDescent="0.25">
      <c r="A3058" t="s">
        <v>86</v>
      </c>
    </row>
    <row r="3059" spans="1:11" x14ac:dyDescent="0.25">
      <c r="A3059">
        <v>591</v>
      </c>
      <c r="B3059">
        <v>0</v>
      </c>
      <c r="C3059">
        <v>14.7597282561337</v>
      </c>
      <c r="D3059">
        <v>5.18014402942413E-3</v>
      </c>
      <c r="E3059">
        <v>6</v>
      </c>
      <c r="F3059">
        <v>1.01722196789785</v>
      </c>
      <c r="G3059" t="s">
        <v>84</v>
      </c>
      <c r="H3059" t="s">
        <v>84</v>
      </c>
      <c r="I3059">
        <v>811</v>
      </c>
      <c r="J3059">
        <v>734</v>
      </c>
      <c r="K3059">
        <v>0</v>
      </c>
    </row>
    <row r="3060" spans="1:11" x14ac:dyDescent="0.25">
      <c r="A3060" t="s">
        <v>85</v>
      </c>
    </row>
    <row r="3061" spans="1:11" x14ac:dyDescent="0.25">
      <c r="A3061">
        <v>148.36947645078399</v>
      </c>
      <c r="B3061">
        <v>97.582605367327602</v>
      </c>
      <c r="C3061">
        <v>2000</v>
      </c>
    </row>
    <row r="3062" spans="1:11" x14ac:dyDescent="0.25">
      <c r="A3062">
        <v>137.93277251240099</v>
      </c>
      <c r="B3062">
        <v>87.145901428944697</v>
      </c>
      <c r="C3062">
        <v>2000</v>
      </c>
    </row>
    <row r="3063" spans="1:11" x14ac:dyDescent="0.25">
      <c r="A3063">
        <v>138.36978853685</v>
      </c>
      <c r="B3063">
        <v>86.708885404495902</v>
      </c>
      <c r="C3063">
        <v>2001</v>
      </c>
    </row>
    <row r="3064" spans="1:11" x14ac:dyDescent="0.25">
      <c r="A3064">
        <v>148.806492475233</v>
      </c>
      <c r="B3064">
        <v>97.145589342878793</v>
      </c>
      <c r="C3064">
        <v>2001</v>
      </c>
    </row>
    <row r="3065" spans="1:11" x14ac:dyDescent="0.25">
      <c r="A3065">
        <v>148.81015539020299</v>
      </c>
      <c r="B3065">
        <v>97.149252257849497</v>
      </c>
      <c r="C3065">
        <v>2001</v>
      </c>
    </row>
    <row r="3066" spans="1:11" x14ac:dyDescent="0.25">
      <c r="A3066">
        <v>148.37313936575401</v>
      </c>
      <c r="B3066">
        <v>97.586268282298306</v>
      </c>
      <c r="C3066">
        <v>2000</v>
      </c>
    </row>
    <row r="3067" spans="1:11" x14ac:dyDescent="0.25">
      <c r="A3067" t="s">
        <v>86</v>
      </c>
    </row>
    <row r="3068" spans="1:11" x14ac:dyDescent="0.25">
      <c r="A3068">
        <v>502</v>
      </c>
      <c r="B3068">
        <v>0</v>
      </c>
      <c r="C3068">
        <v>1.33038651505287</v>
      </c>
      <c r="D3068">
        <v>13.2142005765368</v>
      </c>
      <c r="E3068">
        <v>6</v>
      </c>
      <c r="F3068">
        <v>1.01722196789785</v>
      </c>
      <c r="G3068" t="s">
        <v>84</v>
      </c>
      <c r="H3068" t="s">
        <v>84</v>
      </c>
      <c r="I3068">
        <v>518</v>
      </c>
      <c r="J3068">
        <v>583</v>
      </c>
      <c r="K3068">
        <v>0</v>
      </c>
    </row>
    <row r="3069" spans="1:11" x14ac:dyDescent="0.25">
      <c r="A3069" t="s">
        <v>85</v>
      </c>
    </row>
    <row r="3070" spans="1:11" x14ac:dyDescent="0.25">
      <c r="A3070">
        <v>129.97534043248001</v>
      </c>
      <c r="B3070">
        <v>35.000169902569901</v>
      </c>
      <c r="C3070">
        <v>2000</v>
      </c>
    </row>
    <row r="3071" spans="1:11" x14ac:dyDescent="0.25">
      <c r="A3071">
        <v>129.03461510608699</v>
      </c>
      <c r="B3071">
        <v>34.059444576176901</v>
      </c>
      <c r="C3071">
        <v>2000</v>
      </c>
    </row>
    <row r="3072" spans="1:11" x14ac:dyDescent="0.25">
      <c r="A3072">
        <v>129.471631130536</v>
      </c>
      <c r="B3072">
        <v>33.622428551727999</v>
      </c>
      <c r="C3072">
        <v>2001</v>
      </c>
    </row>
    <row r="3073" spans="1:11" x14ac:dyDescent="0.25">
      <c r="A3073">
        <v>130.41235645692899</v>
      </c>
      <c r="B3073">
        <v>34.563153878121099</v>
      </c>
      <c r="C3073">
        <v>2001</v>
      </c>
    </row>
    <row r="3074" spans="1:11" x14ac:dyDescent="0.25">
      <c r="A3074">
        <v>139.756207292558</v>
      </c>
      <c r="B3074">
        <v>43.907004713749402</v>
      </c>
      <c r="C3074">
        <v>2001</v>
      </c>
    </row>
    <row r="3075" spans="1:11" x14ac:dyDescent="0.25">
      <c r="A3075">
        <v>139.31919126810899</v>
      </c>
      <c r="B3075">
        <v>44.344020738198203</v>
      </c>
      <c r="C3075">
        <v>2000</v>
      </c>
    </row>
    <row r="3076" spans="1:11" x14ac:dyDescent="0.25">
      <c r="A3076" t="s">
        <v>86</v>
      </c>
    </row>
    <row r="3077" spans="1:11" x14ac:dyDescent="0.25">
      <c r="A3077">
        <v>111</v>
      </c>
      <c r="B3077">
        <v>0</v>
      </c>
      <c r="C3077">
        <v>0.48995163140924097</v>
      </c>
      <c r="D3077">
        <v>13.9204853835289</v>
      </c>
      <c r="E3077">
        <v>8</v>
      </c>
      <c r="F3077">
        <v>1.01722196789785</v>
      </c>
      <c r="G3077" t="s">
        <v>84</v>
      </c>
      <c r="H3077" t="s">
        <v>84</v>
      </c>
      <c r="I3077">
        <v>101</v>
      </c>
      <c r="J3077">
        <v>177</v>
      </c>
      <c r="K3077">
        <v>0</v>
      </c>
    </row>
    <row r="3078" spans="1:11" x14ac:dyDescent="0.25">
      <c r="A3078" t="s">
        <v>85</v>
      </c>
    </row>
    <row r="3079" spans="1:11" x14ac:dyDescent="0.25">
      <c r="A3079">
        <v>14.225677364606399</v>
      </c>
      <c r="B3079">
        <v>92.534307592801696</v>
      </c>
      <c r="C3079">
        <v>2000</v>
      </c>
    </row>
    <row r="3080" spans="1:11" x14ac:dyDescent="0.25">
      <c r="A3080">
        <v>13.8792292435836</v>
      </c>
      <c r="B3080">
        <v>92.187859471778793</v>
      </c>
      <c r="C3080">
        <v>2000</v>
      </c>
    </row>
    <row r="3081" spans="1:11" x14ac:dyDescent="0.25">
      <c r="A3081">
        <v>13.4422132191347</v>
      </c>
      <c r="B3081">
        <v>92.624875496227602</v>
      </c>
      <c r="C3081">
        <v>2001</v>
      </c>
    </row>
    <row r="3082" spans="1:11" x14ac:dyDescent="0.25">
      <c r="A3082">
        <v>13.788661340157599</v>
      </c>
      <c r="B3082">
        <v>92.971323617250505</v>
      </c>
      <c r="C3082">
        <v>2001</v>
      </c>
    </row>
    <row r="3083" spans="1:11" x14ac:dyDescent="0.25">
      <c r="A3083">
        <v>21.035845735131499</v>
      </c>
      <c r="B3083">
        <v>100.21850801222401</v>
      </c>
      <c r="C3083">
        <v>2001</v>
      </c>
    </row>
    <row r="3084" spans="1:11" x14ac:dyDescent="0.25">
      <c r="A3084">
        <v>23.631930952259101</v>
      </c>
      <c r="B3084">
        <v>102.814593229352</v>
      </c>
      <c r="C3084">
        <v>2001</v>
      </c>
    </row>
    <row r="3085" spans="1:11" x14ac:dyDescent="0.25">
      <c r="A3085">
        <v>24.068946976707899</v>
      </c>
      <c r="B3085">
        <v>102.37757720490301</v>
      </c>
      <c r="C3085">
        <v>2000</v>
      </c>
    </row>
    <row r="3086" spans="1:11" x14ac:dyDescent="0.25">
      <c r="A3086">
        <v>21.472861759580301</v>
      </c>
      <c r="B3086">
        <v>99.781491987775595</v>
      </c>
      <c r="C3086">
        <v>2000</v>
      </c>
    </row>
    <row r="3087" spans="1:11" x14ac:dyDescent="0.25">
      <c r="A3087" t="s">
        <v>86</v>
      </c>
    </row>
    <row r="3088" spans="1:11" x14ac:dyDescent="0.25">
      <c r="A3088">
        <v>822</v>
      </c>
      <c r="B3088">
        <v>0</v>
      </c>
      <c r="C3088">
        <v>10.401319695192299</v>
      </c>
      <c r="D3088">
        <v>3.76737200075979</v>
      </c>
      <c r="E3088">
        <v>6</v>
      </c>
      <c r="F3088">
        <v>1.01722196789785</v>
      </c>
      <c r="G3088" t="s">
        <v>84</v>
      </c>
      <c r="H3088" t="s">
        <v>84</v>
      </c>
      <c r="I3088">
        <v>1</v>
      </c>
      <c r="J3088">
        <v>792</v>
      </c>
      <c r="K3088">
        <v>9.7911421572511204E-2</v>
      </c>
    </row>
    <row r="3089" spans="1:11" x14ac:dyDescent="0.25">
      <c r="A3089" t="s">
        <v>85</v>
      </c>
    </row>
    <row r="3090" spans="1:11" x14ac:dyDescent="0.25">
      <c r="A3090">
        <v>17.120296892295901</v>
      </c>
      <c r="B3090">
        <v>38.181508672512699</v>
      </c>
      <c r="C3090">
        <v>2000</v>
      </c>
    </row>
    <row r="3091" spans="1:11" x14ac:dyDescent="0.25">
      <c r="A3091">
        <v>9.7654532025362606</v>
      </c>
      <c r="B3091">
        <v>30.826664982753002</v>
      </c>
      <c r="C3091">
        <v>2000</v>
      </c>
    </row>
    <row r="3092" spans="1:11" x14ac:dyDescent="0.25">
      <c r="A3092">
        <v>9.3284371780874409</v>
      </c>
      <c r="B3092">
        <v>31.2636810072018</v>
      </c>
      <c r="C3092">
        <v>2001</v>
      </c>
    </row>
    <row r="3093" spans="1:11" x14ac:dyDescent="0.25">
      <c r="A3093">
        <v>16.683280867847099</v>
      </c>
      <c r="B3093">
        <v>38.618524696961501</v>
      </c>
      <c r="C3093">
        <v>2001</v>
      </c>
    </row>
    <row r="3094" spans="1:11" x14ac:dyDescent="0.25">
      <c r="A3094">
        <v>19.3472151568367</v>
      </c>
      <c r="B3094">
        <v>41.282458985951102</v>
      </c>
      <c r="C3094">
        <v>2001</v>
      </c>
    </row>
    <row r="3095" spans="1:11" x14ac:dyDescent="0.25">
      <c r="A3095">
        <v>19.784231181285499</v>
      </c>
      <c r="B3095">
        <v>40.845442961502201</v>
      </c>
      <c r="C3095">
        <v>2000</v>
      </c>
    </row>
    <row r="3096" spans="1:11" x14ac:dyDescent="0.25">
      <c r="A3096" t="s">
        <v>86</v>
      </c>
    </row>
    <row r="3097" spans="1:11" x14ac:dyDescent="0.25">
      <c r="A3097">
        <v>267</v>
      </c>
      <c r="B3097">
        <v>0</v>
      </c>
      <c r="C3097">
        <v>7.8388638585858503</v>
      </c>
      <c r="D3097">
        <v>6.28971223026514</v>
      </c>
      <c r="E3097">
        <v>8</v>
      </c>
      <c r="F3097">
        <v>1.01722196789785</v>
      </c>
      <c r="G3097" t="s">
        <v>84</v>
      </c>
      <c r="H3097" t="s">
        <v>84</v>
      </c>
      <c r="I3097">
        <v>788</v>
      </c>
      <c r="J3097">
        <v>261</v>
      </c>
      <c r="K3097">
        <v>0</v>
      </c>
    </row>
    <row r="3098" spans="1:11" x14ac:dyDescent="0.25">
      <c r="A3098" t="s">
        <v>85</v>
      </c>
    </row>
    <row r="3099" spans="1:11" x14ac:dyDescent="0.25">
      <c r="A3099">
        <v>122.691234510718</v>
      </c>
      <c r="B3099">
        <v>101.016120081305</v>
      </c>
      <c r="C3099">
        <v>2000</v>
      </c>
    </row>
    <row r="3100" spans="1:11" x14ac:dyDescent="0.25">
      <c r="A3100">
        <v>121.893622441638</v>
      </c>
      <c r="B3100">
        <v>100.21850801222401</v>
      </c>
      <c r="C3100">
        <v>2000</v>
      </c>
    </row>
    <row r="3101" spans="1:11" x14ac:dyDescent="0.25">
      <c r="A3101">
        <v>117.148320719514</v>
      </c>
      <c r="B3101">
        <v>95.473206290100606</v>
      </c>
      <c r="C3101">
        <v>2000</v>
      </c>
    </row>
    <row r="3102" spans="1:11" x14ac:dyDescent="0.25">
      <c r="A3102">
        <v>117.585336743963</v>
      </c>
      <c r="B3102">
        <v>95.036190265651797</v>
      </c>
      <c r="C3102">
        <v>2001</v>
      </c>
    </row>
    <row r="3103" spans="1:11" x14ac:dyDescent="0.25">
      <c r="A3103">
        <v>122.330638466087</v>
      </c>
      <c r="B3103">
        <v>99.781491987775595</v>
      </c>
      <c r="C3103">
        <v>2001</v>
      </c>
    </row>
    <row r="3104" spans="1:11" x14ac:dyDescent="0.25">
      <c r="A3104">
        <v>123.128250535167</v>
      </c>
      <c r="B3104">
        <v>100.579104056856</v>
      </c>
      <c r="C3104">
        <v>2001</v>
      </c>
    </row>
    <row r="3105" spans="1:11" x14ac:dyDescent="0.25">
      <c r="A3105">
        <v>127.57574870489999</v>
      </c>
      <c r="B3105">
        <v>105.026602226588</v>
      </c>
      <c r="C3105">
        <v>2001</v>
      </c>
    </row>
    <row r="3106" spans="1:11" x14ac:dyDescent="0.25">
      <c r="A3106">
        <v>127.138732680451</v>
      </c>
      <c r="B3106">
        <v>105.463618251037</v>
      </c>
      <c r="C3106">
        <v>2000</v>
      </c>
    </row>
    <row r="3107" spans="1:11" x14ac:dyDescent="0.25">
      <c r="A3107" t="s">
        <v>86</v>
      </c>
    </row>
    <row r="3108" spans="1:11" x14ac:dyDescent="0.25">
      <c r="A3108">
        <v>428</v>
      </c>
      <c r="B3108">
        <v>0</v>
      </c>
      <c r="C3108">
        <v>1.52073223645661</v>
      </c>
      <c r="D3108">
        <v>12.559997954581601</v>
      </c>
      <c r="E3108">
        <v>6</v>
      </c>
      <c r="F3108">
        <v>1.01722196789785</v>
      </c>
      <c r="G3108" t="s">
        <v>84</v>
      </c>
      <c r="H3108" t="s">
        <v>83</v>
      </c>
      <c r="I3108">
        <v>423</v>
      </c>
      <c r="J3108">
        <v>0</v>
      </c>
      <c r="K3108">
        <v>0</v>
      </c>
    </row>
    <row r="3109" spans="1:11" x14ac:dyDescent="0.25">
      <c r="A3109" t="s">
        <v>85</v>
      </c>
    </row>
    <row r="3110" spans="1:11" x14ac:dyDescent="0.25">
      <c r="A3110">
        <v>71.008707863331495</v>
      </c>
      <c r="B3110">
        <v>140.923831335291</v>
      </c>
      <c r="C3110">
        <v>2000</v>
      </c>
    </row>
    <row r="3111" spans="1:11" x14ac:dyDescent="0.25">
      <c r="A3111">
        <v>69.9097887136747</v>
      </c>
      <c r="B3111">
        <v>139.82491218563399</v>
      </c>
      <c r="C3111">
        <v>2000</v>
      </c>
    </row>
    <row r="3112" spans="1:11" x14ac:dyDescent="0.25">
      <c r="A3112">
        <v>69.472772689225806</v>
      </c>
      <c r="B3112">
        <v>140.261928210083</v>
      </c>
      <c r="C3112">
        <v>2001</v>
      </c>
    </row>
    <row r="3113" spans="1:11" x14ac:dyDescent="0.25">
      <c r="A3113">
        <v>70.524493693103906</v>
      </c>
      <c r="B3113">
        <v>141.31364921396101</v>
      </c>
      <c r="C3113">
        <v>2001</v>
      </c>
    </row>
    <row r="3114" spans="1:11" x14ac:dyDescent="0.25">
      <c r="A3114">
        <v>79.210844479142693</v>
      </c>
      <c r="B3114">
        <v>150</v>
      </c>
      <c r="C3114">
        <v>2001</v>
      </c>
    </row>
    <row r="3115" spans="1:11" x14ac:dyDescent="0.25">
      <c r="A3115">
        <v>80.084876528040297</v>
      </c>
      <c r="B3115">
        <v>150</v>
      </c>
      <c r="C3115">
        <v>2000</v>
      </c>
    </row>
    <row r="3116" spans="1:11" x14ac:dyDescent="0.25">
      <c r="A3116" t="s">
        <v>86</v>
      </c>
    </row>
    <row r="3117" spans="1:11" x14ac:dyDescent="0.25">
      <c r="A3117">
        <v>583</v>
      </c>
      <c r="B3117">
        <v>0</v>
      </c>
      <c r="C3117">
        <v>13.126440489502601</v>
      </c>
      <c r="D3117">
        <v>0.86650593245119001</v>
      </c>
      <c r="E3117">
        <v>8</v>
      </c>
      <c r="F3117">
        <v>1.01722196789785</v>
      </c>
      <c r="G3117" t="s">
        <v>84</v>
      </c>
      <c r="H3117" t="s">
        <v>84</v>
      </c>
      <c r="I3117">
        <v>502</v>
      </c>
      <c r="J3117">
        <v>584</v>
      </c>
      <c r="K3117">
        <v>0</v>
      </c>
    </row>
    <row r="3118" spans="1:11" x14ac:dyDescent="0.25">
      <c r="A3118" t="s">
        <v>85</v>
      </c>
    </row>
    <row r="3119" spans="1:11" x14ac:dyDescent="0.25">
      <c r="A3119">
        <v>148.556704558696</v>
      </c>
      <c r="B3119">
        <v>53.670097613549103</v>
      </c>
      <c r="C3119">
        <v>2000</v>
      </c>
    </row>
    <row r="3120" spans="1:11" x14ac:dyDescent="0.25">
      <c r="A3120">
        <v>145.105114957371</v>
      </c>
      <c r="B3120">
        <v>50.218508012224397</v>
      </c>
      <c r="C3120">
        <v>2000</v>
      </c>
    </row>
    <row r="3121" spans="1:11" x14ac:dyDescent="0.25">
      <c r="A3121">
        <v>139.27490947572699</v>
      </c>
      <c r="B3121">
        <v>44.388302530580098</v>
      </c>
      <c r="C3121">
        <v>2000</v>
      </c>
    </row>
    <row r="3122" spans="1:11" x14ac:dyDescent="0.25">
      <c r="A3122">
        <v>139.71192550017599</v>
      </c>
      <c r="B3122">
        <v>43.951286506131297</v>
      </c>
      <c r="C3122">
        <v>2001</v>
      </c>
    </row>
    <row r="3123" spans="1:11" x14ac:dyDescent="0.25">
      <c r="A3123">
        <v>145.54213098182001</v>
      </c>
      <c r="B3123">
        <v>49.781491987775603</v>
      </c>
      <c r="C3123">
        <v>2001</v>
      </c>
    </row>
    <row r="3124" spans="1:11" x14ac:dyDescent="0.25">
      <c r="A3124">
        <v>148.99372058314501</v>
      </c>
      <c r="B3124">
        <v>53.233081589100301</v>
      </c>
      <c r="C3124">
        <v>2001</v>
      </c>
    </row>
    <row r="3125" spans="1:11" x14ac:dyDescent="0.25">
      <c r="A3125">
        <v>149.60643280391901</v>
      </c>
      <c r="B3125">
        <v>53.845793809874898</v>
      </c>
      <c r="C3125">
        <v>2001</v>
      </c>
    </row>
    <row r="3126" spans="1:11" x14ac:dyDescent="0.25">
      <c r="A3126">
        <v>149.16941677947</v>
      </c>
      <c r="B3126">
        <v>54.2828098343237</v>
      </c>
      <c r="C3126">
        <v>2000</v>
      </c>
    </row>
    <row r="3127" spans="1:11" x14ac:dyDescent="0.25">
      <c r="A3127" t="s">
        <v>86</v>
      </c>
    </row>
    <row r="3128" spans="1:11" x14ac:dyDescent="0.25">
      <c r="A3128">
        <v>666</v>
      </c>
      <c r="B3128">
        <v>0</v>
      </c>
      <c r="C3128">
        <v>5.5645963535411997</v>
      </c>
      <c r="D3128">
        <v>8.3348510215094098</v>
      </c>
      <c r="E3128">
        <v>6</v>
      </c>
      <c r="F3128">
        <v>1.01722196789785</v>
      </c>
      <c r="G3128" t="s">
        <v>84</v>
      </c>
      <c r="H3128" t="s">
        <v>84</v>
      </c>
      <c r="I3128">
        <v>641</v>
      </c>
      <c r="J3128">
        <v>661</v>
      </c>
      <c r="K3128">
        <v>0</v>
      </c>
    </row>
    <row r="3129" spans="1:11" x14ac:dyDescent="0.25">
      <c r="A3129" t="s">
        <v>85</v>
      </c>
    </row>
    <row r="3130" spans="1:11" x14ac:dyDescent="0.25">
      <c r="A3130">
        <v>65.775575057494393</v>
      </c>
      <c r="B3130">
        <v>17.581320302370401</v>
      </c>
      <c r="C3130">
        <v>2000</v>
      </c>
    </row>
    <row r="3131" spans="1:11" x14ac:dyDescent="0.25">
      <c r="A3131">
        <v>61.840811241339502</v>
      </c>
      <c r="B3131">
        <v>13.6465564862155</v>
      </c>
      <c r="C3131">
        <v>2000</v>
      </c>
    </row>
    <row r="3132" spans="1:11" x14ac:dyDescent="0.25">
      <c r="A3132">
        <v>61.4037952168907</v>
      </c>
      <c r="B3132">
        <v>14.0835725106643</v>
      </c>
      <c r="C3132">
        <v>2001</v>
      </c>
    </row>
    <row r="3133" spans="1:11" x14ac:dyDescent="0.25">
      <c r="A3133">
        <v>65.338559033045598</v>
      </c>
      <c r="B3133">
        <v>18.018336326819298</v>
      </c>
      <c r="C3133">
        <v>2001</v>
      </c>
    </row>
    <row r="3134" spans="1:11" x14ac:dyDescent="0.25">
      <c r="A3134">
        <v>71.232188710534501</v>
      </c>
      <c r="B3134">
        <v>23.911966004308201</v>
      </c>
      <c r="C3134">
        <v>2001</v>
      </c>
    </row>
    <row r="3135" spans="1:11" x14ac:dyDescent="0.25">
      <c r="A3135">
        <v>71.669204734983396</v>
      </c>
      <c r="B3135">
        <v>23.474949979859399</v>
      </c>
      <c r="C3135">
        <v>2000</v>
      </c>
    </row>
    <row r="3136" spans="1:11" x14ac:dyDescent="0.25">
      <c r="A3136" t="s">
        <v>86</v>
      </c>
    </row>
    <row r="3137" spans="1:11" x14ac:dyDescent="0.25">
      <c r="A3137">
        <v>777</v>
      </c>
      <c r="B3137">
        <v>0</v>
      </c>
      <c r="C3137">
        <v>9.5110593907973406</v>
      </c>
      <c r="D3137">
        <v>4.0538428433454499</v>
      </c>
      <c r="E3137">
        <v>6</v>
      </c>
      <c r="F3137">
        <v>1.01722196789785</v>
      </c>
      <c r="G3137" t="s">
        <v>84</v>
      </c>
      <c r="H3137" t="s">
        <v>84</v>
      </c>
      <c r="I3137">
        <v>729</v>
      </c>
      <c r="J3137">
        <v>761</v>
      </c>
      <c r="K3137">
        <v>9.6278525939506795E-2</v>
      </c>
    </row>
    <row r="3138" spans="1:11" x14ac:dyDescent="0.25">
      <c r="A3138" t="s">
        <v>85</v>
      </c>
    </row>
    <row r="3139" spans="1:11" x14ac:dyDescent="0.25">
      <c r="A3139">
        <v>117.726098804603</v>
      </c>
      <c r="B3139">
        <v>37.7822649803906</v>
      </c>
      <c r="C3139">
        <v>2000</v>
      </c>
    </row>
    <row r="3140" spans="1:11" x14ac:dyDescent="0.25">
      <c r="A3140">
        <v>111.000764213102</v>
      </c>
      <c r="B3140">
        <v>31.0569303888898</v>
      </c>
      <c r="C3140">
        <v>2000</v>
      </c>
    </row>
    <row r="3141" spans="1:11" x14ac:dyDescent="0.25">
      <c r="A3141">
        <v>110.56374818865299</v>
      </c>
      <c r="B3141">
        <v>31.493946413338598</v>
      </c>
      <c r="C3141">
        <v>2001</v>
      </c>
    </row>
    <row r="3142" spans="1:11" x14ac:dyDescent="0.25">
      <c r="A3142">
        <v>117.289082780154</v>
      </c>
      <c r="B3142">
        <v>38.219281004839402</v>
      </c>
      <c r="C3142">
        <v>2001</v>
      </c>
    </row>
    <row r="3143" spans="1:11" x14ac:dyDescent="0.25">
      <c r="A3143">
        <v>120.155582544548</v>
      </c>
      <c r="B3143">
        <v>41.085780769233502</v>
      </c>
      <c r="C3143">
        <v>2001</v>
      </c>
    </row>
    <row r="3144" spans="1:11" x14ac:dyDescent="0.25">
      <c r="A3144">
        <v>120.592598568997</v>
      </c>
      <c r="B3144">
        <v>40.6487647447847</v>
      </c>
      <c r="C3144">
        <v>2000</v>
      </c>
    </row>
    <row r="3145" spans="1:11" x14ac:dyDescent="0.25">
      <c r="A3145" t="s">
        <v>86</v>
      </c>
    </row>
    <row r="3146" spans="1:11" x14ac:dyDescent="0.25">
      <c r="A3146">
        <v>278</v>
      </c>
      <c r="B3146">
        <v>0</v>
      </c>
      <c r="C3146">
        <v>13.2142005765369</v>
      </c>
      <c r="D3146">
        <v>0.18612629476606901</v>
      </c>
      <c r="E3146">
        <v>6</v>
      </c>
      <c r="F3146">
        <v>1.01722196789785</v>
      </c>
      <c r="G3146" t="s">
        <v>84</v>
      </c>
      <c r="H3146" t="s">
        <v>83</v>
      </c>
      <c r="I3146">
        <v>277</v>
      </c>
      <c r="J3146">
        <v>0</v>
      </c>
      <c r="K3146">
        <v>0</v>
      </c>
    </row>
    <row r="3147" spans="1:11" x14ac:dyDescent="0.25">
      <c r="A3147" t="s">
        <v>85</v>
      </c>
    </row>
    <row r="3148" spans="1:11" x14ac:dyDescent="0.25">
      <c r="A3148">
        <v>121.437014666615</v>
      </c>
      <c r="B3148">
        <v>149.87142384187601</v>
      </c>
      <c r="C3148">
        <v>2000</v>
      </c>
    </row>
    <row r="3149" spans="1:11" x14ac:dyDescent="0.25">
      <c r="A3149">
        <v>112.308636836148</v>
      </c>
      <c r="B3149">
        <v>140.74304601141</v>
      </c>
      <c r="C3149">
        <v>2000</v>
      </c>
    </row>
    <row r="3150" spans="1:11" x14ac:dyDescent="0.25">
      <c r="A3150">
        <v>112.745652860597</v>
      </c>
      <c r="B3150">
        <v>140.30602998696099</v>
      </c>
      <c r="C3150">
        <v>2001</v>
      </c>
    </row>
    <row r="3151" spans="1:11" x14ac:dyDescent="0.25">
      <c r="A3151">
        <v>122.304976701388</v>
      </c>
      <c r="B3151">
        <v>149.86535382775099</v>
      </c>
      <c r="C3151">
        <v>2001</v>
      </c>
    </row>
    <row r="3152" spans="1:11" x14ac:dyDescent="0.25">
      <c r="A3152">
        <v>122.439622873636</v>
      </c>
      <c r="B3152">
        <v>150</v>
      </c>
      <c r="C3152">
        <v>2001</v>
      </c>
    </row>
    <row r="3153" spans="1:11" x14ac:dyDescent="0.25">
      <c r="A3153">
        <v>121.565590824739</v>
      </c>
      <c r="B3153">
        <v>150</v>
      </c>
      <c r="C3153">
        <v>2000</v>
      </c>
    </row>
    <row r="3154" spans="1:11" x14ac:dyDescent="0.25">
      <c r="A3154" t="s">
        <v>86</v>
      </c>
    </row>
    <row r="3155" spans="1:11" x14ac:dyDescent="0.25">
      <c r="A3155">
        <v>668</v>
      </c>
      <c r="B3155">
        <v>0</v>
      </c>
      <c r="C3155">
        <v>7.0277840087825503</v>
      </c>
      <c r="D3155">
        <v>5.6391552578486603</v>
      </c>
      <c r="E3155">
        <v>6</v>
      </c>
      <c r="F3155">
        <v>1.01722196789785</v>
      </c>
      <c r="G3155" t="s">
        <v>84</v>
      </c>
      <c r="H3155" t="s">
        <v>84</v>
      </c>
      <c r="I3155">
        <v>818</v>
      </c>
      <c r="J3155">
        <v>752</v>
      </c>
      <c r="K3155">
        <v>0</v>
      </c>
    </row>
    <row r="3156" spans="1:11" x14ac:dyDescent="0.25">
      <c r="A3156" t="s">
        <v>85</v>
      </c>
    </row>
    <row r="3157" spans="1:11" x14ac:dyDescent="0.25">
      <c r="A3157">
        <v>64.281025329731094</v>
      </c>
      <c r="B3157">
        <v>37.627900056372198</v>
      </c>
      <c r="C3157">
        <v>2000</v>
      </c>
    </row>
    <row r="3158" spans="1:11" x14ac:dyDescent="0.25">
      <c r="A3158">
        <v>59.311631600406599</v>
      </c>
      <c r="B3158">
        <v>32.658506327047697</v>
      </c>
      <c r="C3158">
        <v>2000</v>
      </c>
    </row>
    <row r="3159" spans="1:11" x14ac:dyDescent="0.25">
      <c r="A3159">
        <v>58.874615575957797</v>
      </c>
      <c r="B3159">
        <v>33.095522351496498</v>
      </c>
      <c r="C3159">
        <v>2001</v>
      </c>
    </row>
    <row r="3160" spans="1:11" x14ac:dyDescent="0.25">
      <c r="A3160">
        <v>63.844009305282299</v>
      </c>
      <c r="B3160">
        <v>38.064916080821</v>
      </c>
      <c r="C3160">
        <v>2001</v>
      </c>
    </row>
    <row r="3161" spans="1:11" x14ac:dyDescent="0.25">
      <c r="A3161">
        <v>67.831494228270898</v>
      </c>
      <c r="B3161">
        <v>42.052401003809599</v>
      </c>
      <c r="C3161">
        <v>2001</v>
      </c>
    </row>
    <row r="3162" spans="1:11" x14ac:dyDescent="0.25">
      <c r="A3162">
        <v>68.268510252719693</v>
      </c>
      <c r="B3162">
        <v>41.615384979360698</v>
      </c>
      <c r="C3162">
        <v>2000</v>
      </c>
    </row>
    <row r="3163" spans="1:11" x14ac:dyDescent="0.25">
      <c r="A3163" t="s">
        <v>86</v>
      </c>
    </row>
    <row r="3164" spans="1:11" x14ac:dyDescent="0.25">
      <c r="A3164">
        <v>750</v>
      </c>
      <c r="B3164">
        <v>0</v>
      </c>
      <c r="C3164">
        <v>7.8060462325331699</v>
      </c>
      <c r="D3164">
        <v>4.8575736383739496</v>
      </c>
      <c r="E3164">
        <v>6</v>
      </c>
      <c r="F3164">
        <v>1.01722196789785</v>
      </c>
      <c r="G3164" t="s">
        <v>84</v>
      </c>
      <c r="H3164" t="s">
        <v>84</v>
      </c>
      <c r="I3164">
        <v>652</v>
      </c>
      <c r="J3164">
        <v>668</v>
      </c>
      <c r="K3164">
        <v>9.4763910412348204E-2</v>
      </c>
    </row>
    <row r="3165" spans="1:11" x14ac:dyDescent="0.25">
      <c r="A3165" t="s">
        <v>85</v>
      </c>
    </row>
    <row r="3166" spans="1:11" x14ac:dyDescent="0.25">
      <c r="A3166">
        <v>56.043187605232703</v>
      </c>
      <c r="B3166">
        <v>29.057303802607102</v>
      </c>
      <c r="C3166">
        <v>2000</v>
      </c>
    </row>
    <row r="3167" spans="1:11" x14ac:dyDescent="0.25">
      <c r="A3167">
        <v>50.523479379952803</v>
      </c>
      <c r="B3167">
        <v>23.537595577327199</v>
      </c>
      <c r="C3167">
        <v>2000</v>
      </c>
    </row>
    <row r="3168" spans="1:11" x14ac:dyDescent="0.25">
      <c r="A3168">
        <v>50.086463355504002</v>
      </c>
      <c r="B3168">
        <v>23.974611601776001</v>
      </c>
      <c r="C3168">
        <v>2001</v>
      </c>
    </row>
    <row r="3169" spans="1:11" x14ac:dyDescent="0.25">
      <c r="A3169">
        <v>55.606171580783901</v>
      </c>
      <c r="B3169">
        <v>29.4943198270559</v>
      </c>
      <c r="C3169">
        <v>2001</v>
      </c>
    </row>
    <row r="3170" spans="1:11" x14ac:dyDescent="0.25">
      <c r="A3170">
        <v>59.040994840591097</v>
      </c>
      <c r="B3170">
        <v>32.9291430868631</v>
      </c>
      <c r="C3170">
        <v>2001</v>
      </c>
    </row>
    <row r="3171" spans="1:11" x14ac:dyDescent="0.25">
      <c r="A3171">
        <v>59.478010865039998</v>
      </c>
      <c r="B3171">
        <v>32.492127062414298</v>
      </c>
      <c r="C3171">
        <v>2000</v>
      </c>
    </row>
    <row r="3172" spans="1:11" x14ac:dyDescent="0.25">
      <c r="A3172" t="s">
        <v>86</v>
      </c>
    </row>
    <row r="3173" spans="1:11" x14ac:dyDescent="0.25">
      <c r="A3173">
        <v>744</v>
      </c>
      <c r="B3173">
        <v>0</v>
      </c>
      <c r="C3173">
        <v>6.8518139064692196</v>
      </c>
      <c r="D3173">
        <v>5.448880929255</v>
      </c>
      <c r="E3173">
        <v>6</v>
      </c>
      <c r="F3173">
        <v>1.01722196789785</v>
      </c>
      <c r="G3173" t="s">
        <v>83</v>
      </c>
      <c r="H3173" t="s">
        <v>84</v>
      </c>
      <c r="I3173">
        <v>0</v>
      </c>
      <c r="J3173">
        <v>195</v>
      </c>
      <c r="K3173">
        <v>9.5418080883047596E-2</v>
      </c>
    </row>
    <row r="3174" spans="1:11" x14ac:dyDescent="0.25">
      <c r="A3174" t="s">
        <v>85</v>
      </c>
    </row>
    <row r="3175" spans="1:11" x14ac:dyDescent="0.25">
      <c r="A3175">
        <v>4.9666788462100904</v>
      </c>
      <c r="B3175">
        <v>83.840436125172602</v>
      </c>
      <c r="C3175">
        <v>2000</v>
      </c>
    </row>
    <row r="3176" spans="1:11" x14ac:dyDescent="0.25">
      <c r="A3176">
        <v>0</v>
      </c>
      <c r="B3176">
        <v>78.873757278962501</v>
      </c>
      <c r="C3176">
        <v>2000</v>
      </c>
    </row>
    <row r="3177" spans="1:11" x14ac:dyDescent="0.25">
      <c r="A3177">
        <v>0</v>
      </c>
      <c r="B3177">
        <v>79.747789327860104</v>
      </c>
      <c r="C3177">
        <v>2001</v>
      </c>
    </row>
    <row r="3178" spans="1:11" x14ac:dyDescent="0.25">
      <c r="A3178">
        <v>4.7232493071752701</v>
      </c>
      <c r="B3178">
        <v>84.471038635035399</v>
      </c>
      <c r="C3178">
        <v>2001</v>
      </c>
    </row>
    <row r="3179" spans="1:11" x14ac:dyDescent="0.25">
      <c r="A3179">
        <v>8.4793967194225495</v>
      </c>
      <c r="B3179">
        <v>88.2271860472827</v>
      </c>
      <c r="C3179">
        <v>2001</v>
      </c>
    </row>
    <row r="3180" spans="1:11" x14ac:dyDescent="0.25">
      <c r="A3180">
        <v>8.9164127438713692</v>
      </c>
      <c r="B3180">
        <v>87.790170022833905</v>
      </c>
      <c r="C3180">
        <v>2000</v>
      </c>
    </row>
    <row r="3181" spans="1:11" x14ac:dyDescent="0.25">
      <c r="A3181" t="s">
        <v>86</v>
      </c>
    </row>
    <row r="3182" spans="1:11" x14ac:dyDescent="0.25">
      <c r="A3182">
        <v>801</v>
      </c>
      <c r="B3182">
        <v>0</v>
      </c>
      <c r="C3182">
        <v>5.2657421714527297</v>
      </c>
      <c r="D3182">
        <v>6.96588609716005</v>
      </c>
      <c r="E3182">
        <v>6</v>
      </c>
      <c r="F3182">
        <v>1.01722196789785</v>
      </c>
      <c r="G3182" t="s">
        <v>84</v>
      </c>
      <c r="H3182" t="s">
        <v>83</v>
      </c>
      <c r="I3182">
        <v>253</v>
      </c>
      <c r="J3182">
        <v>0</v>
      </c>
      <c r="K3182">
        <v>9.7122043571393105E-2</v>
      </c>
    </row>
    <row r="3183" spans="1:11" x14ac:dyDescent="0.25">
      <c r="A3183" t="s">
        <v>85</v>
      </c>
    </row>
    <row r="3184" spans="1:11" x14ac:dyDescent="0.25">
      <c r="A3184">
        <v>145.198814548613</v>
      </c>
      <c r="B3184">
        <v>123.52964492257701</v>
      </c>
      <c r="C3184">
        <v>2000</v>
      </c>
    </row>
    <row r="3185" spans="1:11" x14ac:dyDescent="0.25">
      <c r="A3185">
        <v>141.56944071853499</v>
      </c>
      <c r="B3185">
        <v>119.90027109250001</v>
      </c>
      <c r="C3185">
        <v>2000</v>
      </c>
    </row>
    <row r="3186" spans="1:11" x14ac:dyDescent="0.25">
      <c r="A3186">
        <v>141.13242469408601</v>
      </c>
      <c r="B3186">
        <v>120.337287116948</v>
      </c>
      <c r="C3186">
        <v>2001</v>
      </c>
    </row>
    <row r="3187" spans="1:11" x14ac:dyDescent="0.25">
      <c r="A3187">
        <v>144.949934858837</v>
      </c>
      <c r="B3187">
        <v>124.154797281699</v>
      </c>
      <c r="C3187">
        <v>2001</v>
      </c>
    </row>
    <row r="3188" spans="1:11" x14ac:dyDescent="0.25">
      <c r="A3188">
        <v>150</v>
      </c>
      <c r="B3188">
        <v>129.20486242286199</v>
      </c>
      <c r="C3188">
        <v>2001</v>
      </c>
    </row>
    <row r="3189" spans="1:11" x14ac:dyDescent="0.25">
      <c r="A3189">
        <v>150</v>
      </c>
      <c r="B3189">
        <v>128.33083037396401</v>
      </c>
      <c r="C3189">
        <v>2000</v>
      </c>
    </row>
    <row r="3190" spans="1:11" x14ac:dyDescent="0.25">
      <c r="A3190" t="s">
        <v>86</v>
      </c>
    </row>
    <row r="3191" spans="1:11" x14ac:dyDescent="0.25">
      <c r="A3191">
        <v>262</v>
      </c>
      <c r="B3191">
        <v>0</v>
      </c>
      <c r="C3191">
        <v>7.9868968269588496</v>
      </c>
      <c r="D3191">
        <v>4.1477411860699602</v>
      </c>
      <c r="E3191">
        <v>6</v>
      </c>
      <c r="F3191">
        <v>1.01722196789785</v>
      </c>
      <c r="G3191" t="s">
        <v>84</v>
      </c>
      <c r="H3191" t="s">
        <v>83</v>
      </c>
      <c r="I3191">
        <v>271</v>
      </c>
      <c r="J3191">
        <v>0</v>
      </c>
      <c r="K3191">
        <v>0</v>
      </c>
    </row>
    <row r="3192" spans="1:11" x14ac:dyDescent="0.25">
      <c r="A3192" t="s">
        <v>85</v>
      </c>
    </row>
    <row r="3193" spans="1:11" x14ac:dyDescent="0.25">
      <c r="A3193">
        <v>147.141792314589</v>
      </c>
      <c r="B3193">
        <v>120.42285780901599</v>
      </c>
      <c r="C3193">
        <v>2000</v>
      </c>
    </row>
    <row r="3194" spans="1:11" x14ac:dyDescent="0.25">
      <c r="A3194">
        <v>141.638023185968</v>
      </c>
      <c r="B3194">
        <v>114.91908868039501</v>
      </c>
      <c r="C3194">
        <v>2000</v>
      </c>
    </row>
    <row r="3195" spans="1:11" x14ac:dyDescent="0.25">
      <c r="A3195">
        <v>141.20100716151899</v>
      </c>
      <c r="B3195">
        <v>115.356104704844</v>
      </c>
      <c r="C3195">
        <v>2001</v>
      </c>
    </row>
    <row r="3196" spans="1:11" x14ac:dyDescent="0.25">
      <c r="A3196">
        <v>146.99241584685799</v>
      </c>
      <c r="B3196">
        <v>121.14751339018299</v>
      </c>
      <c r="C3196">
        <v>2001</v>
      </c>
    </row>
    <row r="3197" spans="1:11" x14ac:dyDescent="0.25">
      <c r="A3197">
        <v>150</v>
      </c>
      <c r="B3197">
        <v>124.155097543325</v>
      </c>
      <c r="C3197">
        <v>2001</v>
      </c>
    </row>
    <row r="3198" spans="1:11" x14ac:dyDescent="0.25">
      <c r="A3198">
        <v>150</v>
      </c>
      <c r="B3198">
        <v>123.28106549442801</v>
      </c>
      <c r="C3198">
        <v>2000</v>
      </c>
    </row>
    <row r="3199" spans="1:11" x14ac:dyDescent="0.25">
      <c r="A3199" t="s">
        <v>86</v>
      </c>
    </row>
    <row r="3200" spans="1:11" x14ac:dyDescent="0.25">
      <c r="A3200">
        <v>112</v>
      </c>
      <c r="B3200">
        <v>0</v>
      </c>
      <c r="C3200">
        <v>4.9845398139277801</v>
      </c>
      <c r="D3200">
        <v>6.9507931066780104</v>
      </c>
      <c r="E3200">
        <v>6</v>
      </c>
      <c r="F3200">
        <v>1.01722196789785</v>
      </c>
      <c r="G3200" t="s">
        <v>84</v>
      </c>
      <c r="H3200" t="s">
        <v>84</v>
      </c>
      <c r="I3200">
        <v>99</v>
      </c>
      <c r="J3200">
        <v>770</v>
      </c>
      <c r="K3200">
        <v>0</v>
      </c>
    </row>
    <row r="3201" spans="1:11" x14ac:dyDescent="0.25">
      <c r="A3201" t="s">
        <v>85</v>
      </c>
    </row>
    <row r="3202" spans="1:11" x14ac:dyDescent="0.25">
      <c r="A3202">
        <v>10.2950956291917</v>
      </c>
      <c r="B3202">
        <v>65.230473646540204</v>
      </c>
      <c r="C3202">
        <v>2000</v>
      </c>
    </row>
    <row r="3203" spans="1:11" x14ac:dyDescent="0.25">
      <c r="A3203">
        <v>6.7704937256690396</v>
      </c>
      <c r="B3203">
        <v>61.705871743017603</v>
      </c>
      <c r="C3203">
        <v>2000</v>
      </c>
    </row>
    <row r="3204" spans="1:11" x14ac:dyDescent="0.25">
      <c r="A3204">
        <v>6.3334777012202199</v>
      </c>
      <c r="B3204">
        <v>62.142887767466398</v>
      </c>
      <c r="C3204">
        <v>2001</v>
      </c>
    </row>
    <row r="3205" spans="1:11" x14ac:dyDescent="0.25">
      <c r="A3205">
        <v>9.8580796047428905</v>
      </c>
      <c r="B3205">
        <v>65.667489670989099</v>
      </c>
      <c r="C3205">
        <v>2001</v>
      </c>
    </row>
    <row r="3206" spans="1:11" x14ac:dyDescent="0.25">
      <c r="A3206">
        <v>14.7730325450996</v>
      </c>
      <c r="B3206">
        <v>70.582442611345797</v>
      </c>
      <c r="C3206">
        <v>2001</v>
      </c>
    </row>
    <row r="3207" spans="1:11" x14ac:dyDescent="0.25">
      <c r="A3207">
        <v>15.2100485695484</v>
      </c>
      <c r="B3207">
        <v>70.145426586897003</v>
      </c>
      <c r="C3207">
        <v>2000</v>
      </c>
    </row>
    <row r="3208" spans="1:11" x14ac:dyDescent="0.25">
      <c r="A3208" t="s">
        <v>86</v>
      </c>
    </row>
    <row r="3209" spans="1:11" x14ac:dyDescent="0.25">
      <c r="A3209">
        <v>512</v>
      </c>
      <c r="B3209">
        <v>0</v>
      </c>
      <c r="C3209">
        <v>10.373017576032</v>
      </c>
      <c r="D3209">
        <v>1.4094080827537001</v>
      </c>
      <c r="E3209">
        <v>6</v>
      </c>
      <c r="F3209">
        <v>1.01722196789785</v>
      </c>
      <c r="G3209" t="s">
        <v>83</v>
      </c>
      <c r="H3209" t="s">
        <v>83</v>
      </c>
      <c r="I3209">
        <v>0</v>
      </c>
      <c r="J3209">
        <v>0</v>
      </c>
      <c r="K3209">
        <v>0</v>
      </c>
    </row>
    <row r="3210" spans="1:11" x14ac:dyDescent="0.25">
      <c r="A3210" t="s">
        <v>85</v>
      </c>
    </row>
    <row r="3211" spans="1:11" x14ac:dyDescent="0.25">
      <c r="A3211">
        <v>149.05567363359799</v>
      </c>
      <c r="B3211">
        <v>6.9500906913033198</v>
      </c>
      <c r="C3211">
        <v>2000</v>
      </c>
    </row>
    <row r="3212" spans="1:11" x14ac:dyDescent="0.25">
      <c r="A3212">
        <v>142.105582942295</v>
      </c>
      <c r="B3212">
        <v>0</v>
      </c>
      <c r="C3212">
        <v>2000</v>
      </c>
    </row>
    <row r="3213" spans="1:11" x14ac:dyDescent="0.25">
      <c r="A3213">
        <v>141.23155089339701</v>
      </c>
      <c r="B3213">
        <v>0</v>
      </c>
      <c r="C3213">
        <v>2001</v>
      </c>
    </row>
    <row r="3214" spans="1:11" x14ac:dyDescent="0.25">
      <c r="A3214">
        <v>148.951122340853</v>
      </c>
      <c r="B3214">
        <v>7.7195714474556301</v>
      </c>
      <c r="C3214">
        <v>2001</v>
      </c>
    </row>
    <row r="3215" spans="1:11" x14ac:dyDescent="0.25">
      <c r="A3215">
        <v>150</v>
      </c>
      <c r="B3215">
        <v>8.7684491066025796</v>
      </c>
      <c r="C3215">
        <v>2001</v>
      </c>
    </row>
    <row r="3216" spans="1:11" x14ac:dyDescent="0.25">
      <c r="A3216">
        <v>150</v>
      </c>
      <c r="B3216">
        <v>7.89441705770491</v>
      </c>
      <c r="C3216">
        <v>2000</v>
      </c>
    </row>
    <row r="3217" spans="1:11" x14ac:dyDescent="0.25">
      <c r="A3217" t="s">
        <v>86</v>
      </c>
    </row>
    <row r="3218" spans="1:11" x14ac:dyDescent="0.25">
      <c r="A3218">
        <v>827</v>
      </c>
      <c r="B3218">
        <v>0</v>
      </c>
      <c r="C3218">
        <v>0.62946746334262105</v>
      </c>
      <c r="D3218">
        <v>10.829330457987901</v>
      </c>
      <c r="E3218">
        <v>6</v>
      </c>
      <c r="F3218">
        <v>1.01722196789785</v>
      </c>
      <c r="G3218" t="s">
        <v>84</v>
      </c>
      <c r="H3218" t="s">
        <v>84</v>
      </c>
      <c r="I3218">
        <v>323</v>
      </c>
      <c r="J3218">
        <v>327</v>
      </c>
      <c r="K3218">
        <v>9.8407604610444205E-2</v>
      </c>
    </row>
    <row r="3219" spans="1:11" x14ac:dyDescent="0.25">
      <c r="A3219" t="s">
        <v>85</v>
      </c>
    </row>
    <row r="3220" spans="1:11" x14ac:dyDescent="0.25">
      <c r="A3220">
        <v>85.077692704772602</v>
      </c>
      <c r="B3220">
        <v>88.203544858942394</v>
      </c>
      <c r="C3220">
        <v>2000</v>
      </c>
    </row>
    <row r="3221" spans="1:11" x14ac:dyDescent="0.25">
      <c r="A3221">
        <v>84.632591992906796</v>
      </c>
      <c r="B3221">
        <v>87.758444147076503</v>
      </c>
      <c r="C3221">
        <v>2000</v>
      </c>
    </row>
    <row r="3222" spans="1:11" x14ac:dyDescent="0.25">
      <c r="A3222">
        <v>84.195575968457902</v>
      </c>
      <c r="B3222">
        <v>88.195460171525298</v>
      </c>
      <c r="C3222">
        <v>2001</v>
      </c>
    </row>
    <row r="3223" spans="1:11" x14ac:dyDescent="0.25">
      <c r="A3223">
        <v>84.640676680323807</v>
      </c>
      <c r="B3223">
        <v>88.640560883391203</v>
      </c>
      <c r="C3223">
        <v>2001</v>
      </c>
    </row>
    <row r="3224" spans="1:11" x14ac:dyDescent="0.25">
      <c r="A3224">
        <v>92.298169682877003</v>
      </c>
      <c r="B3224">
        <v>96.298053885944398</v>
      </c>
      <c r="C3224">
        <v>2001</v>
      </c>
    </row>
    <row r="3225" spans="1:11" x14ac:dyDescent="0.25">
      <c r="A3225">
        <v>92.735185707325897</v>
      </c>
      <c r="B3225">
        <v>95.861037861495603</v>
      </c>
      <c r="C3225">
        <v>2000</v>
      </c>
    </row>
    <row r="3226" spans="1:11" x14ac:dyDescent="0.25">
      <c r="A3226" t="s">
        <v>86</v>
      </c>
    </row>
    <row r="3227" spans="1:11" x14ac:dyDescent="0.25">
      <c r="A3227">
        <v>199</v>
      </c>
      <c r="B3227">
        <v>0</v>
      </c>
      <c r="C3227">
        <v>7.4190296369761297</v>
      </c>
      <c r="D3227">
        <v>3.9522252385954899</v>
      </c>
      <c r="E3227">
        <v>8</v>
      </c>
      <c r="F3227">
        <v>1.01722196789785</v>
      </c>
      <c r="G3227" t="s">
        <v>84</v>
      </c>
      <c r="H3227" t="s">
        <v>84</v>
      </c>
      <c r="I3227">
        <v>103</v>
      </c>
      <c r="J3227">
        <v>740</v>
      </c>
      <c r="K3227">
        <v>0</v>
      </c>
    </row>
    <row r="3228" spans="1:11" x14ac:dyDescent="0.25">
      <c r="A3228" t="s">
        <v>85</v>
      </c>
    </row>
    <row r="3229" spans="1:11" x14ac:dyDescent="0.25">
      <c r="A3229">
        <v>28.999656029515499</v>
      </c>
      <c r="B3229">
        <v>100.861909756834</v>
      </c>
      <c r="C3229">
        <v>2000</v>
      </c>
    </row>
    <row r="3230" spans="1:11" x14ac:dyDescent="0.25">
      <c r="A3230">
        <v>28.3562542849061</v>
      </c>
      <c r="B3230">
        <v>100.21850801222401</v>
      </c>
      <c r="C3230">
        <v>2000</v>
      </c>
    </row>
    <row r="3231" spans="1:11" x14ac:dyDescent="0.25">
      <c r="A3231">
        <v>23.753609863385702</v>
      </c>
      <c r="B3231">
        <v>95.615863590703995</v>
      </c>
      <c r="C3231">
        <v>2000</v>
      </c>
    </row>
    <row r="3232" spans="1:11" x14ac:dyDescent="0.25">
      <c r="A3232">
        <v>24.190625887834599</v>
      </c>
      <c r="B3232">
        <v>95.1788475662552</v>
      </c>
      <c r="C3232">
        <v>2001</v>
      </c>
    </row>
    <row r="3233" spans="1:11" x14ac:dyDescent="0.25">
      <c r="A3233">
        <v>28.793270309354899</v>
      </c>
      <c r="B3233">
        <v>99.781491987775595</v>
      </c>
      <c r="C3233">
        <v>2001</v>
      </c>
    </row>
    <row r="3234" spans="1:11" x14ac:dyDescent="0.25">
      <c r="A3234">
        <v>29.436672053964401</v>
      </c>
      <c r="B3234">
        <v>100.424893732385</v>
      </c>
      <c r="C3234">
        <v>2001</v>
      </c>
    </row>
    <row r="3235" spans="1:11" x14ac:dyDescent="0.25">
      <c r="A3235">
        <v>32.231317320951902</v>
      </c>
      <c r="B3235">
        <v>103.219538999373</v>
      </c>
      <c r="C3235">
        <v>2001</v>
      </c>
    </row>
    <row r="3236" spans="1:11" x14ac:dyDescent="0.25">
      <c r="A3236">
        <v>31.794301296503001</v>
      </c>
      <c r="B3236">
        <v>103.656555023821</v>
      </c>
      <c r="C3236">
        <v>2000</v>
      </c>
    </row>
    <row r="3237" spans="1:11" x14ac:dyDescent="0.25">
      <c r="A3237" t="s">
        <v>86</v>
      </c>
    </row>
    <row r="3238" spans="1:11" x14ac:dyDescent="0.25">
      <c r="A3238">
        <v>809</v>
      </c>
      <c r="B3238">
        <v>0</v>
      </c>
      <c r="C3238">
        <v>9.6380981872940605</v>
      </c>
      <c r="D3238">
        <v>0</v>
      </c>
      <c r="E3238">
        <v>5</v>
      </c>
      <c r="F3238">
        <v>1.01722196789785</v>
      </c>
      <c r="G3238" t="s">
        <v>84</v>
      </c>
      <c r="H3238" t="s">
        <v>84</v>
      </c>
      <c r="I3238">
        <v>332</v>
      </c>
      <c r="J3238">
        <v>765</v>
      </c>
      <c r="K3238">
        <v>9.7391432165086E-2</v>
      </c>
    </row>
    <row r="3239" spans="1:11" x14ac:dyDescent="0.25">
      <c r="A3239" t="s">
        <v>85</v>
      </c>
    </row>
    <row r="3240" spans="1:11" x14ac:dyDescent="0.25">
      <c r="A3240">
        <v>71.502891654853002</v>
      </c>
      <c r="B3240">
        <v>89.386991712906095</v>
      </c>
      <c r="C3240">
        <v>2000</v>
      </c>
    </row>
    <row r="3241" spans="1:11" x14ac:dyDescent="0.25">
      <c r="A3241">
        <v>64.687727068875603</v>
      </c>
      <c r="B3241">
        <v>82.571827126928696</v>
      </c>
      <c r="C3241">
        <v>2000</v>
      </c>
    </row>
    <row r="3242" spans="1:11" x14ac:dyDescent="0.25">
      <c r="A3242">
        <v>65.124743093324398</v>
      </c>
      <c r="B3242">
        <v>82.134811102479901</v>
      </c>
      <c r="C3242">
        <v>2001</v>
      </c>
    </row>
    <row r="3243" spans="1:11" x14ac:dyDescent="0.25">
      <c r="A3243">
        <v>71.939907679301797</v>
      </c>
      <c r="B3243">
        <v>88.9499756884573</v>
      </c>
      <c r="C3243">
        <v>2001</v>
      </c>
    </row>
    <row r="3244" spans="1:11" x14ac:dyDescent="0.25">
      <c r="A3244">
        <v>71.502891654853002</v>
      </c>
      <c r="B3244">
        <v>89.386991712906095</v>
      </c>
      <c r="C3244">
        <v>2000</v>
      </c>
    </row>
    <row r="3245" spans="1:11" x14ac:dyDescent="0.25">
      <c r="A3245" t="s">
        <v>86</v>
      </c>
    </row>
    <row r="3246" spans="1:11" x14ac:dyDescent="0.25">
      <c r="A3246">
        <v>192</v>
      </c>
      <c r="B3246">
        <v>0</v>
      </c>
      <c r="C3246">
        <v>3.49378047683054</v>
      </c>
      <c r="D3246">
        <v>5.9658669549633503</v>
      </c>
      <c r="E3246">
        <v>6</v>
      </c>
      <c r="F3246">
        <v>1.01722196789785</v>
      </c>
      <c r="G3246" t="s">
        <v>83</v>
      </c>
      <c r="H3246" t="s">
        <v>84</v>
      </c>
      <c r="I3246">
        <v>0</v>
      </c>
      <c r="J3246">
        <v>793</v>
      </c>
      <c r="K3246">
        <v>0</v>
      </c>
    </row>
    <row r="3247" spans="1:11" x14ac:dyDescent="0.25">
      <c r="A3247" t="s">
        <v>85</v>
      </c>
    </row>
    <row r="3248" spans="1:11" x14ac:dyDescent="0.25">
      <c r="A3248">
        <v>2.38977317366153</v>
      </c>
      <c r="B3248">
        <v>114.96328615649701</v>
      </c>
      <c r="C3248">
        <v>2000</v>
      </c>
    </row>
    <row r="3249" spans="1:11" x14ac:dyDescent="0.25">
      <c r="A3249">
        <v>0</v>
      </c>
      <c r="B3249">
        <v>112.573512982835</v>
      </c>
      <c r="C3249">
        <v>2000</v>
      </c>
    </row>
    <row r="3250" spans="1:11" x14ac:dyDescent="0.25">
      <c r="A3250">
        <v>0</v>
      </c>
      <c r="B3250">
        <v>111.69948093393801</v>
      </c>
      <c r="C3250">
        <v>2001</v>
      </c>
    </row>
    <row r="3251" spans="1:11" x14ac:dyDescent="0.25">
      <c r="A3251">
        <v>2.55117856062656</v>
      </c>
      <c r="B3251">
        <v>114.250659494564</v>
      </c>
      <c r="C3251">
        <v>2001</v>
      </c>
    </row>
    <row r="3252" spans="1:11" x14ac:dyDescent="0.25">
      <c r="A3252">
        <v>6.9074888588797796</v>
      </c>
      <c r="B3252">
        <v>118.606969792817</v>
      </c>
      <c r="C3252">
        <v>2001</v>
      </c>
    </row>
    <row r="3253" spans="1:11" x14ac:dyDescent="0.25">
      <c r="A3253">
        <v>6.4704728344309599</v>
      </c>
      <c r="B3253">
        <v>119.04398581726601</v>
      </c>
      <c r="C3253">
        <v>2000</v>
      </c>
    </row>
    <row r="3254" spans="1:11" x14ac:dyDescent="0.25">
      <c r="A3254" t="s">
        <v>86</v>
      </c>
    </row>
    <row r="3255" spans="1:11" x14ac:dyDescent="0.25">
      <c r="A3255">
        <v>585</v>
      </c>
      <c r="B3255">
        <v>0</v>
      </c>
      <c r="C3255">
        <v>8.6607571228439308</v>
      </c>
      <c r="D3255">
        <v>0.65461018267214399</v>
      </c>
      <c r="E3255">
        <v>6</v>
      </c>
      <c r="F3255">
        <v>1.01722196789785</v>
      </c>
      <c r="G3255" t="s">
        <v>84</v>
      </c>
      <c r="H3255" t="s">
        <v>84</v>
      </c>
      <c r="I3255">
        <v>782</v>
      </c>
      <c r="J3255">
        <v>598</v>
      </c>
      <c r="K3255">
        <v>0</v>
      </c>
    </row>
    <row r="3256" spans="1:11" x14ac:dyDescent="0.25">
      <c r="A3256" t="s">
        <v>85</v>
      </c>
    </row>
    <row r="3257" spans="1:11" x14ac:dyDescent="0.25">
      <c r="A3257">
        <v>130.783836561616</v>
      </c>
      <c r="B3257">
        <v>94.353585800325106</v>
      </c>
      <c r="C3257">
        <v>2000</v>
      </c>
    </row>
    <row r="3258" spans="1:11" x14ac:dyDescent="0.25">
      <c r="A3258">
        <v>124.659756469843</v>
      </c>
      <c r="B3258">
        <v>88.229505708552495</v>
      </c>
      <c r="C3258">
        <v>2000</v>
      </c>
    </row>
    <row r="3259" spans="1:11" x14ac:dyDescent="0.25">
      <c r="A3259">
        <v>124.222740445394</v>
      </c>
      <c r="B3259">
        <v>88.666521733001304</v>
      </c>
      <c r="C3259">
        <v>2001</v>
      </c>
    </row>
    <row r="3260" spans="1:11" x14ac:dyDescent="0.25">
      <c r="A3260">
        <v>130.34682053716699</v>
      </c>
      <c r="B3260">
        <v>94.790601824773901</v>
      </c>
      <c r="C3260">
        <v>2001</v>
      </c>
    </row>
    <row r="3261" spans="1:11" x14ac:dyDescent="0.25">
      <c r="A3261">
        <v>130.809699836368</v>
      </c>
      <c r="B3261">
        <v>95.253481123975206</v>
      </c>
      <c r="C3261">
        <v>2001</v>
      </c>
    </row>
    <row r="3262" spans="1:11" x14ac:dyDescent="0.25">
      <c r="A3262">
        <v>131.24671586081701</v>
      </c>
      <c r="B3262">
        <v>94.816465099526397</v>
      </c>
      <c r="C3262">
        <v>2000</v>
      </c>
    </row>
    <row r="3263" spans="1:11" x14ac:dyDescent="0.25">
      <c r="A3263" t="s">
        <v>86</v>
      </c>
    </row>
    <row r="3264" spans="1:11" x14ac:dyDescent="0.25">
      <c r="A3264">
        <v>274</v>
      </c>
      <c r="B3264">
        <v>0</v>
      </c>
      <c r="C3264">
        <v>4.0422767875606098</v>
      </c>
      <c r="D3264">
        <v>4.95173430400206</v>
      </c>
      <c r="E3264">
        <v>6</v>
      </c>
      <c r="F3264">
        <v>1.01722196789785</v>
      </c>
      <c r="G3264" t="s">
        <v>84</v>
      </c>
      <c r="H3264" t="s">
        <v>83</v>
      </c>
      <c r="I3264">
        <v>272</v>
      </c>
      <c r="J3264">
        <v>0</v>
      </c>
      <c r="K3264">
        <v>0</v>
      </c>
    </row>
    <row r="3265" spans="1:11" x14ac:dyDescent="0.25">
      <c r="A3265" t="s">
        <v>85</v>
      </c>
    </row>
    <row r="3266" spans="1:11" x14ac:dyDescent="0.25">
      <c r="A3266">
        <v>146.166194347242</v>
      </c>
      <c r="B3266">
        <v>146.61889666110599</v>
      </c>
      <c r="C3266">
        <v>2000</v>
      </c>
    </row>
    <row r="3267" spans="1:11" x14ac:dyDescent="0.25">
      <c r="A3267">
        <v>143.40607946545001</v>
      </c>
      <c r="B3267">
        <v>143.85878177931301</v>
      </c>
      <c r="C3267">
        <v>2000</v>
      </c>
    </row>
    <row r="3268" spans="1:11" x14ac:dyDescent="0.25">
      <c r="A3268">
        <v>143.84309548989901</v>
      </c>
      <c r="B3268">
        <v>143.42176575486499</v>
      </c>
      <c r="C3268">
        <v>2001</v>
      </c>
    </row>
    <row r="3269" spans="1:11" x14ac:dyDescent="0.25">
      <c r="A3269">
        <v>146.70141681781601</v>
      </c>
      <c r="B3269">
        <v>146.28008708278199</v>
      </c>
      <c r="C3269">
        <v>2001</v>
      </c>
    </row>
    <row r="3270" spans="1:11" x14ac:dyDescent="0.25">
      <c r="A3270">
        <v>150.20282172281</v>
      </c>
      <c r="B3270">
        <v>149.78149198777601</v>
      </c>
      <c r="C3270">
        <v>2001</v>
      </c>
    </row>
    <row r="3271" spans="1:11" x14ac:dyDescent="0.25">
      <c r="A3271">
        <v>149.547297686137</v>
      </c>
      <c r="B3271">
        <v>150</v>
      </c>
      <c r="C3271">
        <v>2000</v>
      </c>
    </row>
    <row r="3272" spans="1:11" x14ac:dyDescent="0.25">
      <c r="A3272" t="s">
        <v>86</v>
      </c>
    </row>
    <row r="3273" spans="1:11" x14ac:dyDescent="0.25">
      <c r="A3273">
        <v>224</v>
      </c>
      <c r="B3273">
        <v>1</v>
      </c>
      <c r="C3273">
        <v>7.8657957452796596</v>
      </c>
      <c r="D3273">
        <v>1.1000958022832801</v>
      </c>
      <c r="E3273">
        <v>6</v>
      </c>
      <c r="F3273">
        <v>1.01722196789785</v>
      </c>
      <c r="G3273" t="s">
        <v>87</v>
      </c>
      <c r="H3273" t="s">
        <v>87</v>
      </c>
      <c r="I3273">
        <v>836</v>
      </c>
      <c r="J3273">
        <v>814</v>
      </c>
      <c r="K3273">
        <v>0</v>
      </c>
    </row>
    <row r="3274" spans="1:11" x14ac:dyDescent="0.25">
      <c r="A3274" t="s">
        <v>85</v>
      </c>
    </row>
    <row r="3275" spans="1:11" x14ac:dyDescent="0.25">
      <c r="A3275">
        <v>9.6394890766399399</v>
      </c>
      <c r="B3275">
        <v>143.17773438600801</v>
      </c>
      <c r="C3275">
        <v>2000</v>
      </c>
    </row>
    <row r="3276" spans="1:11" x14ac:dyDescent="0.25">
      <c r="A3276">
        <v>4.4609266544886799</v>
      </c>
      <c r="B3276">
        <v>148.35629680815899</v>
      </c>
      <c r="C3276">
        <v>2000</v>
      </c>
    </row>
    <row r="3277" spans="1:11" x14ac:dyDescent="0.25">
      <c r="A3277">
        <v>3.58689460559102</v>
      </c>
      <c r="B3277">
        <v>148.35629680815899</v>
      </c>
      <c r="C3277">
        <v>2001</v>
      </c>
    </row>
    <row r="3278" spans="1:11" x14ac:dyDescent="0.25">
      <c r="A3278">
        <v>9.53224720527081</v>
      </c>
      <c r="B3278">
        <v>142.41094420847901</v>
      </c>
      <c r="C3278">
        <v>2001</v>
      </c>
    </row>
    <row r="3279" spans="1:11" x14ac:dyDescent="0.25">
      <c r="A3279">
        <v>10.363753342704699</v>
      </c>
      <c r="B3279">
        <v>141.57943807104499</v>
      </c>
      <c r="C3279">
        <v>2001</v>
      </c>
    </row>
    <row r="3280" spans="1:11" x14ac:dyDescent="0.25">
      <c r="A3280">
        <v>10.363753342704699</v>
      </c>
      <c r="B3280">
        <v>142.45347011994301</v>
      </c>
      <c r="C3280">
        <v>2000</v>
      </c>
    </row>
    <row r="3281" spans="1:11" x14ac:dyDescent="0.25">
      <c r="A3281" t="s">
        <v>86</v>
      </c>
    </row>
    <row r="3282" spans="1:11" x14ac:dyDescent="0.25">
      <c r="A3282">
        <v>948</v>
      </c>
      <c r="B3282">
        <v>1</v>
      </c>
      <c r="C3282">
        <v>5.0085113608650698</v>
      </c>
      <c r="D3282">
        <v>3.95738018669786</v>
      </c>
      <c r="E3282">
        <v>6</v>
      </c>
      <c r="F3282">
        <v>1.01722196789785</v>
      </c>
      <c r="G3282" t="s">
        <v>87</v>
      </c>
      <c r="H3282" t="s">
        <v>87</v>
      </c>
      <c r="I3282">
        <v>836</v>
      </c>
      <c r="J3282">
        <v>814</v>
      </c>
      <c r="K3282">
        <v>0.11865465261041699</v>
      </c>
    </row>
    <row r="3283" spans="1:11" x14ac:dyDescent="0.25">
      <c r="A3283" t="s">
        <v>85</v>
      </c>
    </row>
    <row r="3284" spans="1:11" x14ac:dyDescent="0.25">
      <c r="A3284">
        <v>3.3552734348472799</v>
      </c>
      <c r="B3284">
        <v>140.65578921797101</v>
      </c>
      <c r="C3284">
        <v>2000</v>
      </c>
    </row>
    <row r="3285" spans="1:11" x14ac:dyDescent="0.25">
      <c r="A3285">
        <v>5.7846249573806997E-2</v>
      </c>
      <c r="B3285">
        <v>143.953216403244</v>
      </c>
      <c r="C3285">
        <v>2000</v>
      </c>
    </row>
    <row r="3286" spans="1:11" x14ac:dyDescent="0.25">
      <c r="A3286">
        <v>5.7846249573805499E-2</v>
      </c>
      <c r="B3286">
        <v>144.82724845214199</v>
      </c>
      <c r="C3286">
        <v>2001</v>
      </c>
    </row>
    <row r="3287" spans="1:11" x14ac:dyDescent="0.25">
      <c r="A3287">
        <v>3.8435237581354298</v>
      </c>
      <c r="B3287">
        <v>141.04157094358001</v>
      </c>
      <c r="C3287">
        <v>2001</v>
      </c>
    </row>
    <row r="3288" spans="1:11" x14ac:dyDescent="0.25">
      <c r="A3288">
        <v>6.8347049866875196</v>
      </c>
      <c r="B3288">
        <v>138.05038971502799</v>
      </c>
      <c r="C3288">
        <v>2001</v>
      </c>
    </row>
    <row r="3289" spans="1:11" x14ac:dyDescent="0.25">
      <c r="A3289">
        <v>5.9606729377898597</v>
      </c>
      <c r="B3289">
        <v>138.05038971502799</v>
      </c>
      <c r="C3289">
        <v>2000</v>
      </c>
    </row>
    <row r="3290" spans="1:11" x14ac:dyDescent="0.25">
      <c r="A3290" t="s">
        <v>86</v>
      </c>
    </row>
    <row r="3291" spans="1:11" x14ac:dyDescent="0.25">
      <c r="A3291">
        <v>550</v>
      </c>
      <c r="B3291">
        <v>1</v>
      </c>
      <c r="C3291">
        <v>3.2271574221476298</v>
      </c>
      <c r="D3291">
        <v>5.1597251325512303</v>
      </c>
      <c r="E3291">
        <v>6</v>
      </c>
      <c r="F3291">
        <v>1.01722196789785</v>
      </c>
      <c r="G3291" t="s">
        <v>87</v>
      </c>
      <c r="H3291" t="s">
        <v>87</v>
      </c>
      <c r="I3291">
        <v>838</v>
      </c>
      <c r="J3291">
        <v>512</v>
      </c>
      <c r="K3291">
        <v>0</v>
      </c>
    </row>
    <row r="3292" spans="1:11" x14ac:dyDescent="0.25">
      <c r="A3292" t="s">
        <v>85</v>
      </c>
    </row>
    <row r="3293" spans="1:11" x14ac:dyDescent="0.25">
      <c r="A3293">
        <v>139.748449966306</v>
      </c>
      <c r="B3293">
        <v>5.47753678412084</v>
      </c>
      <c r="C3293">
        <v>2000</v>
      </c>
    </row>
    <row r="3294" spans="1:11" x14ac:dyDescent="0.25">
      <c r="A3294">
        <v>137.29834729447001</v>
      </c>
      <c r="B3294">
        <v>7.92763945595755</v>
      </c>
      <c r="C3294">
        <v>2000</v>
      </c>
    </row>
    <row r="3295" spans="1:11" x14ac:dyDescent="0.25">
      <c r="A3295">
        <v>137.29834729447001</v>
      </c>
      <c r="B3295">
        <v>7.0536074070598902</v>
      </c>
      <c r="C3295">
        <v>2001</v>
      </c>
    </row>
    <row r="3296" spans="1:11" x14ac:dyDescent="0.25">
      <c r="A3296">
        <v>139.412134416947</v>
      </c>
      <c r="B3296">
        <v>4.93982028458242</v>
      </c>
      <c r="C3296">
        <v>2001</v>
      </c>
    </row>
    <row r="3297" spans="1:11" x14ac:dyDescent="0.25">
      <c r="A3297">
        <v>142.791752797463</v>
      </c>
      <c r="B3297">
        <v>1.56020190406599</v>
      </c>
      <c r="C3297">
        <v>2001</v>
      </c>
    </row>
    <row r="3298" spans="1:11" x14ac:dyDescent="0.25">
      <c r="A3298">
        <v>143.66578484636099</v>
      </c>
      <c r="B3298">
        <v>1.56020190406599</v>
      </c>
      <c r="C3298">
        <v>2000</v>
      </c>
    </row>
    <row r="3299" spans="1:11" x14ac:dyDescent="0.25">
      <c r="A3299" t="s">
        <v>86</v>
      </c>
    </row>
    <row r="3300" spans="1:11" x14ac:dyDescent="0.25">
      <c r="A3300">
        <v>883</v>
      </c>
      <c r="B3300">
        <v>1</v>
      </c>
      <c r="C3300">
        <v>4.4186805060962797</v>
      </c>
      <c r="D3300">
        <v>3.96820204860258</v>
      </c>
      <c r="E3300">
        <v>6</v>
      </c>
      <c r="F3300">
        <v>1.01722196789785</v>
      </c>
      <c r="G3300" t="s">
        <v>87</v>
      </c>
      <c r="H3300" t="s">
        <v>87</v>
      </c>
      <c r="I3300">
        <v>838</v>
      </c>
      <c r="J3300">
        <v>512</v>
      </c>
      <c r="K3300">
        <v>0.115162323415006</v>
      </c>
    </row>
    <row r="3301" spans="1:11" x14ac:dyDescent="0.25">
      <c r="A3301" t="s">
        <v>85</v>
      </c>
    </row>
    <row r="3302" spans="1:11" x14ac:dyDescent="0.25">
      <c r="A3302">
        <v>143.03473870094101</v>
      </c>
      <c r="B3302">
        <v>6.9545838179928401</v>
      </c>
      <c r="C3302">
        <v>2000</v>
      </c>
    </row>
    <row r="3303" spans="1:11" x14ac:dyDescent="0.25">
      <c r="A3303">
        <v>139.68001517872301</v>
      </c>
      <c r="B3303">
        <v>10.3093073402109</v>
      </c>
      <c r="C3303">
        <v>2000</v>
      </c>
    </row>
    <row r="3304" spans="1:11" x14ac:dyDescent="0.25">
      <c r="A3304">
        <v>140.554047227621</v>
      </c>
      <c r="B3304">
        <v>10.3093073402109</v>
      </c>
      <c r="C3304">
        <v>2001</v>
      </c>
    </row>
    <row r="3305" spans="1:11" x14ac:dyDescent="0.25">
      <c r="A3305">
        <v>143.44828160491701</v>
      </c>
      <c r="B3305">
        <v>7.4150729629140004</v>
      </c>
      <c r="C3305">
        <v>2001</v>
      </c>
    </row>
    <row r="3306" spans="1:11" x14ac:dyDescent="0.25">
      <c r="A3306">
        <v>146.047452730614</v>
      </c>
      <c r="B3306">
        <v>4.8159018372170097</v>
      </c>
      <c r="C3306">
        <v>2001</v>
      </c>
    </row>
    <row r="3307" spans="1:11" x14ac:dyDescent="0.25">
      <c r="A3307">
        <v>146.047452730614</v>
      </c>
      <c r="B3307">
        <v>3.9418697883193499</v>
      </c>
      <c r="C3307">
        <v>2000</v>
      </c>
    </row>
    <row r="3308" spans="1:11" x14ac:dyDescent="0.25">
      <c r="A3308" t="s">
        <v>86</v>
      </c>
    </row>
    <row r="3309" spans="1:11" x14ac:dyDescent="0.25">
      <c r="A3309">
        <v>181</v>
      </c>
      <c r="B3309">
        <v>0</v>
      </c>
      <c r="C3309">
        <v>1.16706386729111</v>
      </c>
      <c r="D3309">
        <v>6.96272226483637</v>
      </c>
      <c r="E3309">
        <v>8</v>
      </c>
      <c r="F3309">
        <v>1.01722196789785</v>
      </c>
      <c r="G3309" t="s">
        <v>84</v>
      </c>
      <c r="H3309" t="s">
        <v>84</v>
      </c>
      <c r="I3309">
        <v>197</v>
      </c>
      <c r="J3309">
        <v>426</v>
      </c>
      <c r="K3309">
        <v>0</v>
      </c>
    </row>
    <row r="3310" spans="1:11" x14ac:dyDescent="0.25">
      <c r="A3310" t="s">
        <v>85</v>
      </c>
    </row>
    <row r="3311" spans="1:11" x14ac:dyDescent="0.25">
      <c r="A3311">
        <v>49.416341419064402</v>
      </c>
      <c r="B3311">
        <v>126.21832067808501</v>
      </c>
      <c r="C3311">
        <v>2000</v>
      </c>
    </row>
    <row r="3312" spans="1:11" x14ac:dyDescent="0.25">
      <c r="A3312">
        <v>48.591102644425099</v>
      </c>
      <c r="B3312">
        <v>125.393081903446</v>
      </c>
      <c r="C3312">
        <v>2000</v>
      </c>
    </row>
    <row r="3313" spans="1:11" x14ac:dyDescent="0.25">
      <c r="A3313">
        <v>49.028118668873901</v>
      </c>
      <c r="B3313">
        <v>124.95606587899699</v>
      </c>
      <c r="C3313">
        <v>2001</v>
      </c>
    </row>
    <row r="3314" spans="1:11" x14ac:dyDescent="0.25">
      <c r="A3314">
        <v>49.853357443513197</v>
      </c>
      <c r="B3314">
        <v>125.78130465363699</v>
      </c>
      <c r="C3314">
        <v>2001</v>
      </c>
    </row>
    <row r="3315" spans="1:11" x14ac:dyDescent="0.25">
      <c r="A3315">
        <v>50.218508012224397</v>
      </c>
      <c r="B3315">
        <v>126.146455222348</v>
      </c>
      <c r="C3315">
        <v>2001</v>
      </c>
    </row>
    <row r="3316" spans="1:11" x14ac:dyDescent="0.25">
      <c r="A3316">
        <v>54.776745572497603</v>
      </c>
      <c r="B3316">
        <v>130.70469278262101</v>
      </c>
      <c r="C3316">
        <v>2001</v>
      </c>
    </row>
    <row r="3317" spans="1:11" x14ac:dyDescent="0.25">
      <c r="A3317">
        <v>54.339729548048801</v>
      </c>
      <c r="B3317">
        <v>131.14170880706999</v>
      </c>
      <c r="C3317">
        <v>2000</v>
      </c>
    </row>
    <row r="3318" spans="1:11" x14ac:dyDescent="0.25">
      <c r="A3318">
        <v>49.781491987775603</v>
      </c>
      <c r="B3318">
        <v>126.583471246797</v>
      </c>
      <c r="C3318">
        <v>2000</v>
      </c>
    </row>
    <row r="3319" spans="1:11" x14ac:dyDescent="0.25">
      <c r="A3319" t="s">
        <v>86</v>
      </c>
    </row>
    <row r="3320" spans="1:11" x14ac:dyDescent="0.25">
      <c r="A3320">
        <v>836</v>
      </c>
      <c r="B3320">
        <v>0</v>
      </c>
      <c r="C3320">
        <v>3.0315989919527202</v>
      </c>
      <c r="D3320">
        <v>4.9836173412441802</v>
      </c>
      <c r="E3320">
        <v>6</v>
      </c>
      <c r="F3320">
        <v>1.01722196789785</v>
      </c>
      <c r="G3320" t="s">
        <v>83</v>
      </c>
      <c r="H3320" t="s">
        <v>83</v>
      </c>
      <c r="I3320">
        <v>0</v>
      </c>
      <c r="J3320">
        <v>0</v>
      </c>
      <c r="K3320">
        <v>9.8881923075800807E-2</v>
      </c>
    </row>
    <row r="3321" spans="1:11" x14ac:dyDescent="0.25">
      <c r="A3321" t="s">
        <v>85</v>
      </c>
    </row>
    <row r="3322" spans="1:11" x14ac:dyDescent="0.25">
      <c r="A3322">
        <v>2.3089569787064801</v>
      </c>
      <c r="B3322">
        <v>146.20432713237699</v>
      </c>
      <c r="C3322">
        <v>2000</v>
      </c>
    </row>
    <row r="3323" spans="1:11" x14ac:dyDescent="0.25">
      <c r="A3323">
        <v>0</v>
      </c>
      <c r="B3323">
        <v>143.89537015367</v>
      </c>
      <c r="C3323">
        <v>2000</v>
      </c>
    </row>
    <row r="3324" spans="1:11" x14ac:dyDescent="0.25">
      <c r="A3324">
        <v>0</v>
      </c>
      <c r="B3324">
        <v>144.76940220256799</v>
      </c>
      <c r="C3324">
        <v>2001</v>
      </c>
    </row>
    <row r="3325" spans="1:11" x14ac:dyDescent="0.25">
      <c r="A3325">
        <v>1.9783714313896701</v>
      </c>
      <c r="B3325">
        <v>146.74777363395799</v>
      </c>
      <c r="C3325">
        <v>2001</v>
      </c>
    </row>
    <row r="3326" spans="1:11" x14ac:dyDescent="0.25">
      <c r="A3326">
        <v>5.2305977974318898</v>
      </c>
      <c r="B3326">
        <v>150</v>
      </c>
      <c r="C3326">
        <v>2001</v>
      </c>
    </row>
    <row r="3327" spans="1:11" x14ac:dyDescent="0.25">
      <c r="A3327">
        <v>6.1046298463295496</v>
      </c>
      <c r="B3327">
        <v>150</v>
      </c>
      <c r="C3327">
        <v>2000</v>
      </c>
    </row>
    <row r="3328" spans="1:11" x14ac:dyDescent="0.25">
      <c r="A3328" t="s">
        <v>86</v>
      </c>
    </row>
    <row r="3329" spans="1:11" x14ac:dyDescent="0.25">
      <c r="A3329">
        <v>518</v>
      </c>
      <c r="B3329">
        <v>0</v>
      </c>
      <c r="C3329">
        <v>6.6275426840944398</v>
      </c>
      <c r="D3329">
        <v>1.27179188555733</v>
      </c>
      <c r="E3329">
        <v>6</v>
      </c>
      <c r="F3329">
        <v>1.01722196789785</v>
      </c>
      <c r="G3329" t="s">
        <v>84</v>
      </c>
      <c r="H3329" t="s">
        <v>84</v>
      </c>
      <c r="I3329">
        <v>520</v>
      </c>
      <c r="J3329">
        <v>502</v>
      </c>
      <c r="K3329">
        <v>0</v>
      </c>
    </row>
    <row r="3330" spans="1:11" x14ac:dyDescent="0.25">
      <c r="A3330" t="s">
        <v>85</v>
      </c>
    </row>
    <row r="3331" spans="1:11" x14ac:dyDescent="0.25">
      <c r="A3331">
        <v>128.48508801334299</v>
      </c>
      <c r="B3331">
        <v>32.810386335850097</v>
      </c>
      <c r="C3331">
        <v>2000</v>
      </c>
    </row>
    <row r="3332" spans="1:11" x14ac:dyDescent="0.25">
      <c r="A3332">
        <v>123.798707638816</v>
      </c>
      <c r="B3332">
        <v>28.124005961323601</v>
      </c>
      <c r="C3332">
        <v>2000</v>
      </c>
    </row>
    <row r="3333" spans="1:11" x14ac:dyDescent="0.25">
      <c r="A3333">
        <v>124.23572366326501</v>
      </c>
      <c r="B3333">
        <v>27.686989936874799</v>
      </c>
      <c r="C3333">
        <v>2001</v>
      </c>
    </row>
    <row r="3334" spans="1:11" x14ac:dyDescent="0.25">
      <c r="A3334">
        <v>128.922104037792</v>
      </c>
      <c r="B3334">
        <v>32.373370311401303</v>
      </c>
      <c r="C3334">
        <v>2001</v>
      </c>
    </row>
    <row r="3335" spans="1:11" x14ac:dyDescent="0.25">
      <c r="A3335">
        <v>129.82139670432699</v>
      </c>
      <c r="B3335">
        <v>33.272662977936903</v>
      </c>
      <c r="C3335">
        <v>2001</v>
      </c>
    </row>
    <row r="3336" spans="1:11" x14ac:dyDescent="0.25">
      <c r="A3336">
        <v>129.384380679879</v>
      </c>
      <c r="B3336">
        <v>33.709679002385698</v>
      </c>
      <c r="C3336">
        <v>2000</v>
      </c>
    </row>
    <row r="3337" spans="1:11" x14ac:dyDescent="0.25">
      <c r="A3337" t="s">
        <v>86</v>
      </c>
    </row>
    <row r="3338" spans="1:11" x14ac:dyDescent="0.25">
      <c r="A3338">
        <v>726</v>
      </c>
      <c r="B3338">
        <v>0</v>
      </c>
      <c r="C3338">
        <v>2.7671211576351902</v>
      </c>
      <c r="D3338">
        <v>3.89910023248515</v>
      </c>
      <c r="E3338">
        <v>6</v>
      </c>
      <c r="F3338">
        <v>1.01722196789785</v>
      </c>
      <c r="G3338" t="s">
        <v>84</v>
      </c>
      <c r="H3338" t="s">
        <v>83</v>
      </c>
      <c r="I3338">
        <v>432</v>
      </c>
      <c r="J3338">
        <v>0</v>
      </c>
      <c r="K3338">
        <v>9.4763910412348204E-2</v>
      </c>
    </row>
    <row r="3339" spans="1:11" x14ac:dyDescent="0.25">
      <c r="A3339" t="s">
        <v>85</v>
      </c>
    </row>
    <row r="3340" spans="1:11" x14ac:dyDescent="0.25">
      <c r="A3340">
        <v>84.132189783599003</v>
      </c>
      <c r="B3340">
        <v>147.115113552526</v>
      </c>
      <c r="C3340">
        <v>2000</v>
      </c>
    </row>
    <row r="3341" spans="1:11" x14ac:dyDescent="0.25">
      <c r="A3341">
        <v>82.084837869003294</v>
      </c>
      <c r="B3341">
        <v>145.067761637931</v>
      </c>
      <c r="C3341">
        <v>2000</v>
      </c>
    </row>
    <row r="3342" spans="1:11" x14ac:dyDescent="0.25">
      <c r="A3342">
        <v>81.6478218445545</v>
      </c>
      <c r="B3342">
        <v>145.50477766238001</v>
      </c>
      <c r="C3342">
        <v>2001</v>
      </c>
    </row>
    <row r="3343" spans="1:11" x14ac:dyDescent="0.25">
      <c r="A3343">
        <v>83.513770199815994</v>
      </c>
      <c r="B3343">
        <v>147.370726017641</v>
      </c>
      <c r="C3343">
        <v>2001</v>
      </c>
    </row>
    <row r="3344" spans="1:11" x14ac:dyDescent="0.25">
      <c r="A3344">
        <v>86.143044182174904</v>
      </c>
      <c r="B3344">
        <v>150</v>
      </c>
      <c r="C3344">
        <v>2001</v>
      </c>
    </row>
    <row r="3345" spans="1:11" x14ac:dyDescent="0.25">
      <c r="A3345">
        <v>87.017076231072593</v>
      </c>
      <c r="B3345">
        <v>150</v>
      </c>
      <c r="C3345">
        <v>2000</v>
      </c>
    </row>
    <row r="3346" spans="1:11" x14ac:dyDescent="0.25">
      <c r="A3346" t="s">
        <v>86</v>
      </c>
    </row>
    <row r="3347" spans="1:11" x14ac:dyDescent="0.25">
      <c r="A3347">
        <v>101</v>
      </c>
      <c r="B3347">
        <v>0</v>
      </c>
      <c r="C3347">
        <v>5.9642670489603402</v>
      </c>
      <c r="D3347">
        <v>0.65461018267214399</v>
      </c>
      <c r="E3347">
        <v>6</v>
      </c>
      <c r="F3347">
        <v>1.01722196789785</v>
      </c>
      <c r="G3347" t="s">
        <v>84</v>
      </c>
      <c r="H3347" t="s">
        <v>84</v>
      </c>
      <c r="I3347">
        <v>744</v>
      </c>
      <c r="J3347">
        <v>737</v>
      </c>
      <c r="K3347">
        <v>0</v>
      </c>
    </row>
    <row r="3348" spans="1:11" x14ac:dyDescent="0.25">
      <c r="A3348" t="s">
        <v>85</v>
      </c>
    </row>
    <row r="3349" spans="1:11" x14ac:dyDescent="0.25">
      <c r="A3349">
        <v>13.4881405492679</v>
      </c>
      <c r="B3349">
        <v>91.653189567691996</v>
      </c>
      <c r="C3349">
        <v>2000</v>
      </c>
    </row>
    <row r="3350" spans="1:11" x14ac:dyDescent="0.25">
      <c r="A3350">
        <v>9.2707668741405502</v>
      </c>
      <c r="B3350">
        <v>87.435815892564705</v>
      </c>
      <c r="C3350">
        <v>2000</v>
      </c>
    </row>
    <row r="3351" spans="1:11" x14ac:dyDescent="0.25">
      <c r="A3351">
        <v>8.8337508496917305</v>
      </c>
      <c r="B3351">
        <v>87.872831917013499</v>
      </c>
      <c r="C3351">
        <v>2001</v>
      </c>
    </row>
    <row r="3352" spans="1:11" x14ac:dyDescent="0.25">
      <c r="A3352">
        <v>13.0511245248191</v>
      </c>
      <c r="B3352">
        <v>92.090205592140805</v>
      </c>
      <c r="C3352">
        <v>2001</v>
      </c>
    </row>
    <row r="3353" spans="1:11" x14ac:dyDescent="0.25">
      <c r="A3353">
        <v>13.5140038240203</v>
      </c>
      <c r="B3353">
        <v>92.553084891342095</v>
      </c>
      <c r="C3353">
        <v>2001</v>
      </c>
    </row>
    <row r="3354" spans="1:11" x14ac:dyDescent="0.25">
      <c r="A3354">
        <v>13.9510198484691</v>
      </c>
      <c r="B3354">
        <v>92.116068866893301</v>
      </c>
      <c r="C3354">
        <v>2000</v>
      </c>
    </row>
    <row r="3355" spans="1:11" x14ac:dyDescent="0.25">
      <c r="A3355" t="s">
        <v>86</v>
      </c>
    </row>
    <row r="3356" spans="1:11" x14ac:dyDescent="0.25">
      <c r="A3356">
        <v>791</v>
      </c>
      <c r="B3356">
        <v>0</v>
      </c>
      <c r="C3356">
        <v>2.6893567201808799</v>
      </c>
      <c r="D3356">
        <v>3.7509843391586299</v>
      </c>
      <c r="E3356">
        <v>6</v>
      </c>
      <c r="F3356">
        <v>1.01722196789785</v>
      </c>
      <c r="G3356" t="s">
        <v>84</v>
      </c>
      <c r="H3356" t="s">
        <v>84</v>
      </c>
      <c r="I3356">
        <v>404</v>
      </c>
      <c r="J3356">
        <v>757</v>
      </c>
      <c r="K3356">
        <v>9.6846384952709502E-2</v>
      </c>
    </row>
    <row r="3357" spans="1:11" x14ac:dyDescent="0.25">
      <c r="A3357" t="s">
        <v>85</v>
      </c>
    </row>
    <row r="3358" spans="1:11" x14ac:dyDescent="0.25">
      <c r="A3358">
        <v>93.148401326107802</v>
      </c>
      <c r="B3358">
        <v>129.552546649958</v>
      </c>
      <c r="C3358">
        <v>2000</v>
      </c>
    </row>
    <row r="3359" spans="1:11" x14ac:dyDescent="0.25">
      <c r="A3359">
        <v>91.246738952238303</v>
      </c>
      <c r="B3359">
        <v>127.650884276089</v>
      </c>
      <c r="C3359">
        <v>2000</v>
      </c>
    </row>
    <row r="3360" spans="1:11" x14ac:dyDescent="0.25">
      <c r="A3360">
        <v>91.683754976687098</v>
      </c>
      <c r="B3360">
        <v>127.21386825163999</v>
      </c>
      <c r="C3360">
        <v>2001</v>
      </c>
    </row>
    <row r="3361" spans="1:11" x14ac:dyDescent="0.25">
      <c r="A3361">
        <v>93.585417350556597</v>
      </c>
      <c r="B3361">
        <v>129.11553062550999</v>
      </c>
      <c r="C3361">
        <v>2001</v>
      </c>
    </row>
    <row r="3362" spans="1:11" x14ac:dyDescent="0.25">
      <c r="A3362">
        <v>96.237763812900198</v>
      </c>
      <c r="B3362">
        <v>131.76787708785301</v>
      </c>
      <c r="C3362">
        <v>2001</v>
      </c>
    </row>
    <row r="3363" spans="1:11" x14ac:dyDescent="0.25">
      <c r="A3363">
        <v>95.800747788451403</v>
      </c>
      <c r="B3363">
        <v>132.20489311230199</v>
      </c>
      <c r="C3363">
        <v>2000</v>
      </c>
    </row>
    <row r="3364" spans="1:11" x14ac:dyDescent="0.25">
      <c r="A3364" t="s">
        <v>86</v>
      </c>
    </row>
    <row r="3365" spans="1:11" x14ac:dyDescent="0.25">
      <c r="A3365">
        <v>831</v>
      </c>
      <c r="B3365">
        <v>0</v>
      </c>
      <c r="C3365">
        <v>0.83312676477930803</v>
      </c>
      <c r="D3365">
        <v>5.4910655127969497</v>
      </c>
      <c r="E3365">
        <v>6</v>
      </c>
      <c r="F3365">
        <v>1.01722196789785</v>
      </c>
      <c r="G3365" t="s">
        <v>84</v>
      </c>
      <c r="H3365" t="s">
        <v>84</v>
      </c>
      <c r="I3365">
        <v>196</v>
      </c>
      <c r="J3365">
        <v>416</v>
      </c>
      <c r="K3365">
        <v>9.8647374787755204E-2</v>
      </c>
    </row>
    <row r="3366" spans="1:11" x14ac:dyDescent="0.25">
      <c r="A3366" t="s">
        <v>85</v>
      </c>
    </row>
    <row r="3367" spans="1:11" x14ac:dyDescent="0.25">
      <c r="A3367">
        <v>53.987836983044701</v>
      </c>
      <c r="B3367">
        <v>119.885816384058</v>
      </c>
      <c r="C3367">
        <v>2000</v>
      </c>
    </row>
    <row r="3368" spans="1:11" x14ac:dyDescent="0.25">
      <c r="A3368">
        <v>53.398727398081299</v>
      </c>
      <c r="B3368">
        <v>119.29670679909501</v>
      </c>
      <c r="C3368">
        <v>2000</v>
      </c>
    </row>
    <row r="3369" spans="1:11" x14ac:dyDescent="0.25">
      <c r="A3369">
        <v>52.961711373632397</v>
      </c>
      <c r="B3369">
        <v>119.733722823544</v>
      </c>
      <c r="C3369">
        <v>2001</v>
      </c>
    </row>
    <row r="3370" spans="1:11" x14ac:dyDescent="0.25">
      <c r="A3370">
        <v>53.550820958595899</v>
      </c>
      <c r="B3370">
        <v>120.322832408507</v>
      </c>
      <c r="C3370">
        <v>2001</v>
      </c>
    </row>
    <row r="3371" spans="1:11" x14ac:dyDescent="0.25">
      <c r="A3371">
        <v>57.433590618634199</v>
      </c>
      <c r="B3371">
        <v>124.20560206854501</v>
      </c>
      <c r="C3371">
        <v>2001</v>
      </c>
    </row>
    <row r="3372" spans="1:11" x14ac:dyDescent="0.25">
      <c r="A3372">
        <v>57.870606643083001</v>
      </c>
      <c r="B3372">
        <v>123.768586044096</v>
      </c>
      <c r="C3372">
        <v>2000</v>
      </c>
    </row>
    <row r="3373" spans="1:11" x14ac:dyDescent="0.25">
      <c r="A3373" t="s">
        <v>86</v>
      </c>
    </row>
    <row r="3374" spans="1:11" x14ac:dyDescent="0.25">
      <c r="A3374">
        <v>825</v>
      </c>
      <c r="B3374">
        <v>0</v>
      </c>
      <c r="C3374">
        <v>9.9438031091203499E-2</v>
      </c>
      <c r="D3374">
        <v>6.1173452200069596</v>
      </c>
      <c r="E3374">
        <v>6</v>
      </c>
      <c r="F3374">
        <v>1.01722196789785</v>
      </c>
      <c r="G3374" t="s">
        <v>83</v>
      </c>
      <c r="H3374" t="s">
        <v>84</v>
      </c>
      <c r="I3374">
        <v>0</v>
      </c>
      <c r="J3374">
        <v>425</v>
      </c>
      <c r="K3374">
        <v>9.8162370459708201E-2</v>
      </c>
    </row>
    <row r="3375" spans="1:11" x14ac:dyDescent="0.25">
      <c r="A3375" t="s">
        <v>85</v>
      </c>
    </row>
    <row r="3376" spans="1:11" x14ac:dyDescent="0.25">
      <c r="A3376">
        <v>6.6818249945922406E-2</v>
      </c>
      <c r="B3376">
        <v>88.718683996135198</v>
      </c>
      <c r="C3376">
        <v>2000</v>
      </c>
    </row>
    <row r="3377" spans="1:11" x14ac:dyDescent="0.25">
      <c r="A3377">
        <v>0</v>
      </c>
      <c r="B3377">
        <v>88.651865746189202</v>
      </c>
      <c r="C3377">
        <v>2000</v>
      </c>
    </row>
    <row r="3378" spans="1:11" x14ac:dyDescent="0.25">
      <c r="A3378">
        <v>0</v>
      </c>
      <c r="B3378">
        <v>87.777833697291598</v>
      </c>
      <c r="C3378">
        <v>2001</v>
      </c>
    </row>
    <row r="3379" spans="1:11" x14ac:dyDescent="0.25">
      <c r="A3379">
        <v>7.3808362238934999E-2</v>
      </c>
      <c r="B3379">
        <v>87.851642059530505</v>
      </c>
      <c r="C3379">
        <v>2001</v>
      </c>
    </row>
    <row r="3380" spans="1:11" x14ac:dyDescent="0.25">
      <c r="A3380">
        <v>4.6144376062428698</v>
      </c>
      <c r="B3380">
        <v>92.3922713035345</v>
      </c>
      <c r="C3380">
        <v>2001</v>
      </c>
    </row>
    <row r="3381" spans="1:11" x14ac:dyDescent="0.25">
      <c r="A3381">
        <v>4.1774215817940501</v>
      </c>
      <c r="B3381">
        <v>92.829287327983295</v>
      </c>
      <c r="C3381">
        <v>2000</v>
      </c>
    </row>
    <row r="3382" spans="1:11" x14ac:dyDescent="0.25">
      <c r="A3382" t="s">
        <v>86</v>
      </c>
    </row>
    <row r="3383" spans="1:11" x14ac:dyDescent="0.25">
      <c r="A3383">
        <v>33</v>
      </c>
      <c r="B3383">
        <v>0</v>
      </c>
      <c r="C3383">
        <v>1.27345285317913</v>
      </c>
      <c r="D3383">
        <v>4.6161050044735603</v>
      </c>
      <c r="E3383">
        <v>6</v>
      </c>
      <c r="F3383">
        <v>1.01722196789785</v>
      </c>
      <c r="G3383" t="s">
        <v>83</v>
      </c>
      <c r="H3383" t="s">
        <v>84</v>
      </c>
      <c r="I3383">
        <v>0</v>
      </c>
      <c r="J3383">
        <v>10</v>
      </c>
      <c r="K3383">
        <v>0</v>
      </c>
    </row>
    <row r="3384" spans="1:11" x14ac:dyDescent="0.25">
      <c r="A3384" t="s">
        <v>85</v>
      </c>
    </row>
    <row r="3385" spans="1:11" x14ac:dyDescent="0.25">
      <c r="A3385">
        <v>21.556903643883899</v>
      </c>
      <c r="B3385">
        <v>0.94771341985274404</v>
      </c>
      <c r="C3385">
        <v>2000</v>
      </c>
    </row>
    <row r="3386" spans="1:11" x14ac:dyDescent="0.25">
      <c r="A3386">
        <v>20.609190224031199</v>
      </c>
      <c r="B3386">
        <v>0</v>
      </c>
      <c r="C3386">
        <v>2000</v>
      </c>
    </row>
    <row r="3387" spans="1:11" x14ac:dyDescent="0.25">
      <c r="A3387">
        <v>21.483222272928799</v>
      </c>
      <c r="B3387">
        <v>0</v>
      </c>
      <c r="C3387">
        <v>2001</v>
      </c>
    </row>
    <row r="3388" spans="1:11" x14ac:dyDescent="0.25">
      <c r="A3388">
        <v>22.336443149084701</v>
      </c>
      <c r="B3388">
        <v>0.85322087615589703</v>
      </c>
      <c r="C3388">
        <v>2001</v>
      </c>
    </row>
    <row r="3389" spans="1:11" x14ac:dyDescent="0.25">
      <c r="A3389">
        <v>25.429260560041101</v>
      </c>
      <c r="B3389">
        <v>3.9460382871123199</v>
      </c>
      <c r="C3389">
        <v>2001</v>
      </c>
    </row>
    <row r="3390" spans="1:11" x14ac:dyDescent="0.25">
      <c r="A3390">
        <v>24.992244535592299</v>
      </c>
      <c r="B3390">
        <v>4.38305431156114</v>
      </c>
      <c r="C3390">
        <v>2000</v>
      </c>
    </row>
    <row r="3391" spans="1:11" x14ac:dyDescent="0.25">
      <c r="A3391" t="s">
        <v>86</v>
      </c>
    </row>
    <row r="3392" spans="1:11" x14ac:dyDescent="0.25">
      <c r="A3392">
        <v>598</v>
      </c>
      <c r="B3392">
        <v>0</v>
      </c>
      <c r="C3392">
        <v>0.76892399259298805</v>
      </c>
      <c r="D3392">
        <v>4.9934273457113303</v>
      </c>
      <c r="E3392">
        <v>6</v>
      </c>
      <c r="F3392">
        <v>1.01722196789785</v>
      </c>
      <c r="G3392" t="s">
        <v>84</v>
      </c>
      <c r="H3392" t="s">
        <v>84</v>
      </c>
      <c r="I3392">
        <v>585</v>
      </c>
      <c r="J3392">
        <v>268</v>
      </c>
      <c r="K3392">
        <v>0</v>
      </c>
    </row>
    <row r="3393" spans="1:11" x14ac:dyDescent="0.25">
      <c r="A3393" t="s">
        <v>85</v>
      </c>
    </row>
    <row r="3394" spans="1:11" x14ac:dyDescent="0.25">
      <c r="A3394">
        <v>131.12794010580399</v>
      </c>
      <c r="B3394">
        <v>96.022663593298304</v>
      </c>
      <c r="C3394">
        <v>2000</v>
      </c>
    </row>
    <row r="3395" spans="1:11" x14ac:dyDescent="0.25">
      <c r="A3395">
        <v>130.584228736424</v>
      </c>
      <c r="B3395">
        <v>95.478952223918796</v>
      </c>
      <c r="C3395">
        <v>2000</v>
      </c>
    </row>
    <row r="3396" spans="1:11" x14ac:dyDescent="0.25">
      <c r="A3396">
        <v>131.021244760873</v>
      </c>
      <c r="B3396">
        <v>95.041936199470001</v>
      </c>
      <c r="C3396">
        <v>2001</v>
      </c>
    </row>
    <row r="3397" spans="1:11" x14ac:dyDescent="0.25">
      <c r="A3397">
        <v>131.56495613025299</v>
      </c>
      <c r="B3397">
        <v>95.585647568849495</v>
      </c>
      <c r="C3397">
        <v>2001</v>
      </c>
    </row>
    <row r="3398" spans="1:11" x14ac:dyDescent="0.25">
      <c r="A3398">
        <v>135.09584246776799</v>
      </c>
      <c r="B3398">
        <v>99.116533906364296</v>
      </c>
      <c r="C3398">
        <v>2001</v>
      </c>
    </row>
    <row r="3399" spans="1:11" x14ac:dyDescent="0.25">
      <c r="A3399">
        <v>134.65882644331899</v>
      </c>
      <c r="B3399">
        <v>99.553549930813105</v>
      </c>
      <c r="C3399">
        <v>2000</v>
      </c>
    </row>
    <row r="3400" spans="1:11" x14ac:dyDescent="0.25">
      <c r="A3400" t="s">
        <v>86</v>
      </c>
    </row>
    <row r="3401" spans="1:11" x14ac:dyDescent="0.25">
      <c r="A3401">
        <v>762</v>
      </c>
      <c r="B3401">
        <v>0</v>
      </c>
      <c r="C3401">
        <v>2.7262883781461902</v>
      </c>
      <c r="D3401">
        <v>2.4204034090528199</v>
      </c>
      <c r="E3401">
        <v>8</v>
      </c>
      <c r="F3401">
        <v>1.01722196789785</v>
      </c>
      <c r="G3401" t="s">
        <v>84</v>
      </c>
      <c r="H3401" t="s">
        <v>84</v>
      </c>
      <c r="I3401">
        <v>770</v>
      </c>
      <c r="J3401">
        <v>422</v>
      </c>
      <c r="K3401">
        <v>9.5703858509913295E-2</v>
      </c>
    </row>
    <row r="3402" spans="1:11" x14ac:dyDescent="0.25">
      <c r="A3402" t="s">
        <v>85</v>
      </c>
    </row>
    <row r="3403" spans="1:11" x14ac:dyDescent="0.25">
      <c r="A3403">
        <v>44.510272751795398</v>
      </c>
      <c r="B3403">
        <v>98.647294608250704</v>
      </c>
      <c r="C3403">
        <v>2000</v>
      </c>
    </row>
    <row r="3404" spans="1:11" x14ac:dyDescent="0.25">
      <c r="A3404">
        <v>42.5824957521382</v>
      </c>
      <c r="B3404">
        <v>96.719517608593407</v>
      </c>
      <c r="C3404">
        <v>2000</v>
      </c>
    </row>
    <row r="3405" spans="1:11" x14ac:dyDescent="0.25">
      <c r="A3405">
        <v>42.145479727689398</v>
      </c>
      <c r="B3405">
        <v>97.156533633042201</v>
      </c>
      <c r="C3405">
        <v>2001</v>
      </c>
    </row>
    <row r="3406" spans="1:11" x14ac:dyDescent="0.25">
      <c r="A3406">
        <v>44.073256727346603</v>
      </c>
      <c r="B3406">
        <v>99.084310632699498</v>
      </c>
      <c r="C3406">
        <v>2001</v>
      </c>
    </row>
    <row r="3407" spans="1:11" x14ac:dyDescent="0.25">
      <c r="A3407">
        <v>45.207454106871502</v>
      </c>
      <c r="B3407">
        <v>100.21850801222401</v>
      </c>
      <c r="C3407">
        <v>2001</v>
      </c>
    </row>
    <row r="3408" spans="1:11" x14ac:dyDescent="0.25">
      <c r="A3408">
        <v>45.7847403910949</v>
      </c>
      <c r="B3408">
        <v>100.79579429644799</v>
      </c>
      <c r="C3408">
        <v>2001</v>
      </c>
    </row>
    <row r="3409" spans="1:11" x14ac:dyDescent="0.25">
      <c r="A3409">
        <v>46.221756415543702</v>
      </c>
      <c r="B3409">
        <v>100.358778271999</v>
      </c>
      <c r="C3409">
        <v>2000</v>
      </c>
    </row>
    <row r="3410" spans="1:11" x14ac:dyDescent="0.25">
      <c r="A3410">
        <v>45.644470131320404</v>
      </c>
      <c r="B3410">
        <v>99.781491987775595</v>
      </c>
      <c r="C3410">
        <v>2000</v>
      </c>
    </row>
    <row r="3411" spans="1:11" x14ac:dyDescent="0.25">
      <c r="A3411" t="s">
        <v>86</v>
      </c>
    </row>
    <row r="3412" spans="1:11" x14ac:dyDescent="0.25">
      <c r="A3412">
        <v>64</v>
      </c>
      <c r="B3412">
        <v>1</v>
      </c>
      <c r="C3412">
        <v>2.7661900463889499</v>
      </c>
      <c r="D3412">
        <v>2.0807503334268498</v>
      </c>
      <c r="E3412">
        <v>6</v>
      </c>
      <c r="F3412">
        <v>1.01722196789785</v>
      </c>
      <c r="G3412" t="s">
        <v>87</v>
      </c>
      <c r="H3412" t="s">
        <v>87</v>
      </c>
      <c r="I3412">
        <v>835</v>
      </c>
      <c r="J3412">
        <v>842</v>
      </c>
      <c r="K3412">
        <v>0</v>
      </c>
    </row>
    <row r="3413" spans="1:11" x14ac:dyDescent="0.25">
      <c r="A3413" t="s">
        <v>85</v>
      </c>
    </row>
    <row r="3414" spans="1:11" x14ac:dyDescent="0.25">
      <c r="A3414">
        <v>5.0702450367796299</v>
      </c>
      <c r="B3414">
        <v>24.820062559113701</v>
      </c>
      <c r="C3414">
        <v>2000</v>
      </c>
    </row>
    <row r="3415" spans="1:11" x14ac:dyDescent="0.25">
      <c r="A3415">
        <v>2.8648445396054498</v>
      </c>
      <c r="B3415">
        <v>27.025463056287901</v>
      </c>
      <c r="C3415">
        <v>2000</v>
      </c>
    </row>
    <row r="3416" spans="1:11" x14ac:dyDescent="0.25">
      <c r="A3416">
        <v>2.8648445396054498</v>
      </c>
      <c r="B3416">
        <v>26.151431007390201</v>
      </c>
      <c r="C3416">
        <v>2001</v>
      </c>
    </row>
    <row r="3417" spans="1:11" x14ac:dyDescent="0.25">
      <c r="A3417">
        <v>4.5714275221359904</v>
      </c>
      <c r="B3417">
        <v>24.444848024859699</v>
      </c>
      <c r="C3417">
        <v>2001</v>
      </c>
    </row>
    <row r="3418" spans="1:11" x14ac:dyDescent="0.25">
      <c r="A3418">
        <v>5.8551329257312901</v>
      </c>
      <c r="B3418">
        <v>23.1611426212644</v>
      </c>
      <c r="C3418">
        <v>2001</v>
      </c>
    </row>
    <row r="3419" spans="1:11" x14ac:dyDescent="0.25">
      <c r="A3419">
        <v>6.7291649746289304</v>
      </c>
      <c r="B3419">
        <v>23.1611426212644</v>
      </c>
      <c r="C3419">
        <v>2000</v>
      </c>
    </row>
    <row r="3420" spans="1:11" x14ac:dyDescent="0.25">
      <c r="A3420" t="s">
        <v>86</v>
      </c>
    </row>
    <row r="3421" spans="1:11" x14ac:dyDescent="0.25">
      <c r="A3421">
        <v>62</v>
      </c>
      <c r="B3421">
        <v>1</v>
      </c>
      <c r="C3421">
        <v>1.4894224588181899</v>
      </c>
      <c r="D3421">
        <v>3.3575179209976098</v>
      </c>
      <c r="E3421">
        <v>6</v>
      </c>
      <c r="F3421">
        <v>1.01722196789785</v>
      </c>
      <c r="G3421" t="s">
        <v>87</v>
      </c>
      <c r="H3421" t="s">
        <v>87</v>
      </c>
      <c r="I3421">
        <v>835</v>
      </c>
      <c r="J3421">
        <v>842</v>
      </c>
      <c r="K3421">
        <v>0</v>
      </c>
    </row>
    <row r="3422" spans="1:11" x14ac:dyDescent="0.25">
      <c r="A3422" t="s">
        <v>85</v>
      </c>
    </row>
    <row r="3423" spans="1:11" x14ac:dyDescent="0.25">
      <c r="A3423">
        <v>7.9416832846551202</v>
      </c>
      <c r="B3423">
        <v>29.727357942749101</v>
      </c>
      <c r="C3423">
        <v>2000</v>
      </c>
    </row>
    <row r="3424" spans="1:11" x14ac:dyDescent="0.25">
      <c r="A3424">
        <v>6.7542113553608703</v>
      </c>
      <c r="B3424">
        <v>30.914829872043299</v>
      </c>
      <c r="C3424">
        <v>2000</v>
      </c>
    </row>
    <row r="3425" spans="1:11" x14ac:dyDescent="0.25">
      <c r="A3425">
        <v>7.6282434042585203</v>
      </c>
      <c r="B3425">
        <v>30.914829872043299</v>
      </c>
      <c r="C3425">
        <v>2001</v>
      </c>
    </row>
    <row r="3426" spans="1:11" x14ac:dyDescent="0.25">
      <c r="A3426">
        <v>8.5471329163280405</v>
      </c>
      <c r="B3426">
        <v>29.995940359973801</v>
      </c>
      <c r="C3426">
        <v>2001</v>
      </c>
    </row>
    <row r="3427" spans="1:11" x14ac:dyDescent="0.25">
      <c r="A3427">
        <v>10.618531790384299</v>
      </c>
      <c r="B3427">
        <v>27.924541485917501</v>
      </c>
      <c r="C3427">
        <v>2001</v>
      </c>
    </row>
    <row r="3428" spans="1:11" x14ac:dyDescent="0.25">
      <c r="A3428">
        <v>10.618531790384299</v>
      </c>
      <c r="B3428">
        <v>27.050509437019802</v>
      </c>
      <c r="C3428">
        <v>2000</v>
      </c>
    </row>
    <row r="3429" spans="1:11" x14ac:dyDescent="0.25">
      <c r="A3429" t="s">
        <v>86</v>
      </c>
    </row>
    <row r="3430" spans="1:11" x14ac:dyDescent="0.25">
      <c r="A3430">
        <v>513</v>
      </c>
      <c r="B3430">
        <v>0</v>
      </c>
      <c r="C3430">
        <v>3.7293499675494499</v>
      </c>
      <c r="D3430">
        <v>0.69056871996225799</v>
      </c>
      <c r="E3430">
        <v>6</v>
      </c>
      <c r="F3430">
        <v>1.01722196789785</v>
      </c>
      <c r="G3430" t="s">
        <v>84</v>
      </c>
      <c r="H3430" t="s">
        <v>84</v>
      </c>
      <c r="I3430">
        <v>515</v>
      </c>
      <c r="J3430">
        <v>510</v>
      </c>
      <c r="K3430">
        <v>0</v>
      </c>
    </row>
    <row r="3431" spans="1:11" x14ac:dyDescent="0.25">
      <c r="A3431" t="s">
        <v>85</v>
      </c>
    </row>
    <row r="3432" spans="1:11" x14ac:dyDescent="0.25">
      <c r="A3432">
        <v>118.66699310982401</v>
      </c>
      <c r="B3432">
        <v>5.5636801587203797</v>
      </c>
      <c r="C3432">
        <v>2000</v>
      </c>
    </row>
    <row r="3433" spans="1:11" x14ac:dyDescent="0.25">
      <c r="A3433">
        <v>116.02994445835201</v>
      </c>
      <c r="B3433">
        <v>2.9266315072483402</v>
      </c>
      <c r="C3433">
        <v>2000</v>
      </c>
    </row>
    <row r="3434" spans="1:11" x14ac:dyDescent="0.25">
      <c r="A3434">
        <v>116.466960482801</v>
      </c>
      <c r="B3434">
        <v>2.4896154827995201</v>
      </c>
      <c r="C3434">
        <v>2001</v>
      </c>
    </row>
    <row r="3435" spans="1:11" x14ac:dyDescent="0.25">
      <c r="A3435">
        <v>119.104009134273</v>
      </c>
      <c r="B3435">
        <v>5.12666413427156</v>
      </c>
      <c r="C3435">
        <v>2001</v>
      </c>
    </row>
    <row r="3436" spans="1:11" x14ac:dyDescent="0.25">
      <c r="A3436">
        <v>119.592314959034</v>
      </c>
      <c r="B3436">
        <v>5.61496995903219</v>
      </c>
      <c r="C3436">
        <v>2001</v>
      </c>
    </row>
    <row r="3437" spans="1:11" x14ac:dyDescent="0.25">
      <c r="A3437">
        <v>119.15529893458501</v>
      </c>
      <c r="B3437">
        <v>6.0519859834810097</v>
      </c>
      <c r="C3437">
        <v>2000</v>
      </c>
    </row>
    <row r="3438" spans="1:11" x14ac:dyDescent="0.25">
      <c r="A3438" t="s">
        <v>86</v>
      </c>
    </row>
    <row r="3439" spans="1:11" x14ac:dyDescent="0.25">
      <c r="A3439">
        <v>811</v>
      </c>
      <c r="B3439">
        <v>0</v>
      </c>
      <c r="C3439">
        <v>2.9872511873256302</v>
      </c>
      <c r="D3439">
        <v>1.3535126284737899</v>
      </c>
      <c r="E3439">
        <v>6</v>
      </c>
      <c r="F3439">
        <v>1.01722196789785</v>
      </c>
      <c r="G3439" t="s">
        <v>84</v>
      </c>
      <c r="H3439" t="s">
        <v>84</v>
      </c>
      <c r="I3439">
        <v>595</v>
      </c>
      <c r="J3439">
        <v>591</v>
      </c>
      <c r="K3439">
        <v>9.7391432165086E-2</v>
      </c>
    </row>
    <row r="3440" spans="1:11" x14ac:dyDescent="0.25">
      <c r="A3440" t="s">
        <v>85</v>
      </c>
    </row>
    <row r="3441" spans="1:11" x14ac:dyDescent="0.25">
      <c r="A3441">
        <v>136.79617151096701</v>
      </c>
      <c r="B3441">
        <v>86.368346514347294</v>
      </c>
      <c r="C3441">
        <v>2000</v>
      </c>
    </row>
    <row r="3442" spans="1:11" x14ac:dyDescent="0.25">
      <c r="A3442">
        <v>134.683865939302</v>
      </c>
      <c r="B3442">
        <v>84.256040942681807</v>
      </c>
      <c r="C3442">
        <v>2000</v>
      </c>
    </row>
    <row r="3443" spans="1:11" x14ac:dyDescent="0.25">
      <c r="A3443">
        <v>135.120881963751</v>
      </c>
      <c r="B3443">
        <v>83.819024918232998</v>
      </c>
      <c r="C3443">
        <v>2001</v>
      </c>
    </row>
    <row r="3444" spans="1:11" x14ac:dyDescent="0.25">
      <c r="A3444">
        <v>137.23318753541599</v>
      </c>
      <c r="B3444">
        <v>85.9313304898985</v>
      </c>
      <c r="C3444">
        <v>2001</v>
      </c>
    </row>
    <row r="3445" spans="1:11" x14ac:dyDescent="0.25">
      <c r="A3445">
        <v>138.19026549343201</v>
      </c>
      <c r="B3445">
        <v>86.888408447914003</v>
      </c>
      <c r="C3445">
        <v>2001</v>
      </c>
    </row>
    <row r="3446" spans="1:11" x14ac:dyDescent="0.25">
      <c r="A3446">
        <v>137.753249468983</v>
      </c>
      <c r="B3446">
        <v>87.325424472362798</v>
      </c>
      <c r="C3446">
        <v>2000</v>
      </c>
    </row>
    <row r="3447" spans="1:11" x14ac:dyDescent="0.25">
      <c r="A3447" t="s">
        <v>86</v>
      </c>
    </row>
    <row r="3448" spans="1:11" x14ac:dyDescent="0.25">
      <c r="A3448">
        <v>963</v>
      </c>
      <c r="B3448">
        <v>1</v>
      </c>
      <c r="C3448">
        <v>2.4963888229817899</v>
      </c>
      <c r="D3448">
        <v>1.7245196378730401</v>
      </c>
      <c r="E3448">
        <v>6</v>
      </c>
      <c r="F3448">
        <v>1.01722196789785</v>
      </c>
      <c r="G3448" t="s">
        <v>87</v>
      </c>
      <c r="H3448" t="s">
        <v>87</v>
      </c>
      <c r="I3448">
        <v>823</v>
      </c>
      <c r="J3448">
        <v>510</v>
      </c>
      <c r="K3448">
        <v>0.11963401938905099</v>
      </c>
    </row>
    <row r="3449" spans="1:11" x14ac:dyDescent="0.25">
      <c r="A3449" t="s">
        <v>85</v>
      </c>
    </row>
    <row r="3450" spans="1:11" x14ac:dyDescent="0.25">
      <c r="A3450">
        <v>146.06409942028799</v>
      </c>
      <c r="B3450">
        <v>34.180117374913799</v>
      </c>
      <c r="C3450">
        <v>2000</v>
      </c>
    </row>
    <row r="3451" spans="1:11" x14ac:dyDescent="0.25">
      <c r="A3451">
        <v>144.04041981467</v>
      </c>
      <c r="B3451">
        <v>36.203796980531799</v>
      </c>
      <c r="C3451">
        <v>2000</v>
      </c>
    </row>
    <row r="3452" spans="1:11" x14ac:dyDescent="0.25">
      <c r="A3452">
        <v>144.91445186356799</v>
      </c>
      <c r="B3452">
        <v>36.203796980531799</v>
      </c>
      <c r="C3452">
        <v>2001</v>
      </c>
    </row>
    <row r="3453" spans="1:11" x14ac:dyDescent="0.25">
      <c r="A3453">
        <v>146.42119918836701</v>
      </c>
      <c r="B3453">
        <v>34.6970496557323</v>
      </c>
      <c r="C3453">
        <v>2001</v>
      </c>
    </row>
    <row r="3454" spans="1:11" x14ac:dyDescent="0.25">
      <c r="A3454">
        <v>147.46206883455699</v>
      </c>
      <c r="B3454">
        <v>33.656180009542503</v>
      </c>
      <c r="C3454">
        <v>2001</v>
      </c>
    </row>
    <row r="3455" spans="1:11" x14ac:dyDescent="0.25">
      <c r="A3455">
        <v>147.46206883455699</v>
      </c>
      <c r="B3455">
        <v>32.782147960644799</v>
      </c>
      <c r="C3455">
        <v>2000</v>
      </c>
    </row>
    <row r="3456" spans="1:11" x14ac:dyDescent="0.25">
      <c r="A3456" t="s">
        <v>86</v>
      </c>
    </row>
    <row r="3457" spans="1:11" x14ac:dyDescent="0.25">
      <c r="A3457">
        <v>1069</v>
      </c>
      <c r="B3457">
        <v>1</v>
      </c>
      <c r="C3457">
        <v>2.7392152236851199</v>
      </c>
      <c r="D3457">
        <v>1.48169323716971</v>
      </c>
      <c r="E3457">
        <v>6</v>
      </c>
      <c r="F3457">
        <v>1.01722196789785</v>
      </c>
      <c r="G3457" t="s">
        <v>87</v>
      </c>
      <c r="H3457" t="s">
        <v>87</v>
      </c>
      <c r="I3457">
        <v>823</v>
      </c>
      <c r="J3457">
        <v>510</v>
      </c>
      <c r="K3457">
        <v>0.12322624704732001</v>
      </c>
    </row>
    <row r="3458" spans="1:11" x14ac:dyDescent="0.25">
      <c r="A3458" t="s">
        <v>85</v>
      </c>
    </row>
    <row r="3459" spans="1:11" x14ac:dyDescent="0.25">
      <c r="A3459">
        <v>138.19047125894099</v>
      </c>
      <c r="B3459">
        <v>25.912798270645101</v>
      </c>
      <c r="C3459">
        <v>2000</v>
      </c>
    </row>
    <row r="3460" spans="1:11" x14ac:dyDescent="0.25">
      <c r="A3460">
        <v>135.96994618186201</v>
      </c>
      <c r="B3460">
        <v>28.133323347723699</v>
      </c>
      <c r="C3460">
        <v>2000</v>
      </c>
    </row>
    <row r="3461" spans="1:11" x14ac:dyDescent="0.25">
      <c r="A3461">
        <v>136.84397823076</v>
      </c>
      <c r="B3461">
        <v>28.133323347723699</v>
      </c>
      <c r="C3461">
        <v>2001</v>
      </c>
    </row>
    <row r="3462" spans="1:11" x14ac:dyDescent="0.25">
      <c r="A3462">
        <v>138.497288473276</v>
      </c>
      <c r="B3462">
        <v>26.480013105207998</v>
      </c>
      <c r="C3462">
        <v>2001</v>
      </c>
    </row>
    <row r="3463" spans="1:11" x14ac:dyDescent="0.25">
      <c r="A3463">
        <v>139.391595201749</v>
      </c>
      <c r="B3463">
        <v>25.5857063767344</v>
      </c>
      <c r="C3463">
        <v>2001</v>
      </c>
    </row>
    <row r="3464" spans="1:11" x14ac:dyDescent="0.25">
      <c r="A3464">
        <v>139.391595201749</v>
      </c>
      <c r="B3464">
        <v>24.7116743278368</v>
      </c>
      <c r="C3464">
        <v>2000</v>
      </c>
    </row>
    <row r="3465" spans="1:11" x14ac:dyDescent="0.25">
      <c r="A3465" t="s">
        <v>86</v>
      </c>
    </row>
    <row r="3466" spans="1:11" x14ac:dyDescent="0.25">
      <c r="A3466">
        <v>961</v>
      </c>
      <c r="B3466">
        <v>1</v>
      </c>
      <c r="C3466">
        <v>1.0272859689938401</v>
      </c>
      <c r="D3466">
        <v>3.1936224918609901</v>
      </c>
      <c r="E3466">
        <v>6</v>
      </c>
      <c r="F3466">
        <v>1.01722196789785</v>
      </c>
      <c r="G3466" t="s">
        <v>87</v>
      </c>
      <c r="H3466" t="s">
        <v>87</v>
      </c>
      <c r="I3466">
        <v>823</v>
      </c>
      <c r="J3466">
        <v>510</v>
      </c>
      <c r="K3466">
        <v>0.118988924366406</v>
      </c>
    </row>
    <row r="3467" spans="1:11" x14ac:dyDescent="0.25">
      <c r="A3467" t="s">
        <v>85</v>
      </c>
    </row>
    <row r="3468" spans="1:11" x14ac:dyDescent="0.25">
      <c r="A3468">
        <v>133.24783419374199</v>
      </c>
      <c r="B3468">
        <v>23.745687427231601</v>
      </c>
      <c r="C3468">
        <v>2000</v>
      </c>
    </row>
    <row r="3469" spans="1:11" x14ac:dyDescent="0.25">
      <c r="A3469">
        <v>132.41507222755601</v>
      </c>
      <c r="B3469">
        <v>24.578449393417301</v>
      </c>
      <c r="C3469">
        <v>2000</v>
      </c>
    </row>
    <row r="3470" spans="1:11" x14ac:dyDescent="0.25">
      <c r="A3470">
        <v>132.41507222755601</v>
      </c>
      <c r="B3470">
        <v>23.704417344519701</v>
      </c>
      <c r="C3470">
        <v>2001</v>
      </c>
    </row>
    <row r="3471" spans="1:11" x14ac:dyDescent="0.25">
      <c r="A3471">
        <v>133.035112011157</v>
      </c>
      <c r="B3471">
        <v>23.0843775609187</v>
      </c>
      <c r="C3471">
        <v>2001</v>
      </c>
    </row>
    <row r="3472" spans="1:11" x14ac:dyDescent="0.25">
      <c r="A3472">
        <v>134.96268919854501</v>
      </c>
      <c r="B3472">
        <v>21.156800373530402</v>
      </c>
      <c r="C3472">
        <v>2001</v>
      </c>
    </row>
    <row r="3473" spans="1:11" x14ac:dyDescent="0.25">
      <c r="A3473">
        <v>135.83672124744299</v>
      </c>
      <c r="B3473">
        <v>21.156800373530402</v>
      </c>
      <c r="C3473">
        <v>2000</v>
      </c>
    </row>
    <row r="3474" spans="1:11" x14ac:dyDescent="0.25">
      <c r="A3474" t="s">
        <v>86</v>
      </c>
    </row>
    <row r="3475" spans="1:11" x14ac:dyDescent="0.25">
      <c r="A3475">
        <v>1100</v>
      </c>
      <c r="B3475">
        <v>1</v>
      </c>
      <c r="C3475">
        <v>0.63139054501567704</v>
      </c>
      <c r="D3475">
        <v>3.5892747647431</v>
      </c>
      <c r="E3475">
        <v>6</v>
      </c>
      <c r="F3475">
        <v>1.01722196789785</v>
      </c>
      <c r="G3475" t="s">
        <v>87</v>
      </c>
      <c r="H3475" t="s">
        <v>87</v>
      </c>
      <c r="I3475">
        <v>593</v>
      </c>
      <c r="J3475">
        <v>509</v>
      </c>
      <c r="K3475">
        <v>0.123707222271514</v>
      </c>
    </row>
    <row r="3476" spans="1:11" x14ac:dyDescent="0.25">
      <c r="A3476" t="s">
        <v>85</v>
      </c>
    </row>
    <row r="3477" spans="1:11" x14ac:dyDescent="0.25">
      <c r="A3477">
        <v>143.82279336342901</v>
      </c>
      <c r="B3477">
        <v>80.838154559504702</v>
      </c>
      <c r="C3477">
        <v>2000</v>
      </c>
    </row>
    <row r="3478" spans="1:11" x14ac:dyDescent="0.25">
      <c r="A3478">
        <v>143.310957403076</v>
      </c>
      <c r="B3478">
        <v>81.349990519857897</v>
      </c>
      <c r="C3478">
        <v>2000</v>
      </c>
    </row>
    <row r="3479" spans="1:11" x14ac:dyDescent="0.25">
      <c r="A3479">
        <v>144.18498945197399</v>
      </c>
      <c r="B3479">
        <v>81.349990519857897</v>
      </c>
      <c r="C3479">
        <v>2001</v>
      </c>
    </row>
    <row r="3480" spans="1:11" x14ac:dyDescent="0.25">
      <c r="A3480">
        <v>144.56607456353601</v>
      </c>
      <c r="B3480">
        <v>80.968905408295896</v>
      </c>
      <c r="C3480">
        <v>2001</v>
      </c>
    </row>
    <row r="3481" spans="1:11" x14ac:dyDescent="0.25">
      <c r="A3481">
        <v>146.73243448917401</v>
      </c>
      <c r="B3481">
        <v>78.802545482657493</v>
      </c>
      <c r="C3481">
        <v>2001</v>
      </c>
    </row>
    <row r="3482" spans="1:11" x14ac:dyDescent="0.25">
      <c r="A3482">
        <v>146.73243448917401</v>
      </c>
      <c r="B3482">
        <v>77.928513433759903</v>
      </c>
      <c r="C3482">
        <v>2000</v>
      </c>
    </row>
    <row r="3483" spans="1:11" x14ac:dyDescent="0.25">
      <c r="A3483" t="s">
        <v>86</v>
      </c>
    </row>
    <row r="3484" spans="1:11" x14ac:dyDescent="0.25">
      <c r="A3484">
        <v>225</v>
      </c>
      <c r="B3484">
        <v>1</v>
      </c>
      <c r="C3484">
        <v>0.29650037937967999</v>
      </c>
      <c r="D3484">
        <v>3.78898014848839</v>
      </c>
      <c r="E3484">
        <v>6</v>
      </c>
      <c r="F3484">
        <v>1.01722196789785</v>
      </c>
      <c r="G3484" t="s">
        <v>87</v>
      </c>
      <c r="H3484" t="s">
        <v>87</v>
      </c>
      <c r="I3484">
        <v>833</v>
      </c>
      <c r="J3484">
        <v>185</v>
      </c>
      <c r="K3484">
        <v>0</v>
      </c>
    </row>
    <row r="3485" spans="1:11" x14ac:dyDescent="0.25">
      <c r="A3485" t="s">
        <v>85</v>
      </c>
    </row>
    <row r="3486" spans="1:11" x14ac:dyDescent="0.25">
      <c r="A3486">
        <v>19.5477204297515</v>
      </c>
      <c r="B3486">
        <v>143.51215600898101</v>
      </c>
      <c r="C3486">
        <v>2000</v>
      </c>
    </row>
    <row r="3487" spans="1:11" x14ac:dyDescent="0.25">
      <c r="A3487">
        <v>19.338063000867699</v>
      </c>
      <c r="B3487">
        <v>143.72181343786499</v>
      </c>
      <c r="C3487">
        <v>2000</v>
      </c>
    </row>
    <row r="3488" spans="1:11" x14ac:dyDescent="0.25">
      <c r="A3488">
        <v>20.212095049765399</v>
      </c>
      <c r="B3488">
        <v>143.72181343786499</v>
      </c>
      <c r="C3488">
        <v>2001</v>
      </c>
    </row>
    <row r="3489" spans="1:11" x14ac:dyDescent="0.25">
      <c r="A3489">
        <v>20.4217524786491</v>
      </c>
      <c r="B3489">
        <v>143.51215600898101</v>
      </c>
      <c r="C3489">
        <v>2001</v>
      </c>
    </row>
    <row r="3490" spans="1:11" x14ac:dyDescent="0.25">
      <c r="A3490">
        <v>23.100966035426499</v>
      </c>
      <c r="B3490">
        <v>140.83294245220401</v>
      </c>
      <c r="C3490">
        <v>2001</v>
      </c>
    </row>
    <row r="3491" spans="1:11" x14ac:dyDescent="0.25">
      <c r="A3491">
        <v>22.226933986528898</v>
      </c>
      <c r="B3491">
        <v>140.83294245220401</v>
      </c>
      <c r="C3491">
        <v>2000</v>
      </c>
    </row>
    <row r="3492" spans="1:11" x14ac:dyDescent="0.25">
      <c r="A3492" t="s">
        <v>86</v>
      </c>
    </row>
    <row r="3493" spans="1:11" x14ac:dyDescent="0.25">
      <c r="A3493">
        <v>306</v>
      </c>
      <c r="B3493">
        <v>1</v>
      </c>
      <c r="C3493">
        <v>1.84981062817084</v>
      </c>
      <c r="D3493">
        <v>2.1482261866896999</v>
      </c>
      <c r="E3493">
        <v>6</v>
      </c>
      <c r="F3493">
        <v>1.01722196789785</v>
      </c>
      <c r="G3493" t="s">
        <v>87</v>
      </c>
      <c r="H3493" t="s">
        <v>87</v>
      </c>
      <c r="I3493">
        <v>745</v>
      </c>
      <c r="J3493">
        <v>272</v>
      </c>
      <c r="K3493">
        <v>0</v>
      </c>
    </row>
    <row r="3494" spans="1:11" x14ac:dyDescent="0.25">
      <c r="A3494" t="s">
        <v>85</v>
      </c>
    </row>
    <row r="3495" spans="1:11" x14ac:dyDescent="0.25">
      <c r="A3495">
        <v>139.24095672474201</v>
      </c>
      <c r="B3495">
        <v>143.51492599515001</v>
      </c>
      <c r="C3495">
        <v>2000</v>
      </c>
    </row>
    <row r="3496" spans="1:11" x14ac:dyDescent="0.25">
      <c r="A3496">
        <v>137.932943085652</v>
      </c>
      <c r="B3496">
        <v>144.82293963424101</v>
      </c>
      <c r="C3496">
        <v>2000</v>
      </c>
    </row>
    <row r="3497" spans="1:11" x14ac:dyDescent="0.25">
      <c r="A3497">
        <v>138.80697513454999</v>
      </c>
      <c r="B3497">
        <v>144.82293963424101</v>
      </c>
      <c r="C3497">
        <v>2001</v>
      </c>
    </row>
    <row r="3498" spans="1:11" x14ac:dyDescent="0.25">
      <c r="A3498">
        <v>140.11498877363999</v>
      </c>
      <c r="B3498">
        <v>143.51492599515001</v>
      </c>
      <c r="C3498">
        <v>2001</v>
      </c>
    </row>
    <row r="3499" spans="1:11" x14ac:dyDescent="0.25">
      <c r="A3499">
        <v>141.63401407777101</v>
      </c>
      <c r="B3499">
        <v>141.99590069101899</v>
      </c>
      <c r="C3499">
        <v>2001</v>
      </c>
    </row>
    <row r="3500" spans="1:11" x14ac:dyDescent="0.25">
      <c r="A3500">
        <v>140.759982028873</v>
      </c>
      <c r="B3500">
        <v>141.99590069101899</v>
      </c>
      <c r="C3500">
        <v>2000</v>
      </c>
    </row>
    <row r="3501" spans="1:11" x14ac:dyDescent="0.25">
      <c r="A3501" t="s">
        <v>86</v>
      </c>
    </row>
    <row r="3502" spans="1:11" x14ac:dyDescent="0.25">
      <c r="A3502">
        <v>1077</v>
      </c>
      <c r="B3502">
        <v>1</v>
      </c>
      <c r="C3502">
        <v>3.617770693552</v>
      </c>
      <c r="D3502">
        <v>0.38026612130853699</v>
      </c>
      <c r="E3502">
        <v>6</v>
      </c>
      <c r="F3502">
        <v>1.01722196789785</v>
      </c>
      <c r="G3502" t="s">
        <v>87</v>
      </c>
      <c r="H3502" t="s">
        <v>87</v>
      </c>
      <c r="I3502">
        <v>745</v>
      </c>
      <c r="J3502">
        <v>272</v>
      </c>
      <c r="K3502">
        <v>0.12322624704732001</v>
      </c>
    </row>
    <row r="3503" spans="1:11" x14ac:dyDescent="0.25">
      <c r="A3503" t="s">
        <v>85</v>
      </c>
    </row>
    <row r="3504" spans="1:11" x14ac:dyDescent="0.25">
      <c r="A3504">
        <v>139.893561670982</v>
      </c>
      <c r="B3504">
        <v>141.66725783919301</v>
      </c>
      <c r="C3504">
        <v>2000</v>
      </c>
    </row>
    <row r="3505" spans="1:11" x14ac:dyDescent="0.25">
      <c r="A3505">
        <v>137.335411480793</v>
      </c>
      <c r="B3505">
        <v>144.22540802938201</v>
      </c>
      <c r="C3505">
        <v>2000</v>
      </c>
    </row>
    <row r="3506" spans="1:11" x14ac:dyDescent="0.25">
      <c r="A3506">
        <v>138.20944352969099</v>
      </c>
      <c r="B3506">
        <v>144.22540802938201</v>
      </c>
      <c r="C3506">
        <v>2001</v>
      </c>
    </row>
    <row r="3507" spans="1:11" x14ac:dyDescent="0.25">
      <c r="A3507">
        <v>140.76759371987899</v>
      </c>
      <c r="B3507">
        <v>141.66725783919301</v>
      </c>
      <c r="C3507">
        <v>2001</v>
      </c>
    </row>
    <row r="3508" spans="1:11" x14ac:dyDescent="0.25">
      <c r="A3508">
        <v>141.03648247291201</v>
      </c>
      <c r="B3508">
        <v>141.39836908616101</v>
      </c>
      <c r="C3508">
        <v>2001</v>
      </c>
    </row>
    <row r="3509" spans="1:11" x14ac:dyDescent="0.25">
      <c r="A3509">
        <v>140.162450424014</v>
      </c>
      <c r="B3509">
        <v>141.39836908616101</v>
      </c>
      <c r="C3509">
        <v>2000</v>
      </c>
    </row>
    <row r="3510" spans="1:11" x14ac:dyDescent="0.25">
      <c r="A3510" t="s">
        <v>86</v>
      </c>
    </row>
    <row r="3511" spans="1:11" x14ac:dyDescent="0.25">
      <c r="A3511">
        <v>958</v>
      </c>
      <c r="B3511">
        <v>1</v>
      </c>
      <c r="C3511">
        <v>1.3724350397616201</v>
      </c>
      <c r="D3511">
        <v>2.6203877160273001</v>
      </c>
      <c r="E3511">
        <v>6</v>
      </c>
      <c r="F3511">
        <v>1.01722196789785</v>
      </c>
      <c r="G3511" t="s">
        <v>87</v>
      </c>
      <c r="H3511" t="s">
        <v>87</v>
      </c>
      <c r="I3511">
        <v>274</v>
      </c>
      <c r="J3511">
        <v>270</v>
      </c>
      <c r="K3511">
        <v>0.118988924366406</v>
      </c>
    </row>
    <row r="3512" spans="1:11" x14ac:dyDescent="0.25">
      <c r="A3512" t="s">
        <v>85</v>
      </c>
    </row>
    <row r="3513" spans="1:11" x14ac:dyDescent="0.25">
      <c r="A3513">
        <v>147.09051254266899</v>
      </c>
      <c r="B3513">
        <v>145.30187149769199</v>
      </c>
      <c r="C3513">
        <v>2000</v>
      </c>
    </row>
    <row r="3514" spans="1:11" x14ac:dyDescent="0.25">
      <c r="A3514">
        <v>145.969840863249</v>
      </c>
      <c r="B3514">
        <v>146.422543177112</v>
      </c>
      <c r="C3514">
        <v>2000</v>
      </c>
    </row>
    <row r="3515" spans="1:11" x14ac:dyDescent="0.25">
      <c r="A3515">
        <v>146.843872912146</v>
      </c>
      <c r="B3515">
        <v>146.422543177112</v>
      </c>
      <c r="C3515">
        <v>2001</v>
      </c>
    </row>
    <row r="3516" spans="1:11" x14ac:dyDescent="0.25">
      <c r="A3516">
        <v>147.664117479433</v>
      </c>
      <c r="B3516">
        <v>145.602298609825</v>
      </c>
      <c r="C3516">
        <v>2001</v>
      </c>
    </row>
    <row r="3517" spans="1:11" x14ac:dyDescent="0.25">
      <c r="A3517">
        <v>149.23020893439201</v>
      </c>
      <c r="B3517">
        <v>144.03620715486699</v>
      </c>
      <c r="C3517">
        <v>2001</v>
      </c>
    </row>
    <row r="3518" spans="1:11" x14ac:dyDescent="0.25">
      <c r="A3518">
        <v>149.23020893439201</v>
      </c>
      <c r="B3518">
        <v>143.162175105969</v>
      </c>
      <c r="C3518">
        <v>2000</v>
      </c>
    </row>
    <row r="3519" spans="1:11" x14ac:dyDescent="0.25">
      <c r="A3519" t="s">
        <v>86</v>
      </c>
    </row>
    <row r="3520" spans="1:11" x14ac:dyDescent="0.25">
      <c r="A3520">
        <v>515</v>
      </c>
      <c r="B3520">
        <v>0</v>
      </c>
      <c r="C3520">
        <v>0.43172635322942199</v>
      </c>
      <c r="D3520">
        <v>3.4827079199524</v>
      </c>
      <c r="E3520">
        <v>6</v>
      </c>
      <c r="F3520">
        <v>1.01722196789785</v>
      </c>
      <c r="G3520" t="s">
        <v>83</v>
      </c>
      <c r="H3520" t="s">
        <v>84</v>
      </c>
      <c r="I3520">
        <v>0</v>
      </c>
      <c r="J3520">
        <v>513</v>
      </c>
      <c r="K3520">
        <v>0</v>
      </c>
    </row>
    <row r="3521" spans="1:11" x14ac:dyDescent="0.25">
      <c r="A3521" t="s">
        <v>85</v>
      </c>
    </row>
    <row r="3522" spans="1:11" x14ac:dyDescent="0.25">
      <c r="A3522">
        <v>113.313089973291</v>
      </c>
      <c r="B3522">
        <v>0.32937607029136501</v>
      </c>
      <c r="C3522">
        <v>2000</v>
      </c>
    </row>
    <row r="3523" spans="1:11" x14ac:dyDescent="0.25">
      <c r="A3523">
        <v>112.98371390299999</v>
      </c>
      <c r="B3523">
        <v>0</v>
      </c>
      <c r="C3523">
        <v>2000</v>
      </c>
    </row>
    <row r="3524" spans="1:11" x14ac:dyDescent="0.25">
      <c r="A3524">
        <v>113.857745951898</v>
      </c>
      <c r="B3524">
        <v>0</v>
      </c>
      <c r="C3524">
        <v>2001</v>
      </c>
    </row>
    <row r="3525" spans="1:11" x14ac:dyDescent="0.25">
      <c r="A3525">
        <v>114.138923145577</v>
      </c>
      <c r="B3525">
        <v>0.28117719367956101</v>
      </c>
      <c r="C3525">
        <v>2001</v>
      </c>
    </row>
    <row r="3526" spans="1:11" x14ac:dyDescent="0.25">
      <c r="A3526">
        <v>116.407160958749</v>
      </c>
      <c r="B3526">
        <v>2.5494150068514898</v>
      </c>
      <c r="C3526">
        <v>2001</v>
      </c>
    </row>
    <row r="3527" spans="1:11" x14ac:dyDescent="0.25">
      <c r="A3527">
        <v>115.9701449343</v>
      </c>
      <c r="B3527">
        <v>2.98643103130031</v>
      </c>
      <c r="C3527">
        <v>2000</v>
      </c>
    </row>
    <row r="3528" spans="1:11" x14ac:dyDescent="0.25">
      <c r="A3528" t="s">
        <v>86</v>
      </c>
    </row>
    <row r="3529" spans="1:11" x14ac:dyDescent="0.25">
      <c r="A3529">
        <v>157</v>
      </c>
      <c r="B3529">
        <v>1</v>
      </c>
      <c r="C3529">
        <v>3.8898231019698901</v>
      </c>
      <c r="D3529">
        <v>8.6700677239122097E-3</v>
      </c>
      <c r="E3529">
        <v>6</v>
      </c>
      <c r="F3529">
        <v>1.01722196789785</v>
      </c>
      <c r="G3529" t="s">
        <v>87</v>
      </c>
      <c r="H3529" t="s">
        <v>87</v>
      </c>
      <c r="I3529">
        <v>792</v>
      </c>
      <c r="J3529">
        <v>742</v>
      </c>
      <c r="K3529">
        <v>0</v>
      </c>
    </row>
    <row r="3530" spans="1:11" x14ac:dyDescent="0.25">
      <c r="A3530" t="s">
        <v>85</v>
      </c>
    </row>
    <row r="3531" spans="1:11" x14ac:dyDescent="0.25">
      <c r="A3531">
        <v>47.808394537692699</v>
      </c>
      <c r="B3531">
        <v>64.662894601776699</v>
      </c>
      <c r="C3531">
        <v>2000</v>
      </c>
    </row>
    <row r="3532" spans="1:11" x14ac:dyDescent="0.25">
      <c r="A3532">
        <v>45.057874244673698</v>
      </c>
      <c r="B3532">
        <v>67.413414894795693</v>
      </c>
      <c r="C3532">
        <v>2000</v>
      </c>
    </row>
    <row r="3533" spans="1:11" x14ac:dyDescent="0.25">
      <c r="A3533">
        <v>45.931906293571302</v>
      </c>
      <c r="B3533">
        <v>67.413414894795693</v>
      </c>
      <c r="C3533">
        <v>2001</v>
      </c>
    </row>
    <row r="3534" spans="1:11" x14ac:dyDescent="0.25">
      <c r="A3534">
        <v>48.682426586590303</v>
      </c>
      <c r="B3534">
        <v>64.662894601776699</v>
      </c>
      <c r="C3534">
        <v>2001</v>
      </c>
    </row>
    <row r="3535" spans="1:11" x14ac:dyDescent="0.25">
      <c r="A3535">
        <v>48.688557250271202</v>
      </c>
      <c r="B3535">
        <v>64.656763938095807</v>
      </c>
      <c r="C3535">
        <v>2001</v>
      </c>
    </row>
    <row r="3536" spans="1:11" x14ac:dyDescent="0.25">
      <c r="A3536">
        <v>47.814525201373598</v>
      </c>
      <c r="B3536">
        <v>64.656763938095807</v>
      </c>
      <c r="C3536">
        <v>2000</v>
      </c>
    </row>
    <row r="3537" spans="1:11" x14ac:dyDescent="0.25">
      <c r="A3537" t="s">
        <v>86</v>
      </c>
    </row>
    <row r="3538" spans="1:11" x14ac:dyDescent="0.25">
      <c r="A3538">
        <v>1080</v>
      </c>
      <c r="B3538">
        <v>1</v>
      </c>
      <c r="C3538">
        <v>2.3995804095030202</v>
      </c>
      <c r="D3538">
        <v>1.35263003807389</v>
      </c>
      <c r="E3538">
        <v>6</v>
      </c>
      <c r="F3538">
        <v>1.01722196789785</v>
      </c>
      <c r="G3538" t="s">
        <v>87</v>
      </c>
      <c r="H3538" t="s">
        <v>87</v>
      </c>
      <c r="I3538">
        <v>183</v>
      </c>
      <c r="J3538">
        <v>740</v>
      </c>
      <c r="K3538">
        <v>0.12322624704732001</v>
      </c>
    </row>
    <row r="3539" spans="1:11" x14ac:dyDescent="0.25">
      <c r="A3539" t="s">
        <v>85</v>
      </c>
    </row>
    <row r="3540" spans="1:11" x14ac:dyDescent="0.25">
      <c r="A3540">
        <v>42.491008861684698</v>
      </c>
      <c r="B3540">
        <v>115.348425836456</v>
      </c>
      <c r="C3540">
        <v>2000</v>
      </c>
    </row>
    <row r="3541" spans="1:11" x14ac:dyDescent="0.25">
      <c r="A3541">
        <v>40.794249282122699</v>
      </c>
      <c r="B3541">
        <v>117.045185416018</v>
      </c>
      <c r="C3541">
        <v>2000</v>
      </c>
    </row>
    <row r="3542" spans="1:11" x14ac:dyDescent="0.25">
      <c r="A3542">
        <v>40.794249282122699</v>
      </c>
      <c r="B3542">
        <v>116.17115336712</v>
      </c>
      <c r="C3542">
        <v>2001</v>
      </c>
    </row>
    <row r="3543" spans="1:11" x14ac:dyDescent="0.25">
      <c r="A3543">
        <v>42.491008861684698</v>
      </c>
      <c r="B3543">
        <v>114.474393787558</v>
      </c>
      <c r="C3543">
        <v>2001</v>
      </c>
    </row>
    <row r="3544" spans="1:11" x14ac:dyDescent="0.25">
      <c r="A3544">
        <v>43.447462734043299</v>
      </c>
      <c r="B3544">
        <v>113.51793991519899</v>
      </c>
      <c r="C3544">
        <v>2001</v>
      </c>
    </row>
    <row r="3545" spans="1:11" x14ac:dyDescent="0.25">
      <c r="A3545">
        <v>43.447462734043299</v>
      </c>
      <c r="B3545">
        <v>114.391971964097</v>
      </c>
      <c r="C3545">
        <v>2000</v>
      </c>
    </row>
    <row r="3546" spans="1:11" x14ac:dyDescent="0.25">
      <c r="A3546" t="s">
        <v>86</v>
      </c>
    </row>
    <row r="3547" spans="1:11" x14ac:dyDescent="0.25">
      <c r="A3547">
        <v>347</v>
      </c>
      <c r="B3547">
        <v>0</v>
      </c>
      <c r="C3547">
        <v>1.5774667939537199</v>
      </c>
      <c r="D3547">
        <v>2.1451801219937598</v>
      </c>
      <c r="E3547">
        <v>6</v>
      </c>
      <c r="F3547">
        <v>1.01722196789785</v>
      </c>
      <c r="G3547" t="s">
        <v>84</v>
      </c>
      <c r="H3547" t="s">
        <v>84</v>
      </c>
      <c r="I3547">
        <v>29</v>
      </c>
      <c r="J3547">
        <v>339</v>
      </c>
      <c r="K3547">
        <v>0</v>
      </c>
    </row>
    <row r="3548" spans="1:11" x14ac:dyDescent="0.25">
      <c r="A3548" t="s">
        <v>85</v>
      </c>
    </row>
    <row r="3549" spans="1:11" x14ac:dyDescent="0.25">
      <c r="A3549">
        <v>65.149877533847601</v>
      </c>
      <c r="B3549">
        <v>91.606797922224004</v>
      </c>
      <c r="C3549">
        <v>2000</v>
      </c>
    </row>
    <row r="3550" spans="1:11" x14ac:dyDescent="0.25">
      <c r="A3550">
        <v>64.034440066746299</v>
      </c>
      <c r="B3550">
        <v>90.491360455122702</v>
      </c>
      <c r="C3550">
        <v>2000</v>
      </c>
    </row>
    <row r="3551" spans="1:11" x14ac:dyDescent="0.25">
      <c r="A3551">
        <v>63.597424042297497</v>
      </c>
      <c r="B3551">
        <v>90.928376479571497</v>
      </c>
      <c r="C3551">
        <v>2001</v>
      </c>
    </row>
    <row r="3552" spans="1:11" x14ac:dyDescent="0.25">
      <c r="A3552">
        <v>64.712861509398806</v>
      </c>
      <c r="B3552">
        <v>92.043813946672799</v>
      </c>
      <c r="C3552">
        <v>2001</v>
      </c>
    </row>
    <row r="3553" spans="1:11" x14ac:dyDescent="0.25">
      <c r="A3553">
        <v>66.229732920527198</v>
      </c>
      <c r="B3553">
        <v>93.560685357801205</v>
      </c>
      <c r="C3553">
        <v>2001</v>
      </c>
    </row>
    <row r="3554" spans="1:11" x14ac:dyDescent="0.25">
      <c r="A3554">
        <v>66.666748944976007</v>
      </c>
      <c r="B3554">
        <v>93.123669333352396</v>
      </c>
      <c r="C3554">
        <v>2000</v>
      </c>
    </row>
    <row r="3555" spans="1:11" x14ac:dyDescent="0.25">
      <c r="A3555" t="s">
        <v>86</v>
      </c>
    </row>
    <row r="3556" spans="1:11" x14ac:dyDescent="0.25">
      <c r="A3556">
        <v>875</v>
      </c>
      <c r="B3556">
        <v>1</v>
      </c>
      <c r="C3556">
        <v>0.39675907217353101</v>
      </c>
      <c r="D3556">
        <v>3.22495997436884</v>
      </c>
      <c r="E3556">
        <v>6</v>
      </c>
      <c r="F3556">
        <v>1.01722196789785</v>
      </c>
      <c r="G3556" t="s">
        <v>87</v>
      </c>
      <c r="H3556" t="s">
        <v>87</v>
      </c>
      <c r="I3556">
        <v>830</v>
      </c>
      <c r="J3556">
        <v>782</v>
      </c>
      <c r="K3556">
        <v>0.115162323415006</v>
      </c>
    </row>
    <row r="3557" spans="1:11" x14ac:dyDescent="0.25">
      <c r="A3557" t="s">
        <v>85</v>
      </c>
    </row>
    <row r="3558" spans="1:11" x14ac:dyDescent="0.25">
      <c r="A3558">
        <v>52.851202297895398</v>
      </c>
      <c r="B3558">
        <v>20.936006422124802</v>
      </c>
      <c r="C3558">
        <v>2000</v>
      </c>
    </row>
    <row r="3559" spans="1:11" x14ac:dyDescent="0.25">
      <c r="A3559">
        <v>52.5706512674642</v>
      </c>
      <c r="B3559">
        <v>21.216557452556</v>
      </c>
      <c r="C3559">
        <v>2000</v>
      </c>
    </row>
    <row r="3560" spans="1:11" x14ac:dyDescent="0.25">
      <c r="A3560">
        <v>53.444683316361797</v>
      </c>
      <c r="B3560">
        <v>21.216557452556</v>
      </c>
      <c r="C3560">
        <v>2001</v>
      </c>
    </row>
    <row r="3561" spans="1:11" x14ac:dyDescent="0.25">
      <c r="A3561">
        <v>53.725234346793002</v>
      </c>
      <c r="B3561">
        <v>20.936006422124802</v>
      </c>
      <c r="C3561">
        <v>2001</v>
      </c>
    </row>
    <row r="3562" spans="1:11" x14ac:dyDescent="0.25">
      <c r="A3562">
        <v>56.005625413724403</v>
      </c>
      <c r="B3562">
        <v>18.655615355193401</v>
      </c>
      <c r="C3562">
        <v>2001</v>
      </c>
    </row>
    <row r="3563" spans="1:11" x14ac:dyDescent="0.25">
      <c r="A3563">
        <v>55.131593364826799</v>
      </c>
      <c r="B3563">
        <v>18.655615355193401</v>
      </c>
      <c r="C3563">
        <v>2000</v>
      </c>
    </row>
    <row r="3564" spans="1:11" x14ac:dyDescent="0.25">
      <c r="A3564" t="s">
        <v>86</v>
      </c>
    </row>
    <row r="3565" spans="1:11" x14ac:dyDescent="0.25">
      <c r="A3565">
        <v>1140</v>
      </c>
      <c r="B3565">
        <v>1</v>
      </c>
      <c r="C3565">
        <v>1.5528864260092601</v>
      </c>
      <c r="D3565">
        <v>2.0688326205331098</v>
      </c>
      <c r="E3565">
        <v>6</v>
      </c>
      <c r="F3565">
        <v>1.01722196789785</v>
      </c>
      <c r="G3565" t="s">
        <v>87</v>
      </c>
      <c r="H3565" t="s">
        <v>87</v>
      </c>
      <c r="I3565">
        <v>830</v>
      </c>
      <c r="J3565">
        <v>782</v>
      </c>
      <c r="K3565">
        <v>0.124625009531664</v>
      </c>
    </row>
    <row r="3566" spans="1:11" x14ac:dyDescent="0.25">
      <c r="A3566" t="s">
        <v>85</v>
      </c>
    </row>
    <row r="3567" spans="1:11" x14ac:dyDescent="0.25">
      <c r="A3567">
        <v>44.3379579434813</v>
      </c>
      <c r="B3567">
        <v>10.7877510840858</v>
      </c>
      <c r="C3567">
        <v>2000</v>
      </c>
    </row>
    <row r="3568" spans="1:11" x14ac:dyDescent="0.25">
      <c r="A3568">
        <v>43.239901421237697</v>
      </c>
      <c r="B3568">
        <v>11.8858076063295</v>
      </c>
      <c r="C3568">
        <v>2000</v>
      </c>
    </row>
    <row r="3569" spans="1:11" x14ac:dyDescent="0.25">
      <c r="A3569">
        <v>43.239901421237697</v>
      </c>
      <c r="B3569">
        <v>11.0117755574319</v>
      </c>
      <c r="C3569">
        <v>2001</v>
      </c>
    </row>
    <row r="3570" spans="1:11" x14ac:dyDescent="0.25">
      <c r="A3570">
        <v>44.337957943481399</v>
      </c>
      <c r="B3570">
        <v>9.9137190351881692</v>
      </c>
      <c r="C3570">
        <v>2001</v>
      </c>
    </row>
    <row r="3571" spans="1:11" x14ac:dyDescent="0.25">
      <c r="A3571">
        <v>45.800843518600303</v>
      </c>
      <c r="B3571">
        <v>8.4508334600692692</v>
      </c>
      <c r="C3571">
        <v>2001</v>
      </c>
    </row>
    <row r="3572" spans="1:11" x14ac:dyDescent="0.25">
      <c r="A3572">
        <v>45.800843518600303</v>
      </c>
      <c r="B3572">
        <v>9.3248655089669104</v>
      </c>
      <c r="C3572">
        <v>2000</v>
      </c>
    </row>
    <row r="3573" spans="1:11" x14ac:dyDescent="0.25">
      <c r="A3573" t="s">
        <v>86</v>
      </c>
    </row>
    <row r="3574" spans="1:11" x14ac:dyDescent="0.25">
      <c r="A3574">
        <v>944</v>
      </c>
      <c r="B3574">
        <v>1</v>
      </c>
      <c r="C3574">
        <v>3.6139917676001301</v>
      </c>
      <c r="D3574">
        <v>7.7272789422444497E-3</v>
      </c>
      <c r="E3574">
        <v>8</v>
      </c>
      <c r="F3574">
        <v>1.01722196789785</v>
      </c>
      <c r="G3574" t="s">
        <v>87</v>
      </c>
      <c r="H3574" t="s">
        <v>87</v>
      </c>
      <c r="I3574">
        <v>830</v>
      </c>
      <c r="J3574">
        <v>782</v>
      </c>
      <c r="K3574">
        <v>0.118311737100288</v>
      </c>
    </row>
    <row r="3575" spans="1:11" x14ac:dyDescent="0.25">
      <c r="A3575" t="s">
        <v>85</v>
      </c>
    </row>
    <row r="3576" spans="1:11" x14ac:dyDescent="0.25">
      <c r="A3576">
        <v>50.080246383921299</v>
      </c>
      <c r="B3576">
        <v>13.611536869047599</v>
      </c>
      <c r="C3576">
        <v>2000</v>
      </c>
    </row>
    <row r="3577" spans="1:11" x14ac:dyDescent="0.25">
      <c r="A3577">
        <v>49.7374195446654</v>
      </c>
      <c r="B3577">
        <v>13.9543637083035</v>
      </c>
      <c r="C3577">
        <v>2000</v>
      </c>
    </row>
    <row r="3578" spans="1:11" x14ac:dyDescent="0.25">
      <c r="A3578">
        <v>47.5229385339385</v>
      </c>
      <c r="B3578">
        <v>16.1688447190304</v>
      </c>
      <c r="C3578">
        <v>2000</v>
      </c>
    </row>
    <row r="3579" spans="1:11" x14ac:dyDescent="0.25">
      <c r="A3579">
        <v>48.396970582836197</v>
      </c>
      <c r="B3579">
        <v>16.1688447190304</v>
      </c>
      <c r="C3579">
        <v>2001</v>
      </c>
    </row>
    <row r="3580" spans="1:11" x14ac:dyDescent="0.25">
      <c r="A3580">
        <v>50.2625804553346</v>
      </c>
      <c r="B3580">
        <v>14.303234846532</v>
      </c>
      <c r="C3580">
        <v>2001</v>
      </c>
    </row>
    <row r="3581" spans="1:11" x14ac:dyDescent="0.25">
      <c r="A3581">
        <v>50.950618904898199</v>
      </c>
      <c r="B3581">
        <v>13.615196396968299</v>
      </c>
      <c r="C3581">
        <v>2001</v>
      </c>
    </row>
    <row r="3582" spans="1:11" x14ac:dyDescent="0.25">
      <c r="A3582">
        <v>50.957912680198802</v>
      </c>
      <c r="B3582">
        <v>13.607902621667799</v>
      </c>
      <c r="C3582">
        <v>2001</v>
      </c>
    </row>
    <row r="3583" spans="1:11" x14ac:dyDescent="0.25">
      <c r="A3583">
        <v>50.083880631301099</v>
      </c>
      <c r="B3583">
        <v>13.607902621667799</v>
      </c>
      <c r="C3583">
        <v>2000</v>
      </c>
    </row>
    <row r="3584" spans="1:11" x14ac:dyDescent="0.25">
      <c r="A3584" t="s">
        <v>86</v>
      </c>
    </row>
    <row r="3585" spans="1:11" x14ac:dyDescent="0.25">
      <c r="A3585">
        <v>725</v>
      </c>
      <c r="B3585">
        <v>0</v>
      </c>
      <c r="C3585">
        <v>0.98368653904077497</v>
      </c>
      <c r="D3585">
        <v>2.6018771494248898</v>
      </c>
      <c r="E3585">
        <v>6</v>
      </c>
      <c r="F3585">
        <v>1.01722196789785</v>
      </c>
      <c r="G3585" t="s">
        <v>84</v>
      </c>
      <c r="H3585" t="s">
        <v>84</v>
      </c>
      <c r="I3585">
        <v>433</v>
      </c>
      <c r="J3585">
        <v>411</v>
      </c>
      <c r="K3585">
        <v>9.4312854387899395E-2</v>
      </c>
    </row>
    <row r="3586" spans="1:11" x14ac:dyDescent="0.25">
      <c r="A3586" t="s">
        <v>85</v>
      </c>
    </row>
    <row r="3587" spans="1:11" x14ac:dyDescent="0.25">
      <c r="A3587">
        <v>82.752136253166199</v>
      </c>
      <c r="B3587">
        <v>107.42462663884901</v>
      </c>
      <c r="C3587">
        <v>2000</v>
      </c>
    </row>
    <row r="3588" spans="1:11" x14ac:dyDescent="0.25">
      <c r="A3588">
        <v>82.0565648308486</v>
      </c>
      <c r="B3588">
        <v>106.729055216532</v>
      </c>
      <c r="C3588">
        <v>2000</v>
      </c>
    </row>
    <row r="3589" spans="1:11" x14ac:dyDescent="0.25">
      <c r="A3589">
        <v>81.619548806399806</v>
      </c>
      <c r="B3589">
        <v>107.166071240981</v>
      </c>
      <c r="C3589">
        <v>2001</v>
      </c>
    </row>
    <row r="3590" spans="1:11" x14ac:dyDescent="0.25">
      <c r="A3590">
        <v>82.315120228717404</v>
      </c>
      <c r="B3590">
        <v>107.861642663298</v>
      </c>
      <c r="C3590">
        <v>2001</v>
      </c>
    </row>
    <row r="3591" spans="1:11" x14ac:dyDescent="0.25">
      <c r="A3591">
        <v>84.154925204890105</v>
      </c>
      <c r="B3591">
        <v>109.701447639471</v>
      </c>
      <c r="C3591">
        <v>2001</v>
      </c>
    </row>
    <row r="3592" spans="1:11" x14ac:dyDescent="0.25">
      <c r="A3592">
        <v>84.5919412293389</v>
      </c>
      <c r="B3592">
        <v>109.264431615022</v>
      </c>
      <c r="C3592">
        <v>2000</v>
      </c>
    </row>
    <row r="3593" spans="1:11" x14ac:dyDescent="0.25">
      <c r="A3593" t="s">
        <v>86</v>
      </c>
    </row>
    <row r="3594" spans="1:11" x14ac:dyDescent="0.25">
      <c r="A3594">
        <v>78</v>
      </c>
      <c r="B3594">
        <v>1</v>
      </c>
      <c r="C3594">
        <v>0.60367156701757096</v>
      </c>
      <c r="D3594">
        <v>2.9668860127836298</v>
      </c>
      <c r="E3594">
        <v>6</v>
      </c>
      <c r="F3594">
        <v>1.01722196789785</v>
      </c>
      <c r="G3594" t="s">
        <v>87</v>
      </c>
      <c r="H3594" t="s">
        <v>87</v>
      </c>
      <c r="I3594">
        <v>792</v>
      </c>
      <c r="J3594">
        <v>842</v>
      </c>
      <c r="K3594">
        <v>0</v>
      </c>
    </row>
    <row r="3595" spans="1:11" x14ac:dyDescent="0.25">
      <c r="A3595" t="s">
        <v>85</v>
      </c>
    </row>
    <row r="3596" spans="1:11" x14ac:dyDescent="0.25">
      <c r="A3596">
        <v>23.4137005329254</v>
      </c>
      <c r="B3596">
        <v>44.767748704429799</v>
      </c>
      <c r="C3596">
        <v>2000</v>
      </c>
    </row>
    <row r="3597" spans="1:11" x14ac:dyDescent="0.25">
      <c r="A3597">
        <v>22.9129542936166</v>
      </c>
      <c r="B3597">
        <v>45.268494943738602</v>
      </c>
      <c r="C3597">
        <v>2000</v>
      </c>
    </row>
    <row r="3598" spans="1:11" x14ac:dyDescent="0.25">
      <c r="A3598">
        <v>22.9129542936166</v>
      </c>
      <c r="B3598">
        <v>44.394462894840899</v>
      </c>
      <c r="C3598">
        <v>2001</v>
      </c>
    </row>
    <row r="3599" spans="1:11" x14ac:dyDescent="0.25">
      <c r="A3599">
        <v>23.265928571602998</v>
      </c>
      <c r="B3599">
        <v>44.041488616854501</v>
      </c>
      <c r="C3599">
        <v>2001</v>
      </c>
    </row>
    <row r="3600" spans="1:11" x14ac:dyDescent="0.25">
      <c r="A3600">
        <v>25.0007037464622</v>
      </c>
      <c r="B3600">
        <v>42.306713441995299</v>
      </c>
      <c r="C3600">
        <v>2001</v>
      </c>
    </row>
    <row r="3601" spans="1:11" x14ac:dyDescent="0.25">
      <c r="A3601">
        <v>25.874735795359801</v>
      </c>
      <c r="B3601">
        <v>42.306713441995299</v>
      </c>
      <c r="C3601">
        <v>2000</v>
      </c>
    </row>
    <row r="3602" spans="1:11" x14ac:dyDescent="0.25">
      <c r="A3602" t="s">
        <v>86</v>
      </c>
    </row>
    <row r="3603" spans="1:11" x14ac:dyDescent="0.25">
      <c r="A3603">
        <v>71</v>
      </c>
      <c r="B3603">
        <v>1</v>
      </c>
      <c r="C3603">
        <v>3.2721500719890702</v>
      </c>
      <c r="D3603">
        <v>0.23932324026428001</v>
      </c>
      <c r="E3603">
        <v>6</v>
      </c>
      <c r="F3603">
        <v>1.01722196789785</v>
      </c>
      <c r="G3603" t="s">
        <v>87</v>
      </c>
      <c r="H3603" t="s">
        <v>87</v>
      </c>
      <c r="I3603">
        <v>759</v>
      </c>
      <c r="J3603">
        <v>37</v>
      </c>
      <c r="K3603">
        <v>0</v>
      </c>
    </row>
    <row r="3604" spans="1:11" x14ac:dyDescent="0.25">
      <c r="A3604" t="s">
        <v>85</v>
      </c>
    </row>
    <row r="3605" spans="1:11" x14ac:dyDescent="0.25">
      <c r="A3605">
        <v>33.226414767336202</v>
      </c>
      <c r="B3605">
        <v>19.826244279999099</v>
      </c>
      <c r="C3605">
        <v>2000</v>
      </c>
    </row>
    <row r="3606" spans="1:11" x14ac:dyDescent="0.25">
      <c r="A3606">
        <v>31.319886611923501</v>
      </c>
      <c r="B3606">
        <v>21.7327724354118</v>
      </c>
      <c r="C3606">
        <v>2000</v>
      </c>
    </row>
    <row r="3607" spans="1:11" x14ac:dyDescent="0.25">
      <c r="A3607">
        <v>31.319886611923501</v>
      </c>
      <c r="B3607">
        <v>22.6068044843095</v>
      </c>
      <c r="C3607">
        <v>2001</v>
      </c>
    </row>
    <row r="3608" spans="1:11" x14ac:dyDescent="0.25">
      <c r="A3608">
        <v>34.040877466437898</v>
      </c>
      <c r="B3608">
        <v>19.885813629795098</v>
      </c>
      <c r="C3608">
        <v>2001</v>
      </c>
    </row>
    <row r="3609" spans="1:11" x14ac:dyDescent="0.25">
      <c r="A3609">
        <v>34.239889227422303</v>
      </c>
      <c r="B3609">
        <v>19.686801868810701</v>
      </c>
      <c r="C3609">
        <v>2001</v>
      </c>
    </row>
    <row r="3610" spans="1:11" x14ac:dyDescent="0.25">
      <c r="A3610">
        <v>33.3658571785246</v>
      </c>
      <c r="B3610">
        <v>19.686801868810701</v>
      </c>
      <c r="C3610">
        <v>2000</v>
      </c>
    </row>
    <row r="3611" spans="1:11" x14ac:dyDescent="0.25">
      <c r="A3611" t="s">
        <v>86</v>
      </c>
    </row>
    <row r="3612" spans="1:11" x14ac:dyDescent="0.25">
      <c r="A3612">
        <v>1066</v>
      </c>
      <c r="B3612">
        <v>1</v>
      </c>
      <c r="C3612">
        <v>3.1209214171970698</v>
      </c>
      <c r="D3612">
        <v>0.32646487890590897</v>
      </c>
      <c r="E3612">
        <v>6</v>
      </c>
      <c r="F3612">
        <v>1.01722196789785</v>
      </c>
      <c r="G3612" t="s">
        <v>87</v>
      </c>
      <c r="H3612" t="s">
        <v>87</v>
      </c>
      <c r="I3612">
        <v>855</v>
      </c>
      <c r="J3612">
        <v>726</v>
      </c>
      <c r="K3612">
        <v>0.12297972043158099</v>
      </c>
    </row>
    <row r="3613" spans="1:11" x14ac:dyDescent="0.25">
      <c r="A3613" t="s">
        <v>85</v>
      </c>
    </row>
    <row r="3614" spans="1:11" x14ac:dyDescent="0.25">
      <c r="A3614">
        <v>83.740673389328194</v>
      </c>
      <c r="B3614">
        <v>147.26805839263801</v>
      </c>
      <c r="C3614">
        <v>2000</v>
      </c>
    </row>
    <row r="3615" spans="1:11" x14ac:dyDescent="0.25">
      <c r="A3615">
        <v>81.138217754726398</v>
      </c>
      <c r="B3615">
        <v>149.87051402723901</v>
      </c>
      <c r="C3615">
        <v>2000</v>
      </c>
    </row>
    <row r="3616" spans="1:11" x14ac:dyDescent="0.25">
      <c r="A3616">
        <v>81.138217754726398</v>
      </c>
      <c r="B3616">
        <v>148.99648197834199</v>
      </c>
      <c r="C3616">
        <v>2001</v>
      </c>
    </row>
    <row r="3617" spans="1:11" x14ac:dyDescent="0.25">
      <c r="A3617">
        <v>82.949411515425396</v>
      </c>
      <c r="B3617">
        <v>147.18528821764301</v>
      </c>
      <c r="C3617">
        <v>2001</v>
      </c>
    </row>
    <row r="3618" spans="1:11" x14ac:dyDescent="0.25">
      <c r="A3618">
        <v>83.138871957621603</v>
      </c>
      <c r="B3618">
        <v>146.995827775447</v>
      </c>
      <c r="C3618">
        <v>2001</v>
      </c>
    </row>
    <row r="3619" spans="1:11" x14ac:dyDescent="0.25">
      <c r="A3619">
        <v>84.012904006519193</v>
      </c>
      <c r="B3619">
        <v>146.995827775447</v>
      </c>
      <c r="C3619">
        <v>2000</v>
      </c>
    </row>
    <row r="3620" spans="1:11" x14ac:dyDescent="0.25">
      <c r="A3620" t="s">
        <v>86</v>
      </c>
    </row>
    <row r="3621" spans="1:11" x14ac:dyDescent="0.25">
      <c r="A3621">
        <v>311</v>
      </c>
      <c r="B3621">
        <v>1</v>
      </c>
      <c r="C3621">
        <v>1.4206750384278699</v>
      </c>
      <c r="D3621">
        <v>1.98856394750681</v>
      </c>
      <c r="E3621">
        <v>6</v>
      </c>
      <c r="F3621">
        <v>1.01722196789785</v>
      </c>
      <c r="G3621" t="s">
        <v>87</v>
      </c>
      <c r="H3621" t="s">
        <v>87</v>
      </c>
      <c r="I3621">
        <v>355</v>
      </c>
      <c r="J3621">
        <v>798</v>
      </c>
      <c r="K3621">
        <v>0</v>
      </c>
    </row>
    <row r="3622" spans="1:11" x14ac:dyDescent="0.25">
      <c r="A3622" t="s">
        <v>85</v>
      </c>
    </row>
    <row r="3623" spans="1:11" x14ac:dyDescent="0.25">
      <c r="A3623">
        <v>106.301606475776</v>
      </c>
      <c r="B3623">
        <v>109.44406758941</v>
      </c>
      <c r="C3623">
        <v>2000</v>
      </c>
    </row>
    <row r="3624" spans="1:11" x14ac:dyDescent="0.25">
      <c r="A3624">
        <v>105.114927156882</v>
      </c>
      <c r="B3624">
        <v>110.630746908305</v>
      </c>
      <c r="C3624">
        <v>2000</v>
      </c>
    </row>
    <row r="3625" spans="1:11" x14ac:dyDescent="0.25">
      <c r="A3625">
        <v>105.114927156882</v>
      </c>
      <c r="B3625">
        <v>109.756714859407</v>
      </c>
      <c r="C3625">
        <v>2001</v>
      </c>
    </row>
    <row r="3626" spans="1:11" x14ac:dyDescent="0.25">
      <c r="A3626">
        <v>105.937385745057</v>
      </c>
      <c r="B3626">
        <v>108.934256271232</v>
      </c>
      <c r="C3626">
        <v>2001</v>
      </c>
    </row>
    <row r="3627" spans="1:11" x14ac:dyDescent="0.25">
      <c r="A3627">
        <v>107.088607138073</v>
      </c>
      <c r="B3627">
        <v>107.783034878216</v>
      </c>
      <c r="C3627">
        <v>2001</v>
      </c>
    </row>
    <row r="3628" spans="1:11" x14ac:dyDescent="0.25">
      <c r="A3628">
        <v>107.962639186971</v>
      </c>
      <c r="B3628">
        <v>107.783034878216</v>
      </c>
      <c r="C3628">
        <v>2000</v>
      </c>
    </row>
    <row r="3629" spans="1:11" x14ac:dyDescent="0.25">
      <c r="A3629" t="s">
        <v>86</v>
      </c>
    </row>
    <row r="3630" spans="1:11" x14ac:dyDescent="0.25">
      <c r="A3630">
        <v>851</v>
      </c>
      <c r="B3630">
        <v>0</v>
      </c>
      <c r="C3630">
        <v>1.3940881313667699</v>
      </c>
      <c r="D3630">
        <v>2.0144078352628001</v>
      </c>
      <c r="E3630">
        <v>6</v>
      </c>
      <c r="F3630">
        <v>1.01722196789785</v>
      </c>
      <c r="G3630" t="s">
        <v>83</v>
      </c>
      <c r="H3630" t="s">
        <v>84</v>
      </c>
      <c r="I3630">
        <v>0</v>
      </c>
      <c r="J3630">
        <v>174</v>
      </c>
      <c r="K3630">
        <v>0.101176352290388</v>
      </c>
    </row>
    <row r="3631" spans="1:11" x14ac:dyDescent="0.25">
      <c r="A3631" t="s">
        <v>85</v>
      </c>
    </row>
    <row r="3632" spans="1:11" x14ac:dyDescent="0.25">
      <c r="A3632">
        <v>0.89639854285700404</v>
      </c>
      <c r="B3632">
        <v>120.341726973794</v>
      </c>
      <c r="C3632">
        <v>2000</v>
      </c>
    </row>
    <row r="3633" spans="1:11" x14ac:dyDescent="0.25">
      <c r="A3633">
        <v>0</v>
      </c>
      <c r="B3633">
        <v>119.445328430937</v>
      </c>
      <c r="C3633">
        <v>2000</v>
      </c>
    </row>
    <row r="3634" spans="1:11" x14ac:dyDescent="0.25">
      <c r="A3634">
        <v>0</v>
      </c>
      <c r="B3634">
        <v>118.57129638203899</v>
      </c>
      <c r="C3634">
        <v>2001</v>
      </c>
    </row>
    <row r="3635" spans="1:11" x14ac:dyDescent="0.25">
      <c r="A3635">
        <v>1.0751397996652501</v>
      </c>
      <c r="B3635">
        <v>119.646436181704</v>
      </c>
      <c r="C3635">
        <v>2001</v>
      </c>
    </row>
    <row r="3636" spans="1:11" x14ac:dyDescent="0.25">
      <c r="A3636">
        <v>2.62867862387517</v>
      </c>
      <c r="B3636">
        <v>121.199975005914</v>
      </c>
      <c r="C3636">
        <v>2001</v>
      </c>
    </row>
    <row r="3637" spans="1:11" x14ac:dyDescent="0.25">
      <c r="A3637">
        <v>2.1916625994263499</v>
      </c>
      <c r="B3637">
        <v>121.63699103036301</v>
      </c>
      <c r="C3637">
        <v>2000</v>
      </c>
    </row>
    <row r="3638" spans="1:11" x14ac:dyDescent="0.25">
      <c r="A3638" t="s">
        <v>86</v>
      </c>
    </row>
    <row r="3639" spans="1:11" x14ac:dyDescent="0.25">
      <c r="A3639">
        <v>1068</v>
      </c>
      <c r="B3639">
        <v>1</v>
      </c>
      <c r="C3639">
        <v>0.90289152118954497</v>
      </c>
      <c r="D3639">
        <v>2.4939778915370101</v>
      </c>
      <c r="E3639">
        <v>6</v>
      </c>
      <c r="F3639">
        <v>1.01722196789785</v>
      </c>
      <c r="G3639" t="s">
        <v>87</v>
      </c>
      <c r="H3639" t="s">
        <v>87</v>
      </c>
      <c r="I3639">
        <v>823</v>
      </c>
      <c r="J3639">
        <v>514</v>
      </c>
      <c r="K3639">
        <v>0.122728925384179</v>
      </c>
    </row>
    <row r="3640" spans="1:11" x14ac:dyDescent="0.25">
      <c r="A3640" t="s">
        <v>85</v>
      </c>
    </row>
    <row r="3641" spans="1:11" x14ac:dyDescent="0.25">
      <c r="A3641">
        <v>128.22286775485699</v>
      </c>
      <c r="B3641">
        <v>19.109363486101</v>
      </c>
      <c r="C3641">
        <v>2000</v>
      </c>
    </row>
    <row r="3642" spans="1:11" x14ac:dyDescent="0.25">
      <c r="A3642">
        <v>127.584427037548</v>
      </c>
      <c r="B3642">
        <v>19.747804203409999</v>
      </c>
      <c r="C3642">
        <v>2000</v>
      </c>
    </row>
    <row r="3643" spans="1:11" x14ac:dyDescent="0.25">
      <c r="A3643">
        <v>127.584427037548</v>
      </c>
      <c r="B3643">
        <v>18.873772154512299</v>
      </c>
      <c r="C3643">
        <v>2001</v>
      </c>
    </row>
    <row r="3644" spans="1:11" x14ac:dyDescent="0.25">
      <c r="A3644">
        <v>128.22286775485699</v>
      </c>
      <c r="B3644">
        <v>18.235331437203399</v>
      </c>
      <c r="C3644">
        <v>2001</v>
      </c>
    </row>
    <row r="3645" spans="1:11" x14ac:dyDescent="0.25">
      <c r="A3645">
        <v>129.98637643409299</v>
      </c>
      <c r="B3645">
        <v>16.471822757968202</v>
      </c>
      <c r="C3645">
        <v>2001</v>
      </c>
    </row>
    <row r="3646" spans="1:11" x14ac:dyDescent="0.25">
      <c r="A3646">
        <v>129.98637643409299</v>
      </c>
      <c r="B3646">
        <v>17.345854806865901</v>
      </c>
      <c r="C3646">
        <v>2000</v>
      </c>
    </row>
    <row r="3647" spans="1:11" x14ac:dyDescent="0.25">
      <c r="A3647" t="s">
        <v>86</v>
      </c>
    </row>
    <row r="3648" spans="1:11" x14ac:dyDescent="0.25">
      <c r="A3648">
        <v>991</v>
      </c>
      <c r="B3648">
        <v>1</v>
      </c>
      <c r="C3648">
        <v>0.23975274299253599</v>
      </c>
      <c r="D3648">
        <v>3.14168430479954</v>
      </c>
      <c r="E3648">
        <v>6</v>
      </c>
      <c r="F3648">
        <v>1.01722196789785</v>
      </c>
      <c r="G3648" t="s">
        <v>87</v>
      </c>
      <c r="H3648" t="s">
        <v>87</v>
      </c>
      <c r="I3648">
        <v>664</v>
      </c>
      <c r="J3648">
        <v>857</v>
      </c>
      <c r="K3648">
        <v>0.120547941094079</v>
      </c>
    </row>
    <row r="3649" spans="1:11" x14ac:dyDescent="0.25">
      <c r="A3649" t="s">
        <v>85</v>
      </c>
    </row>
    <row r="3650" spans="1:11" x14ac:dyDescent="0.25">
      <c r="A3650">
        <v>64.874334582069096</v>
      </c>
      <c r="B3650">
        <v>10.2086614674087</v>
      </c>
      <c r="C3650">
        <v>2000</v>
      </c>
    </row>
    <row r="3651" spans="1:11" x14ac:dyDescent="0.25">
      <c r="A3651">
        <v>64.704803791691006</v>
      </c>
      <c r="B3651">
        <v>10.3781922577868</v>
      </c>
      <c r="C3651">
        <v>2000</v>
      </c>
    </row>
    <row r="3652" spans="1:11" x14ac:dyDescent="0.25">
      <c r="A3652">
        <v>64.704803791691006</v>
      </c>
      <c r="B3652">
        <v>11.2522243066845</v>
      </c>
      <c r="C3652">
        <v>2001</v>
      </c>
    </row>
    <row r="3653" spans="1:11" x14ac:dyDescent="0.25">
      <c r="A3653">
        <v>64.874334582069096</v>
      </c>
      <c r="B3653">
        <v>11.082693516306399</v>
      </c>
      <c r="C3653">
        <v>2001</v>
      </c>
    </row>
    <row r="3654" spans="1:11" x14ac:dyDescent="0.25">
      <c r="A3654">
        <v>67.095840858340196</v>
      </c>
      <c r="B3654">
        <v>8.8611872400352603</v>
      </c>
      <c r="C3654">
        <v>2001</v>
      </c>
    </row>
    <row r="3655" spans="1:11" x14ac:dyDescent="0.25">
      <c r="A3655">
        <v>67.095840858340196</v>
      </c>
      <c r="B3655">
        <v>7.9871551911376297</v>
      </c>
      <c r="C3655">
        <v>2000</v>
      </c>
    </row>
    <row r="3656" spans="1:11" x14ac:dyDescent="0.25">
      <c r="A3656" t="s">
        <v>86</v>
      </c>
    </row>
    <row r="3657" spans="1:11" x14ac:dyDescent="0.25">
      <c r="A3657">
        <v>1025</v>
      </c>
      <c r="B3657">
        <v>1</v>
      </c>
      <c r="C3657">
        <v>1.1598968132103</v>
      </c>
      <c r="D3657">
        <v>2.11346603434525</v>
      </c>
      <c r="E3657">
        <v>6</v>
      </c>
      <c r="F3657">
        <v>1.01722196789785</v>
      </c>
      <c r="G3657" t="s">
        <v>87</v>
      </c>
      <c r="H3657" t="s">
        <v>87</v>
      </c>
      <c r="I3657">
        <v>822</v>
      </c>
      <c r="J3657">
        <v>842</v>
      </c>
      <c r="K3657">
        <v>0.121125394062888</v>
      </c>
    </row>
    <row r="3658" spans="1:11" x14ac:dyDescent="0.25">
      <c r="A3658" t="s">
        <v>85</v>
      </c>
    </row>
    <row r="3659" spans="1:11" x14ac:dyDescent="0.25">
      <c r="A3659">
        <v>15.960517195500699</v>
      </c>
      <c r="B3659">
        <v>35.3813871715221</v>
      </c>
      <c r="C3659">
        <v>2000</v>
      </c>
    </row>
    <row r="3660" spans="1:11" x14ac:dyDescent="0.25">
      <c r="A3660">
        <v>15.140346293403001</v>
      </c>
      <c r="B3660">
        <v>36.201558073619701</v>
      </c>
      <c r="C3660">
        <v>2000</v>
      </c>
    </row>
    <row r="3661" spans="1:11" x14ac:dyDescent="0.25">
      <c r="A3661">
        <v>15.140346293403001</v>
      </c>
      <c r="B3661">
        <v>37.075590122517397</v>
      </c>
      <c r="C3661">
        <v>2001</v>
      </c>
    </row>
    <row r="3662" spans="1:11" x14ac:dyDescent="0.25">
      <c r="A3662">
        <v>15.960517195500699</v>
      </c>
      <c r="B3662">
        <v>36.255419220419697</v>
      </c>
      <c r="C3662">
        <v>2001</v>
      </c>
    </row>
    <row r="3663" spans="1:11" x14ac:dyDescent="0.25">
      <c r="A3663">
        <v>17.454963360193599</v>
      </c>
      <c r="B3663">
        <v>34.760973055726801</v>
      </c>
      <c r="C3663">
        <v>2001</v>
      </c>
    </row>
    <row r="3664" spans="1:11" x14ac:dyDescent="0.25">
      <c r="A3664">
        <v>17.454963360193599</v>
      </c>
      <c r="B3664">
        <v>33.886941006829097</v>
      </c>
      <c r="C3664">
        <v>2000</v>
      </c>
    </row>
    <row r="3665" spans="1:11" x14ac:dyDescent="0.25">
      <c r="A3665" t="s">
        <v>86</v>
      </c>
    </row>
    <row r="3666" spans="1:11" x14ac:dyDescent="0.25">
      <c r="A3666">
        <v>1048</v>
      </c>
      <c r="B3666">
        <v>1</v>
      </c>
      <c r="C3666">
        <v>0.21086315274004599</v>
      </c>
      <c r="D3666">
        <v>2.9561554251477999</v>
      </c>
      <c r="E3666">
        <v>6</v>
      </c>
      <c r="F3666">
        <v>1.01722196789785</v>
      </c>
      <c r="G3666" t="s">
        <v>87</v>
      </c>
      <c r="H3666" t="s">
        <v>87</v>
      </c>
      <c r="I3666">
        <v>516</v>
      </c>
      <c r="J3666">
        <v>823</v>
      </c>
      <c r="K3666">
        <v>0.121949590810518</v>
      </c>
    </row>
    <row r="3667" spans="1:11" x14ac:dyDescent="0.25">
      <c r="A3667" t="s">
        <v>85</v>
      </c>
    </row>
    <row r="3668" spans="1:11" x14ac:dyDescent="0.25">
      <c r="A3668">
        <v>120.746231330779</v>
      </c>
      <c r="B3668">
        <v>16.274405439630101</v>
      </c>
      <c r="C3668">
        <v>2000</v>
      </c>
    </row>
    <row r="3669" spans="1:11" x14ac:dyDescent="0.25">
      <c r="A3669">
        <v>120.626225514154</v>
      </c>
      <c r="B3669">
        <v>16.394411256254799</v>
      </c>
      <c r="C3669">
        <v>2000</v>
      </c>
    </row>
    <row r="3670" spans="1:11" x14ac:dyDescent="0.25">
      <c r="A3670">
        <v>119.75219346525699</v>
      </c>
      <c r="B3670">
        <v>16.394411256254799</v>
      </c>
      <c r="C3670">
        <v>2001</v>
      </c>
    </row>
    <row r="3671" spans="1:11" x14ac:dyDescent="0.25">
      <c r="A3671">
        <v>119.930393179042</v>
      </c>
      <c r="B3671">
        <v>16.2162115424698</v>
      </c>
      <c r="C3671">
        <v>2001</v>
      </c>
    </row>
    <row r="3672" spans="1:11" x14ac:dyDescent="0.25">
      <c r="A3672">
        <v>122.428629802274</v>
      </c>
      <c r="B3672">
        <v>13.7179749192378</v>
      </c>
      <c r="C3672">
        <v>2001</v>
      </c>
    </row>
    <row r="3673" spans="1:11" x14ac:dyDescent="0.25">
      <c r="A3673">
        <v>122.428629802274</v>
      </c>
      <c r="B3673">
        <v>14.592006968135401</v>
      </c>
      <c r="C3673">
        <v>2000</v>
      </c>
    </row>
    <row r="3674" spans="1:11" x14ac:dyDescent="0.25">
      <c r="A3674" t="s">
        <v>86</v>
      </c>
    </row>
    <row r="3675" spans="1:11" x14ac:dyDescent="0.25">
      <c r="A3675">
        <v>542</v>
      </c>
      <c r="B3675">
        <v>1</v>
      </c>
      <c r="C3675">
        <v>2.5686266774384601</v>
      </c>
      <c r="D3675">
        <v>0.59839190044938595</v>
      </c>
      <c r="E3675">
        <v>6</v>
      </c>
      <c r="F3675">
        <v>1.01722196789785</v>
      </c>
      <c r="G3675" t="s">
        <v>87</v>
      </c>
      <c r="H3675" t="s">
        <v>87</v>
      </c>
      <c r="I3675">
        <v>516</v>
      </c>
      <c r="J3675">
        <v>823</v>
      </c>
      <c r="K3675">
        <v>0</v>
      </c>
    </row>
    <row r="3676" spans="1:11" x14ac:dyDescent="0.25">
      <c r="A3676" t="s">
        <v>85</v>
      </c>
    </row>
    <row r="3677" spans="1:11" x14ac:dyDescent="0.25">
      <c r="A3677">
        <v>114.640571534579</v>
      </c>
      <c r="B3677">
        <v>7.4850587734133196</v>
      </c>
      <c r="C3677">
        <v>2000</v>
      </c>
    </row>
    <row r="3678" spans="1:11" x14ac:dyDescent="0.25">
      <c r="A3678">
        <v>113.178722282946</v>
      </c>
      <c r="B3678">
        <v>8.9469080250462998</v>
      </c>
      <c r="C3678">
        <v>2000</v>
      </c>
    </row>
    <row r="3679" spans="1:11" x14ac:dyDescent="0.25">
      <c r="A3679">
        <v>112.304690234048</v>
      </c>
      <c r="B3679">
        <v>8.9469080250462998</v>
      </c>
      <c r="C3679">
        <v>2001</v>
      </c>
    </row>
    <row r="3680" spans="1:11" x14ac:dyDescent="0.25">
      <c r="A3680">
        <v>114.47542766632201</v>
      </c>
      <c r="B3680">
        <v>6.7761705927724796</v>
      </c>
      <c r="C3680">
        <v>2001</v>
      </c>
    </row>
    <row r="3681" spans="1:11" x14ac:dyDescent="0.25">
      <c r="A3681">
        <v>114.981126571065</v>
      </c>
      <c r="B3681">
        <v>6.2704716880292199</v>
      </c>
      <c r="C3681">
        <v>2001</v>
      </c>
    </row>
    <row r="3682" spans="1:11" x14ac:dyDescent="0.25">
      <c r="A3682">
        <v>114.981126571065</v>
      </c>
      <c r="B3682">
        <v>7.1445037369268496</v>
      </c>
      <c r="C3682">
        <v>2000</v>
      </c>
    </row>
    <row r="3683" spans="1:11" x14ac:dyDescent="0.25">
      <c r="A3683" t="s">
        <v>86</v>
      </c>
    </row>
    <row r="3684" spans="1:11" x14ac:dyDescent="0.25">
      <c r="A3684">
        <v>939</v>
      </c>
      <c r="B3684">
        <v>1</v>
      </c>
      <c r="C3684">
        <v>2.25439676524323</v>
      </c>
      <c r="D3684">
        <v>0.91262181264461595</v>
      </c>
      <c r="E3684">
        <v>6</v>
      </c>
      <c r="F3684">
        <v>1.01722196789785</v>
      </c>
      <c r="G3684" t="s">
        <v>87</v>
      </c>
      <c r="H3684" t="s">
        <v>87</v>
      </c>
      <c r="I3684">
        <v>516</v>
      </c>
      <c r="J3684">
        <v>823</v>
      </c>
      <c r="K3684">
        <v>0.11865465261041699</v>
      </c>
    </row>
    <row r="3685" spans="1:11" x14ac:dyDescent="0.25">
      <c r="A3685" t="s">
        <v>85</v>
      </c>
    </row>
    <row r="3686" spans="1:11" x14ac:dyDescent="0.25">
      <c r="A3686">
        <v>113.358032896137</v>
      </c>
      <c r="B3686">
        <v>6.5601873397998398</v>
      </c>
      <c r="C3686">
        <v>2000</v>
      </c>
    </row>
    <row r="3687" spans="1:11" x14ac:dyDescent="0.25">
      <c r="A3687">
        <v>112.07501724691799</v>
      </c>
      <c r="B3687">
        <v>7.84320298901872</v>
      </c>
      <c r="C3687">
        <v>2000</v>
      </c>
    </row>
    <row r="3688" spans="1:11" x14ac:dyDescent="0.25">
      <c r="A3688">
        <v>112.07501724691799</v>
      </c>
      <c r="B3688">
        <v>8.7172350379163408</v>
      </c>
      <c r="C3688">
        <v>2001</v>
      </c>
    </row>
    <row r="3689" spans="1:11" x14ac:dyDescent="0.25">
      <c r="A3689">
        <v>113.980200078076</v>
      </c>
      <c r="B3689">
        <v>6.8120522067582296</v>
      </c>
      <c r="C3689">
        <v>2001</v>
      </c>
    </row>
    <row r="3690" spans="1:11" x14ac:dyDescent="0.25">
      <c r="A3690">
        <v>114.751453583935</v>
      </c>
      <c r="B3690">
        <v>6.0407987008992698</v>
      </c>
      <c r="C3690">
        <v>2001</v>
      </c>
    </row>
    <row r="3691" spans="1:11" x14ac:dyDescent="0.25">
      <c r="A3691">
        <v>113.877421535038</v>
      </c>
      <c r="B3691">
        <v>6.0407987008992698</v>
      </c>
      <c r="C3691">
        <v>2000</v>
      </c>
    </row>
    <row r="3692" spans="1:11" x14ac:dyDescent="0.25">
      <c r="A3692" t="s">
        <v>86</v>
      </c>
    </row>
    <row r="3693" spans="1:11" x14ac:dyDescent="0.25">
      <c r="A3693">
        <v>901</v>
      </c>
      <c r="B3693">
        <v>1</v>
      </c>
      <c r="C3693">
        <v>2.5359714802967899</v>
      </c>
      <c r="D3693">
        <v>0.58058716185097803</v>
      </c>
      <c r="E3693">
        <v>8</v>
      </c>
      <c r="F3693">
        <v>1.01722196789785</v>
      </c>
      <c r="G3693" t="s">
        <v>87</v>
      </c>
      <c r="H3693" t="s">
        <v>87</v>
      </c>
      <c r="I3693">
        <v>820</v>
      </c>
      <c r="J3693">
        <v>425</v>
      </c>
      <c r="K3693">
        <v>0.11685087107927999</v>
      </c>
    </row>
    <row r="3694" spans="1:11" x14ac:dyDescent="0.25">
      <c r="A3694" t="s">
        <v>85</v>
      </c>
    </row>
    <row r="3695" spans="1:11" x14ac:dyDescent="0.25">
      <c r="A3695">
        <v>11.8335973502085</v>
      </c>
      <c r="B3695">
        <v>100.06410825126299</v>
      </c>
      <c r="C3695">
        <v>2000</v>
      </c>
    </row>
    <row r="3696" spans="1:11" x14ac:dyDescent="0.25">
      <c r="A3696">
        <v>11.6649375304318</v>
      </c>
      <c r="B3696">
        <v>100.23276807104</v>
      </c>
      <c r="C3696">
        <v>2000</v>
      </c>
    </row>
    <row r="3697" spans="1:11" x14ac:dyDescent="0.25">
      <c r="A3697">
        <v>9.7845132042581699</v>
      </c>
      <c r="B3697">
        <v>102.11319239721399</v>
      </c>
      <c r="C3697">
        <v>2000</v>
      </c>
    </row>
    <row r="3698" spans="1:11" x14ac:dyDescent="0.25">
      <c r="A3698">
        <v>9.7845132042581699</v>
      </c>
      <c r="B3698">
        <v>101.23916034831601</v>
      </c>
      <c r="C3698">
        <v>2001</v>
      </c>
    </row>
    <row r="3699" spans="1:11" x14ac:dyDescent="0.25">
      <c r="A3699">
        <v>11.256441623614</v>
      </c>
      <c r="B3699">
        <v>99.767231928960101</v>
      </c>
      <c r="C3699">
        <v>2001</v>
      </c>
    </row>
    <row r="3700" spans="1:11" x14ac:dyDescent="0.25">
      <c r="A3700">
        <v>11.321834319534901</v>
      </c>
      <c r="B3700">
        <v>99.701839233039195</v>
      </c>
      <c r="C3700">
        <v>2001</v>
      </c>
    </row>
    <row r="3701" spans="1:11" x14ac:dyDescent="0.25">
      <c r="A3701">
        <v>11.5512369296376</v>
      </c>
      <c r="B3701">
        <v>99.472436622936499</v>
      </c>
      <c r="C3701">
        <v>2001</v>
      </c>
    </row>
    <row r="3702" spans="1:11" x14ac:dyDescent="0.25">
      <c r="A3702">
        <v>12.4252689785352</v>
      </c>
      <c r="B3702">
        <v>99.472436622936499</v>
      </c>
      <c r="C3702">
        <v>2000</v>
      </c>
    </row>
    <row r="3703" spans="1:11" x14ac:dyDescent="0.25">
      <c r="A3703" t="s">
        <v>86</v>
      </c>
    </row>
    <row r="3704" spans="1:11" x14ac:dyDescent="0.25">
      <c r="A3704">
        <v>1035</v>
      </c>
      <c r="B3704">
        <v>1</v>
      </c>
      <c r="C3704">
        <v>0.63830463673545501</v>
      </c>
      <c r="D3704">
        <v>2.4232423911306902</v>
      </c>
      <c r="E3704">
        <v>6</v>
      </c>
      <c r="F3704">
        <v>1.01722196789785</v>
      </c>
      <c r="G3704" t="s">
        <v>87</v>
      </c>
      <c r="H3704" t="s">
        <v>87</v>
      </c>
      <c r="I3704">
        <v>189</v>
      </c>
      <c r="J3704">
        <v>425</v>
      </c>
      <c r="K3704">
        <v>0.121680115082949</v>
      </c>
    </row>
    <row r="3705" spans="1:11" x14ac:dyDescent="0.25">
      <c r="A3705" t="s">
        <v>85</v>
      </c>
    </row>
    <row r="3706" spans="1:11" x14ac:dyDescent="0.25">
      <c r="A3706">
        <v>43.2734467481515</v>
      </c>
      <c r="B3706">
        <v>133.74759664700699</v>
      </c>
      <c r="C3706">
        <v>2000</v>
      </c>
    </row>
    <row r="3707" spans="1:11" x14ac:dyDescent="0.25">
      <c r="A3707">
        <v>42.822097211053098</v>
      </c>
      <c r="B3707">
        <v>134.19894618410601</v>
      </c>
      <c r="C3707">
        <v>2000</v>
      </c>
    </row>
    <row r="3708" spans="1:11" x14ac:dyDescent="0.25">
      <c r="A3708">
        <v>41.948065162155402</v>
      </c>
      <c r="B3708">
        <v>134.19894618410601</v>
      </c>
      <c r="C3708">
        <v>2001</v>
      </c>
    </row>
    <row r="3709" spans="1:11" x14ac:dyDescent="0.25">
      <c r="A3709">
        <v>42.399414699253903</v>
      </c>
      <c r="B3709">
        <v>133.74759664700699</v>
      </c>
      <c r="C3709">
        <v>2001</v>
      </c>
    </row>
    <row r="3710" spans="1:11" x14ac:dyDescent="0.25">
      <c r="A3710">
        <v>44.112905826481096</v>
      </c>
      <c r="B3710">
        <v>132.03410551978001</v>
      </c>
      <c r="C3710">
        <v>2001</v>
      </c>
    </row>
    <row r="3711" spans="1:11" x14ac:dyDescent="0.25">
      <c r="A3711">
        <v>44.9869378753788</v>
      </c>
      <c r="B3711">
        <v>132.03410551978001</v>
      </c>
      <c r="C3711">
        <v>2000</v>
      </c>
    </row>
    <row r="3712" spans="1:11" x14ac:dyDescent="0.25">
      <c r="A3712" t="s">
        <v>86</v>
      </c>
    </row>
    <row r="3713" spans="1:11" x14ac:dyDescent="0.25">
      <c r="A3713">
        <v>908</v>
      </c>
      <c r="B3713">
        <v>1</v>
      </c>
      <c r="C3713">
        <v>2.4651625521777798</v>
      </c>
      <c r="D3713">
        <v>0.59638447568835995</v>
      </c>
      <c r="E3713">
        <v>6</v>
      </c>
      <c r="F3713">
        <v>1.01722196789785</v>
      </c>
      <c r="G3713" t="s">
        <v>87</v>
      </c>
      <c r="H3713" t="s">
        <v>87</v>
      </c>
      <c r="I3713">
        <v>189</v>
      </c>
      <c r="J3713">
        <v>425</v>
      </c>
      <c r="K3713">
        <v>0.116465549931603</v>
      </c>
    </row>
    <row r="3714" spans="1:11" x14ac:dyDescent="0.25">
      <c r="A3714" t="s">
        <v>85</v>
      </c>
    </row>
    <row r="3715" spans="1:11" x14ac:dyDescent="0.25">
      <c r="A3715">
        <v>22.068904299777699</v>
      </c>
      <c r="B3715">
        <v>109.959486958086</v>
      </c>
      <c r="C3715">
        <v>2000</v>
      </c>
    </row>
    <row r="3716" spans="1:11" x14ac:dyDescent="0.25">
      <c r="A3716">
        <v>20.325771142405699</v>
      </c>
      <c r="B3716">
        <v>111.702620115458</v>
      </c>
      <c r="C3716">
        <v>2000</v>
      </c>
    </row>
    <row r="3717" spans="1:11" x14ac:dyDescent="0.25">
      <c r="A3717">
        <v>19.451739093508099</v>
      </c>
      <c r="B3717">
        <v>111.702620115458</v>
      </c>
      <c r="C3717">
        <v>2001</v>
      </c>
    </row>
    <row r="3718" spans="1:11" x14ac:dyDescent="0.25">
      <c r="A3718">
        <v>21.194872250880099</v>
      </c>
      <c r="B3718">
        <v>109.959486958086</v>
      </c>
      <c r="C3718">
        <v>2001</v>
      </c>
    </row>
    <row r="3719" spans="1:11" x14ac:dyDescent="0.25">
      <c r="A3719">
        <v>21.616579757833701</v>
      </c>
      <c r="B3719">
        <v>109.53777945113301</v>
      </c>
      <c r="C3719">
        <v>2001</v>
      </c>
    </row>
    <row r="3720" spans="1:11" x14ac:dyDescent="0.25">
      <c r="A3720">
        <v>22.490611806731401</v>
      </c>
      <c r="B3720">
        <v>109.53777945113301</v>
      </c>
      <c r="C3720">
        <v>2000</v>
      </c>
    </row>
    <row r="3721" spans="1:11" x14ac:dyDescent="0.25">
      <c r="A3721" t="s">
        <v>86</v>
      </c>
    </row>
    <row r="3722" spans="1:11" x14ac:dyDescent="0.25">
      <c r="A3722">
        <v>996</v>
      </c>
      <c r="B3722">
        <v>1</v>
      </c>
      <c r="C3722">
        <v>1.33769938527294</v>
      </c>
      <c r="D3722">
        <v>1.68864769776257</v>
      </c>
      <c r="E3722">
        <v>6</v>
      </c>
      <c r="F3722">
        <v>1.01722196789785</v>
      </c>
      <c r="G3722" t="s">
        <v>87</v>
      </c>
      <c r="H3722" t="s">
        <v>87</v>
      </c>
      <c r="I3722">
        <v>355</v>
      </c>
      <c r="J3722">
        <v>272</v>
      </c>
      <c r="K3722">
        <v>0.12024993113152201</v>
      </c>
    </row>
    <row r="3723" spans="1:11" x14ac:dyDescent="0.25">
      <c r="A3723" t="s">
        <v>85</v>
      </c>
    </row>
    <row r="3724" spans="1:11" x14ac:dyDescent="0.25">
      <c r="A3724">
        <v>125.39556077699901</v>
      </c>
      <c r="B3724">
        <v>129.01958791539101</v>
      </c>
      <c r="C3724">
        <v>2000</v>
      </c>
    </row>
    <row r="3725" spans="1:11" x14ac:dyDescent="0.25">
      <c r="A3725">
        <v>124.449664470483</v>
      </c>
      <c r="B3725">
        <v>129.96548422190699</v>
      </c>
      <c r="C3725">
        <v>2000</v>
      </c>
    </row>
    <row r="3726" spans="1:11" x14ac:dyDescent="0.25">
      <c r="A3726">
        <v>124.449664470483</v>
      </c>
      <c r="B3726">
        <v>129.091452173009</v>
      </c>
      <c r="C3726">
        <v>2001</v>
      </c>
    </row>
    <row r="3727" spans="1:11" x14ac:dyDescent="0.25">
      <c r="A3727">
        <v>125.39556077699901</v>
      </c>
      <c r="B3727">
        <v>128.145555866493</v>
      </c>
      <c r="C3727">
        <v>2001</v>
      </c>
    </row>
    <row r="3728" spans="1:11" x14ac:dyDescent="0.25">
      <c r="A3728">
        <v>126.58961501512201</v>
      </c>
      <c r="B3728">
        <v>126.95150162837</v>
      </c>
      <c r="C3728">
        <v>2001</v>
      </c>
    </row>
    <row r="3729" spans="1:11" x14ac:dyDescent="0.25">
      <c r="A3729">
        <v>126.58961501512201</v>
      </c>
      <c r="B3729">
        <v>127.825533677268</v>
      </c>
      <c r="C3729">
        <v>2000</v>
      </c>
    </row>
    <row r="3730" spans="1:11" x14ac:dyDescent="0.25">
      <c r="A3730" t="s">
        <v>86</v>
      </c>
    </row>
    <row r="3731" spans="1:11" x14ac:dyDescent="0.25">
      <c r="A3731">
        <v>478</v>
      </c>
      <c r="B3731">
        <v>1</v>
      </c>
      <c r="C3731">
        <v>9.9017402250098002E-2</v>
      </c>
      <c r="D3731">
        <v>2.9236825295896098</v>
      </c>
      <c r="E3731">
        <v>6</v>
      </c>
      <c r="F3731">
        <v>1.01722196789785</v>
      </c>
      <c r="G3731" t="s">
        <v>87</v>
      </c>
      <c r="H3731" t="s">
        <v>87</v>
      </c>
      <c r="I3731">
        <v>855</v>
      </c>
      <c r="J3731">
        <v>432</v>
      </c>
      <c r="K3731">
        <v>0</v>
      </c>
    </row>
    <row r="3732" spans="1:11" x14ac:dyDescent="0.25">
      <c r="A3732" t="s">
        <v>85</v>
      </c>
    </row>
    <row r="3733" spans="1:11" x14ac:dyDescent="0.25">
      <c r="A3733">
        <v>75.203987197678003</v>
      </c>
      <c r="B3733">
        <v>143.76762023360399</v>
      </c>
      <c r="C3733">
        <v>2000</v>
      </c>
    </row>
    <row r="3734" spans="1:11" x14ac:dyDescent="0.25">
      <c r="A3734">
        <v>75.1196555793843</v>
      </c>
      <c r="B3734">
        <v>143.85195185189701</v>
      </c>
      <c r="C3734">
        <v>2000</v>
      </c>
    </row>
    <row r="3735" spans="1:11" x14ac:dyDescent="0.25">
      <c r="A3735">
        <v>75.119655579384201</v>
      </c>
      <c r="B3735">
        <v>142.97791980299999</v>
      </c>
      <c r="C3735">
        <v>2001</v>
      </c>
    </row>
    <row r="3736" spans="1:11" x14ac:dyDescent="0.25">
      <c r="A3736">
        <v>75.175355714263503</v>
      </c>
      <c r="B3736">
        <v>142.92221966811999</v>
      </c>
      <c r="C3736">
        <v>2001</v>
      </c>
    </row>
    <row r="3737" spans="1:11" x14ac:dyDescent="0.25">
      <c r="A3737">
        <v>76.820011174231396</v>
      </c>
      <c r="B3737">
        <v>141.277564208152</v>
      </c>
      <c r="C3737">
        <v>2001</v>
      </c>
    </row>
    <row r="3738" spans="1:11" x14ac:dyDescent="0.25">
      <c r="A3738">
        <v>77.694043223129</v>
      </c>
      <c r="B3738">
        <v>141.277564208152</v>
      </c>
      <c r="C3738">
        <v>2000</v>
      </c>
    </row>
    <row r="3739" spans="1:11" x14ac:dyDescent="0.25">
      <c r="A3739" t="s">
        <v>86</v>
      </c>
    </row>
    <row r="3740" spans="1:11" x14ac:dyDescent="0.25">
      <c r="A3740">
        <v>864</v>
      </c>
      <c r="B3740">
        <v>1</v>
      </c>
      <c r="C3740">
        <v>1.3523751648854501</v>
      </c>
      <c r="D3740">
        <v>1.6507165712927101</v>
      </c>
      <c r="E3740">
        <v>6</v>
      </c>
      <c r="F3740">
        <v>1.01722196789785</v>
      </c>
      <c r="G3740" t="s">
        <v>87</v>
      </c>
      <c r="H3740" t="s">
        <v>87</v>
      </c>
      <c r="I3740">
        <v>835</v>
      </c>
      <c r="J3740">
        <v>421</v>
      </c>
      <c r="K3740">
        <v>0.115643722583405</v>
      </c>
    </row>
    <row r="3741" spans="1:11" x14ac:dyDescent="0.25">
      <c r="A3741" t="s">
        <v>85</v>
      </c>
    </row>
    <row r="3742" spans="1:11" x14ac:dyDescent="0.25">
      <c r="A3742">
        <v>119.47631152742299</v>
      </c>
      <c r="B3742">
        <v>141.72438274450801</v>
      </c>
      <c r="C3742">
        <v>2000</v>
      </c>
    </row>
    <row r="3743" spans="1:11" x14ac:dyDescent="0.25">
      <c r="A3743">
        <v>118.520037877625</v>
      </c>
      <c r="B3743">
        <v>142.68065639430699</v>
      </c>
      <c r="C3743">
        <v>2000</v>
      </c>
    </row>
    <row r="3744" spans="1:11" x14ac:dyDescent="0.25">
      <c r="A3744">
        <v>119.39406992652199</v>
      </c>
      <c r="B3744">
        <v>142.68065639430699</v>
      </c>
      <c r="C3744">
        <v>2001</v>
      </c>
    </row>
    <row r="3745" spans="1:11" x14ac:dyDescent="0.25">
      <c r="A3745">
        <v>120.35034357632099</v>
      </c>
      <c r="B3745">
        <v>141.72438274450801</v>
      </c>
      <c r="C3745">
        <v>2001</v>
      </c>
    </row>
    <row r="3746" spans="1:11" x14ac:dyDescent="0.25">
      <c r="A3746">
        <v>121.51757645769899</v>
      </c>
      <c r="B3746">
        <v>140.55714986313001</v>
      </c>
      <c r="C3746">
        <v>2001</v>
      </c>
    </row>
    <row r="3747" spans="1:11" x14ac:dyDescent="0.25">
      <c r="A3747">
        <v>120.64354440880101</v>
      </c>
      <c r="B3747">
        <v>140.55714986313001</v>
      </c>
      <c r="C3747">
        <v>2000</v>
      </c>
    </row>
    <row r="3748" spans="1:11" x14ac:dyDescent="0.25">
      <c r="A3748" t="s">
        <v>86</v>
      </c>
    </row>
    <row r="3749" spans="1:11" x14ac:dyDescent="0.25">
      <c r="A3749">
        <v>1090</v>
      </c>
      <c r="B3749">
        <v>1</v>
      </c>
      <c r="C3749">
        <v>1.3959329450250699</v>
      </c>
      <c r="D3749">
        <v>1.5109915036803701</v>
      </c>
      <c r="E3749">
        <v>6</v>
      </c>
      <c r="F3749">
        <v>1.01722196789785</v>
      </c>
      <c r="G3749" t="s">
        <v>87</v>
      </c>
      <c r="H3749" t="s">
        <v>83</v>
      </c>
      <c r="I3749">
        <v>830</v>
      </c>
      <c r="J3749">
        <v>0</v>
      </c>
      <c r="K3749">
        <v>0.123468647787635</v>
      </c>
    </row>
    <row r="3750" spans="1:11" x14ac:dyDescent="0.25">
      <c r="A3750" t="s">
        <v>85</v>
      </c>
    </row>
    <row r="3751" spans="1:11" x14ac:dyDescent="0.25">
      <c r="A3751">
        <v>35.043548758951502</v>
      </c>
      <c r="B3751">
        <v>1.29558908500749</v>
      </c>
      <c r="C3751">
        <v>2000</v>
      </c>
    </row>
    <row r="3752" spans="1:11" x14ac:dyDescent="0.25">
      <c r="A3752">
        <v>33.846615829433603</v>
      </c>
      <c r="B3752">
        <v>2.4925220145254099</v>
      </c>
      <c r="C3752">
        <v>2000</v>
      </c>
    </row>
    <row r="3753" spans="1:11" x14ac:dyDescent="0.25">
      <c r="A3753">
        <v>33.846615829433603</v>
      </c>
      <c r="B3753">
        <v>1.61848996562777</v>
      </c>
      <c r="C3753">
        <v>2001</v>
      </c>
    </row>
    <row r="3754" spans="1:11" x14ac:dyDescent="0.25">
      <c r="A3754">
        <v>34.623830202933497</v>
      </c>
      <c r="B3754">
        <v>0.841275592127814</v>
      </c>
      <c r="C3754">
        <v>2001</v>
      </c>
    </row>
    <row r="3755" spans="1:11" x14ac:dyDescent="0.25">
      <c r="A3755">
        <v>35.465105795061298</v>
      </c>
      <c r="B3755">
        <v>0</v>
      </c>
      <c r="C3755">
        <v>2001</v>
      </c>
    </row>
    <row r="3756" spans="1:11" x14ac:dyDescent="0.25">
      <c r="A3756">
        <v>36.339137843959001</v>
      </c>
      <c r="B3756">
        <v>0</v>
      </c>
      <c r="C3756">
        <v>2000</v>
      </c>
    </row>
    <row r="3757" spans="1:11" x14ac:dyDescent="0.25">
      <c r="A3757" t="s">
        <v>86</v>
      </c>
    </row>
    <row r="3758" spans="1:11" x14ac:dyDescent="0.25">
      <c r="A3758">
        <v>878</v>
      </c>
      <c r="B3758">
        <v>1</v>
      </c>
      <c r="C3758">
        <v>1.6298507367199799</v>
      </c>
      <c r="D3758">
        <v>1.2413806490269901</v>
      </c>
      <c r="E3758">
        <v>6</v>
      </c>
      <c r="F3758">
        <v>1.01722196789785</v>
      </c>
      <c r="G3758" t="s">
        <v>87</v>
      </c>
      <c r="H3758" t="s">
        <v>87</v>
      </c>
      <c r="I3758">
        <v>850</v>
      </c>
      <c r="J3758">
        <v>830</v>
      </c>
      <c r="K3758">
        <v>0.114536792619501</v>
      </c>
    </row>
    <row r="3759" spans="1:11" x14ac:dyDescent="0.25">
      <c r="A3759" t="s">
        <v>85</v>
      </c>
    </row>
    <row r="3760" spans="1:11" x14ac:dyDescent="0.25">
      <c r="A3760">
        <v>32.5477065013567</v>
      </c>
      <c r="B3760">
        <v>2.9491900363700498</v>
      </c>
      <c r="C3760">
        <v>2000</v>
      </c>
    </row>
    <row r="3761" spans="1:11" x14ac:dyDescent="0.25">
      <c r="A3761">
        <v>31.3952279931001</v>
      </c>
      <c r="B3761">
        <v>4.1016685446266399</v>
      </c>
      <c r="C3761">
        <v>2000</v>
      </c>
    </row>
    <row r="3762" spans="1:11" x14ac:dyDescent="0.25">
      <c r="A3762">
        <v>32.269260041997804</v>
      </c>
      <c r="B3762">
        <v>4.1016685446266399</v>
      </c>
      <c r="C3762">
        <v>2001</v>
      </c>
    </row>
    <row r="3763" spans="1:11" x14ac:dyDescent="0.25">
      <c r="A3763">
        <v>33.421738550254403</v>
      </c>
      <c r="B3763">
        <v>2.9491900363700498</v>
      </c>
      <c r="C3763">
        <v>2001</v>
      </c>
    </row>
    <row r="3764" spans="1:11" x14ac:dyDescent="0.25">
      <c r="A3764">
        <v>34.299527225215101</v>
      </c>
      <c r="B3764">
        <v>2.0714013614093001</v>
      </c>
      <c r="C3764">
        <v>2001</v>
      </c>
    </row>
    <row r="3765" spans="1:11" x14ac:dyDescent="0.25">
      <c r="A3765">
        <v>33.425495176317497</v>
      </c>
      <c r="B3765">
        <v>2.0714013614093099</v>
      </c>
      <c r="C3765">
        <v>2000</v>
      </c>
    </row>
    <row r="3766" spans="1:11" x14ac:dyDescent="0.25">
      <c r="A3766" t="s">
        <v>86</v>
      </c>
    </row>
    <row r="3767" spans="1:11" x14ac:dyDescent="0.25">
      <c r="A3767">
        <v>547</v>
      </c>
      <c r="B3767">
        <v>1</v>
      </c>
      <c r="C3767">
        <v>0.69924124181260106</v>
      </c>
      <c r="D3767">
        <v>2.1378125729892501</v>
      </c>
      <c r="E3767">
        <v>6</v>
      </c>
      <c r="F3767">
        <v>1.01722196789785</v>
      </c>
      <c r="G3767" t="s">
        <v>87</v>
      </c>
      <c r="H3767" t="s">
        <v>87</v>
      </c>
      <c r="I3767">
        <v>509</v>
      </c>
      <c r="J3767">
        <v>778</v>
      </c>
      <c r="K3767">
        <v>0</v>
      </c>
    </row>
    <row r="3768" spans="1:11" x14ac:dyDescent="0.25">
      <c r="A3768" t="s">
        <v>85</v>
      </c>
    </row>
    <row r="3769" spans="1:11" x14ac:dyDescent="0.25">
      <c r="A3769">
        <v>112.506848510842</v>
      </c>
      <c r="B3769">
        <v>42.929471403532702</v>
      </c>
      <c r="C3769">
        <v>2000</v>
      </c>
    </row>
    <row r="3770" spans="1:11" x14ac:dyDescent="0.25">
      <c r="A3770">
        <v>112.120120484895</v>
      </c>
      <c r="B3770">
        <v>43.316199429480399</v>
      </c>
      <c r="C3770">
        <v>2000</v>
      </c>
    </row>
    <row r="3771" spans="1:11" x14ac:dyDescent="0.25">
      <c r="A3771">
        <v>111.246088435997</v>
      </c>
      <c r="B3771">
        <v>43.316199429480498</v>
      </c>
      <c r="C3771">
        <v>2001</v>
      </c>
    </row>
    <row r="3772" spans="1:11" x14ac:dyDescent="0.25">
      <c r="A3772">
        <v>111.848236857591</v>
      </c>
      <c r="B3772">
        <v>42.714051007886198</v>
      </c>
      <c r="C3772">
        <v>2001</v>
      </c>
    </row>
    <row r="3773" spans="1:11" x14ac:dyDescent="0.25">
      <c r="A3773">
        <v>113.68920445148299</v>
      </c>
      <c r="B3773">
        <v>40.873083413994102</v>
      </c>
      <c r="C3773">
        <v>2001</v>
      </c>
    </row>
    <row r="3774" spans="1:11" x14ac:dyDescent="0.25">
      <c r="A3774">
        <v>113.68920445148299</v>
      </c>
      <c r="B3774">
        <v>41.747115462891699</v>
      </c>
      <c r="C3774">
        <v>2000</v>
      </c>
    </row>
    <row r="3775" spans="1:11" x14ac:dyDescent="0.25">
      <c r="A3775" t="s">
        <v>86</v>
      </c>
    </row>
    <row r="3776" spans="1:11" x14ac:dyDescent="0.25">
      <c r="A3776">
        <v>1030</v>
      </c>
      <c r="B3776">
        <v>1</v>
      </c>
      <c r="C3776">
        <v>1.5111304071807401</v>
      </c>
      <c r="D3776">
        <v>1.3259234076210999</v>
      </c>
      <c r="E3776">
        <v>6</v>
      </c>
      <c r="F3776">
        <v>1.01722196789785</v>
      </c>
      <c r="G3776" t="s">
        <v>87</v>
      </c>
      <c r="H3776" t="s">
        <v>87</v>
      </c>
      <c r="I3776">
        <v>509</v>
      </c>
      <c r="J3776">
        <v>778</v>
      </c>
      <c r="K3776">
        <v>0.121125394062888</v>
      </c>
    </row>
    <row r="3777" spans="1:11" x14ac:dyDescent="0.25">
      <c r="A3777" t="s">
        <v>85</v>
      </c>
    </row>
    <row r="3778" spans="1:11" x14ac:dyDescent="0.25">
      <c r="A3778">
        <v>115.540255528069</v>
      </c>
      <c r="B3778">
        <v>45.064818422475298</v>
      </c>
      <c r="C3778">
        <v>2000</v>
      </c>
    </row>
    <row r="3779" spans="1:11" x14ac:dyDescent="0.25">
      <c r="A3779">
        <v>114.704497502979</v>
      </c>
      <c r="B3779">
        <v>45.900576447565001</v>
      </c>
      <c r="C3779">
        <v>2000</v>
      </c>
    </row>
    <row r="3780" spans="1:11" x14ac:dyDescent="0.25">
      <c r="A3780">
        <v>114.704497502979</v>
      </c>
      <c r="B3780">
        <v>46.774608496462598</v>
      </c>
      <c r="C3780">
        <v>2001</v>
      </c>
    </row>
    <row r="3781" spans="1:11" x14ac:dyDescent="0.25">
      <c r="A3781">
        <v>116.00580059423901</v>
      </c>
      <c r="B3781">
        <v>45.473305405203</v>
      </c>
      <c r="C3781">
        <v>2001</v>
      </c>
    </row>
    <row r="3782" spans="1:11" x14ac:dyDescent="0.25">
      <c r="A3782">
        <v>117.147613518466</v>
      </c>
      <c r="B3782">
        <v>44.331492480976301</v>
      </c>
      <c r="C3782">
        <v>2001</v>
      </c>
    </row>
    <row r="3783" spans="1:11" x14ac:dyDescent="0.25">
      <c r="A3783">
        <v>116.273581469568</v>
      </c>
      <c r="B3783">
        <v>44.331492480976301</v>
      </c>
      <c r="C3783">
        <v>2000</v>
      </c>
    </row>
    <row r="3784" spans="1:11" x14ac:dyDescent="0.25">
      <c r="A3784" t="s">
        <v>86</v>
      </c>
    </row>
    <row r="3785" spans="1:11" x14ac:dyDescent="0.25">
      <c r="A3785">
        <v>1107</v>
      </c>
      <c r="B3785">
        <v>1</v>
      </c>
      <c r="C3785">
        <v>0.73731733039235803</v>
      </c>
      <c r="D3785">
        <v>2.0884685079912502</v>
      </c>
      <c r="E3785">
        <v>6</v>
      </c>
      <c r="F3785">
        <v>1.01722196789785</v>
      </c>
      <c r="G3785" t="s">
        <v>87</v>
      </c>
      <c r="H3785" t="s">
        <v>87</v>
      </c>
      <c r="I3785">
        <v>200</v>
      </c>
      <c r="J3785">
        <v>738</v>
      </c>
      <c r="K3785">
        <v>0.123468647787635</v>
      </c>
    </row>
    <row r="3786" spans="1:11" x14ac:dyDescent="0.25">
      <c r="A3786" t="s">
        <v>85</v>
      </c>
    </row>
    <row r="3787" spans="1:11" x14ac:dyDescent="0.25">
      <c r="A3787">
        <v>9.5771969922711708</v>
      </c>
      <c r="B3787">
        <v>113.186814568084</v>
      </c>
      <c r="C3787">
        <v>2000</v>
      </c>
    </row>
    <row r="3788" spans="1:11" x14ac:dyDescent="0.25">
      <c r="A3788">
        <v>9.0558349080643694</v>
      </c>
      <c r="B3788">
        <v>113.70817665229001</v>
      </c>
      <c r="C3788">
        <v>2000</v>
      </c>
    </row>
    <row r="3789" spans="1:11" x14ac:dyDescent="0.25">
      <c r="A3789">
        <v>9.0558349080643694</v>
      </c>
      <c r="B3789">
        <v>112.834144603393</v>
      </c>
      <c r="C3789">
        <v>2001</v>
      </c>
    </row>
    <row r="3790" spans="1:11" x14ac:dyDescent="0.25">
      <c r="A3790">
        <v>9.5771969922711708</v>
      </c>
      <c r="B3790">
        <v>112.312782519186</v>
      </c>
      <c r="C3790">
        <v>2001</v>
      </c>
    </row>
    <row r="3791" spans="1:11" x14ac:dyDescent="0.25">
      <c r="A3791">
        <v>11.053967236566301</v>
      </c>
      <c r="B3791">
        <v>110.836012274891</v>
      </c>
      <c r="C3791">
        <v>2001</v>
      </c>
    </row>
    <row r="3792" spans="1:11" x14ac:dyDescent="0.25">
      <c r="A3792">
        <v>11.053967236566301</v>
      </c>
      <c r="B3792">
        <v>111.710044323788</v>
      </c>
      <c r="C3792">
        <v>2000</v>
      </c>
    </row>
    <row r="3793" spans="1:11" x14ac:dyDescent="0.25">
      <c r="A3793" t="s">
        <v>86</v>
      </c>
    </row>
    <row r="3794" spans="1:11" x14ac:dyDescent="0.25">
      <c r="A3794">
        <v>893</v>
      </c>
      <c r="B3794">
        <v>1</v>
      </c>
      <c r="C3794">
        <v>2.4134648655707598</v>
      </c>
      <c r="D3794">
        <v>0.41232097281285002</v>
      </c>
      <c r="E3794">
        <v>6</v>
      </c>
      <c r="F3794">
        <v>1.01722196789785</v>
      </c>
      <c r="G3794" t="s">
        <v>87</v>
      </c>
      <c r="H3794" t="s">
        <v>87</v>
      </c>
      <c r="I3794">
        <v>200</v>
      </c>
      <c r="J3794">
        <v>738</v>
      </c>
      <c r="K3794">
        <v>0.116069536161876</v>
      </c>
    </row>
    <row r="3795" spans="1:11" x14ac:dyDescent="0.25">
      <c r="A3795" t="s">
        <v>85</v>
      </c>
    </row>
    <row r="3796" spans="1:11" x14ac:dyDescent="0.25">
      <c r="A3796">
        <v>35.278600063304701</v>
      </c>
      <c r="B3796">
        <v>136.51778706233</v>
      </c>
      <c r="C3796">
        <v>2000</v>
      </c>
    </row>
    <row r="3797" spans="1:11" x14ac:dyDescent="0.25">
      <c r="A3797">
        <v>33.572022690704102</v>
      </c>
      <c r="B3797">
        <v>138.22436443493001</v>
      </c>
      <c r="C3797">
        <v>2000</v>
      </c>
    </row>
    <row r="3798" spans="1:11" x14ac:dyDescent="0.25">
      <c r="A3798">
        <v>33.572022690704102</v>
      </c>
      <c r="B3798">
        <v>137.35033238603199</v>
      </c>
      <c r="C3798">
        <v>2001</v>
      </c>
    </row>
    <row r="3799" spans="1:11" x14ac:dyDescent="0.25">
      <c r="A3799">
        <v>35.278600063304701</v>
      </c>
      <c r="B3799">
        <v>135.64375501343201</v>
      </c>
      <c r="C3799">
        <v>2001</v>
      </c>
    </row>
    <row r="3800" spans="1:11" x14ac:dyDescent="0.25">
      <c r="A3800">
        <v>35.570155019206098</v>
      </c>
      <c r="B3800">
        <v>135.35220005753001</v>
      </c>
      <c r="C3800">
        <v>2001</v>
      </c>
    </row>
    <row r="3801" spans="1:11" x14ac:dyDescent="0.25">
      <c r="A3801">
        <v>35.570155019206098</v>
      </c>
      <c r="B3801">
        <v>136.226232106428</v>
      </c>
      <c r="C3801">
        <v>2000</v>
      </c>
    </row>
    <row r="3802" spans="1:11" x14ac:dyDescent="0.25">
      <c r="A3802" t="s">
        <v>86</v>
      </c>
    </row>
    <row r="3803" spans="1:11" x14ac:dyDescent="0.25">
      <c r="A3803">
        <v>239</v>
      </c>
      <c r="B3803">
        <v>1</v>
      </c>
      <c r="C3803">
        <v>1.0560319965435001</v>
      </c>
      <c r="D3803">
        <v>1.76975384184011</v>
      </c>
      <c r="E3803">
        <v>6</v>
      </c>
      <c r="F3803">
        <v>1.01722196789785</v>
      </c>
      <c r="G3803" t="s">
        <v>87</v>
      </c>
      <c r="H3803" t="s">
        <v>87</v>
      </c>
      <c r="I3803">
        <v>200</v>
      </c>
      <c r="J3803">
        <v>738</v>
      </c>
      <c r="K3803">
        <v>0</v>
      </c>
    </row>
    <row r="3804" spans="1:11" x14ac:dyDescent="0.25">
      <c r="A3804" t="s">
        <v>85</v>
      </c>
    </row>
    <row r="3805" spans="1:11" x14ac:dyDescent="0.25">
      <c r="A3805">
        <v>14.4900749779815</v>
      </c>
      <c r="B3805">
        <v>117.648961950396</v>
      </c>
      <c r="C3805">
        <v>2000</v>
      </c>
    </row>
    <row r="3806" spans="1:11" x14ac:dyDescent="0.25">
      <c r="A3806">
        <v>13.743347592075599</v>
      </c>
      <c r="B3806">
        <v>118.395689336302</v>
      </c>
      <c r="C3806">
        <v>2000</v>
      </c>
    </row>
    <row r="3807" spans="1:11" x14ac:dyDescent="0.25">
      <c r="A3807">
        <v>14.617379640973301</v>
      </c>
      <c r="B3807">
        <v>118.395689336302</v>
      </c>
      <c r="C3807">
        <v>2001</v>
      </c>
    </row>
    <row r="3808" spans="1:11" x14ac:dyDescent="0.25">
      <c r="A3808">
        <v>15.3641070268791</v>
      </c>
      <c r="B3808">
        <v>117.648961950396</v>
      </c>
      <c r="C3808">
        <v>2001</v>
      </c>
    </row>
    <row r="3809" spans="1:11" x14ac:dyDescent="0.25">
      <c r="A3809">
        <v>16.6155119694752</v>
      </c>
      <c r="B3809">
        <v>116.3975570078</v>
      </c>
      <c r="C3809">
        <v>2001</v>
      </c>
    </row>
    <row r="3810" spans="1:11" x14ac:dyDescent="0.25">
      <c r="A3810">
        <v>15.7414799205776</v>
      </c>
      <c r="B3810">
        <v>116.3975570078</v>
      </c>
      <c r="C3810">
        <v>2000</v>
      </c>
    </row>
    <row r="3811" spans="1:11" x14ac:dyDescent="0.25">
      <c r="A3811" t="s">
        <v>86</v>
      </c>
    </row>
    <row r="3812" spans="1:11" x14ac:dyDescent="0.25">
      <c r="A3812">
        <v>624</v>
      </c>
      <c r="B3812">
        <v>1</v>
      </c>
      <c r="C3812">
        <v>1.29056231694919</v>
      </c>
      <c r="D3812">
        <v>1.50894209670702</v>
      </c>
      <c r="E3812">
        <v>6</v>
      </c>
      <c r="F3812">
        <v>1.01722196789785</v>
      </c>
      <c r="G3812" t="s">
        <v>87</v>
      </c>
      <c r="H3812" t="s">
        <v>87</v>
      </c>
      <c r="I3812">
        <v>811</v>
      </c>
      <c r="J3812">
        <v>805</v>
      </c>
      <c r="K3812">
        <v>0</v>
      </c>
    </row>
    <row r="3813" spans="1:11" x14ac:dyDescent="0.25">
      <c r="A3813" t="s">
        <v>85</v>
      </c>
    </row>
    <row r="3814" spans="1:11" x14ac:dyDescent="0.25">
      <c r="A3814">
        <v>138.85613423813399</v>
      </c>
      <c r="B3814">
        <v>86.200252613123396</v>
      </c>
      <c r="C3814">
        <v>2000</v>
      </c>
    </row>
    <row r="3815" spans="1:11" x14ac:dyDescent="0.25">
      <c r="A3815">
        <v>137.74210592393899</v>
      </c>
      <c r="B3815">
        <v>87.314280927318606</v>
      </c>
      <c r="C3815">
        <v>2000</v>
      </c>
    </row>
    <row r="3816" spans="1:11" x14ac:dyDescent="0.25">
      <c r="A3816">
        <v>137.74210592393899</v>
      </c>
      <c r="B3816">
        <v>86.440248878421002</v>
      </c>
      <c r="C3816">
        <v>2001</v>
      </c>
    </row>
    <row r="3817" spans="1:11" x14ac:dyDescent="0.25">
      <c r="A3817">
        <v>138.45320834146099</v>
      </c>
      <c r="B3817">
        <v>85.729146460899003</v>
      </c>
      <c r="C3817">
        <v>2001</v>
      </c>
    </row>
    <row r="3818" spans="1:11" x14ac:dyDescent="0.25">
      <c r="A3818">
        <v>139.284638454348</v>
      </c>
      <c r="B3818">
        <v>84.897716348011798</v>
      </c>
      <c r="C3818">
        <v>2001</v>
      </c>
    </row>
    <row r="3819" spans="1:11" x14ac:dyDescent="0.25">
      <c r="A3819">
        <v>140.15867050324499</v>
      </c>
      <c r="B3819">
        <v>84.897716348011798</v>
      </c>
      <c r="C3819">
        <v>2000</v>
      </c>
    </row>
    <row r="3820" spans="1:11" x14ac:dyDescent="0.25">
      <c r="A3820" t="s">
        <v>86</v>
      </c>
    </row>
    <row r="3821" spans="1:11" x14ac:dyDescent="0.25">
      <c r="A3821">
        <v>1127</v>
      </c>
      <c r="B3821">
        <v>1</v>
      </c>
      <c r="C3821">
        <v>1.10122089264839</v>
      </c>
      <c r="D3821">
        <v>1.6647072670532199</v>
      </c>
      <c r="E3821">
        <v>6</v>
      </c>
      <c r="F3821">
        <v>1.01722196789785</v>
      </c>
      <c r="G3821" t="s">
        <v>87</v>
      </c>
      <c r="H3821" t="s">
        <v>87</v>
      </c>
      <c r="I3821">
        <v>739</v>
      </c>
      <c r="J3821">
        <v>738</v>
      </c>
      <c r="K3821">
        <v>0.12417311997009001</v>
      </c>
    </row>
    <row r="3822" spans="1:11" x14ac:dyDescent="0.25">
      <c r="A3822" t="s">
        <v>85</v>
      </c>
    </row>
    <row r="3823" spans="1:11" x14ac:dyDescent="0.25">
      <c r="A3823">
        <v>37.4786308049095</v>
      </c>
      <c r="B3823">
        <v>139.962912742258</v>
      </c>
      <c r="C3823">
        <v>2000</v>
      </c>
    </row>
    <row r="3824" spans="1:11" x14ac:dyDescent="0.25">
      <c r="A3824">
        <v>36.8739426964218</v>
      </c>
      <c r="B3824">
        <v>140.567600850746</v>
      </c>
      <c r="C3824">
        <v>2000</v>
      </c>
    </row>
    <row r="3825" spans="1:11" x14ac:dyDescent="0.25">
      <c r="A3825">
        <v>35.999910647524104</v>
      </c>
      <c r="B3825">
        <v>140.567600850746</v>
      </c>
      <c r="C3825">
        <v>2001</v>
      </c>
    </row>
    <row r="3826" spans="1:11" x14ac:dyDescent="0.25">
      <c r="A3826">
        <v>36.9525840605883</v>
      </c>
      <c r="B3826">
        <v>139.61492743768201</v>
      </c>
      <c r="C3826">
        <v>2001</v>
      </c>
    </row>
    <row r="3827" spans="1:11" x14ac:dyDescent="0.25">
      <c r="A3827">
        <v>38.392733229972698</v>
      </c>
      <c r="B3827">
        <v>138.17477826829699</v>
      </c>
      <c r="C3827">
        <v>2001</v>
      </c>
    </row>
    <row r="3828" spans="1:11" x14ac:dyDescent="0.25">
      <c r="A3828">
        <v>38.392733229972798</v>
      </c>
      <c r="B3828">
        <v>139.04881031719501</v>
      </c>
      <c r="C3828">
        <v>2000</v>
      </c>
    </row>
    <row r="3829" spans="1:11" x14ac:dyDescent="0.25">
      <c r="A3829" t="s">
        <v>86</v>
      </c>
    </row>
    <row r="3830" spans="1:11" x14ac:dyDescent="0.25">
      <c r="A3830">
        <v>546</v>
      </c>
      <c r="B3830">
        <v>1</v>
      </c>
      <c r="C3830">
        <v>0.89299251063150098</v>
      </c>
      <c r="D3830">
        <v>1.71540987644455</v>
      </c>
      <c r="E3830">
        <v>6</v>
      </c>
      <c r="F3830">
        <v>1.01722196789785</v>
      </c>
      <c r="G3830" t="s">
        <v>87</v>
      </c>
      <c r="H3830" t="s">
        <v>83</v>
      </c>
      <c r="I3830">
        <v>823</v>
      </c>
      <c r="J3830">
        <v>0</v>
      </c>
      <c r="K3830">
        <v>0</v>
      </c>
    </row>
    <row r="3831" spans="1:11" x14ac:dyDescent="0.25">
      <c r="A3831" t="s">
        <v>85</v>
      </c>
    </row>
    <row r="3832" spans="1:11" x14ac:dyDescent="0.25">
      <c r="A3832">
        <v>148.78702204385201</v>
      </c>
      <c r="B3832">
        <v>39.687517090080497</v>
      </c>
      <c r="C3832">
        <v>2000</v>
      </c>
    </row>
    <row r="3833" spans="1:11" x14ac:dyDescent="0.25">
      <c r="A3833">
        <v>148.155580984035</v>
      </c>
      <c r="B3833">
        <v>40.318958149896801</v>
      </c>
      <c r="C3833">
        <v>2000</v>
      </c>
    </row>
    <row r="3834" spans="1:11" x14ac:dyDescent="0.25">
      <c r="A3834">
        <v>148.155580984035</v>
      </c>
      <c r="B3834">
        <v>39.444926100999197</v>
      </c>
      <c r="C3834">
        <v>2001</v>
      </c>
    </row>
    <row r="3835" spans="1:11" x14ac:dyDescent="0.25">
      <c r="A3835">
        <v>148.78702204385201</v>
      </c>
      <c r="B3835">
        <v>38.813485041182801</v>
      </c>
      <c r="C3835">
        <v>2001</v>
      </c>
    </row>
    <row r="3836" spans="1:11" x14ac:dyDescent="0.25">
      <c r="A3836">
        <v>150</v>
      </c>
      <c r="B3836">
        <v>37.600507085034501</v>
      </c>
      <c r="C3836">
        <v>2001</v>
      </c>
    </row>
    <row r="3837" spans="1:11" x14ac:dyDescent="0.25">
      <c r="A3837">
        <v>150</v>
      </c>
      <c r="B3837">
        <v>38.474539133932097</v>
      </c>
      <c r="C3837">
        <v>2000</v>
      </c>
    </row>
    <row r="3838" spans="1:11" x14ac:dyDescent="0.25">
      <c r="A3838" t="s">
        <v>86</v>
      </c>
    </row>
    <row r="3839" spans="1:11" x14ac:dyDescent="0.25">
      <c r="A3839">
        <v>1136</v>
      </c>
      <c r="B3839">
        <v>1</v>
      </c>
      <c r="C3839">
        <v>0.352360380087752</v>
      </c>
      <c r="D3839">
        <v>2.2533169827402602</v>
      </c>
      <c r="E3839">
        <v>6</v>
      </c>
      <c r="F3839">
        <v>1.01722196789785</v>
      </c>
      <c r="G3839" t="s">
        <v>87</v>
      </c>
      <c r="H3839" t="s">
        <v>87</v>
      </c>
      <c r="I3839">
        <v>348</v>
      </c>
      <c r="J3839">
        <v>587</v>
      </c>
      <c r="K3839">
        <v>0.124625009531664</v>
      </c>
    </row>
    <row r="3840" spans="1:11" x14ac:dyDescent="0.25">
      <c r="A3840" t="s">
        <v>85</v>
      </c>
    </row>
    <row r="3841" spans="1:11" x14ac:dyDescent="0.25">
      <c r="A3841">
        <v>51.840949878497099</v>
      </c>
      <c r="B3841">
        <v>42.230073696575197</v>
      </c>
      <c r="C3841">
        <v>2000</v>
      </c>
    </row>
    <row r="3842" spans="1:11" x14ac:dyDescent="0.25">
      <c r="A3842">
        <v>51.5917934643156</v>
      </c>
      <c r="B3842">
        <v>42.479230110756703</v>
      </c>
      <c r="C3842">
        <v>2000</v>
      </c>
    </row>
    <row r="3843" spans="1:11" x14ac:dyDescent="0.25">
      <c r="A3843">
        <v>52.465825513213197</v>
      </c>
      <c r="B3843">
        <v>42.479230110756703</v>
      </c>
      <c r="C3843">
        <v>2001</v>
      </c>
    </row>
    <row r="3844" spans="1:11" x14ac:dyDescent="0.25">
      <c r="A3844">
        <v>52.714981927394803</v>
      </c>
      <c r="B3844">
        <v>42.230073696575197</v>
      </c>
      <c r="C3844">
        <v>2001</v>
      </c>
    </row>
    <row r="3845" spans="1:11" x14ac:dyDescent="0.25">
      <c r="A3845">
        <v>54.308317646053197</v>
      </c>
      <c r="B3845">
        <v>40.636737977916802</v>
      </c>
      <c r="C3845">
        <v>2001</v>
      </c>
    </row>
    <row r="3846" spans="1:11" x14ac:dyDescent="0.25">
      <c r="A3846">
        <v>53.434285597155601</v>
      </c>
      <c r="B3846">
        <v>40.636737977916802</v>
      </c>
      <c r="C3846">
        <v>2000</v>
      </c>
    </row>
    <row r="3847" spans="1:11" x14ac:dyDescent="0.25">
      <c r="A3847" t="s">
        <v>86</v>
      </c>
    </row>
    <row r="3848" spans="1:11" x14ac:dyDescent="0.25">
      <c r="A3848">
        <v>1141</v>
      </c>
      <c r="B3848">
        <v>1</v>
      </c>
      <c r="C3848">
        <v>7.8494257776025506E-2</v>
      </c>
      <c r="D3848">
        <v>2.52718310505198</v>
      </c>
      <c r="E3848">
        <v>6</v>
      </c>
      <c r="F3848">
        <v>1.01722196789785</v>
      </c>
      <c r="G3848" t="s">
        <v>87</v>
      </c>
      <c r="H3848" t="s">
        <v>87</v>
      </c>
      <c r="I3848">
        <v>348</v>
      </c>
      <c r="J3848">
        <v>587</v>
      </c>
      <c r="K3848">
        <v>0.124845976961483</v>
      </c>
    </row>
    <row r="3849" spans="1:11" x14ac:dyDescent="0.25">
      <c r="A3849" t="s">
        <v>85</v>
      </c>
    </row>
    <row r="3850" spans="1:11" x14ac:dyDescent="0.25">
      <c r="A3850">
        <v>46.725501728125302</v>
      </c>
      <c r="B3850">
        <v>37.501930730651097</v>
      </c>
      <c r="C3850">
        <v>2000</v>
      </c>
    </row>
    <row r="3851" spans="1:11" x14ac:dyDescent="0.25">
      <c r="A3851">
        <v>46.669997906167602</v>
      </c>
      <c r="B3851">
        <v>37.557434552608797</v>
      </c>
      <c r="C3851">
        <v>2000</v>
      </c>
    </row>
    <row r="3852" spans="1:11" x14ac:dyDescent="0.25">
      <c r="A3852">
        <v>47.544029955065199</v>
      </c>
      <c r="B3852">
        <v>37.557434552608697</v>
      </c>
      <c r="C3852">
        <v>2001</v>
      </c>
    </row>
    <row r="3853" spans="1:11" x14ac:dyDescent="0.25">
      <c r="A3853">
        <v>47.599533777022899</v>
      </c>
      <c r="B3853">
        <v>37.501930730651097</v>
      </c>
      <c r="C3853">
        <v>2001</v>
      </c>
    </row>
    <row r="3854" spans="1:11" x14ac:dyDescent="0.25">
      <c r="A3854">
        <v>49.386522087905199</v>
      </c>
      <c r="B3854">
        <v>35.714942419768803</v>
      </c>
      <c r="C3854">
        <v>2001</v>
      </c>
    </row>
    <row r="3855" spans="1:11" x14ac:dyDescent="0.25">
      <c r="A3855">
        <v>48.512490039007602</v>
      </c>
      <c r="B3855">
        <v>35.714942419768803</v>
      </c>
      <c r="C3855">
        <v>2000</v>
      </c>
    </row>
    <row r="3856" spans="1:11" x14ac:dyDescent="0.25">
      <c r="A3856" t="s">
        <v>86</v>
      </c>
    </row>
    <row r="3857" spans="1:11" x14ac:dyDescent="0.25">
      <c r="A3857">
        <v>914</v>
      </c>
      <c r="B3857">
        <v>1</v>
      </c>
      <c r="C3857">
        <v>0.57501363625945601</v>
      </c>
      <c r="D3857">
        <v>2.0296829726959902</v>
      </c>
      <c r="E3857">
        <v>6</v>
      </c>
      <c r="F3857">
        <v>1.01722196789785</v>
      </c>
      <c r="G3857" t="s">
        <v>87</v>
      </c>
      <c r="H3857" t="s">
        <v>87</v>
      </c>
      <c r="I3857">
        <v>841</v>
      </c>
      <c r="J3857">
        <v>424</v>
      </c>
      <c r="K3857">
        <v>0.11722927267913701</v>
      </c>
    </row>
    <row r="3858" spans="1:11" x14ac:dyDescent="0.25">
      <c r="A3858" t="s">
        <v>85</v>
      </c>
    </row>
    <row r="3859" spans="1:11" x14ac:dyDescent="0.25">
      <c r="A3859">
        <v>84.096728893422593</v>
      </c>
      <c r="B3859">
        <v>129.617742021</v>
      </c>
      <c r="C3859">
        <v>2000</v>
      </c>
    </row>
    <row r="3860" spans="1:11" x14ac:dyDescent="0.25">
      <c r="A3860">
        <v>83.593657058008802</v>
      </c>
      <c r="B3860">
        <v>130.120813856414</v>
      </c>
      <c r="C3860">
        <v>2000</v>
      </c>
    </row>
    <row r="3861" spans="1:11" x14ac:dyDescent="0.25">
      <c r="A3861">
        <v>83.593657058008802</v>
      </c>
      <c r="B3861">
        <v>129.24678180751701</v>
      </c>
      <c r="C3861">
        <v>2001</v>
      </c>
    </row>
    <row r="3862" spans="1:11" x14ac:dyDescent="0.25">
      <c r="A3862">
        <v>83.903777305542505</v>
      </c>
      <c r="B3862">
        <v>128.93666155998301</v>
      </c>
      <c r="C3862">
        <v>2001</v>
      </c>
    </row>
    <row r="3863" spans="1:11" x14ac:dyDescent="0.25">
      <c r="A3863">
        <v>84.998439668685904</v>
      </c>
      <c r="B3863">
        <v>127.84199919684001</v>
      </c>
      <c r="C3863">
        <v>2001</v>
      </c>
    </row>
    <row r="3864" spans="1:11" x14ac:dyDescent="0.25">
      <c r="A3864">
        <v>85.872471717583593</v>
      </c>
      <c r="B3864">
        <v>127.84199919684001</v>
      </c>
      <c r="C3864">
        <v>2000</v>
      </c>
    </row>
    <row r="3865" spans="1:11" x14ac:dyDescent="0.25">
      <c r="A3865" t="s">
        <v>86</v>
      </c>
    </row>
    <row r="3866" spans="1:11" x14ac:dyDescent="0.25">
      <c r="A3866">
        <v>889</v>
      </c>
      <c r="B3866">
        <v>1</v>
      </c>
      <c r="C3866">
        <v>1.6883561601086201</v>
      </c>
      <c r="D3866">
        <v>0.91634044884682098</v>
      </c>
      <c r="E3866">
        <v>6</v>
      </c>
      <c r="F3866">
        <v>1.01722196789785</v>
      </c>
      <c r="G3866" t="s">
        <v>87</v>
      </c>
      <c r="H3866" t="s">
        <v>87</v>
      </c>
      <c r="I3866">
        <v>841</v>
      </c>
      <c r="J3866">
        <v>424</v>
      </c>
      <c r="K3866">
        <v>0.116069536161876</v>
      </c>
    </row>
    <row r="3867" spans="1:11" x14ac:dyDescent="0.25">
      <c r="A3867" t="s">
        <v>85</v>
      </c>
    </row>
    <row r="3868" spans="1:11" x14ac:dyDescent="0.25">
      <c r="A3868">
        <v>91.610366794276203</v>
      </c>
      <c r="B3868">
        <v>135.18328258433499</v>
      </c>
      <c r="C3868">
        <v>2000</v>
      </c>
    </row>
    <row r="3869" spans="1:11" x14ac:dyDescent="0.25">
      <c r="A3869">
        <v>90.133246290102804</v>
      </c>
      <c r="B3869">
        <v>136.66040308850799</v>
      </c>
      <c r="C3869">
        <v>2000</v>
      </c>
    </row>
    <row r="3870" spans="1:11" x14ac:dyDescent="0.25">
      <c r="A3870">
        <v>91.007278339000493</v>
      </c>
      <c r="B3870">
        <v>136.66040308850799</v>
      </c>
      <c r="C3870">
        <v>2001</v>
      </c>
    </row>
    <row r="3871" spans="1:11" x14ac:dyDescent="0.25">
      <c r="A3871">
        <v>91.917854014568803</v>
      </c>
      <c r="B3871">
        <v>135.74982741293999</v>
      </c>
      <c r="C3871">
        <v>2001</v>
      </c>
    </row>
    <row r="3872" spans="1:11" x14ac:dyDescent="0.25">
      <c r="A3872">
        <v>92.412060949677596</v>
      </c>
      <c r="B3872">
        <v>135.255620477831</v>
      </c>
      <c r="C3872">
        <v>2001</v>
      </c>
    </row>
    <row r="3873" spans="1:11" x14ac:dyDescent="0.25">
      <c r="A3873">
        <v>92.412060949677596</v>
      </c>
      <c r="B3873">
        <v>134.38158842893401</v>
      </c>
      <c r="C3873">
        <v>2000</v>
      </c>
    </row>
    <row r="3874" spans="1:11" x14ac:dyDescent="0.25">
      <c r="A3874" t="s">
        <v>86</v>
      </c>
    </row>
    <row r="3875" spans="1:11" x14ac:dyDescent="0.25">
      <c r="A3875">
        <v>467</v>
      </c>
      <c r="B3875">
        <v>1</v>
      </c>
      <c r="C3875">
        <v>1.9824177516107999</v>
      </c>
      <c r="D3875">
        <v>0.62227885734464305</v>
      </c>
      <c r="E3875">
        <v>6</v>
      </c>
      <c r="F3875">
        <v>1.01722196789785</v>
      </c>
      <c r="G3875" t="s">
        <v>87</v>
      </c>
      <c r="H3875" t="s">
        <v>87</v>
      </c>
      <c r="I3875">
        <v>841</v>
      </c>
      <c r="J3875">
        <v>424</v>
      </c>
      <c r="K3875">
        <v>0</v>
      </c>
    </row>
    <row r="3876" spans="1:11" x14ac:dyDescent="0.25">
      <c r="A3876" t="s">
        <v>85</v>
      </c>
    </row>
    <row r="3877" spans="1:11" x14ac:dyDescent="0.25">
      <c r="A3877">
        <v>80.891053003565801</v>
      </c>
      <c r="B3877">
        <v>123.949427588918</v>
      </c>
      <c r="C3877">
        <v>2000</v>
      </c>
    </row>
    <row r="3878" spans="1:11" x14ac:dyDescent="0.25">
      <c r="A3878">
        <v>79.156661897039299</v>
      </c>
      <c r="B3878">
        <v>125.683818695445</v>
      </c>
      <c r="C3878">
        <v>2000</v>
      </c>
    </row>
    <row r="3879" spans="1:11" x14ac:dyDescent="0.25">
      <c r="A3879">
        <v>79.156661897039399</v>
      </c>
      <c r="B3879">
        <v>124.809786646547</v>
      </c>
      <c r="C3879">
        <v>2001</v>
      </c>
    </row>
    <row r="3880" spans="1:11" x14ac:dyDescent="0.25">
      <c r="A3880">
        <v>80.225832861130002</v>
      </c>
      <c r="B3880">
        <v>123.740615682457</v>
      </c>
      <c r="C3880">
        <v>2001</v>
      </c>
    </row>
    <row r="3881" spans="1:11" x14ac:dyDescent="0.25">
      <c r="A3881">
        <v>80.561444507716502</v>
      </c>
      <c r="B3881">
        <v>123.40500403586999</v>
      </c>
      <c r="C3881">
        <v>2001</v>
      </c>
    </row>
    <row r="3882" spans="1:11" x14ac:dyDescent="0.25">
      <c r="A3882">
        <v>81.435476556614105</v>
      </c>
      <c r="B3882">
        <v>123.40500403586999</v>
      </c>
      <c r="C3882">
        <v>2000</v>
      </c>
    </row>
    <row r="3883" spans="1:11" x14ac:dyDescent="0.25">
      <c r="A3883" t="s">
        <v>86</v>
      </c>
    </row>
    <row r="3884" spans="1:11" x14ac:dyDescent="0.25">
      <c r="A3884">
        <v>469</v>
      </c>
      <c r="B3884">
        <v>1</v>
      </c>
      <c r="C3884">
        <v>0.73351015288102095</v>
      </c>
      <c r="D3884">
        <v>1.87118645607442</v>
      </c>
      <c r="E3884">
        <v>6</v>
      </c>
      <c r="F3884">
        <v>1.01722196789785</v>
      </c>
      <c r="G3884" t="s">
        <v>87</v>
      </c>
      <c r="H3884" t="s">
        <v>87</v>
      </c>
      <c r="I3884">
        <v>841</v>
      </c>
      <c r="J3884">
        <v>424</v>
      </c>
      <c r="K3884">
        <v>0</v>
      </c>
    </row>
    <row r="3885" spans="1:11" x14ac:dyDescent="0.25">
      <c r="A3885" t="s">
        <v>85</v>
      </c>
    </row>
    <row r="3886" spans="1:11" x14ac:dyDescent="0.25">
      <c r="A3886">
        <v>84.489780638192897</v>
      </c>
      <c r="B3886">
        <v>129.733460747924</v>
      </c>
      <c r="C3886">
        <v>2000</v>
      </c>
    </row>
    <row r="3887" spans="1:11" x14ac:dyDescent="0.25">
      <c r="A3887">
        <v>83.848042293855599</v>
      </c>
      <c r="B3887">
        <v>130.375199092261</v>
      </c>
      <c r="C3887">
        <v>2000</v>
      </c>
    </row>
    <row r="3888" spans="1:11" x14ac:dyDescent="0.25">
      <c r="A3888">
        <v>84.722074342753203</v>
      </c>
      <c r="B3888">
        <v>130.375199092261</v>
      </c>
      <c r="C3888">
        <v>2001</v>
      </c>
    </row>
    <row r="3889" spans="1:11" x14ac:dyDescent="0.25">
      <c r="A3889">
        <v>85.117676004758493</v>
      </c>
      <c r="B3889">
        <v>129.97959743025601</v>
      </c>
      <c r="C3889">
        <v>2001</v>
      </c>
    </row>
    <row r="3890" spans="1:11" x14ac:dyDescent="0.25">
      <c r="A3890">
        <v>86.126856953430405</v>
      </c>
      <c r="B3890">
        <v>128.97041648158401</v>
      </c>
      <c r="C3890">
        <v>2001</v>
      </c>
    </row>
    <row r="3891" spans="1:11" x14ac:dyDescent="0.25">
      <c r="A3891">
        <v>86.126856953430405</v>
      </c>
      <c r="B3891">
        <v>128.09638443268599</v>
      </c>
      <c r="C3891">
        <v>2000</v>
      </c>
    </row>
    <row r="3892" spans="1:11" x14ac:dyDescent="0.25">
      <c r="A3892" t="s">
        <v>86</v>
      </c>
    </row>
    <row r="3893" spans="1:11" x14ac:dyDescent="0.25">
      <c r="A3893">
        <v>1052</v>
      </c>
      <c r="B3893">
        <v>1</v>
      </c>
      <c r="C3893">
        <v>1.2385428984226601</v>
      </c>
      <c r="D3893">
        <v>1.3661537105327901</v>
      </c>
      <c r="E3893">
        <v>6</v>
      </c>
      <c r="F3893">
        <v>1.01722196789785</v>
      </c>
      <c r="G3893" t="s">
        <v>87</v>
      </c>
      <c r="H3893" t="s">
        <v>87</v>
      </c>
      <c r="I3893">
        <v>841</v>
      </c>
      <c r="J3893">
        <v>424</v>
      </c>
      <c r="K3893">
        <v>0.121949590810518</v>
      </c>
    </row>
    <row r="3894" spans="1:11" x14ac:dyDescent="0.25">
      <c r="A3894" t="s">
        <v>85</v>
      </c>
    </row>
    <row r="3895" spans="1:11" x14ac:dyDescent="0.25">
      <c r="A3895">
        <v>97.940630742367205</v>
      </c>
      <c r="B3895">
        <v>142.300617895192</v>
      </c>
      <c r="C3895">
        <v>2000</v>
      </c>
    </row>
    <row r="3896" spans="1:11" x14ac:dyDescent="0.25">
      <c r="A3896">
        <v>96.857045919576805</v>
      </c>
      <c r="B3896">
        <v>143.38420271798199</v>
      </c>
      <c r="C3896">
        <v>2000</v>
      </c>
    </row>
    <row r="3897" spans="1:11" x14ac:dyDescent="0.25">
      <c r="A3897">
        <v>97.731077968474395</v>
      </c>
      <c r="B3897">
        <v>143.38420271798199</v>
      </c>
      <c r="C3897">
        <v>2001</v>
      </c>
    </row>
    <row r="3898" spans="1:11" x14ac:dyDescent="0.25">
      <c r="A3898">
        <v>98.399057310214204</v>
      </c>
      <c r="B3898">
        <v>142.71622337624299</v>
      </c>
      <c r="C3898">
        <v>2001</v>
      </c>
    </row>
    <row r="3899" spans="1:11" x14ac:dyDescent="0.25">
      <c r="A3899">
        <v>99.135860579151597</v>
      </c>
      <c r="B3899">
        <v>141.979420107305</v>
      </c>
      <c r="C3899">
        <v>2001</v>
      </c>
    </row>
    <row r="3900" spans="1:11" x14ac:dyDescent="0.25">
      <c r="A3900">
        <v>99.135860579151597</v>
      </c>
      <c r="B3900">
        <v>141.10538805840699</v>
      </c>
      <c r="C3900">
        <v>2000</v>
      </c>
    </row>
    <row r="3901" spans="1:11" x14ac:dyDescent="0.25">
      <c r="A3901" t="s">
        <v>86</v>
      </c>
    </row>
    <row r="3902" spans="1:11" x14ac:dyDescent="0.25">
      <c r="A3902">
        <v>223</v>
      </c>
      <c r="B3902">
        <v>1</v>
      </c>
      <c r="C3902">
        <v>0.47010502654705999</v>
      </c>
      <c r="D3902">
        <v>2.0895380336635401</v>
      </c>
      <c r="E3902">
        <v>6</v>
      </c>
      <c r="F3902">
        <v>1.01722196789785</v>
      </c>
      <c r="G3902" t="s">
        <v>87</v>
      </c>
      <c r="H3902" t="s">
        <v>87</v>
      </c>
      <c r="I3902">
        <v>183</v>
      </c>
      <c r="J3902">
        <v>758</v>
      </c>
      <c r="K3902">
        <v>0</v>
      </c>
    </row>
    <row r="3903" spans="1:11" x14ac:dyDescent="0.25">
      <c r="A3903" t="s">
        <v>85</v>
      </c>
    </row>
    <row r="3904" spans="1:11" x14ac:dyDescent="0.25">
      <c r="A3904">
        <v>47.547728674846603</v>
      </c>
      <c r="B3904">
        <v>122.973310843001</v>
      </c>
      <c r="C3904">
        <v>2000</v>
      </c>
    </row>
    <row r="3905" spans="1:11" x14ac:dyDescent="0.25">
      <c r="A3905">
        <v>47.1350516919765</v>
      </c>
      <c r="B3905">
        <v>123.385987825871</v>
      </c>
      <c r="C3905">
        <v>2000</v>
      </c>
    </row>
    <row r="3906" spans="1:11" x14ac:dyDescent="0.25">
      <c r="A3906">
        <v>48.009083740874097</v>
      </c>
      <c r="B3906">
        <v>123.385987825871</v>
      </c>
      <c r="C3906">
        <v>2001</v>
      </c>
    </row>
    <row r="3907" spans="1:11" x14ac:dyDescent="0.25">
      <c r="A3907">
        <v>48.261235662286602</v>
      </c>
      <c r="B3907">
        <v>123.133835904459</v>
      </c>
      <c r="C3907">
        <v>2001</v>
      </c>
    </row>
    <row r="3908" spans="1:11" x14ac:dyDescent="0.25">
      <c r="A3908">
        <v>49.382008681717302</v>
      </c>
      <c r="B3908">
        <v>122.01306288502801</v>
      </c>
      <c r="C3908">
        <v>2001</v>
      </c>
    </row>
    <row r="3909" spans="1:11" x14ac:dyDescent="0.25">
      <c r="A3909">
        <v>49.382008681717302</v>
      </c>
      <c r="B3909">
        <v>121.139030836131</v>
      </c>
      <c r="C3909">
        <v>2000</v>
      </c>
    </row>
    <row r="3910" spans="1:11" x14ac:dyDescent="0.25">
      <c r="A3910" t="s">
        <v>86</v>
      </c>
    </row>
    <row r="3911" spans="1:11" x14ac:dyDescent="0.25">
      <c r="A3911">
        <v>1117</v>
      </c>
      <c r="B3911">
        <v>1</v>
      </c>
      <c r="C3911">
        <v>1.4710605092476801</v>
      </c>
      <c r="D3911">
        <v>1.0733037750714201</v>
      </c>
      <c r="E3911">
        <v>6</v>
      </c>
      <c r="F3911">
        <v>1.01722196789785</v>
      </c>
      <c r="G3911" t="s">
        <v>87</v>
      </c>
      <c r="H3911" t="s">
        <v>87</v>
      </c>
      <c r="I3911">
        <v>586</v>
      </c>
      <c r="J3911">
        <v>675</v>
      </c>
      <c r="K3911">
        <v>0.124625009531664</v>
      </c>
    </row>
    <row r="3912" spans="1:11" x14ac:dyDescent="0.25">
      <c r="A3912" t="s">
        <v>85</v>
      </c>
    </row>
    <row r="3913" spans="1:11" x14ac:dyDescent="0.25">
      <c r="A3913">
        <v>144.20197233987599</v>
      </c>
      <c r="B3913">
        <v>86.030448137325905</v>
      </c>
      <c r="C3913">
        <v>2000</v>
      </c>
    </row>
    <row r="3914" spans="1:11" x14ac:dyDescent="0.25">
      <c r="A3914">
        <v>142.909108429182</v>
      </c>
      <c r="B3914">
        <v>87.323312048019503</v>
      </c>
      <c r="C3914">
        <v>2000</v>
      </c>
    </row>
    <row r="3915" spans="1:11" x14ac:dyDescent="0.25">
      <c r="A3915">
        <v>143.78314047808001</v>
      </c>
      <c r="B3915">
        <v>87.323312048019503</v>
      </c>
      <c r="C3915">
        <v>2001</v>
      </c>
    </row>
    <row r="3916" spans="1:11" x14ac:dyDescent="0.25">
      <c r="A3916">
        <v>144.570670290636</v>
      </c>
      <c r="B3916">
        <v>86.5357822354636</v>
      </c>
      <c r="C3916">
        <v>2001</v>
      </c>
    </row>
    <row r="3917" spans="1:11" x14ac:dyDescent="0.25">
      <c r="A3917">
        <v>145.145261692882</v>
      </c>
      <c r="B3917">
        <v>85.961190833217401</v>
      </c>
      <c r="C3917">
        <v>2001</v>
      </c>
    </row>
    <row r="3918" spans="1:11" x14ac:dyDescent="0.25">
      <c r="A3918">
        <v>145.145261692882</v>
      </c>
      <c r="B3918">
        <v>85.087158784319797</v>
      </c>
      <c r="C3918">
        <v>2000</v>
      </c>
    </row>
    <row r="3919" spans="1:11" x14ac:dyDescent="0.25">
      <c r="A3919" t="s">
        <v>86</v>
      </c>
    </row>
    <row r="3920" spans="1:11" x14ac:dyDescent="0.25">
      <c r="A3920">
        <v>950</v>
      </c>
      <c r="B3920">
        <v>1</v>
      </c>
      <c r="C3920">
        <v>1.6427831679192799</v>
      </c>
      <c r="D3920">
        <v>0.90158111639981797</v>
      </c>
      <c r="E3920">
        <v>6</v>
      </c>
      <c r="F3920">
        <v>1.01722196789785</v>
      </c>
      <c r="G3920" t="s">
        <v>87</v>
      </c>
      <c r="H3920" t="s">
        <v>87</v>
      </c>
      <c r="I3920">
        <v>586</v>
      </c>
      <c r="J3920">
        <v>675</v>
      </c>
      <c r="K3920">
        <v>0.118311737100288</v>
      </c>
    </row>
    <row r="3921" spans="1:11" x14ac:dyDescent="0.25">
      <c r="A3921" t="s">
        <v>85</v>
      </c>
    </row>
    <row r="3922" spans="1:11" x14ac:dyDescent="0.25">
      <c r="A3922">
        <v>145.411309254862</v>
      </c>
      <c r="B3922">
        <v>86.937942909655106</v>
      </c>
      <c r="C3922">
        <v>2000</v>
      </c>
    </row>
    <row r="3923" spans="1:11" x14ac:dyDescent="0.25">
      <c r="A3923">
        <v>143.96752427284</v>
      </c>
      <c r="B3923">
        <v>88.381727891677301</v>
      </c>
      <c r="C3923">
        <v>2000</v>
      </c>
    </row>
    <row r="3924" spans="1:11" x14ac:dyDescent="0.25">
      <c r="A3924">
        <v>143.96752427284</v>
      </c>
      <c r="B3924">
        <v>87.507695842779597</v>
      </c>
      <c r="C3924">
        <v>2001</v>
      </c>
    </row>
    <row r="3925" spans="1:11" x14ac:dyDescent="0.25">
      <c r="A3925">
        <v>144.84698552692799</v>
      </c>
      <c r="B3925">
        <v>86.628234588692195</v>
      </c>
      <c r="C3925">
        <v>2001</v>
      </c>
    </row>
    <row r="3926" spans="1:11" x14ac:dyDescent="0.25">
      <c r="A3926">
        <v>145.32964548764201</v>
      </c>
      <c r="B3926">
        <v>86.145574627977595</v>
      </c>
      <c r="C3926">
        <v>2001</v>
      </c>
    </row>
    <row r="3927" spans="1:11" x14ac:dyDescent="0.25">
      <c r="A3927">
        <v>146.20367753654</v>
      </c>
      <c r="B3927">
        <v>86.145574627977595</v>
      </c>
      <c r="C3927">
        <v>2000</v>
      </c>
    </row>
    <row r="3928" spans="1:11" x14ac:dyDescent="0.25">
      <c r="A3928" t="s">
        <v>86</v>
      </c>
    </row>
    <row r="3929" spans="1:11" x14ac:dyDescent="0.25">
      <c r="A3929">
        <v>919</v>
      </c>
      <c r="B3929">
        <v>1</v>
      </c>
      <c r="C3929">
        <v>0.13110547732488001</v>
      </c>
      <c r="D3929">
        <v>2.41325880699421</v>
      </c>
      <c r="E3929">
        <v>6</v>
      </c>
      <c r="F3929">
        <v>1.01722196789785</v>
      </c>
      <c r="G3929" t="s">
        <v>87</v>
      </c>
      <c r="H3929" t="s">
        <v>87</v>
      </c>
      <c r="I3929">
        <v>586</v>
      </c>
      <c r="J3929">
        <v>675</v>
      </c>
      <c r="K3929">
        <v>0.11722927267913701</v>
      </c>
    </row>
    <row r="3930" spans="1:11" x14ac:dyDescent="0.25">
      <c r="A3930" t="s">
        <v>85</v>
      </c>
    </row>
    <row r="3931" spans="1:11" x14ac:dyDescent="0.25">
      <c r="A3931">
        <v>144.358690456749</v>
      </c>
      <c r="B3931">
        <v>88.542445988560701</v>
      </c>
      <c r="C3931">
        <v>2000</v>
      </c>
    </row>
    <row r="3932" spans="1:11" x14ac:dyDescent="0.25">
      <c r="A3932">
        <v>144.243466413237</v>
      </c>
      <c r="B3932">
        <v>88.657670032073597</v>
      </c>
      <c r="C3932">
        <v>2000</v>
      </c>
    </row>
    <row r="3933" spans="1:11" x14ac:dyDescent="0.25">
      <c r="A3933">
        <v>145.11749846213399</v>
      </c>
      <c r="B3933">
        <v>88.657670032073597</v>
      </c>
      <c r="C3933">
        <v>2001</v>
      </c>
    </row>
    <row r="3934" spans="1:11" x14ac:dyDescent="0.25">
      <c r="A3934">
        <v>145.187685562756</v>
      </c>
      <c r="B3934">
        <v>88.5874829314522</v>
      </c>
      <c r="C3934">
        <v>2001</v>
      </c>
    </row>
    <row r="3935" spans="1:11" x14ac:dyDescent="0.25">
      <c r="A3935">
        <v>146.47961967693601</v>
      </c>
      <c r="B3935">
        <v>87.295548817271495</v>
      </c>
      <c r="C3935">
        <v>2001</v>
      </c>
    </row>
    <row r="3936" spans="1:11" x14ac:dyDescent="0.25">
      <c r="A3936">
        <v>146.47961967693601</v>
      </c>
      <c r="B3936">
        <v>86.421516768373905</v>
      </c>
      <c r="C3936">
        <v>2000</v>
      </c>
    </row>
    <row r="3937" spans="1:11" x14ac:dyDescent="0.25">
      <c r="A3937" t="s">
        <v>86</v>
      </c>
    </row>
    <row r="3938" spans="1:11" x14ac:dyDescent="0.25">
      <c r="A3938">
        <v>553</v>
      </c>
      <c r="B3938">
        <v>1</v>
      </c>
      <c r="C3938">
        <v>2.0778950490749701</v>
      </c>
      <c r="D3938">
        <v>0.45736350740078502</v>
      </c>
      <c r="E3938">
        <v>6</v>
      </c>
      <c r="F3938">
        <v>1.01722196789785</v>
      </c>
      <c r="G3938" t="s">
        <v>87</v>
      </c>
      <c r="H3938" t="s">
        <v>87</v>
      </c>
      <c r="I3938">
        <v>504</v>
      </c>
      <c r="J3938">
        <v>518</v>
      </c>
      <c r="K3938">
        <v>0</v>
      </c>
    </row>
    <row r="3939" spans="1:11" x14ac:dyDescent="0.25">
      <c r="A3939" t="s">
        <v>85</v>
      </c>
    </row>
    <row r="3940" spans="1:11" x14ac:dyDescent="0.25">
      <c r="A3940">
        <v>128.66137833504999</v>
      </c>
      <c r="B3940">
        <v>33.633486332657903</v>
      </c>
      <c r="C3940">
        <v>2000</v>
      </c>
    </row>
    <row r="3941" spans="1:11" x14ac:dyDescent="0.25">
      <c r="A3941">
        <v>127.192084655255</v>
      </c>
      <c r="B3941">
        <v>35.102780012452797</v>
      </c>
      <c r="C3941">
        <v>2000</v>
      </c>
    </row>
    <row r="3942" spans="1:11" x14ac:dyDescent="0.25">
      <c r="A3942">
        <v>127.192084655255</v>
      </c>
      <c r="B3942">
        <v>34.228747963555101</v>
      </c>
      <c r="C3942">
        <v>2001</v>
      </c>
    </row>
    <row r="3943" spans="1:11" x14ac:dyDescent="0.25">
      <c r="A3943">
        <v>128.66137833504999</v>
      </c>
      <c r="B3943">
        <v>32.759454283760299</v>
      </c>
      <c r="C3943">
        <v>2001</v>
      </c>
    </row>
    <row r="3944" spans="1:11" x14ac:dyDescent="0.25">
      <c r="A3944">
        <v>128.9847831726</v>
      </c>
      <c r="B3944">
        <v>32.4360494462099</v>
      </c>
      <c r="C3944">
        <v>2001</v>
      </c>
    </row>
    <row r="3945" spans="1:11" x14ac:dyDescent="0.25">
      <c r="A3945">
        <v>128.9847831726</v>
      </c>
      <c r="B3945">
        <v>33.310081495107603</v>
      </c>
      <c r="C3945">
        <v>2000</v>
      </c>
    </row>
    <row r="3946" spans="1:11" x14ac:dyDescent="0.25">
      <c r="A3946" t="s">
        <v>86</v>
      </c>
    </row>
    <row r="3947" spans="1:11" x14ac:dyDescent="0.25">
      <c r="A3947">
        <v>234</v>
      </c>
      <c r="B3947">
        <v>1</v>
      </c>
      <c r="C3947">
        <v>3.8056167608331699E-2</v>
      </c>
      <c r="D3947">
        <v>2.4835125327018699</v>
      </c>
      <c r="E3947">
        <v>6</v>
      </c>
      <c r="F3947">
        <v>1.01722196789785</v>
      </c>
      <c r="G3947" t="s">
        <v>87</v>
      </c>
      <c r="H3947" t="s">
        <v>87</v>
      </c>
      <c r="I3947">
        <v>186</v>
      </c>
      <c r="J3947">
        <v>793</v>
      </c>
      <c r="K3947">
        <v>0</v>
      </c>
    </row>
    <row r="3948" spans="1:11" x14ac:dyDescent="0.25">
      <c r="A3948" t="s">
        <v>85</v>
      </c>
    </row>
    <row r="3949" spans="1:11" x14ac:dyDescent="0.25">
      <c r="A3949">
        <v>5.6548937441015399</v>
      </c>
      <c r="B3949">
        <v>120.38187717338199</v>
      </c>
      <c r="C3949">
        <v>2000</v>
      </c>
    </row>
    <row r="3950" spans="1:11" x14ac:dyDescent="0.25">
      <c r="A3950">
        <v>5.6279839699197103</v>
      </c>
      <c r="B3950">
        <v>120.408786947564</v>
      </c>
      <c r="C3950">
        <v>2000</v>
      </c>
    </row>
    <row r="3951" spans="1:11" x14ac:dyDescent="0.25">
      <c r="A3951">
        <v>4.7539519210221401</v>
      </c>
      <c r="B3951">
        <v>120.408786947564</v>
      </c>
      <c r="C3951">
        <v>2001</v>
      </c>
    </row>
    <row r="3952" spans="1:11" x14ac:dyDescent="0.25">
      <c r="A3952">
        <v>4.78086169520396</v>
      </c>
      <c r="B3952">
        <v>120.38187717338199</v>
      </c>
      <c r="C3952">
        <v>2001</v>
      </c>
    </row>
    <row r="3953" spans="1:11" x14ac:dyDescent="0.25">
      <c r="A3953">
        <v>6.5369702482392</v>
      </c>
      <c r="B3953">
        <v>118.625768620347</v>
      </c>
      <c r="C3953">
        <v>2001</v>
      </c>
    </row>
    <row r="3954" spans="1:11" x14ac:dyDescent="0.25">
      <c r="A3954">
        <v>7.4110022971368297</v>
      </c>
      <c r="B3954">
        <v>118.625768620347</v>
      </c>
      <c r="C3954">
        <v>2000</v>
      </c>
    </row>
    <row r="3955" spans="1:11" x14ac:dyDescent="0.25">
      <c r="A3955" t="s">
        <v>86</v>
      </c>
    </row>
    <row r="3956" spans="1:11" x14ac:dyDescent="0.25">
      <c r="A3956">
        <v>238</v>
      </c>
      <c r="B3956">
        <v>1</v>
      </c>
      <c r="C3956">
        <v>2.05776574714403</v>
      </c>
      <c r="D3956">
        <v>0.46380295316616599</v>
      </c>
      <c r="E3956">
        <v>6</v>
      </c>
      <c r="F3956">
        <v>1.01722196789785</v>
      </c>
      <c r="G3956" t="s">
        <v>87</v>
      </c>
      <c r="H3956" t="s">
        <v>87</v>
      </c>
      <c r="I3956">
        <v>186</v>
      </c>
      <c r="J3956">
        <v>793</v>
      </c>
      <c r="K3956">
        <v>0</v>
      </c>
    </row>
    <row r="3957" spans="1:11" x14ac:dyDescent="0.25">
      <c r="A3957" t="s">
        <v>85</v>
      </c>
    </row>
    <row r="3958" spans="1:11" x14ac:dyDescent="0.25">
      <c r="A3958">
        <v>30.7892579146611</v>
      </c>
      <c r="B3958">
        <v>142.65994066450699</v>
      </c>
      <c r="C3958">
        <v>2000</v>
      </c>
    </row>
    <row r="3959" spans="1:11" x14ac:dyDescent="0.25">
      <c r="A3959">
        <v>29.334197800762102</v>
      </c>
      <c r="B3959">
        <v>144.115000778406</v>
      </c>
      <c r="C3959">
        <v>2000</v>
      </c>
    </row>
    <row r="3960" spans="1:11" x14ac:dyDescent="0.25">
      <c r="A3960">
        <v>29.334197800762102</v>
      </c>
      <c r="B3960">
        <v>144.98903282730399</v>
      </c>
      <c r="C3960">
        <v>2001</v>
      </c>
    </row>
    <row r="3961" spans="1:11" x14ac:dyDescent="0.25">
      <c r="A3961">
        <v>30.7892579146611</v>
      </c>
      <c r="B3961">
        <v>143.53397271340501</v>
      </c>
      <c r="C3961">
        <v>2001</v>
      </c>
    </row>
    <row r="3962" spans="1:11" x14ac:dyDescent="0.25">
      <c r="A3962">
        <v>31.117216127979201</v>
      </c>
      <c r="B3962">
        <v>143.20601450008701</v>
      </c>
      <c r="C3962">
        <v>2001</v>
      </c>
    </row>
    <row r="3963" spans="1:11" x14ac:dyDescent="0.25">
      <c r="A3963">
        <v>31.117216127979201</v>
      </c>
      <c r="B3963">
        <v>142.33198245118899</v>
      </c>
      <c r="C3963">
        <v>2000</v>
      </c>
    </row>
    <row r="3964" spans="1:11" x14ac:dyDescent="0.25">
      <c r="A3964" t="s">
        <v>86</v>
      </c>
    </row>
    <row r="3965" spans="1:11" x14ac:dyDescent="0.25">
      <c r="A3965">
        <v>1005</v>
      </c>
      <c r="B3965">
        <v>1</v>
      </c>
      <c r="C3965">
        <v>0.37552114349006199</v>
      </c>
      <c r="D3965">
        <v>2.14604755682014</v>
      </c>
      <c r="E3965">
        <v>6</v>
      </c>
      <c r="F3965">
        <v>1.01722196789785</v>
      </c>
      <c r="G3965" t="s">
        <v>87</v>
      </c>
      <c r="H3965" t="s">
        <v>87</v>
      </c>
      <c r="I3965">
        <v>186</v>
      </c>
      <c r="J3965">
        <v>793</v>
      </c>
      <c r="K3965">
        <v>0.12024993113152201</v>
      </c>
    </row>
    <row r="3966" spans="1:11" x14ac:dyDescent="0.25">
      <c r="A3966" t="s">
        <v>85</v>
      </c>
    </row>
    <row r="3967" spans="1:11" x14ac:dyDescent="0.25">
      <c r="A3967">
        <v>10.4242298451365</v>
      </c>
      <c r="B3967">
        <v>124.673965728699</v>
      </c>
      <c r="C3967">
        <v>2000</v>
      </c>
    </row>
    <row r="3968" spans="1:11" x14ac:dyDescent="0.25">
      <c r="A3968">
        <v>10.1586962980957</v>
      </c>
      <c r="B3968">
        <v>124.93949927574</v>
      </c>
      <c r="C3968">
        <v>2000</v>
      </c>
    </row>
    <row r="3969" spans="1:11" x14ac:dyDescent="0.25">
      <c r="A3969">
        <v>10.1586962980957</v>
      </c>
      <c r="B3969">
        <v>125.813531324637</v>
      </c>
      <c r="C3969">
        <v>2001</v>
      </c>
    </row>
    <row r="3970" spans="1:11" x14ac:dyDescent="0.25">
      <c r="A3970">
        <v>10.4242298451365</v>
      </c>
      <c r="B3970">
        <v>125.547997777597</v>
      </c>
      <c r="C3970">
        <v>2001</v>
      </c>
    </row>
    <row r="3971" spans="1:11" x14ac:dyDescent="0.25">
      <c r="A3971">
        <v>11.9417146253128</v>
      </c>
      <c r="B3971">
        <v>124.03051299742</v>
      </c>
      <c r="C3971">
        <v>2001</v>
      </c>
    </row>
    <row r="3972" spans="1:11" x14ac:dyDescent="0.25">
      <c r="A3972">
        <v>11.9417146253128</v>
      </c>
      <c r="B3972">
        <v>123.156480948523</v>
      </c>
      <c r="C3972">
        <v>2000</v>
      </c>
    </row>
    <row r="3973" spans="1:11" x14ac:dyDescent="0.25">
      <c r="A3973" t="s">
        <v>86</v>
      </c>
    </row>
    <row r="3974" spans="1:11" x14ac:dyDescent="0.25">
      <c r="A3974">
        <v>706</v>
      </c>
      <c r="B3974">
        <v>1</v>
      </c>
      <c r="C3974">
        <v>6.82459387471539E-2</v>
      </c>
      <c r="D3974">
        <v>2.43939584583813</v>
      </c>
      <c r="E3974">
        <v>6</v>
      </c>
      <c r="F3974">
        <v>1.01722196789785</v>
      </c>
      <c r="G3974" t="s">
        <v>87</v>
      </c>
      <c r="H3974" t="s">
        <v>87</v>
      </c>
      <c r="I3974">
        <v>519</v>
      </c>
      <c r="J3974">
        <v>778</v>
      </c>
      <c r="K3974">
        <v>0</v>
      </c>
    </row>
    <row r="3975" spans="1:11" x14ac:dyDescent="0.25">
      <c r="A3975" t="s">
        <v>85</v>
      </c>
    </row>
    <row r="3976" spans="1:11" x14ac:dyDescent="0.25">
      <c r="A3976">
        <v>92.235202728462099</v>
      </c>
      <c r="B3976">
        <v>22.892695325338199</v>
      </c>
      <c r="C3976">
        <v>2000</v>
      </c>
    </row>
    <row r="3977" spans="1:11" x14ac:dyDescent="0.25">
      <c r="A3977">
        <v>92.198839034977695</v>
      </c>
      <c r="B3977">
        <v>22.9290590188225</v>
      </c>
      <c r="C3977">
        <v>2000</v>
      </c>
    </row>
    <row r="3978" spans="1:11" x14ac:dyDescent="0.25">
      <c r="A3978">
        <v>92.198839034977695</v>
      </c>
      <c r="B3978">
        <v>23.8030910677201</v>
      </c>
      <c r="C3978">
        <v>2001</v>
      </c>
    </row>
    <row r="3979" spans="1:11" x14ac:dyDescent="0.25">
      <c r="A3979">
        <v>92.258989673646496</v>
      </c>
      <c r="B3979">
        <v>23.742940429051401</v>
      </c>
      <c r="C3979">
        <v>2001</v>
      </c>
    </row>
    <row r="3980" spans="1:11" x14ac:dyDescent="0.25">
      <c r="A3980">
        <v>94.409025570093505</v>
      </c>
      <c r="B3980">
        <v>21.592904532604301</v>
      </c>
      <c r="C3980">
        <v>2001</v>
      </c>
    </row>
    <row r="3981" spans="1:11" x14ac:dyDescent="0.25">
      <c r="A3981">
        <v>93.534993521195901</v>
      </c>
      <c r="B3981">
        <v>21.592904532604301</v>
      </c>
      <c r="C3981">
        <v>2000</v>
      </c>
    </row>
    <row r="3982" spans="1:11" x14ac:dyDescent="0.25">
      <c r="A3982" t="s">
        <v>86</v>
      </c>
    </row>
    <row r="3983" spans="1:11" x14ac:dyDescent="0.25">
      <c r="A3983">
        <v>710</v>
      </c>
      <c r="B3983">
        <v>1</v>
      </c>
      <c r="C3983">
        <v>2.22879385538636</v>
      </c>
      <c r="D3983">
        <v>0.27884792919892498</v>
      </c>
      <c r="E3983">
        <v>6</v>
      </c>
      <c r="F3983">
        <v>1.01722196789785</v>
      </c>
      <c r="G3983" t="s">
        <v>87</v>
      </c>
      <c r="H3983" t="s">
        <v>87</v>
      </c>
      <c r="I3983">
        <v>519</v>
      </c>
      <c r="J3983">
        <v>778</v>
      </c>
      <c r="K3983">
        <v>0</v>
      </c>
    </row>
    <row r="3984" spans="1:11" x14ac:dyDescent="0.25">
      <c r="A3984" t="s">
        <v>85</v>
      </c>
    </row>
    <row r="3985" spans="1:11" x14ac:dyDescent="0.25">
      <c r="A3985">
        <v>86.791101903737797</v>
      </c>
      <c r="B3985">
        <v>15.146171714989199</v>
      </c>
      <c r="C3985">
        <v>2000</v>
      </c>
    </row>
    <row r="3986" spans="1:11" x14ac:dyDescent="0.25">
      <c r="A3986">
        <v>85.603526817441093</v>
      </c>
      <c r="B3986">
        <v>16.333746801285901</v>
      </c>
      <c r="C3986">
        <v>2000</v>
      </c>
    </row>
    <row r="3987" spans="1:11" x14ac:dyDescent="0.25">
      <c r="A3987">
        <v>84.729494768543503</v>
      </c>
      <c r="B3987">
        <v>16.333746801285901</v>
      </c>
      <c r="C3987">
        <v>2001</v>
      </c>
    </row>
    <row r="3988" spans="1:11" x14ac:dyDescent="0.25">
      <c r="A3988">
        <v>86.693910180268006</v>
      </c>
      <c r="B3988">
        <v>14.3693313895613</v>
      </c>
      <c r="C3988">
        <v>2001</v>
      </c>
    </row>
    <row r="3989" spans="1:11" x14ac:dyDescent="0.25">
      <c r="A3989">
        <v>86.939681303659299</v>
      </c>
      <c r="B3989">
        <v>14.123560266170101</v>
      </c>
      <c r="C3989">
        <v>2001</v>
      </c>
    </row>
    <row r="3990" spans="1:11" x14ac:dyDescent="0.25">
      <c r="A3990">
        <v>86.939681303659299</v>
      </c>
      <c r="B3990">
        <v>14.997592315067701</v>
      </c>
      <c r="C3990">
        <v>2000</v>
      </c>
    </row>
    <row r="3991" spans="1:11" x14ac:dyDescent="0.25">
      <c r="A3991" t="s">
        <v>86</v>
      </c>
    </row>
    <row r="3992" spans="1:11" x14ac:dyDescent="0.25">
      <c r="A3992">
        <v>1088</v>
      </c>
      <c r="B3992">
        <v>1</v>
      </c>
      <c r="C3992">
        <v>0.72502383553859295</v>
      </c>
      <c r="D3992">
        <v>1.78261794904669</v>
      </c>
      <c r="E3992">
        <v>6</v>
      </c>
      <c r="F3992">
        <v>1.01722196789785</v>
      </c>
      <c r="G3992" t="s">
        <v>87</v>
      </c>
      <c r="H3992" t="s">
        <v>87</v>
      </c>
      <c r="I3992">
        <v>519</v>
      </c>
      <c r="J3992">
        <v>778</v>
      </c>
      <c r="K3992">
        <v>0.12297972043158099</v>
      </c>
    </row>
    <row r="3993" spans="1:11" x14ac:dyDescent="0.25">
      <c r="A3993" t="s">
        <v>85</v>
      </c>
    </row>
    <row r="3994" spans="1:11" x14ac:dyDescent="0.25">
      <c r="A3994">
        <v>84.730623610774501</v>
      </c>
      <c r="B3994">
        <v>14.688210233327499</v>
      </c>
      <c r="C3994">
        <v>2000</v>
      </c>
    </row>
    <row r="3995" spans="1:11" x14ac:dyDescent="0.25">
      <c r="A3995">
        <v>84.344306930128596</v>
      </c>
      <c r="B3995">
        <v>15.074526913973401</v>
      </c>
      <c r="C3995">
        <v>2000</v>
      </c>
    </row>
    <row r="3996" spans="1:11" x14ac:dyDescent="0.25">
      <c r="A3996">
        <v>84.344306930128596</v>
      </c>
      <c r="B3996">
        <v>15.948558962870999</v>
      </c>
      <c r="C3996">
        <v>2001</v>
      </c>
    </row>
    <row r="3997" spans="1:11" x14ac:dyDescent="0.25">
      <c r="A3997">
        <v>84.983328790745105</v>
      </c>
      <c r="B3997">
        <v>15.309537102254501</v>
      </c>
      <c r="C3997">
        <v>2001</v>
      </c>
    </row>
    <row r="3998" spans="1:11" x14ac:dyDescent="0.25">
      <c r="A3998">
        <v>86.554493465244406</v>
      </c>
      <c r="B3998">
        <v>13.7383724277552</v>
      </c>
      <c r="C3998">
        <v>2001</v>
      </c>
    </row>
    <row r="3999" spans="1:11" x14ac:dyDescent="0.25">
      <c r="A3999">
        <v>85.680461416346802</v>
      </c>
      <c r="B3999">
        <v>13.7383724277552</v>
      </c>
      <c r="C3999">
        <v>2000</v>
      </c>
    </row>
    <row r="4000" spans="1:11" x14ac:dyDescent="0.25">
      <c r="A4000" t="s">
        <v>86</v>
      </c>
    </row>
    <row r="4001" spans="1:11" x14ac:dyDescent="0.25">
      <c r="A4001">
        <v>713</v>
      </c>
      <c r="B4001">
        <v>1</v>
      </c>
      <c r="C4001">
        <v>0.77086584315958395</v>
      </c>
      <c r="D4001">
        <v>1.7367759414257</v>
      </c>
      <c r="E4001">
        <v>6</v>
      </c>
      <c r="F4001">
        <v>1.01722196789785</v>
      </c>
      <c r="G4001" t="s">
        <v>87</v>
      </c>
      <c r="H4001" t="s">
        <v>87</v>
      </c>
      <c r="I4001">
        <v>519</v>
      </c>
      <c r="J4001">
        <v>778</v>
      </c>
      <c r="K4001">
        <v>0</v>
      </c>
    </row>
    <row r="4002" spans="1:11" x14ac:dyDescent="0.25">
      <c r="A4002" t="s">
        <v>85</v>
      </c>
    </row>
    <row r="4003" spans="1:11" x14ac:dyDescent="0.25">
      <c r="A4003">
        <v>97.6522652197973</v>
      </c>
      <c r="B4003">
        <v>27.5609995664657</v>
      </c>
      <c r="C4003">
        <v>2000</v>
      </c>
    </row>
    <row r="4004" spans="1:11" x14ac:dyDescent="0.25">
      <c r="A4004">
        <v>97.241522401209096</v>
      </c>
      <c r="B4004">
        <v>27.971742385053901</v>
      </c>
      <c r="C4004">
        <v>2000</v>
      </c>
    </row>
    <row r="4005" spans="1:11" x14ac:dyDescent="0.25">
      <c r="A4005">
        <v>96.367490352311506</v>
      </c>
      <c r="B4005">
        <v>27.971742385053901</v>
      </c>
      <c r="C4005">
        <v>2001</v>
      </c>
    </row>
    <row r="4006" spans="1:11" x14ac:dyDescent="0.25">
      <c r="A4006">
        <v>97.046916463889801</v>
      </c>
      <c r="B4006">
        <v>27.292316273475599</v>
      </c>
      <c r="C4006">
        <v>2001</v>
      </c>
    </row>
    <row r="4007" spans="1:11" x14ac:dyDescent="0.25">
      <c r="A4007">
        <v>98.577676887427302</v>
      </c>
      <c r="B4007">
        <v>25.761555849938102</v>
      </c>
      <c r="C4007">
        <v>2001</v>
      </c>
    </row>
    <row r="4008" spans="1:11" x14ac:dyDescent="0.25">
      <c r="A4008">
        <v>98.577676887427302</v>
      </c>
      <c r="B4008">
        <v>26.635587898835698</v>
      </c>
      <c r="C4008">
        <v>2000</v>
      </c>
    </row>
    <row r="4009" spans="1:11" x14ac:dyDescent="0.25">
      <c r="A4009" t="s">
        <v>86</v>
      </c>
    </row>
    <row r="4010" spans="1:11" x14ac:dyDescent="0.25">
      <c r="A4010">
        <v>962</v>
      </c>
      <c r="B4010">
        <v>1</v>
      </c>
      <c r="C4010">
        <v>1.1397905274098901</v>
      </c>
      <c r="D4010">
        <v>1.36785125717539</v>
      </c>
      <c r="E4010">
        <v>6</v>
      </c>
      <c r="F4010">
        <v>1.01722196789785</v>
      </c>
      <c r="G4010" t="s">
        <v>87</v>
      </c>
      <c r="H4010" t="s">
        <v>87</v>
      </c>
      <c r="I4010">
        <v>519</v>
      </c>
      <c r="J4010">
        <v>778</v>
      </c>
      <c r="K4010">
        <v>0.11931529568040899</v>
      </c>
    </row>
    <row r="4011" spans="1:11" x14ac:dyDescent="0.25">
      <c r="A4011" t="s">
        <v>85</v>
      </c>
    </row>
    <row r="4012" spans="1:11" x14ac:dyDescent="0.25">
      <c r="A4012">
        <v>109.71502986454701</v>
      </c>
      <c r="B4012">
        <v>39.230613662386602</v>
      </c>
      <c r="C4012">
        <v>2000</v>
      </c>
    </row>
    <row r="4013" spans="1:11" x14ac:dyDescent="0.25">
      <c r="A4013">
        <v>109.107711771544</v>
      </c>
      <c r="B4013">
        <v>39.8379317553891</v>
      </c>
      <c r="C4013">
        <v>2000</v>
      </c>
    </row>
    <row r="4014" spans="1:11" x14ac:dyDescent="0.25">
      <c r="A4014">
        <v>108.233679722647</v>
      </c>
      <c r="B4014">
        <v>39.8379317553891</v>
      </c>
      <c r="C4014">
        <v>2001</v>
      </c>
    </row>
    <row r="4015" spans="1:11" x14ac:dyDescent="0.25">
      <c r="A4015">
        <v>109.23826885177201</v>
      </c>
      <c r="B4015">
        <v>38.833342626264098</v>
      </c>
      <c r="C4015">
        <v>2001</v>
      </c>
    </row>
    <row r="4016" spans="1:11" x14ac:dyDescent="0.25">
      <c r="A4016">
        <v>110.443866257762</v>
      </c>
      <c r="B4016">
        <v>37.627745220273297</v>
      </c>
      <c r="C4016">
        <v>2001</v>
      </c>
    </row>
    <row r="4017" spans="1:11" x14ac:dyDescent="0.25">
      <c r="A4017">
        <v>110.443866257762</v>
      </c>
      <c r="B4017">
        <v>38.501777269170901</v>
      </c>
      <c r="C4017">
        <v>2000</v>
      </c>
    </row>
    <row r="4018" spans="1:11" x14ac:dyDescent="0.25">
      <c r="A4018" t="s">
        <v>86</v>
      </c>
    </row>
    <row r="4019" spans="1:11" x14ac:dyDescent="0.25">
      <c r="A4019">
        <v>1148</v>
      </c>
      <c r="B4019">
        <v>1</v>
      </c>
      <c r="C4019">
        <v>0.61969110669917205</v>
      </c>
      <c r="D4019">
        <v>1.8738605089775799</v>
      </c>
      <c r="E4019">
        <v>6</v>
      </c>
      <c r="F4019">
        <v>1.01722196789785</v>
      </c>
      <c r="G4019" t="s">
        <v>87</v>
      </c>
      <c r="H4019" t="s">
        <v>87</v>
      </c>
      <c r="I4019">
        <v>115</v>
      </c>
      <c r="J4019">
        <v>110</v>
      </c>
      <c r="K4019">
        <v>0.124625009531664</v>
      </c>
    </row>
    <row r="4020" spans="1:11" x14ac:dyDescent="0.25">
      <c r="A4020" t="s">
        <v>85</v>
      </c>
    </row>
    <row r="4021" spans="1:11" x14ac:dyDescent="0.25">
      <c r="A4021">
        <v>82.723040425277404</v>
      </c>
      <c r="B4021">
        <v>141.69880091877499</v>
      </c>
      <c r="C4021">
        <v>2000</v>
      </c>
    </row>
    <row r="4022" spans="1:11" x14ac:dyDescent="0.25">
      <c r="A4022">
        <v>82.393458752601603</v>
      </c>
      <c r="B4022">
        <v>142.02838259145099</v>
      </c>
      <c r="C4022">
        <v>2000</v>
      </c>
    </row>
    <row r="4023" spans="1:11" x14ac:dyDescent="0.25">
      <c r="A4023">
        <v>81.5194267037039</v>
      </c>
      <c r="B4023">
        <v>142.02838259145099</v>
      </c>
      <c r="C4023">
        <v>2001</v>
      </c>
    </row>
    <row r="4024" spans="1:11" x14ac:dyDescent="0.25">
      <c r="A4024">
        <v>82.066220598604005</v>
      </c>
      <c r="B4024">
        <v>141.481588696551</v>
      </c>
      <c r="C4024">
        <v>2001</v>
      </c>
    </row>
    <row r="4025" spans="1:11" x14ac:dyDescent="0.25">
      <c r="A4025">
        <v>83.719649984836394</v>
      </c>
      <c r="B4025">
        <v>139.828159310318</v>
      </c>
      <c r="C4025">
        <v>2001</v>
      </c>
    </row>
    <row r="4026" spans="1:11" x14ac:dyDescent="0.25">
      <c r="A4026">
        <v>83.719649984836494</v>
      </c>
      <c r="B4026">
        <v>140.70219135921599</v>
      </c>
      <c r="C4026">
        <v>2000</v>
      </c>
    </row>
    <row r="4027" spans="1:11" x14ac:dyDescent="0.25">
      <c r="A4027" t="s">
        <v>86</v>
      </c>
    </row>
    <row r="4028" spans="1:11" x14ac:dyDescent="0.25">
      <c r="A4028">
        <v>999</v>
      </c>
      <c r="B4028">
        <v>1</v>
      </c>
      <c r="C4028">
        <v>0.93229312979715195</v>
      </c>
      <c r="D4028">
        <v>1.5612584858795999</v>
      </c>
      <c r="E4028">
        <v>6</v>
      </c>
      <c r="F4028">
        <v>1.01722196789785</v>
      </c>
      <c r="G4028" t="s">
        <v>87</v>
      </c>
      <c r="H4028" t="s">
        <v>87</v>
      </c>
      <c r="I4028">
        <v>115</v>
      </c>
      <c r="J4028">
        <v>110</v>
      </c>
      <c r="K4028">
        <v>0.12024993113152201</v>
      </c>
    </row>
    <row r="4029" spans="1:11" x14ac:dyDescent="0.25">
      <c r="A4029" t="s">
        <v>85</v>
      </c>
    </row>
    <row r="4030" spans="1:11" x14ac:dyDescent="0.25">
      <c r="A4030">
        <v>75.729799359802897</v>
      </c>
      <c r="B4030">
        <v>134.373046133027</v>
      </c>
      <c r="C4030">
        <v>2000</v>
      </c>
    </row>
    <row r="4031" spans="1:11" x14ac:dyDescent="0.25">
      <c r="A4031">
        <v>75.233960826990199</v>
      </c>
      <c r="B4031">
        <v>134.868884665839</v>
      </c>
      <c r="C4031">
        <v>2000</v>
      </c>
    </row>
    <row r="4032" spans="1:11" x14ac:dyDescent="0.25">
      <c r="A4032">
        <v>75.233960826990199</v>
      </c>
      <c r="B4032">
        <v>135.74291671473699</v>
      </c>
      <c r="C4032">
        <v>2001</v>
      </c>
    </row>
    <row r="4033" spans="1:11" x14ac:dyDescent="0.25">
      <c r="A4033">
        <v>76.056583882443903</v>
      </c>
      <c r="B4033">
        <v>134.920293659283</v>
      </c>
      <c r="C4033">
        <v>2001</v>
      </c>
    </row>
    <row r="4034" spans="1:11" x14ac:dyDescent="0.25">
      <c r="A4034">
        <v>77.434184108122693</v>
      </c>
      <c r="B4034">
        <v>133.542693433605</v>
      </c>
      <c r="C4034">
        <v>2001</v>
      </c>
    </row>
    <row r="4035" spans="1:11" x14ac:dyDescent="0.25">
      <c r="A4035">
        <v>76.560152059225103</v>
      </c>
      <c r="B4035">
        <v>133.542693433605</v>
      </c>
      <c r="C4035">
        <v>2000</v>
      </c>
    </row>
    <row r="4036" spans="1:11" x14ac:dyDescent="0.25">
      <c r="A4036" t="s">
        <v>86</v>
      </c>
    </row>
    <row r="4037" spans="1:11" x14ac:dyDescent="0.25">
      <c r="A4037">
        <v>868</v>
      </c>
      <c r="B4037">
        <v>1</v>
      </c>
      <c r="C4037">
        <v>1.57181795072485</v>
      </c>
      <c r="D4037">
        <v>0.91277597791403797</v>
      </c>
      <c r="E4037">
        <v>6</v>
      </c>
      <c r="F4037">
        <v>1.01722196789785</v>
      </c>
      <c r="G4037" t="s">
        <v>87</v>
      </c>
      <c r="H4037" t="s">
        <v>87</v>
      </c>
      <c r="I4037">
        <v>593</v>
      </c>
      <c r="J4037">
        <v>599</v>
      </c>
      <c r="K4037">
        <v>0.115643722583405</v>
      </c>
    </row>
    <row r="4038" spans="1:11" x14ac:dyDescent="0.25">
      <c r="A4038" t="s">
        <v>85</v>
      </c>
    </row>
    <row r="4039" spans="1:11" x14ac:dyDescent="0.25">
      <c r="A4039">
        <v>127.556389209833</v>
      </c>
      <c r="B4039">
        <v>62.8196009343106</v>
      </c>
      <c r="C4039">
        <v>2000</v>
      </c>
    </row>
    <row r="4040" spans="1:11" x14ac:dyDescent="0.25">
      <c r="A4040">
        <v>126.16847851368099</v>
      </c>
      <c r="B4040">
        <v>64.207511630462605</v>
      </c>
      <c r="C4040">
        <v>2000</v>
      </c>
    </row>
    <row r="4041" spans="1:11" x14ac:dyDescent="0.25">
      <c r="A4041">
        <v>126.16847851368099</v>
      </c>
      <c r="B4041">
        <v>63.333479581565001</v>
      </c>
      <c r="C4041">
        <v>2001</v>
      </c>
    </row>
    <row r="4042" spans="1:11" x14ac:dyDescent="0.25">
      <c r="A4042">
        <v>127.003454081025</v>
      </c>
      <c r="B4042">
        <v>62.498504014220401</v>
      </c>
      <c r="C4042">
        <v>2001</v>
      </c>
    </row>
    <row r="4043" spans="1:11" x14ac:dyDescent="0.25">
      <c r="A4043">
        <v>127.48833570466699</v>
      </c>
      <c r="B4043">
        <v>62.013622390578298</v>
      </c>
      <c r="C4043">
        <v>2001</v>
      </c>
    </row>
    <row r="4044" spans="1:11" x14ac:dyDescent="0.25">
      <c r="A4044">
        <v>128.362367753565</v>
      </c>
      <c r="B4044">
        <v>62.013622390578298</v>
      </c>
      <c r="C4044">
        <v>2000</v>
      </c>
    </row>
    <row r="4045" spans="1:11" x14ac:dyDescent="0.25">
      <c r="A4045" t="s">
        <v>86</v>
      </c>
    </row>
    <row r="4046" spans="1:11" x14ac:dyDescent="0.25">
      <c r="A4046">
        <v>869</v>
      </c>
      <c r="B4046">
        <v>1</v>
      </c>
      <c r="C4046">
        <v>1.17362917842381</v>
      </c>
      <c r="D4046">
        <v>1.3109647502150801</v>
      </c>
      <c r="E4046">
        <v>6</v>
      </c>
      <c r="F4046">
        <v>1.01722196789785</v>
      </c>
      <c r="G4046" t="s">
        <v>87</v>
      </c>
      <c r="H4046" t="s">
        <v>87</v>
      </c>
      <c r="I4046">
        <v>593</v>
      </c>
      <c r="J4046">
        <v>599</v>
      </c>
      <c r="K4046">
        <v>0.116069536161876</v>
      </c>
    </row>
    <row r="4047" spans="1:11" x14ac:dyDescent="0.25">
      <c r="A4047" t="s">
        <v>85</v>
      </c>
    </row>
    <row r="4048" spans="1:11" x14ac:dyDescent="0.25">
      <c r="A4048">
        <v>121.71401811043</v>
      </c>
      <c r="B4048">
        <v>57.680428899289701</v>
      </c>
      <c r="C4048">
        <v>2000</v>
      </c>
    </row>
    <row r="4049" spans="1:11" x14ac:dyDescent="0.25">
      <c r="A4049">
        <v>120.677706946469</v>
      </c>
      <c r="B4049">
        <v>58.716740063250697</v>
      </c>
      <c r="C4049">
        <v>2000</v>
      </c>
    </row>
    <row r="4050" spans="1:11" x14ac:dyDescent="0.25">
      <c r="A4050">
        <v>120.677706946469</v>
      </c>
      <c r="B4050">
        <v>57.8427080143531</v>
      </c>
      <c r="C4050">
        <v>2001</v>
      </c>
    </row>
    <row r="4051" spans="1:11" x14ac:dyDescent="0.25">
      <c r="A4051">
        <v>121.301158083831</v>
      </c>
      <c r="B4051">
        <v>57.2192568769904</v>
      </c>
      <c r="C4051">
        <v>2001</v>
      </c>
    </row>
    <row r="4052" spans="1:11" x14ac:dyDescent="0.25">
      <c r="A4052">
        <v>121.997564137455</v>
      </c>
      <c r="B4052">
        <v>56.522850823366497</v>
      </c>
      <c r="C4052">
        <v>2001</v>
      </c>
    </row>
    <row r="4053" spans="1:11" x14ac:dyDescent="0.25">
      <c r="A4053">
        <v>122.871596186353</v>
      </c>
      <c r="B4053">
        <v>56.522850823366497</v>
      </c>
      <c r="C4053">
        <v>2000</v>
      </c>
    </row>
    <row r="4054" spans="1:11" x14ac:dyDescent="0.25">
      <c r="A4054" t="s">
        <v>86</v>
      </c>
    </row>
    <row r="4055" spans="1:11" x14ac:dyDescent="0.25">
      <c r="A4055">
        <v>554</v>
      </c>
      <c r="B4055">
        <v>1</v>
      </c>
      <c r="C4055">
        <v>0.68087695440915796</v>
      </c>
      <c r="D4055">
        <v>1.8037169742297301</v>
      </c>
      <c r="E4055">
        <v>6</v>
      </c>
      <c r="F4055">
        <v>1.01722196789785</v>
      </c>
      <c r="G4055" t="s">
        <v>87</v>
      </c>
      <c r="H4055" t="s">
        <v>87</v>
      </c>
      <c r="I4055">
        <v>593</v>
      </c>
      <c r="J4055">
        <v>599</v>
      </c>
      <c r="K4055">
        <v>0</v>
      </c>
    </row>
    <row r="4056" spans="1:11" x14ac:dyDescent="0.25">
      <c r="A4056" t="s">
        <v>85</v>
      </c>
    </row>
    <row r="4057" spans="1:11" x14ac:dyDescent="0.25">
      <c r="A4057">
        <v>110.822408713757</v>
      </c>
      <c r="B4057">
        <v>47.659017074730102</v>
      </c>
      <c r="C4057">
        <v>2000</v>
      </c>
    </row>
    <row r="4058" spans="1:11" x14ac:dyDescent="0.25">
      <c r="A4058">
        <v>110.221196335852</v>
      </c>
      <c r="B4058">
        <v>48.260229452634299</v>
      </c>
      <c r="C4058">
        <v>2000</v>
      </c>
    </row>
    <row r="4059" spans="1:11" x14ac:dyDescent="0.25">
      <c r="A4059">
        <v>111.09522838475</v>
      </c>
      <c r="B4059">
        <v>48.260229452634398</v>
      </c>
      <c r="C4059">
        <v>2001</v>
      </c>
    </row>
    <row r="4060" spans="1:11" x14ac:dyDescent="0.25">
      <c r="A4060">
        <v>111.456921430078</v>
      </c>
      <c r="B4060">
        <v>47.898536407305897</v>
      </c>
      <c r="C4060">
        <v>2001</v>
      </c>
    </row>
    <row r="4061" spans="1:11" x14ac:dyDescent="0.25">
      <c r="A4061">
        <v>112.415085575737</v>
      </c>
      <c r="B4061">
        <v>46.940372261647703</v>
      </c>
      <c r="C4061">
        <v>2001</v>
      </c>
    </row>
    <row r="4062" spans="1:11" x14ac:dyDescent="0.25">
      <c r="A4062">
        <v>112.415085575737</v>
      </c>
      <c r="B4062">
        <v>46.066340212750099</v>
      </c>
      <c r="C4062">
        <v>2000</v>
      </c>
    </row>
    <row r="4063" spans="1:11" x14ac:dyDescent="0.25">
      <c r="A4063" t="s">
        <v>86</v>
      </c>
    </row>
    <row r="4064" spans="1:11" x14ac:dyDescent="0.25">
      <c r="A4064">
        <v>65</v>
      </c>
      <c r="B4064">
        <v>1</v>
      </c>
      <c r="C4064">
        <v>0.36775268905252301</v>
      </c>
      <c r="D4064">
        <v>2.1070074578618798</v>
      </c>
      <c r="E4064">
        <v>6</v>
      </c>
      <c r="F4064">
        <v>1.01722196789785</v>
      </c>
      <c r="G4064" t="s">
        <v>87</v>
      </c>
      <c r="H4064" t="s">
        <v>87</v>
      </c>
      <c r="I4064">
        <v>27</v>
      </c>
      <c r="J4064">
        <v>755</v>
      </c>
      <c r="K4064">
        <v>0</v>
      </c>
    </row>
    <row r="4065" spans="1:11" x14ac:dyDescent="0.25">
      <c r="A4065" t="s">
        <v>85</v>
      </c>
    </row>
    <row r="4066" spans="1:11" x14ac:dyDescent="0.25">
      <c r="A4066">
        <v>32.2945091208883</v>
      </c>
      <c r="B4066">
        <v>30.9083413201799</v>
      </c>
      <c r="C4066">
        <v>2000</v>
      </c>
    </row>
    <row r="4067" spans="1:11" x14ac:dyDescent="0.25">
      <c r="A4067">
        <v>32.034468700659701</v>
      </c>
      <c r="B4067">
        <v>31.168381740408599</v>
      </c>
      <c r="C4067">
        <v>2000</v>
      </c>
    </row>
    <row r="4068" spans="1:11" x14ac:dyDescent="0.25">
      <c r="A4068">
        <v>32.034468700659701</v>
      </c>
      <c r="B4068">
        <v>30.294349691510899</v>
      </c>
      <c r="C4068">
        <v>2001</v>
      </c>
    </row>
    <row r="4069" spans="1:11" x14ac:dyDescent="0.25">
      <c r="A4069">
        <v>32.2945091208883</v>
      </c>
      <c r="B4069">
        <v>30.0343092712823</v>
      </c>
      <c r="C4069">
        <v>2001</v>
      </c>
    </row>
    <row r="4070" spans="1:11" x14ac:dyDescent="0.25">
      <c r="A4070">
        <v>33.7843883823531</v>
      </c>
      <c r="B4070">
        <v>28.5444300098175</v>
      </c>
      <c r="C4070">
        <v>2001</v>
      </c>
    </row>
    <row r="4071" spans="1:11" x14ac:dyDescent="0.25">
      <c r="A4071">
        <v>33.7843883823531</v>
      </c>
      <c r="B4071">
        <v>29.4184620587152</v>
      </c>
      <c r="C4071">
        <v>2000</v>
      </c>
    </row>
    <row r="4072" spans="1:11" x14ac:dyDescent="0.25">
      <c r="A4072" t="s">
        <v>86</v>
      </c>
    </row>
    <row r="4073" spans="1:11" x14ac:dyDescent="0.25">
      <c r="A4073">
        <v>320</v>
      </c>
      <c r="B4073">
        <v>1</v>
      </c>
      <c r="C4073">
        <v>2.03953320156949</v>
      </c>
      <c r="D4073">
        <v>0.42416366102351299</v>
      </c>
      <c r="E4073">
        <v>6</v>
      </c>
      <c r="F4073">
        <v>1.01722196789785</v>
      </c>
      <c r="G4073" t="s">
        <v>83</v>
      </c>
      <c r="H4073" t="s">
        <v>87</v>
      </c>
      <c r="I4073">
        <v>0</v>
      </c>
      <c r="J4073">
        <v>434</v>
      </c>
      <c r="K4073">
        <v>0</v>
      </c>
    </row>
    <row r="4074" spans="1:11" x14ac:dyDescent="0.25">
      <c r="A4074" t="s">
        <v>85</v>
      </c>
    </row>
    <row r="4075" spans="1:11" x14ac:dyDescent="0.25">
      <c r="A4075">
        <v>110.466239674414</v>
      </c>
      <c r="B4075">
        <v>148.919609174372</v>
      </c>
      <c r="C4075">
        <v>2000</v>
      </c>
    </row>
    <row r="4076" spans="1:11" x14ac:dyDescent="0.25">
      <c r="A4076">
        <v>109.385848848786</v>
      </c>
      <c r="B4076">
        <v>150</v>
      </c>
      <c r="C4076">
        <v>2000</v>
      </c>
    </row>
    <row r="4077" spans="1:11" x14ac:dyDescent="0.25">
      <c r="A4077">
        <v>108.511816799888</v>
      </c>
      <c r="B4077">
        <v>150</v>
      </c>
      <c r="C4077">
        <v>2001</v>
      </c>
    </row>
    <row r="4078" spans="1:11" x14ac:dyDescent="0.25">
      <c r="A4078">
        <v>110.31576148883001</v>
      </c>
      <c r="B4078">
        <v>148.19605531105799</v>
      </c>
      <c r="C4078">
        <v>2001</v>
      </c>
    </row>
    <row r="4079" spans="1:11" x14ac:dyDescent="0.25">
      <c r="A4079">
        <v>110.690929582664</v>
      </c>
      <c r="B4079">
        <v>147.820887217224</v>
      </c>
      <c r="C4079">
        <v>2001</v>
      </c>
    </row>
    <row r="4080" spans="1:11" x14ac:dyDescent="0.25">
      <c r="A4080">
        <v>110.690929582664</v>
      </c>
      <c r="B4080">
        <v>148.69491926612099</v>
      </c>
      <c r="C4080">
        <v>2000</v>
      </c>
    </row>
    <row r="4081" spans="1:11" x14ac:dyDescent="0.25">
      <c r="A4081" t="s">
        <v>86</v>
      </c>
    </row>
    <row r="4082" spans="1:11" x14ac:dyDescent="0.25">
      <c r="A4082">
        <v>1103</v>
      </c>
      <c r="B4082">
        <v>1</v>
      </c>
      <c r="C4082">
        <v>2.1241457988086401</v>
      </c>
      <c r="D4082">
        <v>0.33474466022694599</v>
      </c>
      <c r="E4082">
        <v>6</v>
      </c>
      <c r="F4082">
        <v>1.01722196789785</v>
      </c>
      <c r="G4082" t="s">
        <v>87</v>
      </c>
      <c r="H4082" t="s">
        <v>87</v>
      </c>
      <c r="I4082">
        <v>678</v>
      </c>
      <c r="J4082">
        <v>804</v>
      </c>
      <c r="K4082">
        <v>0.123707222271514</v>
      </c>
    </row>
    <row r="4083" spans="1:11" x14ac:dyDescent="0.25">
      <c r="A4083" t="s">
        <v>85</v>
      </c>
    </row>
    <row r="4084" spans="1:11" x14ac:dyDescent="0.25">
      <c r="A4084">
        <v>117.039679964779</v>
      </c>
      <c r="B4084">
        <v>39.870752952720203</v>
      </c>
      <c r="C4084">
        <v>2000</v>
      </c>
    </row>
    <row r="4085" spans="1:11" x14ac:dyDescent="0.25">
      <c r="A4085">
        <v>115.160159859424</v>
      </c>
      <c r="B4085">
        <v>41.750273058074697</v>
      </c>
      <c r="C4085">
        <v>2000</v>
      </c>
    </row>
    <row r="4086" spans="1:11" x14ac:dyDescent="0.25">
      <c r="A4086">
        <v>116.034191908322</v>
      </c>
      <c r="B4086">
        <v>41.750273058074697</v>
      </c>
      <c r="C4086">
        <v>2001</v>
      </c>
    </row>
    <row r="4087" spans="1:11" x14ac:dyDescent="0.25">
      <c r="A4087">
        <v>117.1586676001</v>
      </c>
      <c r="B4087">
        <v>40.625797366296098</v>
      </c>
      <c r="C4087">
        <v>2001</v>
      </c>
    </row>
    <row r="4088" spans="1:11" x14ac:dyDescent="0.25">
      <c r="A4088">
        <v>117.335874001652</v>
      </c>
      <c r="B4088">
        <v>40.448590964744497</v>
      </c>
      <c r="C4088">
        <v>2001</v>
      </c>
    </row>
    <row r="4089" spans="1:11" x14ac:dyDescent="0.25">
      <c r="A4089">
        <v>117.335874001652</v>
      </c>
      <c r="B4089">
        <v>39.5745589158469</v>
      </c>
      <c r="C4089">
        <v>2000</v>
      </c>
    </row>
    <row r="4090" spans="1:11" x14ac:dyDescent="0.25">
      <c r="A4090" t="s">
        <v>86</v>
      </c>
    </row>
    <row r="4091" spans="1:11" x14ac:dyDescent="0.25">
      <c r="A4091">
        <v>987</v>
      </c>
      <c r="B4091">
        <v>1</v>
      </c>
      <c r="C4091">
        <v>1.6817775638886501</v>
      </c>
      <c r="D4091">
        <v>0.74771271887357205</v>
      </c>
      <c r="E4091">
        <v>6</v>
      </c>
      <c r="F4091">
        <v>1.01722196789785</v>
      </c>
      <c r="G4091" t="s">
        <v>87</v>
      </c>
      <c r="H4091" t="s">
        <v>87</v>
      </c>
      <c r="I4091">
        <v>27</v>
      </c>
      <c r="J4091">
        <v>789</v>
      </c>
      <c r="K4091">
        <v>0.12024993113152201</v>
      </c>
    </row>
    <row r="4092" spans="1:11" x14ac:dyDescent="0.25">
      <c r="A4092" t="s">
        <v>85</v>
      </c>
    </row>
    <row r="4093" spans="1:11" x14ac:dyDescent="0.25">
      <c r="A4093">
        <v>4.9278605114336296</v>
      </c>
      <c r="B4093">
        <v>1.07834556703305</v>
      </c>
      <c r="C4093">
        <v>2000</v>
      </c>
    </row>
    <row r="4094" spans="1:11" x14ac:dyDescent="0.25">
      <c r="A4094">
        <v>3.43614651935889</v>
      </c>
      <c r="B4094">
        <v>2.5700595591078002</v>
      </c>
      <c r="C4094">
        <v>2000</v>
      </c>
    </row>
    <row r="4095" spans="1:11" x14ac:dyDescent="0.25">
      <c r="A4095">
        <v>4.3101785682565303</v>
      </c>
      <c r="B4095">
        <v>2.5700595591077899</v>
      </c>
      <c r="C4095">
        <v>2001</v>
      </c>
    </row>
    <row r="4096" spans="1:11" x14ac:dyDescent="0.25">
      <c r="A4096">
        <v>5.1968572159279001</v>
      </c>
      <c r="B4096">
        <v>1.68338091143642</v>
      </c>
      <c r="C4096">
        <v>2001</v>
      </c>
    </row>
    <row r="4097" spans="1:11" x14ac:dyDescent="0.25">
      <c r="A4097">
        <v>5.5910715975757004</v>
      </c>
      <c r="B4097">
        <v>1.2891665297886299</v>
      </c>
      <c r="C4097">
        <v>2001</v>
      </c>
    </row>
    <row r="4098" spans="1:11" x14ac:dyDescent="0.25">
      <c r="A4098">
        <v>5.5910715975757004</v>
      </c>
      <c r="B4098">
        <v>0.41513448089097998</v>
      </c>
      <c r="C4098">
        <v>2000</v>
      </c>
    </row>
    <row r="4099" spans="1:11" x14ac:dyDescent="0.25">
      <c r="A4099" t="s">
        <v>86</v>
      </c>
    </row>
    <row r="4100" spans="1:11" x14ac:dyDescent="0.25">
      <c r="A4100">
        <v>1087</v>
      </c>
      <c r="B4100">
        <v>1</v>
      </c>
      <c r="C4100">
        <v>0.51946270695279395</v>
      </c>
      <c r="D4100">
        <v>1.88364967431157</v>
      </c>
      <c r="E4100">
        <v>6</v>
      </c>
      <c r="F4100">
        <v>1.01722196789785</v>
      </c>
      <c r="G4100" t="s">
        <v>87</v>
      </c>
      <c r="H4100" t="s">
        <v>87</v>
      </c>
      <c r="I4100">
        <v>760</v>
      </c>
      <c r="J4100">
        <v>677</v>
      </c>
      <c r="K4100">
        <v>0.122728925384179</v>
      </c>
    </row>
    <row r="4101" spans="1:11" x14ac:dyDescent="0.25">
      <c r="A4101" t="s">
        <v>85</v>
      </c>
    </row>
    <row r="4102" spans="1:11" x14ac:dyDescent="0.25">
      <c r="A4102">
        <v>53.160607704045098</v>
      </c>
      <c r="B4102">
        <v>7.3433940216635696</v>
      </c>
      <c r="C4102">
        <v>2000</v>
      </c>
    </row>
    <row r="4103" spans="1:11" x14ac:dyDescent="0.25">
      <c r="A4103">
        <v>52.793292101385298</v>
      </c>
      <c r="B4103">
        <v>7.7107096243234103</v>
      </c>
      <c r="C4103">
        <v>2000</v>
      </c>
    </row>
    <row r="4104" spans="1:11" x14ac:dyDescent="0.25">
      <c r="A4104">
        <v>53.667324150282901</v>
      </c>
      <c r="B4104">
        <v>7.7107096243234103</v>
      </c>
      <c r="C4104">
        <v>2001</v>
      </c>
    </row>
    <row r="4105" spans="1:11" x14ac:dyDescent="0.25">
      <c r="A4105">
        <v>54.034639752942802</v>
      </c>
      <c r="B4105">
        <v>7.3433940216635696</v>
      </c>
      <c r="C4105">
        <v>2001</v>
      </c>
    </row>
    <row r="4106" spans="1:11" x14ac:dyDescent="0.25">
      <c r="A4106">
        <v>55.366581211028297</v>
      </c>
      <c r="B4106">
        <v>6.01145256357802</v>
      </c>
      <c r="C4106">
        <v>2001</v>
      </c>
    </row>
    <row r="4107" spans="1:11" x14ac:dyDescent="0.25">
      <c r="A4107">
        <v>54.4925491621307</v>
      </c>
      <c r="B4107">
        <v>6.0114525635780298</v>
      </c>
      <c r="C4107">
        <v>2000</v>
      </c>
    </row>
    <row r="4108" spans="1:11" x14ac:dyDescent="0.25">
      <c r="A4108" t="s">
        <v>86</v>
      </c>
    </row>
    <row r="4109" spans="1:11" x14ac:dyDescent="0.25">
      <c r="A4109">
        <v>712</v>
      </c>
      <c r="B4109">
        <v>1</v>
      </c>
      <c r="C4109">
        <v>1.8971634686027701</v>
      </c>
      <c r="D4109">
        <v>0.50594891266159403</v>
      </c>
      <c r="E4109">
        <v>6</v>
      </c>
      <c r="F4109">
        <v>1.01722196789785</v>
      </c>
      <c r="G4109" t="s">
        <v>87</v>
      </c>
      <c r="H4109" t="s">
        <v>87</v>
      </c>
      <c r="I4109">
        <v>760</v>
      </c>
      <c r="J4109">
        <v>677</v>
      </c>
      <c r="K4109">
        <v>0</v>
      </c>
    </row>
    <row r="4110" spans="1:11" x14ac:dyDescent="0.25">
      <c r="A4110" t="s">
        <v>85</v>
      </c>
    </row>
    <row r="4111" spans="1:11" x14ac:dyDescent="0.25">
      <c r="A4111">
        <v>53.099235719116002</v>
      </c>
      <c r="B4111">
        <v>5.3336589347173202</v>
      </c>
      <c r="C4111">
        <v>2000</v>
      </c>
    </row>
    <row r="4112" spans="1:11" x14ac:dyDescent="0.25">
      <c r="A4112">
        <v>51.757738565447603</v>
      </c>
      <c r="B4112">
        <v>6.6751560883857302</v>
      </c>
      <c r="C4112">
        <v>2000</v>
      </c>
    </row>
    <row r="4113" spans="1:11" x14ac:dyDescent="0.25">
      <c r="A4113">
        <v>51.757738565447603</v>
      </c>
      <c r="B4113">
        <v>5.8011240394880899</v>
      </c>
      <c r="C4113">
        <v>2001</v>
      </c>
    </row>
    <row r="4114" spans="1:11" x14ac:dyDescent="0.25">
      <c r="A4114">
        <v>53.099235719116002</v>
      </c>
      <c r="B4114">
        <v>4.4596268858196702</v>
      </c>
      <c r="C4114">
        <v>2001</v>
      </c>
    </row>
    <row r="4115" spans="1:11" x14ac:dyDescent="0.25">
      <c r="A4115">
        <v>53.456995626192999</v>
      </c>
      <c r="B4115">
        <v>4.1018669787426996</v>
      </c>
      <c r="C4115">
        <v>2001</v>
      </c>
    </row>
    <row r="4116" spans="1:11" x14ac:dyDescent="0.25">
      <c r="A4116">
        <v>53.456995626192999</v>
      </c>
      <c r="B4116">
        <v>4.9758990276403496</v>
      </c>
      <c r="C4116">
        <v>2000</v>
      </c>
    </row>
    <row r="4117" spans="1:11" x14ac:dyDescent="0.25">
      <c r="A4117" t="s">
        <v>86</v>
      </c>
    </row>
    <row r="4118" spans="1:11" x14ac:dyDescent="0.25">
      <c r="A4118">
        <v>541</v>
      </c>
      <c r="B4118">
        <v>1</v>
      </c>
      <c r="C4118">
        <v>0.13143102880256699</v>
      </c>
      <c r="D4118">
        <v>2.23811738036227</v>
      </c>
      <c r="E4118">
        <v>6</v>
      </c>
      <c r="F4118">
        <v>1.01722196789785</v>
      </c>
      <c r="G4118" t="s">
        <v>87</v>
      </c>
      <c r="H4118" t="s">
        <v>87</v>
      </c>
      <c r="I4118">
        <v>834</v>
      </c>
      <c r="J4118">
        <v>516</v>
      </c>
      <c r="K4118">
        <v>0</v>
      </c>
    </row>
    <row r="4119" spans="1:11" x14ac:dyDescent="0.25">
      <c r="A4119" t="s">
        <v>85</v>
      </c>
    </row>
    <row r="4120" spans="1:11" x14ac:dyDescent="0.25">
      <c r="A4120">
        <v>138.48692912770801</v>
      </c>
      <c r="B4120">
        <v>37.420290823299197</v>
      </c>
      <c r="C4120">
        <v>2000</v>
      </c>
    </row>
    <row r="4121" spans="1:11" x14ac:dyDescent="0.25">
      <c r="A4121">
        <v>138.39399335598301</v>
      </c>
      <c r="B4121">
        <v>37.513226595023902</v>
      </c>
      <c r="C4121">
        <v>2000</v>
      </c>
    </row>
    <row r="4122" spans="1:11" x14ac:dyDescent="0.25">
      <c r="A4122">
        <v>138.39399335598301</v>
      </c>
      <c r="B4122">
        <v>38.387258643921498</v>
      </c>
      <c r="C4122">
        <v>2001</v>
      </c>
    </row>
    <row r="4123" spans="1:11" x14ac:dyDescent="0.25">
      <c r="A4123">
        <v>138.48692912770801</v>
      </c>
      <c r="B4123">
        <v>38.294322872196901</v>
      </c>
      <c r="C4123">
        <v>2001</v>
      </c>
    </row>
    <row r="4124" spans="1:11" x14ac:dyDescent="0.25">
      <c r="A4124">
        <v>140.06951710445301</v>
      </c>
      <c r="B4124">
        <v>36.711734895451201</v>
      </c>
      <c r="C4124">
        <v>2001</v>
      </c>
    </row>
    <row r="4125" spans="1:11" x14ac:dyDescent="0.25">
      <c r="A4125">
        <v>140.06951710445301</v>
      </c>
      <c r="B4125">
        <v>35.837702846553597</v>
      </c>
      <c r="C4125">
        <v>2000</v>
      </c>
    </row>
    <row r="4126" spans="1:11" x14ac:dyDescent="0.25">
      <c r="A4126" t="s">
        <v>86</v>
      </c>
    </row>
    <row r="4127" spans="1:11" x14ac:dyDescent="0.25">
      <c r="A4127">
        <v>559</v>
      </c>
      <c r="B4127">
        <v>1</v>
      </c>
      <c r="C4127">
        <v>1.9477236183533799</v>
      </c>
      <c r="D4127">
        <v>0.42182479081145602</v>
      </c>
      <c r="E4127">
        <v>6</v>
      </c>
      <c r="F4127">
        <v>1.01722196789785</v>
      </c>
      <c r="G4127" t="s">
        <v>87</v>
      </c>
      <c r="H4127" t="s">
        <v>87</v>
      </c>
      <c r="I4127">
        <v>834</v>
      </c>
      <c r="J4127">
        <v>516</v>
      </c>
      <c r="K4127">
        <v>0</v>
      </c>
    </row>
    <row r="4128" spans="1:11" x14ac:dyDescent="0.25">
      <c r="A4128" t="s">
        <v>85</v>
      </c>
    </row>
    <row r="4129" spans="1:11" x14ac:dyDescent="0.25">
      <c r="A4129">
        <v>117.822845051439</v>
      </c>
      <c r="B4129">
        <v>14.1875811336505</v>
      </c>
      <c r="C4129">
        <v>2000</v>
      </c>
    </row>
    <row r="4130" spans="1:11" x14ac:dyDescent="0.25">
      <c r="A4130">
        <v>116.445596473024</v>
      </c>
      <c r="B4130">
        <v>15.564829712065301</v>
      </c>
      <c r="C4130">
        <v>2000</v>
      </c>
    </row>
    <row r="4131" spans="1:11" x14ac:dyDescent="0.25">
      <c r="A4131">
        <v>115.571564424127</v>
      </c>
      <c r="B4131">
        <v>15.564829712065301</v>
      </c>
      <c r="C4131">
        <v>2001</v>
      </c>
    </row>
    <row r="4132" spans="1:11" x14ac:dyDescent="0.25">
      <c r="A4132">
        <v>116.948813002542</v>
      </c>
      <c r="B4132">
        <v>14.1875811336505</v>
      </c>
      <c r="C4132">
        <v>2001</v>
      </c>
    </row>
    <row r="4133" spans="1:11" x14ac:dyDescent="0.25">
      <c r="A4133">
        <v>117.247088172597</v>
      </c>
      <c r="B4133">
        <v>13.889305963595101</v>
      </c>
      <c r="C4133">
        <v>2001</v>
      </c>
    </row>
    <row r="4134" spans="1:11" x14ac:dyDescent="0.25">
      <c r="A4134">
        <v>118.121120221495</v>
      </c>
      <c r="B4134">
        <v>13.889305963595101</v>
      </c>
      <c r="C4134">
        <v>2000</v>
      </c>
    </row>
    <row r="4135" spans="1:11" x14ac:dyDescent="0.25">
      <c r="A4135" t="s">
        <v>86</v>
      </c>
    </row>
    <row r="4136" spans="1:11" x14ac:dyDescent="0.25">
      <c r="A4136">
        <v>1031</v>
      </c>
      <c r="B4136">
        <v>1</v>
      </c>
      <c r="C4136">
        <v>1.33905901626478</v>
      </c>
      <c r="D4136">
        <v>1.03048939290005</v>
      </c>
      <c r="E4136">
        <v>6</v>
      </c>
      <c r="F4136">
        <v>1.01722196789785</v>
      </c>
      <c r="G4136" t="s">
        <v>87</v>
      </c>
      <c r="H4136" t="s">
        <v>87</v>
      </c>
      <c r="I4136">
        <v>834</v>
      </c>
      <c r="J4136">
        <v>516</v>
      </c>
      <c r="K4136">
        <v>0.12140552605247699</v>
      </c>
    </row>
    <row r="4137" spans="1:11" x14ac:dyDescent="0.25">
      <c r="A4137" t="s">
        <v>85</v>
      </c>
    </row>
    <row r="4138" spans="1:11" x14ac:dyDescent="0.25">
      <c r="A4138">
        <v>131.65379798628101</v>
      </c>
      <c r="B4138">
        <v>28.8793158037026</v>
      </c>
      <c r="C4138">
        <v>2000</v>
      </c>
    </row>
    <row r="4139" spans="1:11" x14ac:dyDescent="0.25">
      <c r="A4139">
        <v>130.70694027547199</v>
      </c>
      <c r="B4139">
        <v>29.826173514512401</v>
      </c>
      <c r="C4139">
        <v>2000</v>
      </c>
    </row>
    <row r="4140" spans="1:11" x14ac:dyDescent="0.25">
      <c r="A4140">
        <v>129.83290822657401</v>
      </c>
      <c r="B4140">
        <v>29.826173514512401</v>
      </c>
      <c r="C4140">
        <v>2001</v>
      </c>
    </row>
    <row r="4141" spans="1:11" x14ac:dyDescent="0.25">
      <c r="A4141">
        <v>130.77976593738401</v>
      </c>
      <c r="B4141">
        <v>28.8793158037026</v>
      </c>
      <c r="C4141">
        <v>2001</v>
      </c>
    </row>
    <row r="4142" spans="1:11" x14ac:dyDescent="0.25">
      <c r="A4142">
        <v>131.508431975044</v>
      </c>
      <c r="B4142">
        <v>28.1506497660422</v>
      </c>
      <c r="C4142">
        <v>2001</v>
      </c>
    </row>
    <row r="4143" spans="1:11" x14ac:dyDescent="0.25">
      <c r="A4143">
        <v>132.38246402394199</v>
      </c>
      <c r="B4143">
        <v>28.1506497660422</v>
      </c>
      <c r="C4143">
        <v>2000</v>
      </c>
    </row>
    <row r="4144" spans="1:11" x14ac:dyDescent="0.25">
      <c r="A4144" t="s">
        <v>86</v>
      </c>
    </row>
    <row r="4145" spans="1:11" x14ac:dyDescent="0.25">
      <c r="A4145">
        <v>1049</v>
      </c>
      <c r="B4145">
        <v>1</v>
      </c>
      <c r="C4145">
        <v>0.51436231266329502</v>
      </c>
      <c r="D4145">
        <v>1.8551860965015401</v>
      </c>
      <c r="E4145">
        <v>6</v>
      </c>
      <c r="F4145">
        <v>1.01722196789785</v>
      </c>
      <c r="G4145" t="s">
        <v>87</v>
      </c>
      <c r="H4145" t="s">
        <v>87</v>
      </c>
      <c r="I4145">
        <v>834</v>
      </c>
      <c r="J4145">
        <v>516</v>
      </c>
      <c r="K4145">
        <v>0.12221412765037699</v>
      </c>
    </row>
    <row r="4146" spans="1:11" x14ac:dyDescent="0.25">
      <c r="A4146" t="s">
        <v>85</v>
      </c>
    </row>
    <row r="4147" spans="1:11" x14ac:dyDescent="0.25">
      <c r="A4147">
        <v>134.10979734039401</v>
      </c>
      <c r="B4147">
        <v>32.501612420893103</v>
      </c>
      <c r="C4147">
        <v>2000</v>
      </c>
    </row>
    <row r="4148" spans="1:11" x14ac:dyDescent="0.25">
      <c r="A4148">
        <v>133.74608826112299</v>
      </c>
      <c r="B4148">
        <v>32.8653215001641</v>
      </c>
      <c r="C4148">
        <v>2000</v>
      </c>
    </row>
    <row r="4149" spans="1:11" x14ac:dyDescent="0.25">
      <c r="A4149">
        <v>132.872056212226</v>
      </c>
      <c r="B4149">
        <v>32.8653215001642</v>
      </c>
      <c r="C4149">
        <v>2001</v>
      </c>
    </row>
    <row r="4150" spans="1:11" x14ac:dyDescent="0.25">
      <c r="A4150">
        <v>133.23576529149699</v>
      </c>
      <c r="B4150">
        <v>32.501612420893103</v>
      </c>
      <c r="C4150">
        <v>2001</v>
      </c>
    </row>
    <row r="4151" spans="1:11" x14ac:dyDescent="0.25">
      <c r="A4151">
        <v>134.547579960696</v>
      </c>
      <c r="B4151">
        <v>31.189797751693899</v>
      </c>
      <c r="C4151">
        <v>2001</v>
      </c>
    </row>
    <row r="4152" spans="1:11" x14ac:dyDescent="0.25">
      <c r="A4152">
        <v>135.42161200959401</v>
      </c>
      <c r="B4152">
        <v>31.189797751693899</v>
      </c>
      <c r="C4152">
        <v>2000</v>
      </c>
    </row>
    <row r="4153" spans="1:11" x14ac:dyDescent="0.25">
      <c r="A4153" t="s">
        <v>86</v>
      </c>
    </row>
    <row r="4154" spans="1:11" x14ac:dyDescent="0.25">
      <c r="A4154">
        <v>882</v>
      </c>
      <c r="B4154">
        <v>1</v>
      </c>
      <c r="C4154">
        <v>0.52078496554375397</v>
      </c>
      <c r="D4154">
        <v>1.8335904793684299</v>
      </c>
      <c r="E4154">
        <v>6</v>
      </c>
      <c r="F4154">
        <v>1.01722196789785</v>
      </c>
      <c r="G4154" t="s">
        <v>87</v>
      </c>
      <c r="H4154" t="s">
        <v>87</v>
      </c>
      <c r="I4154">
        <v>773</v>
      </c>
      <c r="J4154">
        <v>503</v>
      </c>
      <c r="K4154">
        <v>0.114536792619501</v>
      </c>
    </row>
    <row r="4155" spans="1:11" x14ac:dyDescent="0.25">
      <c r="A4155" t="s">
        <v>85</v>
      </c>
    </row>
    <row r="4156" spans="1:11" x14ac:dyDescent="0.25">
      <c r="A4156">
        <v>131.61229984439399</v>
      </c>
      <c r="B4156">
        <v>13.8391715101545</v>
      </c>
      <c r="C4156">
        <v>2000</v>
      </c>
    </row>
    <row r="4157" spans="1:11" x14ac:dyDescent="0.25">
      <c r="A4157">
        <v>131.34071667321101</v>
      </c>
      <c r="B4157">
        <v>14.110754681336999</v>
      </c>
      <c r="C4157">
        <v>2000</v>
      </c>
    </row>
    <row r="4158" spans="1:11" x14ac:dyDescent="0.25">
      <c r="A4158">
        <v>130.46668462431299</v>
      </c>
      <c r="B4158">
        <v>14.110754681336999</v>
      </c>
      <c r="C4158">
        <v>2001</v>
      </c>
    </row>
    <row r="4159" spans="1:11" x14ac:dyDescent="0.25">
      <c r="A4159">
        <v>130.93160261448301</v>
      </c>
      <c r="B4159">
        <v>13.645836691167601</v>
      </c>
      <c r="C4159">
        <v>2001</v>
      </c>
    </row>
    <row r="4160" spans="1:11" x14ac:dyDescent="0.25">
      <c r="A4160">
        <v>132.568495491319</v>
      </c>
      <c r="B4160">
        <v>12.008943814331699</v>
      </c>
      <c r="C4160">
        <v>2001</v>
      </c>
    </row>
    <row r="4161" spans="1:11" x14ac:dyDescent="0.25">
      <c r="A4161">
        <v>132.568495491319</v>
      </c>
      <c r="B4161">
        <v>12.882975863229399</v>
      </c>
      <c r="C4161">
        <v>2000</v>
      </c>
    </row>
    <row r="4162" spans="1:11" x14ac:dyDescent="0.25">
      <c r="A4162" t="s">
        <v>86</v>
      </c>
    </row>
    <row r="4163" spans="1:11" x14ac:dyDescent="0.25">
      <c r="A4163">
        <v>1122</v>
      </c>
      <c r="B4163">
        <v>1</v>
      </c>
      <c r="C4163">
        <v>1.19236503310246</v>
      </c>
      <c r="D4163">
        <v>1.16190728373971</v>
      </c>
      <c r="E4163">
        <v>6</v>
      </c>
      <c r="F4163">
        <v>1.01722196789785</v>
      </c>
      <c r="G4163" t="s">
        <v>87</v>
      </c>
      <c r="H4163" t="s">
        <v>87</v>
      </c>
      <c r="I4163">
        <v>731</v>
      </c>
      <c r="J4163">
        <v>506</v>
      </c>
      <c r="K4163">
        <v>0.124845976961483</v>
      </c>
    </row>
    <row r="4164" spans="1:11" x14ac:dyDescent="0.25">
      <c r="A4164" t="s">
        <v>85</v>
      </c>
    </row>
    <row r="4165" spans="1:11" x14ac:dyDescent="0.25">
      <c r="A4165">
        <v>126.507700030945</v>
      </c>
      <c r="B4165">
        <v>1.8046648706251101</v>
      </c>
      <c r="C4165">
        <v>2000</v>
      </c>
    </row>
    <row r="4166" spans="1:11" x14ac:dyDescent="0.25">
      <c r="A4166">
        <v>125.443235730968</v>
      </c>
      <c r="B4166">
        <v>2.86912917060272</v>
      </c>
      <c r="C4166">
        <v>2000</v>
      </c>
    </row>
    <row r="4167" spans="1:11" x14ac:dyDescent="0.25">
      <c r="A4167">
        <v>126.31726777986501</v>
      </c>
      <c r="B4167">
        <v>2.8691291706027102</v>
      </c>
      <c r="C4167">
        <v>2001</v>
      </c>
    </row>
    <row r="4168" spans="1:11" x14ac:dyDescent="0.25">
      <c r="A4168">
        <v>126.939062281001</v>
      </c>
      <c r="B4168">
        <v>2.2473346694673699</v>
      </c>
      <c r="C4168">
        <v>2001</v>
      </c>
    </row>
    <row r="4169" spans="1:11" x14ac:dyDescent="0.25">
      <c r="A4169">
        <v>127.54497367541499</v>
      </c>
      <c r="B4169">
        <v>1.64142327505267</v>
      </c>
      <c r="C4169">
        <v>2001</v>
      </c>
    </row>
    <row r="4170" spans="1:11" x14ac:dyDescent="0.25">
      <c r="A4170">
        <v>127.54497367541499</v>
      </c>
      <c r="B4170">
        <v>0.76739122615503597</v>
      </c>
      <c r="C4170">
        <v>2000</v>
      </c>
    </row>
    <row r="4171" spans="1:11" x14ac:dyDescent="0.25">
      <c r="A4171" t="s">
        <v>86</v>
      </c>
    </row>
    <row r="4172" spans="1:11" x14ac:dyDescent="0.25">
      <c r="A4172">
        <v>549</v>
      </c>
      <c r="B4172">
        <v>1</v>
      </c>
      <c r="C4172">
        <v>1.38348706297202</v>
      </c>
      <c r="D4172">
        <v>0.97078525387014702</v>
      </c>
      <c r="E4172">
        <v>6</v>
      </c>
      <c r="F4172">
        <v>1.01722196789785</v>
      </c>
      <c r="G4172" t="s">
        <v>87</v>
      </c>
      <c r="H4172" t="s">
        <v>87</v>
      </c>
      <c r="I4172">
        <v>731</v>
      </c>
      <c r="J4172">
        <v>506</v>
      </c>
      <c r="K4172">
        <v>0</v>
      </c>
    </row>
    <row r="4173" spans="1:11" x14ac:dyDescent="0.25">
      <c r="A4173" t="s">
        <v>85</v>
      </c>
    </row>
    <row r="4174" spans="1:11" x14ac:dyDescent="0.25">
      <c r="A4174">
        <v>125.481280327345</v>
      </c>
      <c r="B4174">
        <v>0.43700306064420802</v>
      </c>
      <c r="C4174">
        <v>2000</v>
      </c>
    </row>
    <row r="4175" spans="1:11" x14ac:dyDescent="0.25">
      <c r="A4175">
        <v>124.246194974177</v>
      </c>
      <c r="B4175">
        <v>1.67208841381226</v>
      </c>
      <c r="C4175">
        <v>2000</v>
      </c>
    </row>
    <row r="4176" spans="1:11" x14ac:dyDescent="0.25">
      <c r="A4176">
        <v>125.120227023075</v>
      </c>
      <c r="B4176">
        <v>1.67208841381225</v>
      </c>
      <c r="C4176">
        <v>2001</v>
      </c>
    </row>
    <row r="4177" spans="1:11" x14ac:dyDescent="0.25">
      <c r="A4177">
        <v>125.84168783773001</v>
      </c>
      <c r="B4177">
        <v>0.95062759915754902</v>
      </c>
      <c r="C4177">
        <v>2001</v>
      </c>
    </row>
    <row r="4178" spans="1:11" x14ac:dyDescent="0.25">
      <c r="A4178">
        <v>126.34793291862501</v>
      </c>
      <c r="B4178">
        <v>0.44438251826220698</v>
      </c>
      <c r="C4178">
        <v>2001</v>
      </c>
    </row>
    <row r="4179" spans="1:11" x14ac:dyDescent="0.25">
      <c r="A4179">
        <v>126.34793291862501</v>
      </c>
      <c r="B4179">
        <v>-0.42964953063542</v>
      </c>
      <c r="C4179">
        <v>2000</v>
      </c>
    </row>
    <row r="4180" spans="1:11" x14ac:dyDescent="0.25">
      <c r="A4180" t="s">
        <v>86</v>
      </c>
    </row>
    <row r="4181" spans="1:11" x14ac:dyDescent="0.25">
      <c r="A4181">
        <v>872</v>
      </c>
      <c r="B4181">
        <v>1</v>
      </c>
      <c r="C4181">
        <v>0.98900225779423701</v>
      </c>
      <c r="D4181">
        <v>1.35171426608066</v>
      </c>
      <c r="E4181">
        <v>6</v>
      </c>
      <c r="F4181">
        <v>1.01722196789785</v>
      </c>
      <c r="G4181" t="s">
        <v>87</v>
      </c>
      <c r="H4181" t="s">
        <v>87</v>
      </c>
      <c r="I4181">
        <v>788</v>
      </c>
      <c r="J4181">
        <v>780</v>
      </c>
      <c r="K4181">
        <v>0.115643722583405</v>
      </c>
    </row>
    <row r="4182" spans="1:11" x14ac:dyDescent="0.25">
      <c r="A4182" t="s">
        <v>85</v>
      </c>
    </row>
    <row r="4183" spans="1:11" x14ac:dyDescent="0.25">
      <c r="A4183">
        <v>97.449087585196494</v>
      </c>
      <c r="B4183">
        <v>74.161738671316201</v>
      </c>
      <c r="C4183">
        <v>2000</v>
      </c>
    </row>
    <row r="4184" spans="1:11" x14ac:dyDescent="0.25">
      <c r="A4184">
        <v>96.934405899110502</v>
      </c>
      <c r="B4184">
        <v>74.676420357402293</v>
      </c>
      <c r="C4184">
        <v>2000</v>
      </c>
    </row>
    <row r="4185" spans="1:11" x14ac:dyDescent="0.25">
      <c r="A4185">
        <v>96.934405899110502</v>
      </c>
      <c r="B4185">
        <v>75.550452406299897</v>
      </c>
      <c r="C4185">
        <v>2001</v>
      </c>
    </row>
    <row r="4186" spans="1:11" x14ac:dyDescent="0.25">
      <c r="A4186">
        <v>97.818384619214598</v>
      </c>
      <c r="B4186">
        <v>74.666473686195701</v>
      </c>
      <c r="C4186">
        <v>2001</v>
      </c>
    </row>
    <row r="4187" spans="1:11" x14ac:dyDescent="0.25">
      <c r="A4187">
        <v>99.026558450426606</v>
      </c>
      <c r="B4187">
        <v>73.458299854983693</v>
      </c>
      <c r="C4187">
        <v>2001</v>
      </c>
    </row>
    <row r="4188" spans="1:11" x14ac:dyDescent="0.25">
      <c r="A4188">
        <v>98.152526401529002</v>
      </c>
      <c r="B4188">
        <v>73.458299854983693</v>
      </c>
      <c r="C4188">
        <v>2000</v>
      </c>
    </row>
    <row r="4189" spans="1:11" x14ac:dyDescent="0.25">
      <c r="A4189" t="s">
        <v>86</v>
      </c>
    </row>
    <row r="4190" spans="1:11" x14ac:dyDescent="0.25">
      <c r="A4190">
        <v>1130</v>
      </c>
      <c r="B4190">
        <v>1</v>
      </c>
      <c r="C4190">
        <v>5.2982045961158502E-3</v>
      </c>
      <c r="D4190">
        <v>2.3261005071765601</v>
      </c>
      <c r="E4190">
        <v>6</v>
      </c>
      <c r="F4190">
        <v>1.01722196789785</v>
      </c>
      <c r="G4190" t="s">
        <v>87</v>
      </c>
      <c r="H4190" t="s">
        <v>87</v>
      </c>
      <c r="I4190">
        <v>431</v>
      </c>
      <c r="J4190">
        <v>191</v>
      </c>
      <c r="K4190">
        <v>0.124845976961483</v>
      </c>
    </row>
    <row r="4191" spans="1:11" x14ac:dyDescent="0.25">
      <c r="A4191" t="s">
        <v>85</v>
      </c>
    </row>
    <row r="4192" spans="1:11" x14ac:dyDescent="0.25">
      <c r="A4192">
        <v>25.697155251819702</v>
      </c>
      <c r="B4192">
        <v>110.00342111397499</v>
      </c>
      <c r="C4192">
        <v>2000</v>
      </c>
    </row>
    <row r="4193" spans="1:11" x14ac:dyDescent="0.25">
      <c r="A4193">
        <v>25.6944019932739</v>
      </c>
      <c r="B4193">
        <v>110.006174372521</v>
      </c>
      <c r="C4193">
        <v>2000</v>
      </c>
    </row>
    <row r="4194" spans="1:11" x14ac:dyDescent="0.25">
      <c r="A4194">
        <v>25.6944019932739</v>
      </c>
      <c r="B4194">
        <v>110.880206421419</v>
      </c>
      <c r="C4194">
        <v>2001</v>
      </c>
    </row>
    <row r="4195" spans="1:11" x14ac:dyDescent="0.25">
      <c r="A4195">
        <v>25.699141527524201</v>
      </c>
      <c r="B4195">
        <v>110.875466887168</v>
      </c>
      <c r="C4195">
        <v>2001</v>
      </c>
    </row>
    <row r="4196" spans="1:11" x14ac:dyDescent="0.25">
      <c r="A4196">
        <v>27.779965856466799</v>
      </c>
      <c r="B4196">
        <v>108.794642558226</v>
      </c>
      <c r="C4196">
        <v>2001</v>
      </c>
    </row>
    <row r="4197" spans="1:11" x14ac:dyDescent="0.25">
      <c r="A4197">
        <v>26.905933807569099</v>
      </c>
      <c r="B4197">
        <v>108.794642558226</v>
      </c>
      <c r="C4197">
        <v>2000</v>
      </c>
    </row>
    <row r="4198" spans="1:11" x14ac:dyDescent="0.25">
      <c r="A4198" t="s">
        <v>86</v>
      </c>
    </row>
    <row r="4199" spans="1:11" x14ac:dyDescent="0.25">
      <c r="A4199">
        <v>235</v>
      </c>
      <c r="B4199">
        <v>1</v>
      </c>
      <c r="C4199">
        <v>7.1140900405581006E-2</v>
      </c>
      <c r="D4199">
        <v>2.2602578113670901</v>
      </c>
      <c r="E4199">
        <v>6</v>
      </c>
      <c r="F4199">
        <v>1.01722196789785</v>
      </c>
      <c r="G4199" t="s">
        <v>87</v>
      </c>
      <c r="H4199" t="s">
        <v>87</v>
      </c>
      <c r="I4199">
        <v>431</v>
      </c>
      <c r="J4199">
        <v>191</v>
      </c>
      <c r="K4199">
        <v>0</v>
      </c>
    </row>
    <row r="4200" spans="1:11" x14ac:dyDescent="0.25">
      <c r="A4200" t="s">
        <v>85</v>
      </c>
    </row>
    <row r="4201" spans="1:11" x14ac:dyDescent="0.25">
      <c r="A4201">
        <v>24.1485082467218</v>
      </c>
      <c r="B4201">
        <v>108.38634263869599</v>
      </c>
      <c r="C4201">
        <v>2000</v>
      </c>
    </row>
    <row r="4202" spans="1:11" x14ac:dyDescent="0.25">
      <c r="A4202">
        <v>24.111539253085599</v>
      </c>
      <c r="B4202">
        <v>108.423311632333</v>
      </c>
      <c r="C4202">
        <v>2000</v>
      </c>
    </row>
    <row r="4203" spans="1:11" x14ac:dyDescent="0.25">
      <c r="A4203">
        <v>24.111539253085599</v>
      </c>
      <c r="B4203">
        <v>109.29734368123</v>
      </c>
      <c r="C4203">
        <v>2001</v>
      </c>
    </row>
    <row r="4204" spans="1:11" x14ac:dyDescent="0.25">
      <c r="A4204">
        <v>24.1751786856424</v>
      </c>
      <c r="B4204">
        <v>109.23370424867301</v>
      </c>
      <c r="C4204">
        <v>2001</v>
      </c>
    </row>
    <row r="4205" spans="1:11" x14ac:dyDescent="0.25">
      <c r="A4205">
        <v>26.197103116278502</v>
      </c>
      <c r="B4205">
        <v>107.211779818037</v>
      </c>
      <c r="C4205">
        <v>2001</v>
      </c>
    </row>
    <row r="4206" spans="1:11" x14ac:dyDescent="0.25">
      <c r="A4206">
        <v>25.323071067380901</v>
      </c>
      <c r="B4206">
        <v>107.211779818037</v>
      </c>
      <c r="C4206">
        <v>2000</v>
      </c>
    </row>
    <row r="4207" spans="1:11" x14ac:dyDescent="0.25">
      <c r="A4207" t="s">
        <v>86</v>
      </c>
    </row>
    <row r="4208" spans="1:11" x14ac:dyDescent="0.25">
      <c r="A4208">
        <v>146</v>
      </c>
      <c r="B4208">
        <v>1</v>
      </c>
      <c r="C4208">
        <v>1.4888266900651199</v>
      </c>
      <c r="D4208">
        <v>0.84257202170754697</v>
      </c>
      <c r="E4208">
        <v>6</v>
      </c>
      <c r="F4208">
        <v>1.01722196789785</v>
      </c>
      <c r="G4208" t="s">
        <v>87</v>
      </c>
      <c r="H4208" t="s">
        <v>87</v>
      </c>
      <c r="I4208">
        <v>431</v>
      </c>
      <c r="J4208">
        <v>191</v>
      </c>
      <c r="K4208">
        <v>0</v>
      </c>
    </row>
    <row r="4209" spans="1:11" x14ac:dyDescent="0.25">
      <c r="A4209" t="s">
        <v>85</v>
      </c>
    </row>
    <row r="4210" spans="1:11" x14ac:dyDescent="0.25">
      <c r="A4210">
        <v>8.2651093602673296</v>
      </c>
      <c r="B4210">
        <v>91.029518011570701</v>
      </c>
      <c r="C4210">
        <v>2000</v>
      </c>
    </row>
    <row r="4211" spans="1:11" x14ac:dyDescent="0.25">
      <c r="A4211">
        <v>7.4914274962955201</v>
      </c>
      <c r="B4211">
        <v>91.803199875542504</v>
      </c>
      <c r="C4211">
        <v>2000</v>
      </c>
    </row>
    <row r="4212" spans="1:11" x14ac:dyDescent="0.25">
      <c r="A4212">
        <v>6.6173954473978904</v>
      </c>
      <c r="B4212">
        <v>91.803199875542504</v>
      </c>
      <c r="C4212">
        <v>2001</v>
      </c>
    </row>
    <row r="4213" spans="1:11" x14ac:dyDescent="0.25">
      <c r="A4213">
        <v>7.94923248053923</v>
      </c>
      <c r="B4213">
        <v>90.471362842401206</v>
      </c>
      <c r="C4213">
        <v>2001</v>
      </c>
    </row>
    <row r="4214" spans="1:11" x14ac:dyDescent="0.25">
      <c r="A4214">
        <v>8.7029593105907495</v>
      </c>
      <c r="B4214">
        <v>89.717636012349701</v>
      </c>
      <c r="C4214">
        <v>2001</v>
      </c>
    </row>
    <row r="4215" spans="1:11" x14ac:dyDescent="0.25">
      <c r="A4215">
        <v>8.7029593105907406</v>
      </c>
      <c r="B4215">
        <v>90.591668061247304</v>
      </c>
      <c r="C4215">
        <v>2000</v>
      </c>
    </row>
    <row r="4216" spans="1:11" x14ac:dyDescent="0.25">
      <c r="A4216" t="s">
        <v>86</v>
      </c>
    </row>
    <row r="4217" spans="1:11" x14ac:dyDescent="0.25">
      <c r="A4217">
        <v>1082</v>
      </c>
      <c r="B4217">
        <v>1</v>
      </c>
      <c r="C4217">
        <v>5.26043377587442E-2</v>
      </c>
      <c r="D4217">
        <v>2.2725923170801301</v>
      </c>
      <c r="E4217">
        <v>6</v>
      </c>
      <c r="F4217">
        <v>1.01722196789785</v>
      </c>
      <c r="G4217" t="s">
        <v>87</v>
      </c>
      <c r="H4217" t="s">
        <v>87</v>
      </c>
      <c r="I4217">
        <v>25</v>
      </c>
      <c r="J4217">
        <v>358</v>
      </c>
      <c r="K4217">
        <v>0.12297972043158099</v>
      </c>
    </row>
    <row r="4218" spans="1:11" x14ac:dyDescent="0.25">
      <c r="A4218" t="s">
        <v>85</v>
      </c>
    </row>
    <row r="4219" spans="1:11" x14ac:dyDescent="0.25">
      <c r="A4219">
        <v>72.190308784459205</v>
      </c>
      <c r="B4219">
        <v>76.935507103991597</v>
      </c>
      <c r="C4219">
        <v>2000</v>
      </c>
    </row>
    <row r="4220" spans="1:11" x14ac:dyDescent="0.25">
      <c r="A4220">
        <v>72.143225021261401</v>
      </c>
      <c r="B4220">
        <v>76.982590867189401</v>
      </c>
      <c r="C4220">
        <v>2000</v>
      </c>
    </row>
    <row r="4221" spans="1:11" x14ac:dyDescent="0.25">
      <c r="A4221">
        <v>72.143225021261401</v>
      </c>
      <c r="B4221">
        <v>76.108558818291797</v>
      </c>
      <c r="C4221">
        <v>2001</v>
      </c>
    </row>
    <row r="4222" spans="1:11" x14ac:dyDescent="0.25">
      <c r="A4222">
        <v>72.170535025961598</v>
      </c>
      <c r="B4222">
        <v>76.0812488135915</v>
      </c>
      <c r="C4222">
        <v>2001</v>
      </c>
    </row>
    <row r="4223" spans="1:11" x14ac:dyDescent="0.25">
      <c r="A4223">
        <v>73.3503713190414</v>
      </c>
      <c r="B4223">
        <v>74.901412520511698</v>
      </c>
      <c r="C4223">
        <v>2001</v>
      </c>
    </row>
    <row r="4224" spans="1:11" x14ac:dyDescent="0.25">
      <c r="A4224">
        <v>74.224403367939004</v>
      </c>
      <c r="B4224">
        <v>74.901412520511698</v>
      </c>
      <c r="C4224">
        <v>2000</v>
      </c>
    </row>
    <row r="4225" spans="1:11" x14ac:dyDescent="0.25">
      <c r="A4225" t="s">
        <v>86</v>
      </c>
    </row>
    <row r="4226" spans="1:11" x14ac:dyDescent="0.25">
      <c r="A4226">
        <v>476</v>
      </c>
      <c r="B4226">
        <v>1</v>
      </c>
      <c r="C4226">
        <v>0.13079439736277701</v>
      </c>
      <c r="D4226">
        <v>2.1942689680676501</v>
      </c>
      <c r="E4226">
        <v>6</v>
      </c>
      <c r="F4226">
        <v>1.01722196789785</v>
      </c>
      <c r="G4226" t="s">
        <v>87</v>
      </c>
      <c r="H4226" t="s">
        <v>87</v>
      </c>
      <c r="I4226">
        <v>355</v>
      </c>
      <c r="J4226">
        <v>853</v>
      </c>
      <c r="K4226">
        <v>0</v>
      </c>
    </row>
    <row r="4227" spans="1:11" x14ac:dyDescent="0.25">
      <c r="A4227" t="s">
        <v>85</v>
      </c>
    </row>
    <row r="4228" spans="1:11" x14ac:dyDescent="0.25">
      <c r="A4228">
        <v>96.3543169225442</v>
      </c>
      <c r="B4228">
        <v>101.685165463335</v>
      </c>
      <c r="C4228">
        <v>2000</v>
      </c>
    </row>
    <row r="4229" spans="1:11" x14ac:dyDescent="0.25">
      <c r="A4229">
        <v>96.261831317227802</v>
      </c>
      <c r="B4229">
        <v>101.777651068651</v>
      </c>
      <c r="C4229">
        <v>2000</v>
      </c>
    </row>
    <row r="4230" spans="1:11" x14ac:dyDescent="0.25">
      <c r="A4230">
        <v>97.135863366125406</v>
      </c>
      <c r="B4230">
        <v>101.777651068651</v>
      </c>
      <c r="C4230">
        <v>2001</v>
      </c>
    </row>
    <row r="4231" spans="1:11" x14ac:dyDescent="0.25">
      <c r="A4231">
        <v>97.228348971441804</v>
      </c>
      <c r="B4231">
        <v>101.685165463335</v>
      </c>
      <c r="C4231">
        <v>2001</v>
      </c>
    </row>
    <row r="4232" spans="1:11" x14ac:dyDescent="0.25">
      <c r="A4232">
        <v>98.779931438509706</v>
      </c>
      <c r="B4232">
        <v>100.13358299626699</v>
      </c>
      <c r="C4232">
        <v>2001</v>
      </c>
    </row>
    <row r="4233" spans="1:11" x14ac:dyDescent="0.25">
      <c r="A4233">
        <v>97.905899389612102</v>
      </c>
      <c r="B4233">
        <v>100.13358299626699</v>
      </c>
      <c r="C4233">
        <v>2000</v>
      </c>
    </row>
    <row r="4234" spans="1:11" x14ac:dyDescent="0.25">
      <c r="A4234" t="s">
        <v>86</v>
      </c>
    </row>
    <row r="4235" spans="1:11" x14ac:dyDescent="0.25">
      <c r="A4235">
        <v>982</v>
      </c>
      <c r="B4235">
        <v>1</v>
      </c>
      <c r="C4235">
        <v>0.40829680488595699</v>
      </c>
      <c r="D4235">
        <v>1.9167665605444499</v>
      </c>
      <c r="E4235">
        <v>6</v>
      </c>
      <c r="F4235">
        <v>1.01722196789785</v>
      </c>
      <c r="G4235" t="s">
        <v>87</v>
      </c>
      <c r="H4235" t="s">
        <v>87</v>
      </c>
      <c r="I4235">
        <v>355</v>
      </c>
      <c r="J4235">
        <v>853</v>
      </c>
      <c r="K4235">
        <v>0.119945352050412</v>
      </c>
    </row>
    <row r="4236" spans="1:11" x14ac:dyDescent="0.25">
      <c r="A4236" t="s">
        <v>85</v>
      </c>
    </row>
    <row r="4237" spans="1:11" x14ac:dyDescent="0.25">
      <c r="A4237">
        <v>80.328411417709503</v>
      </c>
      <c r="B4237">
        <v>85.266812290189307</v>
      </c>
      <c r="C4237">
        <v>2000</v>
      </c>
    </row>
    <row r="4238" spans="1:11" x14ac:dyDescent="0.25">
      <c r="A4238">
        <v>80.039701978237801</v>
      </c>
      <c r="B4238">
        <v>85.555521729660896</v>
      </c>
      <c r="C4238">
        <v>2000</v>
      </c>
    </row>
    <row r="4239" spans="1:11" x14ac:dyDescent="0.25">
      <c r="A4239">
        <v>80.913734027135405</v>
      </c>
      <c r="B4239">
        <v>85.555521729660896</v>
      </c>
      <c r="C4239">
        <v>2001</v>
      </c>
    </row>
    <row r="4240" spans="1:11" x14ac:dyDescent="0.25">
      <c r="A4240">
        <v>81.202443466607093</v>
      </c>
      <c r="B4240">
        <v>85.266812290189307</v>
      </c>
      <c r="C4240">
        <v>2001</v>
      </c>
    </row>
    <row r="4241" spans="1:11" x14ac:dyDescent="0.25">
      <c r="A4241">
        <v>82.557802099519705</v>
      </c>
      <c r="B4241">
        <v>83.911453657276695</v>
      </c>
      <c r="C4241">
        <v>2001</v>
      </c>
    </row>
    <row r="4242" spans="1:11" x14ac:dyDescent="0.25">
      <c r="A4242">
        <v>81.683770050622101</v>
      </c>
      <c r="B4242">
        <v>83.911453657276695</v>
      </c>
      <c r="C4242">
        <v>2000</v>
      </c>
    </row>
    <row r="4243" spans="1:11" x14ac:dyDescent="0.25">
      <c r="A4243" t="s">
        <v>86</v>
      </c>
    </row>
    <row r="4244" spans="1:11" x14ac:dyDescent="0.25">
      <c r="A4244">
        <v>979</v>
      </c>
      <c r="B4244">
        <v>1</v>
      </c>
      <c r="C4244">
        <v>0.20464687124489001</v>
      </c>
      <c r="D4244">
        <v>2.11747701491832</v>
      </c>
      <c r="E4244">
        <v>6</v>
      </c>
      <c r="F4244">
        <v>1.01722196789785</v>
      </c>
      <c r="G4244" t="s">
        <v>87</v>
      </c>
      <c r="H4244" t="s">
        <v>87</v>
      </c>
      <c r="I4244">
        <v>856</v>
      </c>
      <c r="J4244">
        <v>849</v>
      </c>
      <c r="K4244">
        <v>0.118988924366406</v>
      </c>
    </row>
    <row r="4245" spans="1:11" x14ac:dyDescent="0.25">
      <c r="A4245" t="s">
        <v>85</v>
      </c>
    </row>
    <row r="4246" spans="1:11" x14ac:dyDescent="0.25">
      <c r="A4246">
        <v>104.358991947658</v>
      </c>
      <c r="B4246">
        <v>72.530281698121499</v>
      </c>
      <c r="C4246">
        <v>2000</v>
      </c>
    </row>
    <row r="4247" spans="1:11" x14ac:dyDescent="0.25">
      <c r="A4247">
        <v>104.214284757252</v>
      </c>
      <c r="B4247">
        <v>72.674988888527395</v>
      </c>
      <c r="C4247">
        <v>2000</v>
      </c>
    </row>
    <row r="4248" spans="1:11" x14ac:dyDescent="0.25">
      <c r="A4248">
        <v>104.214284757252</v>
      </c>
      <c r="B4248">
        <v>73.549020937424999</v>
      </c>
      <c r="C4248">
        <v>2001</v>
      </c>
    </row>
    <row r="4249" spans="1:11" x14ac:dyDescent="0.25">
      <c r="A4249">
        <v>104.358991947658</v>
      </c>
      <c r="B4249">
        <v>73.404313747019103</v>
      </c>
      <c r="C4249">
        <v>2001</v>
      </c>
    </row>
    <row r="4250" spans="1:11" x14ac:dyDescent="0.25">
      <c r="A4250">
        <v>105.856274303913</v>
      </c>
      <c r="B4250">
        <v>71.907031390763706</v>
      </c>
      <c r="C4250">
        <v>2001</v>
      </c>
    </row>
    <row r="4251" spans="1:11" x14ac:dyDescent="0.25">
      <c r="A4251">
        <v>105.856274303913</v>
      </c>
      <c r="B4251">
        <v>71.032999341866102</v>
      </c>
      <c r="C4251">
        <v>2000</v>
      </c>
    </row>
    <row r="4252" spans="1:11" x14ac:dyDescent="0.25">
      <c r="A4252" t="s">
        <v>86</v>
      </c>
    </row>
    <row r="4253" spans="1:11" x14ac:dyDescent="0.25">
      <c r="A4253">
        <v>960</v>
      </c>
      <c r="B4253">
        <v>1</v>
      </c>
      <c r="C4253">
        <v>0.10157690133599601</v>
      </c>
      <c r="D4253">
        <v>2.2205469848272199</v>
      </c>
      <c r="E4253">
        <v>6</v>
      </c>
      <c r="F4253">
        <v>1.01722196789785</v>
      </c>
      <c r="G4253" t="s">
        <v>87</v>
      </c>
      <c r="H4253" t="s">
        <v>87</v>
      </c>
      <c r="I4253">
        <v>856</v>
      </c>
      <c r="J4253">
        <v>849</v>
      </c>
      <c r="K4253">
        <v>0.11963401938905099</v>
      </c>
    </row>
    <row r="4254" spans="1:11" x14ac:dyDescent="0.25">
      <c r="A4254" t="s">
        <v>85</v>
      </c>
    </row>
    <row r="4255" spans="1:11" x14ac:dyDescent="0.25">
      <c r="A4255">
        <v>138.84783141772701</v>
      </c>
      <c r="B4255">
        <v>107.164884117509</v>
      </c>
      <c r="C4255">
        <v>2000</v>
      </c>
    </row>
    <row r="4256" spans="1:11" x14ac:dyDescent="0.25">
      <c r="A4256">
        <v>138.77600570198001</v>
      </c>
      <c r="B4256">
        <v>107.23670983325501</v>
      </c>
      <c r="C4256">
        <v>2000</v>
      </c>
    </row>
    <row r="4257" spans="1:11" x14ac:dyDescent="0.25">
      <c r="A4257">
        <v>137.901973653082</v>
      </c>
      <c r="B4257">
        <v>107.23670983325501</v>
      </c>
      <c r="C4257">
        <v>2001</v>
      </c>
    </row>
    <row r="4258" spans="1:11" x14ac:dyDescent="0.25">
      <c r="A4258">
        <v>137.97379936882899</v>
      </c>
      <c r="B4258">
        <v>107.164884117509</v>
      </c>
      <c r="C4258">
        <v>2001</v>
      </c>
    </row>
    <row r="4259" spans="1:11" x14ac:dyDescent="0.25">
      <c r="A4259">
        <v>139.54396319974401</v>
      </c>
      <c r="B4259">
        <v>105.594720286594</v>
      </c>
      <c r="C4259">
        <v>2001</v>
      </c>
    </row>
    <row r="4260" spans="1:11" x14ac:dyDescent="0.25">
      <c r="A4260">
        <v>140.41799524864101</v>
      </c>
      <c r="B4260">
        <v>105.594720286594</v>
      </c>
      <c r="C4260">
        <v>2000</v>
      </c>
    </row>
    <row r="4261" spans="1:11" x14ac:dyDescent="0.25">
      <c r="A4261" t="s">
        <v>86</v>
      </c>
    </row>
    <row r="4262" spans="1:11" x14ac:dyDescent="0.25">
      <c r="A4262">
        <v>949</v>
      </c>
      <c r="B4262">
        <v>1</v>
      </c>
      <c r="C4262">
        <v>0.88392403994370705</v>
      </c>
      <c r="D4262">
        <v>1.4381998462195</v>
      </c>
      <c r="E4262">
        <v>6</v>
      </c>
      <c r="F4262">
        <v>1.01722196789785</v>
      </c>
      <c r="G4262" t="s">
        <v>87</v>
      </c>
      <c r="H4262" t="s">
        <v>87</v>
      </c>
      <c r="I4262">
        <v>856</v>
      </c>
      <c r="J4262">
        <v>849</v>
      </c>
      <c r="K4262">
        <v>0.117959963458315</v>
      </c>
    </row>
    <row r="4263" spans="1:11" x14ac:dyDescent="0.25">
      <c r="A4263" t="s">
        <v>85</v>
      </c>
    </row>
    <row r="4264" spans="1:11" x14ac:dyDescent="0.25">
      <c r="A4264">
        <v>111.131733649472</v>
      </c>
      <c r="B4264">
        <v>78.342380415351002</v>
      </c>
      <c r="C4264">
        <v>2000</v>
      </c>
    </row>
    <row r="4265" spans="1:11" x14ac:dyDescent="0.25">
      <c r="A4265">
        <v>110.506704966774</v>
      </c>
      <c r="B4265">
        <v>78.967409098049004</v>
      </c>
      <c r="C4265">
        <v>2000</v>
      </c>
    </row>
    <row r="4266" spans="1:11" x14ac:dyDescent="0.25">
      <c r="A4266">
        <v>110.506704966774</v>
      </c>
      <c r="B4266">
        <v>79.841441146946593</v>
      </c>
      <c r="C4266">
        <v>2001</v>
      </c>
    </row>
    <row r="4267" spans="1:11" x14ac:dyDescent="0.25">
      <c r="A4267">
        <v>111.131733649472</v>
      </c>
      <c r="B4267">
        <v>79.216412464248606</v>
      </c>
      <c r="C4267">
        <v>2001</v>
      </c>
    </row>
    <row r="4268" spans="1:11" x14ac:dyDescent="0.25">
      <c r="A4268">
        <v>112.148694513435</v>
      </c>
      <c r="B4268">
        <v>78.1994516002853</v>
      </c>
      <c r="C4268">
        <v>2001</v>
      </c>
    </row>
    <row r="4269" spans="1:11" x14ac:dyDescent="0.25">
      <c r="A4269">
        <v>112.148694513435</v>
      </c>
      <c r="B4269">
        <v>77.325419551387697</v>
      </c>
      <c r="C4269">
        <v>2000</v>
      </c>
    </row>
    <row r="4270" spans="1:11" x14ac:dyDescent="0.25">
      <c r="A4270" t="s">
        <v>86</v>
      </c>
    </row>
    <row r="4271" spans="1:11" x14ac:dyDescent="0.25">
      <c r="A4271">
        <v>866</v>
      </c>
      <c r="B4271">
        <v>1</v>
      </c>
      <c r="C4271">
        <v>2.2703102463318499</v>
      </c>
      <c r="D4271">
        <v>5.1813639831365797E-2</v>
      </c>
      <c r="E4271">
        <v>6</v>
      </c>
      <c r="F4271">
        <v>1.01722196789785</v>
      </c>
      <c r="G4271" t="s">
        <v>87</v>
      </c>
      <c r="H4271" t="s">
        <v>87</v>
      </c>
      <c r="I4271">
        <v>856</v>
      </c>
      <c r="J4271">
        <v>849</v>
      </c>
      <c r="K4271">
        <v>0.114536792619501</v>
      </c>
    </row>
    <row r="4272" spans="1:11" x14ac:dyDescent="0.25">
      <c r="A4272" t="s">
        <v>85</v>
      </c>
    </row>
    <row r="4273" spans="1:11" x14ac:dyDescent="0.25">
      <c r="A4273">
        <v>119.320534570283</v>
      </c>
      <c r="B4273">
        <v>84.570535160401207</v>
      </c>
      <c r="C4273">
        <v>2000</v>
      </c>
    </row>
    <row r="4274" spans="1:11" x14ac:dyDescent="0.25">
      <c r="A4274">
        <v>117.715182799704</v>
      </c>
      <c r="B4274">
        <v>86.175886930979701</v>
      </c>
      <c r="C4274">
        <v>2000</v>
      </c>
    </row>
    <row r="4275" spans="1:11" x14ac:dyDescent="0.25">
      <c r="A4275">
        <v>116.841150750807</v>
      </c>
      <c r="B4275">
        <v>86.1758869309798</v>
      </c>
      <c r="C4275">
        <v>2001</v>
      </c>
    </row>
    <row r="4276" spans="1:11" x14ac:dyDescent="0.25">
      <c r="A4276">
        <v>118.446502521385</v>
      </c>
      <c r="B4276">
        <v>84.570535160401207</v>
      </c>
      <c r="C4276">
        <v>2001</v>
      </c>
    </row>
    <row r="4277" spans="1:11" x14ac:dyDescent="0.25">
      <c r="A4277">
        <v>118.483140297468</v>
      </c>
      <c r="B4277">
        <v>84.533897384318493</v>
      </c>
      <c r="C4277">
        <v>2001</v>
      </c>
    </row>
    <row r="4278" spans="1:11" x14ac:dyDescent="0.25">
      <c r="A4278">
        <v>119.357172346366</v>
      </c>
      <c r="B4278">
        <v>84.533897384318394</v>
      </c>
      <c r="C4278">
        <v>2000</v>
      </c>
    </row>
    <row r="4279" spans="1:11" x14ac:dyDescent="0.25">
      <c r="A4279" t="s">
        <v>86</v>
      </c>
    </row>
    <row r="4280" spans="1:11" x14ac:dyDescent="0.25">
      <c r="A4280">
        <v>638</v>
      </c>
      <c r="B4280">
        <v>1</v>
      </c>
      <c r="C4280">
        <v>0.79100056161907195</v>
      </c>
      <c r="D4280">
        <v>1.5239308166698999</v>
      </c>
      <c r="E4280">
        <v>8</v>
      </c>
      <c r="F4280">
        <v>1.01722196789785</v>
      </c>
      <c r="G4280" t="s">
        <v>87</v>
      </c>
      <c r="H4280" t="s">
        <v>87</v>
      </c>
      <c r="I4280">
        <v>772</v>
      </c>
      <c r="J4280">
        <v>804</v>
      </c>
      <c r="K4280">
        <v>0</v>
      </c>
    </row>
    <row r="4281" spans="1:11" x14ac:dyDescent="0.25">
      <c r="A4281" t="s">
        <v>85</v>
      </c>
    </row>
    <row r="4282" spans="1:11" x14ac:dyDescent="0.25">
      <c r="A4282">
        <v>125.94006397762</v>
      </c>
      <c r="B4282">
        <v>50.8803256660646</v>
      </c>
      <c r="C4282">
        <v>2000</v>
      </c>
    </row>
    <row r="4283" spans="1:11" x14ac:dyDescent="0.25">
      <c r="A4283">
        <v>125.216932664726</v>
      </c>
      <c r="B4283">
        <v>51.603456978958199</v>
      </c>
      <c r="C4283">
        <v>2000</v>
      </c>
    </row>
    <row r="4284" spans="1:11" x14ac:dyDescent="0.25">
      <c r="A4284">
        <v>125.216932664726</v>
      </c>
      <c r="B4284">
        <v>50.729424930060603</v>
      </c>
      <c r="C4284">
        <v>2001</v>
      </c>
    </row>
    <row r="4285" spans="1:11" x14ac:dyDescent="0.25">
      <c r="A4285">
        <v>125.61244507391901</v>
      </c>
      <c r="B4285">
        <v>50.333912520867699</v>
      </c>
      <c r="C4285">
        <v>2001</v>
      </c>
    </row>
    <row r="4286" spans="1:11" x14ac:dyDescent="0.25">
      <c r="A4286">
        <v>126.04175626672</v>
      </c>
      <c r="B4286">
        <v>49.9046013280674</v>
      </c>
      <c r="C4286">
        <v>2001</v>
      </c>
    </row>
    <row r="4287" spans="1:11" x14ac:dyDescent="0.25">
      <c r="A4287">
        <v>126.416820315847</v>
      </c>
      <c r="B4287">
        <v>49.529537278939699</v>
      </c>
      <c r="C4287">
        <v>2001</v>
      </c>
    </row>
    <row r="4288" spans="1:11" x14ac:dyDescent="0.25">
      <c r="A4288">
        <v>127.29085236474501</v>
      </c>
      <c r="B4288">
        <v>49.529537278939699</v>
      </c>
      <c r="C4288">
        <v>2000</v>
      </c>
    </row>
    <row r="4289" spans="1:11" x14ac:dyDescent="0.25">
      <c r="A4289">
        <v>126.72499097175201</v>
      </c>
      <c r="B4289">
        <v>50.095398671932699</v>
      </c>
      <c r="C4289">
        <v>2000</v>
      </c>
    </row>
    <row r="4290" spans="1:11" x14ac:dyDescent="0.25">
      <c r="A4290" t="s">
        <v>86</v>
      </c>
    </row>
    <row r="4291" spans="1:11" x14ac:dyDescent="0.25">
      <c r="A4291">
        <v>634</v>
      </c>
      <c r="B4291">
        <v>1</v>
      </c>
      <c r="C4291">
        <v>1.65586643873823</v>
      </c>
      <c r="D4291">
        <v>0.65906493955073098</v>
      </c>
      <c r="E4291">
        <v>6</v>
      </c>
      <c r="F4291">
        <v>1.01722196789785</v>
      </c>
      <c r="G4291" t="s">
        <v>87</v>
      </c>
      <c r="H4291" t="s">
        <v>87</v>
      </c>
      <c r="I4291">
        <v>772</v>
      </c>
      <c r="J4291">
        <v>804</v>
      </c>
      <c r="K4291">
        <v>0</v>
      </c>
    </row>
    <row r="4292" spans="1:11" x14ac:dyDescent="0.25">
      <c r="A4292" t="s">
        <v>85</v>
      </c>
    </row>
    <row r="4293" spans="1:11" x14ac:dyDescent="0.25">
      <c r="A4293">
        <v>144.85488552368599</v>
      </c>
      <c r="B4293">
        <v>68.274467439446695</v>
      </c>
      <c r="C4293">
        <v>2000</v>
      </c>
    </row>
    <row r="4294" spans="1:11" x14ac:dyDescent="0.25">
      <c r="A4294">
        <v>143.371414324451</v>
      </c>
      <c r="B4294">
        <v>69.757938638682404</v>
      </c>
      <c r="C4294">
        <v>2000</v>
      </c>
    </row>
    <row r="4295" spans="1:11" x14ac:dyDescent="0.25">
      <c r="A4295">
        <v>144.24544637334799</v>
      </c>
      <c r="B4295">
        <v>69.757938638682404</v>
      </c>
      <c r="C4295">
        <v>2001</v>
      </c>
    </row>
    <row r="4296" spans="1:11" x14ac:dyDescent="0.25">
      <c r="A4296">
        <v>145.103723949255</v>
      </c>
      <c r="B4296">
        <v>68.899661062776104</v>
      </c>
      <c r="C4296">
        <v>2001</v>
      </c>
    </row>
    <row r="4297" spans="1:11" x14ac:dyDescent="0.25">
      <c r="A4297">
        <v>145.44533402446899</v>
      </c>
      <c r="B4297">
        <v>68.5580509875616</v>
      </c>
      <c r="C4297">
        <v>2001</v>
      </c>
    </row>
    <row r="4298" spans="1:11" x14ac:dyDescent="0.25">
      <c r="A4298">
        <v>145.44533402446899</v>
      </c>
      <c r="B4298">
        <v>67.684018938663996</v>
      </c>
      <c r="C4298">
        <v>2000</v>
      </c>
    </row>
    <row r="4299" spans="1:11" x14ac:dyDescent="0.25">
      <c r="A4299" t="s">
        <v>86</v>
      </c>
    </row>
    <row r="4300" spans="1:11" x14ac:dyDescent="0.25">
      <c r="A4300">
        <v>636</v>
      </c>
      <c r="B4300">
        <v>1</v>
      </c>
      <c r="C4300">
        <v>1.0466534007831401</v>
      </c>
      <c r="D4300">
        <v>1.2682779775058299</v>
      </c>
      <c r="E4300">
        <v>6</v>
      </c>
      <c r="F4300">
        <v>1.01722196789785</v>
      </c>
      <c r="G4300" t="s">
        <v>87</v>
      </c>
      <c r="H4300" t="s">
        <v>87</v>
      </c>
      <c r="I4300">
        <v>772</v>
      </c>
      <c r="J4300">
        <v>804</v>
      </c>
      <c r="K4300">
        <v>0</v>
      </c>
    </row>
    <row r="4301" spans="1:11" x14ac:dyDescent="0.25">
      <c r="A4301" t="s">
        <v>85</v>
      </c>
    </row>
    <row r="4302" spans="1:11" x14ac:dyDescent="0.25">
      <c r="A4302">
        <v>136.683835169498</v>
      </c>
      <c r="B4302">
        <v>61.194990626291201</v>
      </c>
      <c r="C4302">
        <v>2000</v>
      </c>
    </row>
    <row r="4303" spans="1:11" x14ac:dyDescent="0.25">
      <c r="A4303">
        <v>135.746150740779</v>
      </c>
      <c r="B4303">
        <v>62.132675055010502</v>
      </c>
      <c r="C4303">
        <v>2000</v>
      </c>
    </row>
    <row r="4304" spans="1:11" x14ac:dyDescent="0.25">
      <c r="A4304">
        <v>136.62018278967599</v>
      </c>
      <c r="B4304">
        <v>62.132675055010601</v>
      </c>
      <c r="C4304">
        <v>2001</v>
      </c>
    </row>
    <row r="4305" spans="1:11" x14ac:dyDescent="0.25">
      <c r="A4305">
        <v>137.16268979544799</v>
      </c>
      <c r="B4305">
        <v>61.5901680492385</v>
      </c>
      <c r="C4305">
        <v>2001</v>
      </c>
    </row>
    <row r="4306" spans="1:11" x14ac:dyDescent="0.25">
      <c r="A4306">
        <v>137.820070440797</v>
      </c>
      <c r="B4306">
        <v>60.932787403889698</v>
      </c>
      <c r="C4306">
        <v>2001</v>
      </c>
    </row>
    <row r="4307" spans="1:11" x14ac:dyDescent="0.25">
      <c r="A4307">
        <v>137.820070440797</v>
      </c>
      <c r="B4307">
        <v>60.058755354992101</v>
      </c>
      <c r="C4307">
        <v>2000</v>
      </c>
    </row>
    <row r="4308" spans="1:11" x14ac:dyDescent="0.25">
      <c r="A4308" t="s">
        <v>86</v>
      </c>
    </row>
    <row r="4309" spans="1:11" x14ac:dyDescent="0.25">
      <c r="A4309">
        <v>1099</v>
      </c>
      <c r="B4309">
        <v>1</v>
      </c>
      <c r="C4309">
        <v>0.37664936194165899</v>
      </c>
      <c r="D4309">
        <v>1.9382820163473</v>
      </c>
      <c r="E4309">
        <v>6</v>
      </c>
      <c r="F4309">
        <v>1.01722196789785</v>
      </c>
      <c r="G4309" t="s">
        <v>87</v>
      </c>
      <c r="H4309" t="s">
        <v>87</v>
      </c>
      <c r="I4309">
        <v>772</v>
      </c>
      <c r="J4309">
        <v>804</v>
      </c>
      <c r="K4309">
        <v>0.123468647787635</v>
      </c>
    </row>
    <row r="4310" spans="1:11" x14ac:dyDescent="0.25">
      <c r="A4310" t="s">
        <v>85</v>
      </c>
    </row>
    <row r="4311" spans="1:11" x14ac:dyDescent="0.25">
      <c r="A4311">
        <v>134.370382128128</v>
      </c>
      <c r="B4311">
        <v>60.0820350063806</v>
      </c>
      <c r="C4311">
        <v>2000</v>
      </c>
    </row>
    <row r="4312" spans="1:11" x14ac:dyDescent="0.25">
      <c r="A4312">
        <v>134.032946410139</v>
      </c>
      <c r="B4312">
        <v>60.419470724370399</v>
      </c>
      <c r="C4312">
        <v>2000</v>
      </c>
    </row>
    <row r="4313" spans="1:11" x14ac:dyDescent="0.25">
      <c r="A4313">
        <v>134.032946410139</v>
      </c>
      <c r="B4313">
        <v>59.545438675472802</v>
      </c>
      <c r="C4313">
        <v>2001</v>
      </c>
    </row>
    <row r="4314" spans="1:11" x14ac:dyDescent="0.25">
      <c r="A4314">
        <v>134.22817332806599</v>
      </c>
      <c r="B4314">
        <v>59.350211757545601</v>
      </c>
      <c r="C4314">
        <v>2001</v>
      </c>
    </row>
    <row r="4315" spans="1:11" x14ac:dyDescent="0.25">
      <c r="A4315">
        <v>135.23283406125901</v>
      </c>
      <c r="B4315">
        <v>58.345551024351998</v>
      </c>
      <c r="C4315">
        <v>2001</v>
      </c>
    </row>
    <row r="4316" spans="1:11" x14ac:dyDescent="0.25">
      <c r="A4316">
        <v>136.106866110157</v>
      </c>
      <c r="B4316">
        <v>58.345551024351998</v>
      </c>
      <c r="C4316">
        <v>2000</v>
      </c>
    </row>
    <row r="4317" spans="1:11" x14ac:dyDescent="0.25">
      <c r="A4317" t="s">
        <v>86</v>
      </c>
    </row>
    <row r="4318" spans="1:11" x14ac:dyDescent="0.25">
      <c r="A4318">
        <v>1096</v>
      </c>
      <c r="B4318">
        <v>1</v>
      </c>
      <c r="C4318">
        <v>1.6317970485505899</v>
      </c>
      <c r="D4318">
        <v>0.62388778036007198</v>
      </c>
      <c r="E4318">
        <v>6</v>
      </c>
      <c r="F4318">
        <v>1.01722196789785</v>
      </c>
      <c r="G4318" t="s">
        <v>87</v>
      </c>
      <c r="H4318" t="s">
        <v>87</v>
      </c>
      <c r="I4318">
        <v>799</v>
      </c>
      <c r="J4318">
        <v>835</v>
      </c>
      <c r="K4318">
        <v>0.123468647787635</v>
      </c>
    </row>
    <row r="4319" spans="1:11" x14ac:dyDescent="0.25">
      <c r="A4319" t="s">
        <v>85</v>
      </c>
    </row>
    <row r="4320" spans="1:11" x14ac:dyDescent="0.25">
      <c r="A4320">
        <v>94.388686481964399</v>
      </c>
      <c r="B4320">
        <v>119.189871717887</v>
      </c>
      <c r="C4320">
        <v>2000</v>
      </c>
    </row>
    <row r="4321" spans="1:11" x14ac:dyDescent="0.25">
      <c r="A4321">
        <v>93.550975827291097</v>
      </c>
      <c r="B4321">
        <v>120.027582372561</v>
      </c>
      <c r="C4321">
        <v>2000</v>
      </c>
    </row>
    <row r="4322" spans="1:11" x14ac:dyDescent="0.25">
      <c r="A4322">
        <v>93.550975827291097</v>
      </c>
      <c r="B4322">
        <v>120.90161442145801</v>
      </c>
      <c r="C4322">
        <v>2001</v>
      </c>
    </row>
    <row r="4323" spans="1:11" x14ac:dyDescent="0.25">
      <c r="A4323">
        <v>95.0209746897184</v>
      </c>
      <c r="B4323">
        <v>119.431615559031</v>
      </c>
      <c r="C4323">
        <v>2001</v>
      </c>
    </row>
    <row r="4324" spans="1:11" x14ac:dyDescent="0.25">
      <c r="A4324">
        <v>95.583001890482294</v>
      </c>
      <c r="B4324">
        <v>118.86958835826699</v>
      </c>
      <c r="C4324">
        <v>2001</v>
      </c>
    </row>
    <row r="4325" spans="1:11" x14ac:dyDescent="0.25">
      <c r="A4325">
        <v>94.708969841584604</v>
      </c>
      <c r="B4325">
        <v>118.86958835826699</v>
      </c>
      <c r="C4325">
        <v>2000</v>
      </c>
    </row>
    <row r="4326" spans="1:11" x14ac:dyDescent="0.25">
      <c r="A4326" t="s">
        <v>86</v>
      </c>
    </row>
    <row r="4327" spans="1:11" x14ac:dyDescent="0.25">
      <c r="A4327">
        <v>308</v>
      </c>
      <c r="B4327">
        <v>1</v>
      </c>
      <c r="C4327">
        <v>0.45911688215397101</v>
      </c>
      <c r="D4327">
        <v>1.79656794675668</v>
      </c>
      <c r="E4327">
        <v>6</v>
      </c>
      <c r="F4327">
        <v>1.01722196789785</v>
      </c>
      <c r="G4327" t="s">
        <v>87</v>
      </c>
      <c r="H4327" t="s">
        <v>87</v>
      </c>
      <c r="I4327">
        <v>799</v>
      </c>
      <c r="J4327">
        <v>835</v>
      </c>
      <c r="K4327">
        <v>0</v>
      </c>
    </row>
    <row r="4328" spans="1:11" x14ac:dyDescent="0.25">
      <c r="A4328" t="s">
        <v>85</v>
      </c>
    </row>
    <row r="4329" spans="1:11" x14ac:dyDescent="0.25">
      <c r="A4329">
        <v>122.30854923408199</v>
      </c>
      <c r="B4329">
        <v>148.31376492316301</v>
      </c>
      <c r="C4329">
        <v>2000</v>
      </c>
    </row>
    <row r="4330" spans="1:11" x14ac:dyDescent="0.25">
      <c r="A4330">
        <v>122.072853805988</v>
      </c>
      <c r="B4330">
        <v>148.54946035125701</v>
      </c>
      <c r="C4330">
        <v>2000</v>
      </c>
    </row>
    <row r="4331" spans="1:11" x14ac:dyDescent="0.25">
      <c r="A4331">
        <v>121.19882175709</v>
      </c>
      <c r="B4331">
        <v>148.54946035125701</v>
      </c>
      <c r="C4331">
        <v>2001</v>
      </c>
    </row>
    <row r="4332" spans="1:11" x14ac:dyDescent="0.25">
      <c r="A4332">
        <v>121.612415650453</v>
      </c>
      <c r="B4332">
        <v>148.13586645789499</v>
      </c>
      <c r="C4332">
        <v>2001</v>
      </c>
    </row>
    <row r="4333" spans="1:11" x14ac:dyDescent="0.25">
      <c r="A4333">
        <v>123.230847820281</v>
      </c>
      <c r="B4333">
        <v>146.517434288066</v>
      </c>
      <c r="C4333">
        <v>2001</v>
      </c>
    </row>
    <row r="4334" spans="1:11" x14ac:dyDescent="0.25">
      <c r="A4334">
        <v>123.230847820281</v>
      </c>
      <c r="B4334">
        <v>147.39146633696399</v>
      </c>
      <c r="C4334">
        <v>2000</v>
      </c>
    </row>
    <row r="4335" spans="1:11" x14ac:dyDescent="0.25">
      <c r="A4335" t="s">
        <v>86</v>
      </c>
    </row>
    <row r="4336" spans="1:11" x14ac:dyDescent="0.25">
      <c r="A4336">
        <v>879</v>
      </c>
      <c r="B4336">
        <v>1</v>
      </c>
      <c r="C4336">
        <v>0.72548325265119495</v>
      </c>
      <c r="D4336">
        <v>1.4888292254615201</v>
      </c>
      <c r="E4336">
        <v>6</v>
      </c>
      <c r="F4336">
        <v>1.01722196789785</v>
      </c>
      <c r="G4336" t="s">
        <v>87</v>
      </c>
      <c r="H4336" t="s">
        <v>87</v>
      </c>
      <c r="I4336">
        <v>24</v>
      </c>
      <c r="J4336">
        <v>27</v>
      </c>
      <c r="K4336">
        <v>0.115162323415006</v>
      </c>
    </row>
    <row r="4337" spans="1:11" x14ac:dyDescent="0.25">
      <c r="A4337" t="s">
        <v>85</v>
      </c>
    </row>
    <row r="4338" spans="1:11" x14ac:dyDescent="0.25">
      <c r="A4338">
        <v>25.5921284438074</v>
      </c>
      <c r="B4338">
        <v>26.831563966261399</v>
      </c>
      <c r="C4338">
        <v>2000</v>
      </c>
    </row>
    <row r="4339" spans="1:11" x14ac:dyDescent="0.25">
      <c r="A4339">
        <v>25.0791343162205</v>
      </c>
      <c r="B4339">
        <v>27.344558093848299</v>
      </c>
      <c r="C4339">
        <v>2000</v>
      </c>
    </row>
    <row r="4340" spans="1:11" x14ac:dyDescent="0.25">
      <c r="A4340">
        <v>25.0791343162205</v>
      </c>
      <c r="B4340">
        <v>26.470526044950699</v>
      </c>
      <c r="C4340">
        <v>2001</v>
      </c>
    </row>
    <row r="4341" spans="1:11" x14ac:dyDescent="0.25">
      <c r="A4341">
        <v>25.5921284438074</v>
      </c>
      <c r="B4341">
        <v>25.957531917363799</v>
      </c>
      <c r="C4341">
        <v>2001</v>
      </c>
    </row>
    <row r="4342" spans="1:11" x14ac:dyDescent="0.25">
      <c r="A4342">
        <v>26.644889685159999</v>
      </c>
      <c r="B4342">
        <v>24.9047706760112</v>
      </c>
      <c r="C4342">
        <v>2001</v>
      </c>
    </row>
    <row r="4343" spans="1:11" x14ac:dyDescent="0.25">
      <c r="A4343">
        <v>26.644889685159999</v>
      </c>
      <c r="B4343">
        <v>25.7788027249089</v>
      </c>
      <c r="C4343">
        <v>2000</v>
      </c>
    </row>
    <row r="4344" spans="1:11" x14ac:dyDescent="0.25">
      <c r="A4344" t="s">
        <v>86</v>
      </c>
    </row>
    <row r="4345" spans="1:11" x14ac:dyDescent="0.25">
      <c r="A4345">
        <v>472</v>
      </c>
      <c r="B4345">
        <v>1</v>
      </c>
      <c r="C4345">
        <v>1.4331293004597501</v>
      </c>
      <c r="D4345">
        <v>0.76084781714536798</v>
      </c>
      <c r="E4345">
        <v>6</v>
      </c>
      <c r="F4345">
        <v>1.01722196789785</v>
      </c>
      <c r="G4345" t="s">
        <v>87</v>
      </c>
      <c r="H4345" t="s">
        <v>87</v>
      </c>
      <c r="I4345">
        <v>855</v>
      </c>
      <c r="J4345">
        <v>728</v>
      </c>
      <c r="K4345">
        <v>0</v>
      </c>
    </row>
    <row r="4346" spans="1:11" x14ac:dyDescent="0.25">
      <c r="A4346" t="s">
        <v>85</v>
      </c>
    </row>
    <row r="4347" spans="1:11" x14ac:dyDescent="0.25">
      <c r="A4347">
        <v>66.119713012106999</v>
      </c>
      <c r="B4347">
        <v>132.25433131607301</v>
      </c>
      <c r="C4347">
        <v>2000</v>
      </c>
    </row>
    <row r="4348" spans="1:11" x14ac:dyDescent="0.25">
      <c r="A4348">
        <v>64.820874027833398</v>
      </c>
      <c r="B4348">
        <v>133.55317030034601</v>
      </c>
      <c r="C4348">
        <v>2000</v>
      </c>
    </row>
    <row r="4349" spans="1:11" x14ac:dyDescent="0.25">
      <c r="A4349">
        <v>65.694906076731002</v>
      </c>
      <c r="B4349">
        <v>133.55317030034601</v>
      </c>
      <c r="C4349">
        <v>2001</v>
      </c>
    </row>
    <row r="4350" spans="1:11" x14ac:dyDescent="0.25">
      <c r="A4350">
        <v>66.422817985801899</v>
      </c>
      <c r="B4350">
        <v>132.82525839127601</v>
      </c>
      <c r="C4350">
        <v>2001</v>
      </c>
    </row>
    <row r="4351" spans="1:11" x14ac:dyDescent="0.25">
      <c r="A4351">
        <v>66.809266149908893</v>
      </c>
      <c r="B4351">
        <v>132.438810227169</v>
      </c>
      <c r="C4351">
        <v>2001</v>
      </c>
    </row>
    <row r="4352" spans="1:11" x14ac:dyDescent="0.25">
      <c r="A4352">
        <v>66.809266149908893</v>
      </c>
      <c r="B4352">
        <v>131.56477817827101</v>
      </c>
      <c r="C4352">
        <v>2000</v>
      </c>
    </row>
    <row r="4353" spans="1:11" x14ac:dyDescent="0.25">
      <c r="A4353" t="s">
        <v>86</v>
      </c>
    </row>
    <row r="4354" spans="1:11" x14ac:dyDescent="0.25">
      <c r="A4354">
        <v>1028</v>
      </c>
      <c r="B4354">
        <v>1</v>
      </c>
      <c r="C4354">
        <v>0.58273329254897999</v>
      </c>
      <c r="D4354">
        <v>1.56652084919086</v>
      </c>
      <c r="E4354">
        <v>6</v>
      </c>
      <c r="F4354">
        <v>1.01722196789785</v>
      </c>
      <c r="G4354" t="s">
        <v>87</v>
      </c>
      <c r="H4354" t="s">
        <v>87</v>
      </c>
      <c r="I4354">
        <v>835</v>
      </c>
      <c r="J4354">
        <v>727</v>
      </c>
      <c r="K4354">
        <v>0.12140552605247699</v>
      </c>
    </row>
    <row r="4355" spans="1:11" x14ac:dyDescent="0.25">
      <c r="A4355" t="s">
        <v>85</v>
      </c>
    </row>
    <row r="4356" spans="1:11" x14ac:dyDescent="0.25">
      <c r="A4356">
        <v>93.022025897177798</v>
      </c>
      <c r="B4356">
        <v>116.35853508829101</v>
      </c>
      <c r="C4356">
        <v>2000</v>
      </c>
    </row>
    <row r="4357" spans="1:11" x14ac:dyDescent="0.25">
      <c r="A4357">
        <v>92.609971234393299</v>
      </c>
      <c r="B4357">
        <v>116.770589751076</v>
      </c>
      <c r="C4357">
        <v>2000</v>
      </c>
    </row>
    <row r="4358" spans="1:11" x14ac:dyDescent="0.25">
      <c r="A4358">
        <v>92.609971234393299</v>
      </c>
      <c r="B4358">
        <v>115.896557702178</v>
      </c>
      <c r="C4358">
        <v>2001</v>
      </c>
    </row>
    <row r="4359" spans="1:11" x14ac:dyDescent="0.25">
      <c r="A4359">
        <v>93.022025897177798</v>
      </c>
      <c r="B4359">
        <v>115.484503039393</v>
      </c>
      <c r="C4359">
        <v>2001</v>
      </c>
    </row>
    <row r="4360" spans="1:11" x14ac:dyDescent="0.25">
      <c r="A4360">
        <v>94.129723412510799</v>
      </c>
      <c r="B4360">
        <v>114.376805524061</v>
      </c>
      <c r="C4360">
        <v>2001</v>
      </c>
    </row>
    <row r="4361" spans="1:11" x14ac:dyDescent="0.25">
      <c r="A4361">
        <v>94.129723412510799</v>
      </c>
      <c r="B4361">
        <v>115.25083757295801</v>
      </c>
      <c r="C4361">
        <v>2000</v>
      </c>
    </row>
    <row r="4362" spans="1:11" x14ac:dyDescent="0.25">
      <c r="A4362" t="s">
        <v>86</v>
      </c>
    </row>
    <row r="4363" spans="1:11" x14ac:dyDescent="0.25">
      <c r="A4363">
        <v>1036</v>
      </c>
      <c r="B4363">
        <v>1</v>
      </c>
      <c r="C4363">
        <v>2.0264102699075002</v>
      </c>
      <c r="D4363">
        <v>9.7676901976342406E-2</v>
      </c>
      <c r="E4363">
        <v>6</v>
      </c>
      <c r="F4363">
        <v>1.01722196789785</v>
      </c>
      <c r="G4363" t="s">
        <v>87</v>
      </c>
      <c r="H4363" t="s">
        <v>87</v>
      </c>
      <c r="I4363">
        <v>193</v>
      </c>
      <c r="J4363">
        <v>833</v>
      </c>
      <c r="K4363">
        <v>0.121949590810518</v>
      </c>
    </row>
    <row r="4364" spans="1:11" x14ac:dyDescent="0.25">
      <c r="A4364" t="s">
        <v>85</v>
      </c>
    </row>
    <row r="4365" spans="1:11" x14ac:dyDescent="0.25">
      <c r="A4365">
        <v>11.7635342389264</v>
      </c>
      <c r="B4365">
        <v>136.28542067542901</v>
      </c>
      <c r="C4365">
        <v>2000</v>
      </c>
    </row>
    <row r="4366" spans="1:11" x14ac:dyDescent="0.25">
      <c r="A4366">
        <v>10.330645795608801</v>
      </c>
      <c r="B4366">
        <v>137.71830911874699</v>
      </c>
      <c r="C4366">
        <v>2000</v>
      </c>
    </row>
    <row r="4367" spans="1:11" x14ac:dyDescent="0.25">
      <c r="A4367">
        <v>11.204677844506399</v>
      </c>
      <c r="B4367">
        <v>137.71830911874699</v>
      </c>
      <c r="C4367">
        <v>2001</v>
      </c>
    </row>
    <row r="4368" spans="1:11" x14ac:dyDescent="0.25">
      <c r="A4368">
        <v>12.6375662878241</v>
      </c>
      <c r="B4368">
        <v>136.28542067542901</v>
      </c>
      <c r="C4368">
        <v>2001</v>
      </c>
    </row>
    <row r="4369" spans="1:11" x14ac:dyDescent="0.25">
      <c r="A4369">
        <v>12.7066342875769</v>
      </c>
      <c r="B4369">
        <v>136.216352675677</v>
      </c>
      <c r="C4369">
        <v>2001</v>
      </c>
    </row>
    <row r="4370" spans="1:11" x14ac:dyDescent="0.25">
      <c r="A4370">
        <v>11.8326022386792</v>
      </c>
      <c r="B4370">
        <v>136.21635267567601</v>
      </c>
      <c r="C4370">
        <v>2000</v>
      </c>
    </row>
    <row r="4371" spans="1:11" x14ac:dyDescent="0.25">
      <c r="A4371" t="s">
        <v>86</v>
      </c>
    </row>
    <row r="4372" spans="1:11" x14ac:dyDescent="0.25">
      <c r="A4372">
        <v>1111</v>
      </c>
      <c r="B4372">
        <v>1</v>
      </c>
      <c r="C4372">
        <v>1.10396173842828</v>
      </c>
      <c r="D4372">
        <v>1.01711203256728</v>
      </c>
      <c r="E4372">
        <v>6</v>
      </c>
      <c r="F4372">
        <v>1.01722196789785</v>
      </c>
      <c r="G4372" t="s">
        <v>87</v>
      </c>
      <c r="H4372" t="s">
        <v>87</v>
      </c>
      <c r="I4372">
        <v>504</v>
      </c>
      <c r="J4372">
        <v>520</v>
      </c>
      <c r="K4372">
        <v>0.123942026493586</v>
      </c>
    </row>
    <row r="4373" spans="1:11" x14ac:dyDescent="0.25">
      <c r="A4373" t="s">
        <v>85</v>
      </c>
    </row>
    <row r="4374" spans="1:11" x14ac:dyDescent="0.25">
      <c r="A4374">
        <v>98.970741058735101</v>
      </c>
      <c r="B4374">
        <v>4.8652886253506704</v>
      </c>
      <c r="C4374">
        <v>2000</v>
      </c>
    </row>
    <row r="4375" spans="1:11" x14ac:dyDescent="0.25">
      <c r="A4375">
        <v>97.962667163444095</v>
      </c>
      <c r="B4375">
        <v>5.8733625206416997</v>
      </c>
      <c r="C4375">
        <v>2000</v>
      </c>
    </row>
    <row r="4376" spans="1:11" x14ac:dyDescent="0.25">
      <c r="A4376">
        <v>97.962667163444095</v>
      </c>
      <c r="B4376">
        <v>4.9993304717440701</v>
      </c>
      <c r="C4376">
        <v>2001</v>
      </c>
    </row>
    <row r="4377" spans="1:11" x14ac:dyDescent="0.25">
      <c r="A4377">
        <v>98.515830930979305</v>
      </c>
      <c r="B4377">
        <v>4.4461667042088404</v>
      </c>
      <c r="C4377">
        <v>2001</v>
      </c>
    </row>
    <row r="4378" spans="1:11" x14ac:dyDescent="0.25">
      <c r="A4378">
        <v>99.025476785863106</v>
      </c>
      <c r="B4378">
        <v>3.9365208493249901</v>
      </c>
      <c r="C4378">
        <v>2001</v>
      </c>
    </row>
    <row r="4379" spans="1:11" x14ac:dyDescent="0.25">
      <c r="A4379">
        <v>99.899508834760795</v>
      </c>
      <c r="B4379">
        <v>3.9365208493249901</v>
      </c>
      <c r="C4379">
        <v>2000</v>
      </c>
    </row>
    <row r="4380" spans="1:11" x14ac:dyDescent="0.25">
      <c r="A4380" t="s">
        <v>86</v>
      </c>
    </row>
    <row r="4381" spans="1:11" x14ac:dyDescent="0.25">
      <c r="A4381">
        <v>544</v>
      </c>
      <c r="B4381">
        <v>1</v>
      </c>
      <c r="C4381">
        <v>1.45265893176146</v>
      </c>
      <c r="D4381">
        <v>0.66841483923410305</v>
      </c>
      <c r="E4381">
        <v>6</v>
      </c>
      <c r="F4381">
        <v>1.01722196789785</v>
      </c>
      <c r="G4381" t="s">
        <v>87</v>
      </c>
      <c r="H4381" t="s">
        <v>87</v>
      </c>
      <c r="I4381">
        <v>504</v>
      </c>
      <c r="J4381">
        <v>520</v>
      </c>
      <c r="K4381">
        <v>0</v>
      </c>
    </row>
    <row r="4382" spans="1:11" x14ac:dyDescent="0.25">
      <c r="A4382" t="s">
        <v>85</v>
      </c>
    </row>
    <row r="4383" spans="1:11" x14ac:dyDescent="0.25">
      <c r="A4383">
        <v>102.38870903467</v>
      </c>
      <c r="B4383">
        <v>7.6464364548541104</v>
      </c>
      <c r="C4383">
        <v>2000</v>
      </c>
    </row>
    <row r="4384" spans="1:11" x14ac:dyDescent="0.25">
      <c r="A4384">
        <v>101.06222506616299</v>
      </c>
      <c r="B4384">
        <v>8.9729204233609803</v>
      </c>
      <c r="C4384">
        <v>2000</v>
      </c>
    </row>
    <row r="4385" spans="1:11" x14ac:dyDescent="0.25">
      <c r="A4385">
        <v>101.936257115061</v>
      </c>
      <c r="B4385">
        <v>8.9729204233609803</v>
      </c>
      <c r="C4385">
        <v>2001</v>
      </c>
    </row>
    <row r="4386" spans="1:11" x14ac:dyDescent="0.25">
      <c r="A4386">
        <v>102.664143109354</v>
      </c>
      <c r="B4386">
        <v>8.2450344290683599</v>
      </c>
      <c r="C4386">
        <v>2001</v>
      </c>
    </row>
    <row r="4387" spans="1:11" x14ac:dyDescent="0.25">
      <c r="A4387">
        <v>102.99906673748001</v>
      </c>
      <c r="B4387">
        <v>7.9101108009418999</v>
      </c>
      <c r="C4387">
        <v>2001</v>
      </c>
    </row>
    <row r="4388" spans="1:11" x14ac:dyDescent="0.25">
      <c r="A4388">
        <v>102.99906673748001</v>
      </c>
      <c r="B4388">
        <v>7.0360787520442596</v>
      </c>
      <c r="C4388">
        <v>2000</v>
      </c>
    </row>
    <row r="4389" spans="1:11" x14ac:dyDescent="0.25">
      <c r="A4389" t="s">
        <v>86</v>
      </c>
    </row>
    <row r="4390" spans="1:11" x14ac:dyDescent="0.25">
      <c r="A4390">
        <v>1104</v>
      </c>
      <c r="B4390">
        <v>1</v>
      </c>
      <c r="C4390">
        <v>0.42720658116922999</v>
      </c>
      <c r="D4390">
        <v>1.69386718982634</v>
      </c>
      <c r="E4390">
        <v>6</v>
      </c>
      <c r="F4390">
        <v>1.01722196789785</v>
      </c>
      <c r="G4390" t="s">
        <v>87</v>
      </c>
      <c r="H4390" t="s">
        <v>87</v>
      </c>
      <c r="I4390">
        <v>504</v>
      </c>
      <c r="J4390">
        <v>520</v>
      </c>
      <c r="K4390">
        <v>0.123942026493586</v>
      </c>
    </row>
    <row r="4391" spans="1:11" x14ac:dyDescent="0.25">
      <c r="A4391" t="s">
        <v>85</v>
      </c>
    </row>
    <row r="4392" spans="1:11" x14ac:dyDescent="0.25">
      <c r="A4392">
        <v>104.88869132150801</v>
      </c>
      <c r="B4392">
        <v>12.019186084097599</v>
      </c>
      <c r="C4392">
        <v>2000</v>
      </c>
    </row>
    <row r="4393" spans="1:11" x14ac:dyDescent="0.25">
      <c r="A4393">
        <v>104.498591024204</v>
      </c>
      <c r="B4393">
        <v>12.409286381401699</v>
      </c>
      <c r="C4393">
        <v>2000</v>
      </c>
    </row>
    <row r="4394" spans="1:11" x14ac:dyDescent="0.25">
      <c r="A4394">
        <v>105.37262307310201</v>
      </c>
      <c r="B4394">
        <v>12.409286381401699</v>
      </c>
      <c r="C4394">
        <v>2001</v>
      </c>
    </row>
    <row r="4395" spans="1:11" x14ac:dyDescent="0.25">
      <c r="A4395">
        <v>105.586684116822</v>
      </c>
      <c r="B4395">
        <v>12.1952253376813</v>
      </c>
      <c r="C4395">
        <v>2001</v>
      </c>
    </row>
    <row r="4396" spans="1:11" x14ac:dyDescent="0.25">
      <c r="A4396">
        <v>106.435432695521</v>
      </c>
      <c r="B4396">
        <v>11.3464767589826</v>
      </c>
      <c r="C4396">
        <v>2001</v>
      </c>
    </row>
    <row r="4397" spans="1:11" x14ac:dyDescent="0.25">
      <c r="A4397">
        <v>106.435432695521</v>
      </c>
      <c r="B4397">
        <v>10.472444710085</v>
      </c>
      <c r="C4397">
        <v>2000</v>
      </c>
    </row>
    <row r="4398" spans="1:11" x14ac:dyDescent="0.25">
      <c r="A4398" t="s">
        <v>86</v>
      </c>
    </row>
    <row r="4399" spans="1:11" x14ac:dyDescent="0.25">
      <c r="A4399">
        <v>145</v>
      </c>
      <c r="B4399">
        <v>1</v>
      </c>
      <c r="C4399">
        <v>1.26235038545941</v>
      </c>
      <c r="D4399">
        <v>0.84348958823456099</v>
      </c>
      <c r="E4399">
        <v>6</v>
      </c>
      <c r="F4399">
        <v>1.01722196789785</v>
      </c>
      <c r="G4399" t="s">
        <v>87</v>
      </c>
      <c r="H4399" t="s">
        <v>87</v>
      </c>
      <c r="I4399">
        <v>183</v>
      </c>
      <c r="J4399">
        <v>108</v>
      </c>
      <c r="K4399">
        <v>0</v>
      </c>
    </row>
    <row r="4400" spans="1:11" x14ac:dyDescent="0.25">
      <c r="A4400" t="s">
        <v>85</v>
      </c>
    </row>
    <row r="4401" spans="1:11" x14ac:dyDescent="0.25">
      <c r="A4401">
        <v>14.935978326408801</v>
      </c>
      <c r="B4401">
        <v>88.877740998280998</v>
      </c>
      <c r="C4401">
        <v>2000</v>
      </c>
    </row>
    <row r="4402" spans="1:11" x14ac:dyDescent="0.25">
      <c r="A4402">
        <v>13.7813915953974</v>
      </c>
      <c r="B4402">
        <v>90.032327729292405</v>
      </c>
      <c r="C4402">
        <v>2000</v>
      </c>
    </row>
    <row r="4403" spans="1:11" x14ac:dyDescent="0.25">
      <c r="A4403">
        <v>14.6554236442951</v>
      </c>
      <c r="B4403">
        <v>90.032327729292405</v>
      </c>
      <c r="C4403">
        <v>2001</v>
      </c>
    </row>
    <row r="4404" spans="1:11" x14ac:dyDescent="0.25">
      <c r="A4404">
        <v>15.286069948867301</v>
      </c>
      <c r="B4404">
        <v>89.401681424720195</v>
      </c>
      <c r="C4404">
        <v>2001</v>
      </c>
    </row>
    <row r="4405" spans="1:11" x14ac:dyDescent="0.25">
      <c r="A4405">
        <v>15.707461345339</v>
      </c>
      <c r="B4405">
        <v>88.980290028248504</v>
      </c>
      <c r="C4405">
        <v>2001</v>
      </c>
    </row>
    <row r="4406" spans="1:11" x14ac:dyDescent="0.25">
      <c r="A4406">
        <v>15.707461345339</v>
      </c>
      <c r="B4406">
        <v>88.1062579793509</v>
      </c>
      <c r="C4406">
        <v>2000</v>
      </c>
    </row>
    <row r="4407" spans="1:11" x14ac:dyDescent="0.25">
      <c r="A4407" t="s">
        <v>86</v>
      </c>
    </row>
    <row r="4408" spans="1:11" x14ac:dyDescent="0.25">
      <c r="A4408">
        <v>1010</v>
      </c>
      <c r="B4408">
        <v>1</v>
      </c>
      <c r="C4408">
        <v>0.473930742086282</v>
      </c>
      <c r="D4408">
        <v>1.61286400918266</v>
      </c>
      <c r="E4408">
        <v>6</v>
      </c>
      <c r="F4408">
        <v>1.01722196789785</v>
      </c>
      <c r="G4408" t="s">
        <v>87</v>
      </c>
      <c r="H4408" t="s">
        <v>87</v>
      </c>
      <c r="I4408">
        <v>185</v>
      </c>
      <c r="J4408">
        <v>186</v>
      </c>
      <c r="K4408">
        <v>0.121125394062888</v>
      </c>
    </row>
    <row r="4409" spans="1:11" x14ac:dyDescent="0.25">
      <c r="A4409" t="s">
        <v>85</v>
      </c>
    </row>
    <row r="4410" spans="1:11" x14ac:dyDescent="0.25">
      <c r="A4410">
        <v>3.5083705521277899</v>
      </c>
      <c r="B4410">
        <v>121.245638824512</v>
      </c>
      <c r="C4410">
        <v>2000</v>
      </c>
    </row>
    <row r="4411" spans="1:11" x14ac:dyDescent="0.25">
      <c r="A4411">
        <v>3.0740004554825102</v>
      </c>
      <c r="B4411">
        <v>121.68000892115801</v>
      </c>
      <c r="C4411">
        <v>2000</v>
      </c>
    </row>
    <row r="4412" spans="1:11" x14ac:dyDescent="0.25">
      <c r="A4412">
        <v>3.9480325043801301</v>
      </c>
      <c r="B4412">
        <v>121.68000892115801</v>
      </c>
      <c r="C4412">
        <v>2001</v>
      </c>
    </row>
    <row r="4413" spans="1:11" x14ac:dyDescent="0.25">
      <c r="A4413">
        <v>4.1839016908188098</v>
      </c>
      <c r="B4413">
        <v>121.444139734719</v>
      </c>
      <c r="C4413">
        <v>2001</v>
      </c>
    </row>
    <row r="4414" spans="1:11" x14ac:dyDescent="0.25">
      <c r="A4414">
        <v>4.9866031994980702</v>
      </c>
      <c r="B4414">
        <v>120.64143822603999</v>
      </c>
      <c r="C4414">
        <v>2001</v>
      </c>
    </row>
    <row r="4415" spans="1:11" x14ac:dyDescent="0.25">
      <c r="A4415">
        <v>4.98660319949808</v>
      </c>
      <c r="B4415">
        <v>119.76740617714201</v>
      </c>
      <c r="C4415">
        <v>2000</v>
      </c>
    </row>
    <row r="4416" spans="1:11" x14ac:dyDescent="0.25">
      <c r="A4416" t="s">
        <v>86</v>
      </c>
    </row>
    <row r="4417" spans="1:11" x14ac:dyDescent="0.25">
      <c r="A4417">
        <v>229</v>
      </c>
      <c r="B4417">
        <v>1</v>
      </c>
      <c r="C4417">
        <v>0.61735735667073799</v>
      </c>
      <c r="D4417">
        <v>1.4694373945982</v>
      </c>
      <c r="E4417">
        <v>6</v>
      </c>
      <c r="F4417">
        <v>1.01722196789785</v>
      </c>
      <c r="G4417" t="s">
        <v>87</v>
      </c>
      <c r="H4417" t="s">
        <v>87</v>
      </c>
      <c r="I4417">
        <v>185</v>
      </c>
      <c r="J4417">
        <v>186</v>
      </c>
      <c r="K4417">
        <v>0</v>
      </c>
    </row>
    <row r="4418" spans="1:11" x14ac:dyDescent="0.25">
      <c r="A4418" t="s">
        <v>85</v>
      </c>
    </row>
    <row r="4419" spans="1:11" x14ac:dyDescent="0.25">
      <c r="A4419">
        <v>18.6473314695479</v>
      </c>
      <c r="B4419">
        <v>136.121691148308</v>
      </c>
      <c r="C4419">
        <v>2000</v>
      </c>
    </row>
    <row r="4420" spans="1:11" x14ac:dyDescent="0.25">
      <c r="A4420">
        <v>18.081507076090599</v>
      </c>
      <c r="B4420">
        <v>136.687515541766</v>
      </c>
      <c r="C4420">
        <v>2000</v>
      </c>
    </row>
    <row r="4421" spans="1:11" x14ac:dyDescent="0.25">
      <c r="A4421">
        <v>18.955539124988199</v>
      </c>
      <c r="B4421">
        <v>136.687515541766</v>
      </c>
      <c r="C4421">
        <v>2001</v>
      </c>
    </row>
    <row r="4422" spans="1:11" x14ac:dyDescent="0.25">
      <c r="A4422">
        <v>19.2627898781654</v>
      </c>
      <c r="B4422">
        <v>136.38026478858799</v>
      </c>
      <c r="C4422">
        <v>2001</v>
      </c>
    </row>
    <row r="4423" spans="1:11" x14ac:dyDescent="0.25">
      <c r="A4423">
        <v>19.9941098201061</v>
      </c>
      <c r="B4423">
        <v>135.64894484664799</v>
      </c>
      <c r="C4423">
        <v>2001</v>
      </c>
    </row>
    <row r="4424" spans="1:11" x14ac:dyDescent="0.25">
      <c r="A4424">
        <v>19.9941098201061</v>
      </c>
      <c r="B4424">
        <v>134.77491279775001</v>
      </c>
      <c r="C4424">
        <v>2000</v>
      </c>
    </row>
    <row r="4425" spans="1:11" x14ac:dyDescent="0.25">
      <c r="A4425" t="s">
        <v>86</v>
      </c>
    </row>
    <row r="4426" spans="1:11" x14ac:dyDescent="0.25">
      <c r="A4426">
        <v>233</v>
      </c>
      <c r="B4426">
        <v>1</v>
      </c>
      <c r="C4426">
        <v>1.92025042562933</v>
      </c>
      <c r="D4426">
        <v>0.166544325639606</v>
      </c>
      <c r="E4426">
        <v>6</v>
      </c>
      <c r="F4426">
        <v>1.01722196789785</v>
      </c>
      <c r="G4426" t="s">
        <v>87</v>
      </c>
      <c r="H4426" t="s">
        <v>87</v>
      </c>
      <c r="I4426">
        <v>185</v>
      </c>
      <c r="J4426">
        <v>186</v>
      </c>
      <c r="K4426">
        <v>0</v>
      </c>
    </row>
    <row r="4427" spans="1:11" x14ac:dyDescent="0.25">
      <c r="A4427" t="s">
        <v>85</v>
      </c>
    </row>
    <row r="4428" spans="1:11" x14ac:dyDescent="0.25">
      <c r="A4428">
        <v>22.7161476953613</v>
      </c>
      <c r="B4428">
        <v>137.80223525743801</v>
      </c>
      <c r="C4428">
        <v>2000</v>
      </c>
    </row>
    <row r="4429" spans="1:11" x14ac:dyDescent="0.25">
      <c r="A4429">
        <v>20.956187243561899</v>
      </c>
      <c r="B4429">
        <v>139.56219570923699</v>
      </c>
      <c r="C4429">
        <v>2000</v>
      </c>
    </row>
    <row r="4430" spans="1:11" x14ac:dyDescent="0.25">
      <c r="A4430">
        <v>21.830219292459599</v>
      </c>
      <c r="B4430">
        <v>139.56219570923699</v>
      </c>
      <c r="C4430">
        <v>2001</v>
      </c>
    </row>
    <row r="4431" spans="1:11" x14ac:dyDescent="0.25">
      <c r="A4431">
        <v>22.785903035737899</v>
      </c>
      <c r="B4431">
        <v>138.60651196595899</v>
      </c>
      <c r="C4431">
        <v>2001</v>
      </c>
    </row>
    <row r="4432" spans="1:11" x14ac:dyDescent="0.25">
      <c r="A4432">
        <v>22.8687899875775</v>
      </c>
      <c r="B4432">
        <v>138.52362501411901</v>
      </c>
      <c r="C4432">
        <v>2001</v>
      </c>
    </row>
    <row r="4433" spans="1:11" x14ac:dyDescent="0.25">
      <c r="A4433">
        <v>22.8687899875775</v>
      </c>
      <c r="B4433">
        <v>137.64959296522099</v>
      </c>
      <c r="C4433">
        <v>2000</v>
      </c>
    </row>
    <row r="4434" spans="1:11" x14ac:dyDescent="0.25">
      <c r="A4434" t="s">
        <v>86</v>
      </c>
    </row>
    <row r="4435" spans="1:11" x14ac:dyDescent="0.25">
      <c r="A4435">
        <v>970</v>
      </c>
      <c r="B4435">
        <v>1</v>
      </c>
      <c r="C4435">
        <v>1.5181855262069499</v>
      </c>
      <c r="D4435">
        <v>0.56860922506199096</v>
      </c>
      <c r="E4435">
        <v>6</v>
      </c>
      <c r="F4435">
        <v>1.01722196789785</v>
      </c>
      <c r="G4435" t="s">
        <v>87</v>
      </c>
      <c r="H4435" t="s">
        <v>87</v>
      </c>
      <c r="I4435">
        <v>185</v>
      </c>
      <c r="J4435">
        <v>186</v>
      </c>
      <c r="K4435">
        <v>0.118988924366406</v>
      </c>
    </row>
    <row r="4436" spans="1:11" x14ac:dyDescent="0.25">
      <c r="A4436" t="s">
        <v>85</v>
      </c>
    </row>
    <row r="4437" spans="1:11" x14ac:dyDescent="0.25">
      <c r="A4437">
        <v>17.176811577248799</v>
      </c>
      <c r="B4437">
        <v>132.99990543037501</v>
      </c>
      <c r="C4437">
        <v>2000</v>
      </c>
    </row>
    <row r="4438" spans="1:11" x14ac:dyDescent="0.25">
      <c r="A4438">
        <v>15.7853542709745</v>
      </c>
      <c r="B4438">
        <v>134.39136273665</v>
      </c>
      <c r="C4438">
        <v>2000</v>
      </c>
    </row>
    <row r="4439" spans="1:11" x14ac:dyDescent="0.25">
      <c r="A4439">
        <v>16.659386319872102</v>
      </c>
      <c r="B4439">
        <v>134.39136273665</v>
      </c>
      <c r="C4439">
        <v>2001</v>
      </c>
    </row>
    <row r="4440" spans="1:11" x14ac:dyDescent="0.25">
      <c r="A4440">
        <v>17.414967574958101</v>
      </c>
      <c r="B4440">
        <v>133.63578148156299</v>
      </c>
      <c r="C4440">
        <v>2001</v>
      </c>
    </row>
    <row r="4441" spans="1:11" x14ac:dyDescent="0.25">
      <c r="A4441">
        <v>17.697957014989999</v>
      </c>
      <c r="B4441">
        <v>133.35279204153201</v>
      </c>
      <c r="C4441">
        <v>2001</v>
      </c>
    </row>
    <row r="4442" spans="1:11" x14ac:dyDescent="0.25">
      <c r="A4442">
        <v>17.697957014989999</v>
      </c>
      <c r="B4442">
        <v>132.478759992634</v>
      </c>
      <c r="C4442">
        <v>2000</v>
      </c>
    </row>
    <row r="4443" spans="1:11" x14ac:dyDescent="0.25">
      <c r="A4443" t="s">
        <v>86</v>
      </c>
    </row>
    <row r="4444" spans="1:11" x14ac:dyDescent="0.25">
      <c r="A4444">
        <v>629</v>
      </c>
      <c r="B4444">
        <v>1</v>
      </c>
      <c r="C4444">
        <v>1.7077472171821599</v>
      </c>
      <c r="D4444">
        <v>0.37384248061132302</v>
      </c>
      <c r="E4444">
        <v>8</v>
      </c>
      <c r="F4444">
        <v>1.01722196789785</v>
      </c>
      <c r="G4444" t="s">
        <v>87</v>
      </c>
      <c r="H4444" t="s">
        <v>87</v>
      </c>
      <c r="I4444">
        <v>267</v>
      </c>
      <c r="J4444">
        <v>588</v>
      </c>
      <c r="K4444">
        <v>0</v>
      </c>
    </row>
    <row r="4445" spans="1:11" x14ac:dyDescent="0.25">
      <c r="A4445" t="s">
        <v>85</v>
      </c>
    </row>
    <row r="4446" spans="1:11" x14ac:dyDescent="0.25">
      <c r="A4446">
        <v>123.782398555745</v>
      </c>
      <c r="B4446">
        <v>99.651085459968499</v>
      </c>
      <c r="C4446">
        <v>2000</v>
      </c>
    </row>
    <row r="4447" spans="1:11" x14ac:dyDescent="0.25">
      <c r="A4447">
        <v>123.076478465026</v>
      </c>
      <c r="B4447">
        <v>100.357005550688</v>
      </c>
      <c r="C4447">
        <v>2000</v>
      </c>
    </row>
    <row r="4448" spans="1:11" x14ac:dyDescent="0.25">
      <c r="A4448">
        <v>122.554299222564</v>
      </c>
      <c r="B4448">
        <v>100.87918479315</v>
      </c>
      <c r="C4448">
        <v>2000</v>
      </c>
    </row>
    <row r="4449" spans="1:11" x14ac:dyDescent="0.25">
      <c r="A4449">
        <v>122.554299222564</v>
      </c>
      <c r="B4449">
        <v>100.005152744252</v>
      </c>
      <c r="C4449">
        <v>2001</v>
      </c>
    </row>
    <row r="4450" spans="1:11" x14ac:dyDescent="0.25">
      <c r="A4450">
        <v>122.916457517504</v>
      </c>
      <c r="B4450">
        <v>99.642994449312098</v>
      </c>
      <c r="C4450">
        <v>2001</v>
      </c>
    </row>
    <row r="4451" spans="1:11" x14ac:dyDescent="0.25">
      <c r="A4451">
        <v>123.741319165026</v>
      </c>
      <c r="B4451">
        <v>98.81813280179</v>
      </c>
      <c r="C4451">
        <v>2001</v>
      </c>
    </row>
    <row r="4452" spans="1:11" x14ac:dyDescent="0.25">
      <c r="A4452">
        <v>124.026205413521</v>
      </c>
      <c r="B4452">
        <v>98.533246553294603</v>
      </c>
      <c r="C4452">
        <v>2001</v>
      </c>
    </row>
    <row r="4453" spans="1:11" x14ac:dyDescent="0.25">
      <c r="A4453">
        <v>124.026205413521</v>
      </c>
      <c r="B4453">
        <v>99.407278602192207</v>
      </c>
      <c r="C4453">
        <v>2000</v>
      </c>
    </row>
    <row r="4454" spans="1:11" x14ac:dyDescent="0.25">
      <c r="A4454" t="s">
        <v>86</v>
      </c>
    </row>
    <row r="4455" spans="1:11" x14ac:dyDescent="0.25">
      <c r="A4455">
        <v>1123</v>
      </c>
      <c r="B4455">
        <v>1</v>
      </c>
      <c r="C4455">
        <v>0.38501221865239499</v>
      </c>
      <c r="D4455">
        <v>1.6951339331153099</v>
      </c>
      <c r="E4455">
        <v>8</v>
      </c>
      <c r="F4455">
        <v>1.01722196789785</v>
      </c>
      <c r="G4455" t="s">
        <v>87</v>
      </c>
      <c r="H4455" t="s">
        <v>87</v>
      </c>
      <c r="I4455">
        <v>821</v>
      </c>
      <c r="J4455">
        <v>266</v>
      </c>
      <c r="K4455">
        <v>0.12417311997009001</v>
      </c>
    </row>
    <row r="4456" spans="1:11" x14ac:dyDescent="0.25">
      <c r="A4456" t="s">
        <v>85</v>
      </c>
    </row>
    <row r="4457" spans="1:11" x14ac:dyDescent="0.25">
      <c r="A4457">
        <v>117.76136034254</v>
      </c>
      <c r="B4457">
        <v>100.25325550241099</v>
      </c>
      <c r="C4457">
        <v>2000</v>
      </c>
    </row>
    <row r="4458" spans="1:11" x14ac:dyDescent="0.25">
      <c r="A4458">
        <v>117.592243800216</v>
      </c>
      <c r="B4458">
        <v>100.422372044735</v>
      </c>
      <c r="C4458">
        <v>2000</v>
      </c>
    </row>
    <row r="4459" spans="1:11" x14ac:dyDescent="0.25">
      <c r="A4459">
        <v>117.592243800216</v>
      </c>
      <c r="B4459">
        <v>101.296404093633</v>
      </c>
      <c r="C4459">
        <v>2001</v>
      </c>
    </row>
    <row r="4460" spans="1:11" x14ac:dyDescent="0.25">
      <c r="A4460">
        <v>117.967616759188</v>
      </c>
      <c r="B4460">
        <v>100.92103113466</v>
      </c>
      <c r="C4460">
        <v>2001</v>
      </c>
    </row>
    <row r="4461" spans="1:11" x14ac:dyDescent="0.25">
      <c r="A4461">
        <v>118.777174057518</v>
      </c>
      <c r="B4461">
        <v>100.11147383633001</v>
      </c>
      <c r="C4461">
        <v>2001</v>
      </c>
    </row>
    <row r="4462" spans="1:11" x14ac:dyDescent="0.25">
      <c r="A4462">
        <v>119.500145274438</v>
      </c>
      <c r="B4462">
        <v>99.388502619410104</v>
      </c>
      <c r="C4462">
        <v>2001</v>
      </c>
    </row>
    <row r="4463" spans="1:11" x14ac:dyDescent="0.25">
      <c r="A4463">
        <v>118.626113225541</v>
      </c>
      <c r="B4463">
        <v>99.388502619410204</v>
      </c>
      <c r="C4463">
        <v>2000</v>
      </c>
    </row>
    <row r="4464" spans="1:11" x14ac:dyDescent="0.25">
      <c r="A4464">
        <v>118.126089681281</v>
      </c>
      <c r="B4464">
        <v>99.888526163669695</v>
      </c>
      <c r="C4464">
        <v>2000</v>
      </c>
    </row>
    <row r="4465" spans="1:11" x14ac:dyDescent="0.25">
      <c r="A4465" t="s">
        <v>86</v>
      </c>
    </row>
    <row r="4466" spans="1:11" x14ac:dyDescent="0.25">
      <c r="A4466">
        <v>1061</v>
      </c>
      <c r="B4466">
        <v>1</v>
      </c>
      <c r="C4466">
        <v>1.0882346748263101</v>
      </c>
      <c r="D4466">
        <v>0.99191147694138204</v>
      </c>
      <c r="E4466">
        <v>6</v>
      </c>
      <c r="F4466">
        <v>1.01722196789785</v>
      </c>
      <c r="G4466" t="s">
        <v>87</v>
      </c>
      <c r="H4466" t="s">
        <v>87</v>
      </c>
      <c r="I4466">
        <v>821</v>
      </c>
      <c r="J4466">
        <v>266</v>
      </c>
      <c r="K4466">
        <v>0.12221412765037699</v>
      </c>
    </row>
    <row r="4467" spans="1:11" x14ac:dyDescent="0.25">
      <c r="A4467" t="s">
        <v>85</v>
      </c>
    </row>
    <row r="4468" spans="1:11" x14ac:dyDescent="0.25">
      <c r="A4468">
        <v>109.02027207169699</v>
      </c>
      <c r="B4468">
        <v>90.768656558043702</v>
      </c>
      <c r="C4468">
        <v>2000</v>
      </c>
    </row>
    <row r="4469" spans="1:11" x14ac:dyDescent="0.25">
      <c r="A4469">
        <v>108.479400192611</v>
      </c>
      <c r="B4469">
        <v>91.309528437130496</v>
      </c>
      <c r="C4469">
        <v>2000</v>
      </c>
    </row>
    <row r="4470" spans="1:11" x14ac:dyDescent="0.25">
      <c r="A4470">
        <v>108.479400192611</v>
      </c>
      <c r="B4470">
        <v>92.183560486028099</v>
      </c>
      <c r="C4470">
        <v>2001</v>
      </c>
    </row>
    <row r="4471" spans="1:11" x14ac:dyDescent="0.25">
      <c r="A4471">
        <v>109.47752454970799</v>
      </c>
      <c r="B4471">
        <v>91.185436128930803</v>
      </c>
      <c r="C4471">
        <v>2001</v>
      </c>
    </row>
    <row r="4472" spans="1:11" x14ac:dyDescent="0.25">
      <c r="A4472">
        <v>110.387301666833</v>
      </c>
      <c r="B4472">
        <v>90.275659011805303</v>
      </c>
      <c r="C4472">
        <v>2001</v>
      </c>
    </row>
    <row r="4473" spans="1:11" x14ac:dyDescent="0.25">
      <c r="A4473">
        <v>109.513269617936</v>
      </c>
      <c r="B4473">
        <v>90.275659011805303</v>
      </c>
      <c r="C4473">
        <v>2000</v>
      </c>
    </row>
    <row r="4474" spans="1:11" x14ac:dyDescent="0.25">
      <c r="A4474" t="s">
        <v>86</v>
      </c>
    </row>
    <row r="4475" spans="1:11" x14ac:dyDescent="0.25">
      <c r="A4475">
        <v>920</v>
      </c>
      <c r="B4475">
        <v>1</v>
      </c>
      <c r="C4475">
        <v>0.843745284603443</v>
      </c>
      <c r="D4475">
        <v>1.2217381267330001</v>
      </c>
      <c r="E4475">
        <v>6</v>
      </c>
      <c r="F4475">
        <v>1.01722196789785</v>
      </c>
      <c r="G4475" t="s">
        <v>87</v>
      </c>
      <c r="H4475" t="s">
        <v>87</v>
      </c>
      <c r="I4475">
        <v>599</v>
      </c>
      <c r="J4475">
        <v>519</v>
      </c>
      <c r="K4475">
        <v>0.11722927267913701</v>
      </c>
    </row>
    <row r="4476" spans="1:11" x14ac:dyDescent="0.25">
      <c r="A4476" t="s">
        <v>85</v>
      </c>
    </row>
    <row r="4477" spans="1:11" x14ac:dyDescent="0.25">
      <c r="A4477">
        <v>107.526853470368</v>
      </c>
      <c r="B4477">
        <v>39.984872082707</v>
      </c>
      <c r="C4477">
        <v>2000</v>
      </c>
    </row>
    <row r="4478" spans="1:11" x14ac:dyDescent="0.25">
      <c r="A4478">
        <v>106.93023545803101</v>
      </c>
      <c r="B4478">
        <v>40.581490095044302</v>
      </c>
      <c r="C4478">
        <v>2000</v>
      </c>
    </row>
    <row r="4479" spans="1:11" x14ac:dyDescent="0.25">
      <c r="A4479">
        <v>106.056203409133</v>
      </c>
      <c r="B4479">
        <v>40.581490095044302</v>
      </c>
      <c r="C4479">
        <v>2001</v>
      </c>
    </row>
    <row r="4480" spans="1:11" x14ac:dyDescent="0.25">
      <c r="A4480">
        <v>106.65282142146999</v>
      </c>
      <c r="B4480">
        <v>39.984872082707</v>
      </c>
      <c r="C4480">
        <v>2001</v>
      </c>
    </row>
    <row r="4481" spans="1:11" x14ac:dyDescent="0.25">
      <c r="A4481">
        <v>107.516720735718</v>
      </c>
      <c r="B4481">
        <v>39.1209727684599</v>
      </c>
      <c r="C4481">
        <v>2001</v>
      </c>
    </row>
    <row r="4482" spans="1:11" x14ac:dyDescent="0.25">
      <c r="A4482">
        <v>108.390752784615</v>
      </c>
      <c r="B4482">
        <v>39.1209727684599</v>
      </c>
      <c r="C4482">
        <v>2000</v>
      </c>
    </row>
    <row r="4483" spans="1:11" x14ac:dyDescent="0.25">
      <c r="A4483" t="s">
        <v>86</v>
      </c>
    </row>
    <row r="4484" spans="1:11" x14ac:dyDescent="0.25">
      <c r="A4484">
        <v>1132</v>
      </c>
      <c r="B4484">
        <v>1</v>
      </c>
      <c r="C4484">
        <v>1.09235773967468</v>
      </c>
      <c r="D4484">
        <v>0.97242470042353801</v>
      </c>
      <c r="E4484">
        <v>6</v>
      </c>
      <c r="F4484">
        <v>1.01722196789785</v>
      </c>
      <c r="G4484" t="s">
        <v>87</v>
      </c>
      <c r="H4484" t="s">
        <v>87</v>
      </c>
      <c r="I4484">
        <v>821</v>
      </c>
      <c r="J4484">
        <v>349</v>
      </c>
      <c r="K4484">
        <v>0.12440073496922301</v>
      </c>
    </row>
    <row r="4485" spans="1:11" x14ac:dyDescent="0.25">
      <c r="A4485" t="s">
        <v>85</v>
      </c>
    </row>
    <row r="4486" spans="1:11" x14ac:dyDescent="0.25">
      <c r="A4486">
        <v>80.774059591709602</v>
      </c>
      <c r="B4486">
        <v>62.059360705818399</v>
      </c>
      <c r="C4486">
        <v>2000</v>
      </c>
    </row>
    <row r="4487" spans="1:11" x14ac:dyDescent="0.25">
      <c r="A4487">
        <v>80.001646026504105</v>
      </c>
      <c r="B4487">
        <v>62.831774271023903</v>
      </c>
      <c r="C4487">
        <v>2000</v>
      </c>
    </row>
    <row r="4488" spans="1:11" x14ac:dyDescent="0.25">
      <c r="A4488">
        <v>80.001646026504105</v>
      </c>
      <c r="B4488">
        <v>63.705806319921599</v>
      </c>
      <c r="C4488">
        <v>2001</v>
      </c>
    </row>
    <row r="4489" spans="1:11" x14ac:dyDescent="0.25">
      <c r="A4489">
        <v>80.774059591709602</v>
      </c>
      <c r="B4489">
        <v>62.933392754716003</v>
      </c>
      <c r="C4489">
        <v>2001</v>
      </c>
    </row>
    <row r="4490" spans="1:11" x14ac:dyDescent="0.25">
      <c r="A4490">
        <v>81.461667691572401</v>
      </c>
      <c r="B4490">
        <v>62.245784654853203</v>
      </c>
      <c r="C4490">
        <v>2001</v>
      </c>
    </row>
    <row r="4491" spans="1:11" x14ac:dyDescent="0.25">
      <c r="A4491">
        <v>81.461667691572401</v>
      </c>
      <c r="B4491">
        <v>61.371752605955599</v>
      </c>
      <c r="C4491">
        <v>2000</v>
      </c>
    </row>
    <row r="4492" spans="1:11" x14ac:dyDescent="0.25">
      <c r="A4492" t="s">
        <v>86</v>
      </c>
    </row>
    <row r="4493" spans="1:11" x14ac:dyDescent="0.25">
      <c r="A4493">
        <v>197</v>
      </c>
      <c r="B4493">
        <v>0</v>
      </c>
      <c r="C4493">
        <v>1.0801654497748501</v>
      </c>
      <c r="D4493">
        <v>0.96469870669129398</v>
      </c>
      <c r="E4493">
        <v>6</v>
      </c>
      <c r="F4493">
        <v>1.01722196789785</v>
      </c>
      <c r="G4493" t="s">
        <v>84</v>
      </c>
      <c r="H4493" t="s">
        <v>84</v>
      </c>
      <c r="I4493">
        <v>183</v>
      </c>
      <c r="J4493">
        <v>828</v>
      </c>
      <c r="K4493">
        <v>0</v>
      </c>
    </row>
    <row r="4494" spans="1:11" x14ac:dyDescent="0.25">
      <c r="A4494" t="s">
        <v>85</v>
      </c>
    </row>
    <row r="4495" spans="1:11" x14ac:dyDescent="0.25">
      <c r="A4495">
        <v>47.993457079866502</v>
      </c>
      <c r="B4495">
        <v>124.626437473398</v>
      </c>
      <c r="C4495">
        <v>2000</v>
      </c>
    </row>
    <row r="4496" spans="1:11" x14ac:dyDescent="0.25">
      <c r="A4496">
        <v>47.229664765527197</v>
      </c>
      <c r="B4496">
        <v>123.862645159059</v>
      </c>
      <c r="C4496">
        <v>2000</v>
      </c>
    </row>
    <row r="4497" spans="1:11" x14ac:dyDescent="0.25">
      <c r="A4497">
        <v>47.666680789976098</v>
      </c>
      <c r="B4497">
        <v>123.42562913461001</v>
      </c>
      <c r="C4497">
        <v>2001</v>
      </c>
    </row>
    <row r="4498" spans="1:11" x14ac:dyDescent="0.25">
      <c r="A4498">
        <v>48.430473104315297</v>
      </c>
      <c r="B4498">
        <v>124.18942144894901</v>
      </c>
      <c r="C4498">
        <v>2001</v>
      </c>
    </row>
    <row r="4499" spans="1:11" x14ac:dyDescent="0.25">
      <c r="A4499">
        <v>49.112618101618601</v>
      </c>
      <c r="B4499">
        <v>124.871566446253</v>
      </c>
      <c r="C4499">
        <v>2001</v>
      </c>
    </row>
    <row r="4500" spans="1:11" x14ac:dyDescent="0.25">
      <c r="A4500">
        <v>48.675602077169799</v>
      </c>
      <c r="B4500">
        <v>125.308582470701</v>
      </c>
      <c r="C4500">
        <v>2000</v>
      </c>
    </row>
    <row r="4501" spans="1:11" x14ac:dyDescent="0.25">
      <c r="A4501" t="s">
        <v>86</v>
      </c>
    </row>
    <row r="4502" spans="1:11" x14ac:dyDescent="0.25">
      <c r="A4502">
        <v>911</v>
      </c>
      <c r="B4502">
        <v>1</v>
      </c>
      <c r="C4502">
        <v>1.55708318198802</v>
      </c>
      <c r="D4502">
        <v>0.48353215638110197</v>
      </c>
      <c r="E4502">
        <v>6</v>
      </c>
      <c r="F4502">
        <v>1.01722196789785</v>
      </c>
      <c r="G4502" t="s">
        <v>87</v>
      </c>
      <c r="H4502" t="s">
        <v>87</v>
      </c>
      <c r="I4502">
        <v>504</v>
      </c>
      <c r="J4502">
        <v>502</v>
      </c>
      <c r="K4502">
        <v>0.11685087107927999</v>
      </c>
    </row>
    <row r="4503" spans="1:11" x14ac:dyDescent="0.25">
      <c r="A4503" t="s">
        <v>85</v>
      </c>
    </row>
    <row r="4504" spans="1:11" x14ac:dyDescent="0.25">
      <c r="A4504">
        <v>139.097768656955</v>
      </c>
      <c r="B4504">
        <v>44.806415860442101</v>
      </c>
      <c r="C4504">
        <v>2000</v>
      </c>
    </row>
    <row r="4505" spans="1:11" x14ac:dyDescent="0.25">
      <c r="A4505">
        <v>137.9967445801</v>
      </c>
      <c r="B4505">
        <v>45.907439937297397</v>
      </c>
      <c r="C4505">
        <v>2000</v>
      </c>
    </row>
    <row r="4506" spans="1:11" x14ac:dyDescent="0.25">
      <c r="A4506">
        <v>137.9967445801</v>
      </c>
      <c r="B4506">
        <v>45.033407888399701</v>
      </c>
      <c r="C4506">
        <v>2001</v>
      </c>
    </row>
    <row r="4507" spans="1:11" x14ac:dyDescent="0.25">
      <c r="A4507">
        <v>139.097768656955</v>
      </c>
      <c r="B4507">
        <v>43.932383811544497</v>
      </c>
      <c r="C4507">
        <v>2001</v>
      </c>
    </row>
    <row r="4508" spans="1:11" x14ac:dyDescent="0.25">
      <c r="A4508">
        <v>139.43967752365401</v>
      </c>
      <c r="B4508">
        <v>43.590474944845603</v>
      </c>
      <c r="C4508">
        <v>2001</v>
      </c>
    </row>
    <row r="4509" spans="1:11" x14ac:dyDescent="0.25">
      <c r="A4509">
        <v>139.43967752365401</v>
      </c>
      <c r="B4509">
        <v>44.464506993743299</v>
      </c>
      <c r="C4509">
        <v>2000</v>
      </c>
    </row>
    <row r="4510" spans="1:11" x14ac:dyDescent="0.25">
      <c r="A4510" t="s">
        <v>86</v>
      </c>
    </row>
    <row r="4511" spans="1:11" x14ac:dyDescent="0.25">
      <c r="A4511">
        <v>870</v>
      </c>
      <c r="B4511">
        <v>1</v>
      </c>
      <c r="C4511">
        <v>2.0221581138719098</v>
      </c>
      <c r="D4511">
        <v>2.8258144851243099E-3</v>
      </c>
      <c r="E4511">
        <v>6</v>
      </c>
      <c r="F4511">
        <v>1.01722196789785</v>
      </c>
      <c r="G4511" t="s">
        <v>87</v>
      </c>
      <c r="H4511" t="s">
        <v>87</v>
      </c>
      <c r="I4511">
        <v>349</v>
      </c>
      <c r="J4511">
        <v>796</v>
      </c>
      <c r="K4511">
        <v>0.114536792619501</v>
      </c>
    </row>
    <row r="4512" spans="1:11" x14ac:dyDescent="0.25">
      <c r="A4512" t="s">
        <v>85</v>
      </c>
    </row>
    <row r="4513" spans="1:11" x14ac:dyDescent="0.25">
      <c r="A4513">
        <v>84.587982471831495</v>
      </c>
      <c r="B4513">
        <v>61.638303956314203</v>
      </c>
      <c r="C4513">
        <v>2000</v>
      </c>
    </row>
    <row r="4514" spans="1:11" x14ac:dyDescent="0.25">
      <c r="A4514">
        <v>83.158100756881197</v>
      </c>
      <c r="B4514">
        <v>63.068185671264402</v>
      </c>
      <c r="C4514">
        <v>2000</v>
      </c>
    </row>
    <row r="4515" spans="1:11" x14ac:dyDescent="0.25">
      <c r="A4515">
        <v>82.284068707983593</v>
      </c>
      <c r="B4515">
        <v>63.068185671264402</v>
      </c>
      <c r="C4515">
        <v>2001</v>
      </c>
    </row>
    <row r="4516" spans="1:11" x14ac:dyDescent="0.25">
      <c r="A4516">
        <v>83.713950422933806</v>
      </c>
      <c r="B4516">
        <v>61.638303956314203</v>
      </c>
      <c r="C4516">
        <v>2001</v>
      </c>
    </row>
    <row r="4517" spans="1:11" x14ac:dyDescent="0.25">
      <c r="A4517">
        <v>83.715948575518595</v>
      </c>
      <c r="B4517">
        <v>61.6363058037294</v>
      </c>
      <c r="C4517">
        <v>2001</v>
      </c>
    </row>
    <row r="4518" spans="1:11" x14ac:dyDescent="0.25">
      <c r="A4518">
        <v>84.589980624416299</v>
      </c>
      <c r="B4518">
        <v>61.6363058037294</v>
      </c>
      <c r="C4518">
        <v>2000</v>
      </c>
    </row>
    <row r="4519" spans="1:11" x14ac:dyDescent="0.25">
      <c r="A4519" t="s">
        <v>86</v>
      </c>
    </row>
    <row r="4520" spans="1:11" x14ac:dyDescent="0.25">
      <c r="A4520">
        <v>1105</v>
      </c>
      <c r="B4520">
        <v>1</v>
      </c>
      <c r="C4520">
        <v>0.88546126392581603</v>
      </c>
      <c r="D4520">
        <v>1.1241589527617399</v>
      </c>
      <c r="E4520">
        <v>6</v>
      </c>
      <c r="F4520">
        <v>1.01722196789785</v>
      </c>
      <c r="G4520" t="s">
        <v>87</v>
      </c>
      <c r="H4520" t="s">
        <v>87</v>
      </c>
      <c r="I4520">
        <v>266</v>
      </c>
      <c r="J4520">
        <v>796</v>
      </c>
      <c r="K4520">
        <v>0.123468647787635</v>
      </c>
    </row>
    <row r="4521" spans="1:11" x14ac:dyDescent="0.25">
      <c r="A4521" t="s">
        <v>85</v>
      </c>
    </row>
    <row r="4522" spans="1:11" x14ac:dyDescent="0.25">
      <c r="A4522">
        <v>88.865406952896905</v>
      </c>
      <c r="B4522">
        <v>67.990456669882406</v>
      </c>
      <c r="C4522">
        <v>2000</v>
      </c>
    </row>
    <row r="4523" spans="1:11" x14ac:dyDescent="0.25">
      <c r="A4523">
        <v>88.046737114454999</v>
      </c>
      <c r="B4523">
        <v>68.809126508324397</v>
      </c>
      <c r="C4523">
        <v>2000</v>
      </c>
    </row>
    <row r="4524" spans="1:11" x14ac:dyDescent="0.25">
      <c r="A4524">
        <v>88.046737114454999</v>
      </c>
      <c r="B4524">
        <v>67.935094459426693</v>
      </c>
      <c r="C4524">
        <v>2001</v>
      </c>
    </row>
    <row r="4525" spans="1:11" x14ac:dyDescent="0.25">
      <c r="A4525">
        <v>88.480298604412894</v>
      </c>
      <c r="B4525">
        <v>67.501532969468798</v>
      </c>
      <c r="C4525">
        <v>2001</v>
      </c>
    </row>
    <row r="4526" spans="1:11" x14ac:dyDescent="0.25">
      <c r="A4526">
        <v>89.030737172835501</v>
      </c>
      <c r="B4526">
        <v>66.951094401046205</v>
      </c>
      <c r="C4526">
        <v>2001</v>
      </c>
    </row>
    <row r="4527" spans="1:11" x14ac:dyDescent="0.25">
      <c r="A4527">
        <v>89.904769221733105</v>
      </c>
      <c r="B4527">
        <v>66.951094401046205</v>
      </c>
      <c r="C4527">
        <v>2000</v>
      </c>
    </row>
    <row r="4528" spans="1:11" x14ac:dyDescent="0.25">
      <c r="A4528" t="s">
        <v>86</v>
      </c>
    </row>
    <row r="4529" spans="1:11" x14ac:dyDescent="0.25">
      <c r="A4529">
        <v>625</v>
      </c>
      <c r="B4529">
        <v>1</v>
      </c>
      <c r="C4529">
        <v>1.43588675802486</v>
      </c>
      <c r="D4529">
        <v>0.56969868816929603</v>
      </c>
      <c r="E4529">
        <v>6</v>
      </c>
      <c r="F4529">
        <v>1.01722196789785</v>
      </c>
      <c r="G4529" t="s">
        <v>87</v>
      </c>
      <c r="H4529" t="s">
        <v>87</v>
      </c>
      <c r="I4529">
        <v>848</v>
      </c>
      <c r="J4529">
        <v>733</v>
      </c>
      <c r="K4529">
        <v>0</v>
      </c>
    </row>
    <row r="4530" spans="1:11" x14ac:dyDescent="0.25">
      <c r="A4530" t="s">
        <v>85</v>
      </c>
    </row>
    <row r="4531" spans="1:11" x14ac:dyDescent="0.25">
      <c r="A4531">
        <v>113.785000899024</v>
      </c>
      <c r="B4531">
        <v>60.406017290359898</v>
      </c>
      <c r="C4531">
        <v>2000</v>
      </c>
    </row>
    <row r="4532" spans="1:11" x14ac:dyDescent="0.25">
      <c r="A4532">
        <v>113.082554612338</v>
      </c>
      <c r="B4532">
        <v>61.108463577045299</v>
      </c>
      <c r="C4532">
        <v>2000</v>
      </c>
    </row>
    <row r="4533" spans="1:11" x14ac:dyDescent="0.25">
      <c r="A4533">
        <v>112.20852256344099</v>
      </c>
      <c r="B4533">
        <v>61.108463577045299</v>
      </c>
      <c r="C4533">
        <v>2001</v>
      </c>
    </row>
    <row r="4534" spans="1:11" x14ac:dyDescent="0.25">
      <c r="A4534">
        <v>113.536726803986</v>
      </c>
      <c r="B4534">
        <v>59.780259336500102</v>
      </c>
      <c r="C4534">
        <v>2001</v>
      </c>
    </row>
    <row r="4535" spans="1:11" x14ac:dyDescent="0.25">
      <c r="A4535">
        <v>114.063701657142</v>
      </c>
      <c r="B4535">
        <v>59.253284483343599</v>
      </c>
      <c r="C4535">
        <v>2001</v>
      </c>
    </row>
    <row r="4536" spans="1:11" x14ac:dyDescent="0.25">
      <c r="A4536">
        <v>114.063701657142</v>
      </c>
      <c r="B4536">
        <v>60.127316532241203</v>
      </c>
      <c r="C4536">
        <v>2000</v>
      </c>
    </row>
    <row r="4537" spans="1:11" x14ac:dyDescent="0.25">
      <c r="A4537" t="s">
        <v>86</v>
      </c>
    </row>
    <row r="4538" spans="1:11" x14ac:dyDescent="0.25">
      <c r="A4538">
        <v>1102</v>
      </c>
      <c r="B4538">
        <v>1</v>
      </c>
      <c r="C4538">
        <v>0.32757031171742301</v>
      </c>
      <c r="D4538">
        <v>1.67299852351228</v>
      </c>
      <c r="E4538">
        <v>6</v>
      </c>
      <c r="F4538">
        <v>1.01722196789785</v>
      </c>
      <c r="G4538" t="s">
        <v>87</v>
      </c>
      <c r="H4538" t="s">
        <v>83</v>
      </c>
      <c r="I4538">
        <v>515</v>
      </c>
      <c r="J4538">
        <v>0</v>
      </c>
      <c r="K4538">
        <v>0.123468647787635</v>
      </c>
    </row>
    <row r="4539" spans="1:11" x14ac:dyDescent="0.25">
      <c r="A4539" t="s">
        <v>85</v>
      </c>
    </row>
    <row r="4540" spans="1:11" x14ac:dyDescent="0.25">
      <c r="A4540">
        <v>114.629956881352</v>
      </c>
      <c r="B4540">
        <v>1.1829886008906301</v>
      </c>
      <c r="C4540">
        <v>2000</v>
      </c>
    </row>
    <row r="4541" spans="1:11" x14ac:dyDescent="0.25">
      <c r="A4541">
        <v>114.398329692621</v>
      </c>
      <c r="B4541">
        <v>1.41461578962141</v>
      </c>
      <c r="C4541">
        <v>2000</v>
      </c>
    </row>
    <row r="4542" spans="1:11" x14ac:dyDescent="0.25">
      <c r="A4542">
        <v>115.27236174151901</v>
      </c>
      <c r="B4542">
        <v>1.41461578962141</v>
      </c>
      <c r="C4542">
        <v>2001</v>
      </c>
    </row>
    <row r="4543" spans="1:11" x14ac:dyDescent="0.25">
      <c r="A4543">
        <v>115.50398893025</v>
      </c>
      <c r="B4543">
        <v>1.1829886008906301</v>
      </c>
      <c r="C4543">
        <v>2001</v>
      </c>
    </row>
    <row r="4544" spans="1:11" x14ac:dyDescent="0.25">
      <c r="A4544">
        <v>116.686977531141</v>
      </c>
      <c r="B4544">
        <v>0</v>
      </c>
      <c r="C4544">
        <v>2001</v>
      </c>
    </row>
    <row r="4545" spans="1:11" x14ac:dyDescent="0.25">
      <c r="A4545">
        <v>115.81294548224299</v>
      </c>
      <c r="B4545">
        <v>0</v>
      </c>
      <c r="C4545">
        <v>2000</v>
      </c>
    </row>
    <row r="4546" spans="1:11" x14ac:dyDescent="0.25">
      <c r="A4546" t="s">
        <v>86</v>
      </c>
    </row>
    <row r="4547" spans="1:11" x14ac:dyDescent="0.25">
      <c r="A4547">
        <v>391</v>
      </c>
      <c r="B4547">
        <v>1</v>
      </c>
      <c r="C4547">
        <v>0.75929380027820803</v>
      </c>
      <c r="D4547">
        <v>1.24094596026075</v>
      </c>
      <c r="E4547">
        <v>6</v>
      </c>
      <c r="F4547">
        <v>1.01722196789785</v>
      </c>
      <c r="G4547" t="s">
        <v>87</v>
      </c>
      <c r="H4547" t="s">
        <v>87</v>
      </c>
      <c r="I4547">
        <v>742</v>
      </c>
      <c r="J4547">
        <v>754</v>
      </c>
      <c r="K4547">
        <v>0</v>
      </c>
    </row>
    <row r="4548" spans="1:11" x14ac:dyDescent="0.25">
      <c r="A4548" t="s">
        <v>85</v>
      </c>
    </row>
    <row r="4549" spans="1:11" x14ac:dyDescent="0.25">
      <c r="A4549">
        <v>53.912665887238397</v>
      </c>
      <c r="B4549">
        <v>69.681101033781303</v>
      </c>
      <c r="C4549">
        <v>2000</v>
      </c>
    </row>
    <row r="4550" spans="1:11" x14ac:dyDescent="0.25">
      <c r="A4550">
        <v>53.3757640921487</v>
      </c>
      <c r="B4550">
        <v>70.218002828870894</v>
      </c>
      <c r="C4550">
        <v>2000</v>
      </c>
    </row>
    <row r="4551" spans="1:11" x14ac:dyDescent="0.25">
      <c r="A4551">
        <v>54.249796141046403</v>
      </c>
      <c r="B4551">
        <v>70.218002828870894</v>
      </c>
      <c r="C4551">
        <v>2001</v>
      </c>
    </row>
    <row r="4552" spans="1:11" x14ac:dyDescent="0.25">
      <c r="A4552">
        <v>54.786697936136001</v>
      </c>
      <c r="B4552">
        <v>69.681101033781303</v>
      </c>
      <c r="C4552">
        <v>2001</v>
      </c>
    </row>
    <row r="4553" spans="1:11" x14ac:dyDescent="0.25">
      <c r="A4553">
        <v>55.664179239722401</v>
      </c>
      <c r="B4553">
        <v>68.803619730194896</v>
      </c>
      <c r="C4553">
        <v>2001</v>
      </c>
    </row>
    <row r="4554" spans="1:11" x14ac:dyDescent="0.25">
      <c r="A4554">
        <v>54.790147190824797</v>
      </c>
      <c r="B4554">
        <v>68.803619730194896</v>
      </c>
      <c r="C4554">
        <v>2000</v>
      </c>
    </row>
    <row r="4555" spans="1:11" x14ac:dyDescent="0.25">
      <c r="A4555" t="s">
        <v>86</v>
      </c>
    </row>
    <row r="4556" spans="1:11" x14ac:dyDescent="0.25">
      <c r="A4556">
        <v>317</v>
      </c>
      <c r="B4556">
        <v>1</v>
      </c>
      <c r="C4556">
        <v>1.2410885516102601</v>
      </c>
      <c r="D4556">
        <v>0.758050434793207</v>
      </c>
      <c r="E4556">
        <v>6</v>
      </c>
      <c r="F4556">
        <v>1.01722196789785</v>
      </c>
      <c r="G4556" t="s">
        <v>87</v>
      </c>
      <c r="H4556" t="s">
        <v>84</v>
      </c>
      <c r="I4556">
        <v>835</v>
      </c>
      <c r="J4556">
        <v>312</v>
      </c>
      <c r="K4556">
        <v>0</v>
      </c>
    </row>
    <row r="4557" spans="1:11" x14ac:dyDescent="0.25">
      <c r="A4557" t="s">
        <v>85</v>
      </c>
    </row>
    <row r="4558" spans="1:11" x14ac:dyDescent="0.25">
      <c r="A4558">
        <v>121.68919436299301</v>
      </c>
      <c r="B4558">
        <v>143.82334402700499</v>
      </c>
      <c r="C4558">
        <v>2000</v>
      </c>
    </row>
    <row r="4559" spans="1:11" x14ac:dyDescent="0.25">
      <c r="A4559">
        <v>120.675959936658</v>
      </c>
      <c r="B4559">
        <v>144.83657845334</v>
      </c>
      <c r="C4559">
        <v>2000</v>
      </c>
    </row>
    <row r="4560" spans="1:11" x14ac:dyDescent="0.25">
      <c r="A4560">
        <v>120.675959936658</v>
      </c>
      <c r="B4560">
        <v>143.962546404443</v>
      </c>
      <c r="C4560">
        <v>2001</v>
      </c>
    </row>
    <row r="4561" spans="1:11" x14ac:dyDescent="0.25">
      <c r="A4561">
        <v>121.417889772116</v>
      </c>
      <c r="B4561">
        <v>143.22061656898501</v>
      </c>
      <c r="C4561">
        <v>2001</v>
      </c>
    </row>
    <row r="4562" spans="1:11" x14ac:dyDescent="0.25">
      <c r="A4562">
        <v>121.87105665825401</v>
      </c>
      <c r="B4562">
        <v>142.767449682847</v>
      </c>
      <c r="C4562">
        <v>2001</v>
      </c>
    </row>
    <row r="4563" spans="1:11" x14ac:dyDescent="0.25">
      <c r="A4563">
        <v>122.308072682703</v>
      </c>
      <c r="B4563">
        <v>143.20446570729601</v>
      </c>
      <c r="C4563">
        <v>2000</v>
      </c>
    </row>
    <row r="4564" spans="1:11" x14ac:dyDescent="0.25">
      <c r="A4564" t="s">
        <v>86</v>
      </c>
    </row>
    <row r="4565" spans="1:11" x14ac:dyDescent="0.25">
      <c r="A4565">
        <v>552</v>
      </c>
      <c r="B4565">
        <v>1</v>
      </c>
      <c r="C4565">
        <v>1.9666787848168901</v>
      </c>
      <c r="D4565">
        <v>2.71328569221936E-2</v>
      </c>
      <c r="E4565">
        <v>6</v>
      </c>
      <c r="F4565">
        <v>1.01722196789785</v>
      </c>
      <c r="G4565" t="s">
        <v>87</v>
      </c>
      <c r="H4565" t="s">
        <v>87</v>
      </c>
      <c r="I4565">
        <v>671</v>
      </c>
      <c r="J4565">
        <v>810</v>
      </c>
      <c r="K4565">
        <v>0</v>
      </c>
    </row>
    <row r="4566" spans="1:11" x14ac:dyDescent="0.25">
      <c r="A4566" t="s">
        <v>85</v>
      </c>
    </row>
    <row r="4567" spans="1:11" x14ac:dyDescent="0.25">
      <c r="A4567">
        <v>113.718456049528</v>
      </c>
      <c r="B4567">
        <v>24.540280998717801</v>
      </c>
      <c r="C4567">
        <v>2000</v>
      </c>
    </row>
    <row r="4568" spans="1:11" x14ac:dyDescent="0.25">
      <c r="A4568">
        <v>112.75887302064299</v>
      </c>
      <c r="B4568">
        <v>25.499864027602499</v>
      </c>
      <c r="C4568">
        <v>2000</v>
      </c>
    </row>
    <row r="4569" spans="1:11" x14ac:dyDescent="0.25">
      <c r="A4569">
        <v>111.884840971746</v>
      </c>
      <c r="B4569">
        <v>25.499864027602499</v>
      </c>
      <c r="C4569">
        <v>2001</v>
      </c>
    </row>
    <row r="4570" spans="1:11" x14ac:dyDescent="0.25">
      <c r="A4570">
        <v>113.70656175318</v>
      </c>
      <c r="B4570">
        <v>23.6781432461677</v>
      </c>
      <c r="C4570">
        <v>2001</v>
      </c>
    </row>
    <row r="4571" spans="1:11" x14ac:dyDescent="0.25">
      <c r="A4571">
        <v>113.731694728477</v>
      </c>
      <c r="B4571">
        <v>23.653010270871299</v>
      </c>
      <c r="C4571">
        <v>2001</v>
      </c>
    </row>
    <row r="4572" spans="1:11" x14ac:dyDescent="0.25">
      <c r="A4572">
        <v>113.731694728477</v>
      </c>
      <c r="B4572">
        <v>24.527042319768999</v>
      </c>
      <c r="C4572">
        <v>2000</v>
      </c>
    </row>
    <row r="4573" spans="1:11" x14ac:dyDescent="0.25">
      <c r="A4573" t="s">
        <v>86</v>
      </c>
    </row>
    <row r="4574" spans="1:11" x14ac:dyDescent="0.25">
      <c r="A4574">
        <v>316</v>
      </c>
      <c r="B4574">
        <v>1</v>
      </c>
      <c r="C4574">
        <v>7.8988199084385299E-2</v>
      </c>
      <c r="D4574">
        <v>1.9040901714499601</v>
      </c>
      <c r="E4574">
        <v>6</v>
      </c>
      <c r="F4574">
        <v>1.01722196789785</v>
      </c>
      <c r="G4574" t="s">
        <v>87</v>
      </c>
      <c r="H4574" t="s">
        <v>87</v>
      </c>
      <c r="I4574">
        <v>263</v>
      </c>
      <c r="J4574">
        <v>270</v>
      </c>
      <c r="K4574">
        <v>0</v>
      </c>
    </row>
    <row r="4575" spans="1:11" x14ac:dyDescent="0.25">
      <c r="A4575" t="s">
        <v>85</v>
      </c>
    </row>
    <row r="4576" spans="1:11" x14ac:dyDescent="0.25">
      <c r="A4576">
        <v>136.59987731911201</v>
      </c>
      <c r="B4576">
        <v>133.22463363513501</v>
      </c>
      <c r="C4576">
        <v>2000</v>
      </c>
    </row>
    <row r="4577" spans="1:11" x14ac:dyDescent="0.25">
      <c r="A4577">
        <v>136.54402422790599</v>
      </c>
      <c r="B4577">
        <v>133.28048672634199</v>
      </c>
      <c r="C4577">
        <v>2000</v>
      </c>
    </row>
    <row r="4578" spans="1:11" x14ac:dyDescent="0.25">
      <c r="A4578">
        <v>136.54402422790599</v>
      </c>
      <c r="B4578">
        <v>134.15451877523901</v>
      </c>
      <c r="C4578">
        <v>2001</v>
      </c>
    </row>
    <row r="4579" spans="1:11" x14ac:dyDescent="0.25">
      <c r="A4579">
        <v>136.59987731911201</v>
      </c>
      <c r="B4579">
        <v>134.09866568403299</v>
      </c>
      <c r="C4579">
        <v>2001</v>
      </c>
    </row>
    <row r="4580" spans="1:11" x14ac:dyDescent="0.25">
      <c r="A4580">
        <v>137.94627239133499</v>
      </c>
      <c r="B4580">
        <v>132.75227061180999</v>
      </c>
      <c r="C4580">
        <v>2001</v>
      </c>
    </row>
    <row r="4581" spans="1:11" x14ac:dyDescent="0.25">
      <c r="A4581">
        <v>137.94627239133499</v>
      </c>
      <c r="B4581">
        <v>131.878238562912</v>
      </c>
      <c r="C4581">
        <v>2000</v>
      </c>
    </row>
    <row r="4582" spans="1:11" x14ac:dyDescent="0.25">
      <c r="A4582" t="s">
        <v>86</v>
      </c>
    </row>
    <row r="4583" spans="1:11" x14ac:dyDescent="0.25">
      <c r="A4583">
        <v>1021</v>
      </c>
      <c r="B4583">
        <v>1</v>
      </c>
      <c r="C4583">
        <v>0.98746863934330498</v>
      </c>
      <c r="D4583">
        <v>0.99052278767314295</v>
      </c>
      <c r="E4583">
        <v>6</v>
      </c>
      <c r="F4583">
        <v>1.01722196789785</v>
      </c>
      <c r="G4583" t="s">
        <v>87</v>
      </c>
      <c r="H4583" t="s">
        <v>87</v>
      </c>
      <c r="I4583">
        <v>504</v>
      </c>
      <c r="J4583">
        <v>583</v>
      </c>
      <c r="K4583">
        <v>0.12083958515882</v>
      </c>
    </row>
    <row r="4584" spans="1:11" x14ac:dyDescent="0.25">
      <c r="A4584" t="s">
        <v>85</v>
      </c>
    </row>
    <row r="4585" spans="1:11" x14ac:dyDescent="0.25">
      <c r="A4585">
        <v>146.64659386298899</v>
      </c>
      <c r="B4585">
        <v>53.160797678008997</v>
      </c>
      <c r="C4585">
        <v>2000</v>
      </c>
    </row>
    <row r="4586" spans="1:11" x14ac:dyDescent="0.25">
      <c r="A4586">
        <v>145.94834809189999</v>
      </c>
      <c r="B4586">
        <v>53.859043449097697</v>
      </c>
      <c r="C4586">
        <v>2000</v>
      </c>
    </row>
    <row r="4587" spans="1:11" x14ac:dyDescent="0.25">
      <c r="A4587">
        <v>146.822380140798</v>
      </c>
      <c r="B4587">
        <v>53.859043449097797</v>
      </c>
      <c r="C4587">
        <v>2001</v>
      </c>
    </row>
    <row r="4588" spans="1:11" x14ac:dyDescent="0.25">
      <c r="A4588">
        <v>147.52062591188599</v>
      </c>
      <c r="B4588">
        <v>53.160797678008997</v>
      </c>
      <c r="C4588">
        <v>2001</v>
      </c>
    </row>
    <row r="4589" spans="1:11" x14ac:dyDescent="0.25">
      <c r="A4589">
        <v>148.22103129197001</v>
      </c>
      <c r="B4589">
        <v>52.460392297925601</v>
      </c>
      <c r="C4589">
        <v>2001</v>
      </c>
    </row>
    <row r="4590" spans="1:11" x14ac:dyDescent="0.25">
      <c r="A4590">
        <v>147.34699924307199</v>
      </c>
      <c r="B4590">
        <v>52.460392297925601</v>
      </c>
      <c r="C4590">
        <v>2000</v>
      </c>
    </row>
    <row r="4591" spans="1:11" x14ac:dyDescent="0.25">
      <c r="A4591" t="s">
        <v>86</v>
      </c>
    </row>
    <row r="4592" spans="1:11" x14ac:dyDescent="0.25">
      <c r="A4592">
        <v>597</v>
      </c>
      <c r="B4592">
        <v>0</v>
      </c>
      <c r="C4592">
        <v>0.96469870669130797</v>
      </c>
      <c r="D4592">
        <v>1.00673416137002</v>
      </c>
      <c r="E4592">
        <v>6</v>
      </c>
      <c r="F4592">
        <v>1.01722196789785</v>
      </c>
      <c r="G4592" t="s">
        <v>84</v>
      </c>
      <c r="H4592" t="s">
        <v>83</v>
      </c>
      <c r="I4592">
        <v>600</v>
      </c>
      <c r="J4592">
        <v>0</v>
      </c>
      <c r="K4592">
        <v>0</v>
      </c>
    </row>
    <row r="4593" spans="1:11" x14ac:dyDescent="0.25">
      <c r="A4593" t="s">
        <v>85</v>
      </c>
    </row>
    <row r="4594" spans="1:11" x14ac:dyDescent="0.25">
      <c r="A4594">
        <v>149.39971499887801</v>
      </c>
      <c r="B4594">
        <v>68.883938495746904</v>
      </c>
      <c r="C4594">
        <v>2000</v>
      </c>
    </row>
    <row r="4595" spans="1:11" x14ac:dyDescent="0.25">
      <c r="A4595">
        <v>148.82449446256399</v>
      </c>
      <c r="B4595">
        <v>68.308717959433096</v>
      </c>
      <c r="C4595">
        <v>2000</v>
      </c>
    </row>
    <row r="4596" spans="1:11" x14ac:dyDescent="0.25">
      <c r="A4596">
        <v>148.38747843811501</v>
      </c>
      <c r="B4596">
        <v>68.745733983881905</v>
      </c>
      <c r="C4596">
        <v>2001</v>
      </c>
    </row>
    <row r="4597" spans="1:11" x14ac:dyDescent="0.25">
      <c r="A4597">
        <v>149.17654789640801</v>
      </c>
      <c r="B4597">
        <v>69.534803442174805</v>
      </c>
      <c r="C4597">
        <v>2001</v>
      </c>
    </row>
    <row r="4598" spans="1:11" x14ac:dyDescent="0.25">
      <c r="A4598">
        <v>150</v>
      </c>
      <c r="B4598">
        <v>70.358255545766596</v>
      </c>
      <c r="C4598">
        <v>2001</v>
      </c>
    </row>
    <row r="4599" spans="1:11" x14ac:dyDescent="0.25">
      <c r="A4599">
        <v>150</v>
      </c>
      <c r="B4599">
        <v>69.484223496868907</v>
      </c>
      <c r="C4599">
        <v>2000</v>
      </c>
    </row>
    <row r="4600" spans="1:11" x14ac:dyDescent="0.25">
      <c r="A4600" t="s">
        <v>86</v>
      </c>
    </row>
    <row r="4601" spans="1:11" x14ac:dyDescent="0.25">
      <c r="A4601">
        <v>551</v>
      </c>
      <c r="B4601">
        <v>1</v>
      </c>
      <c r="C4601">
        <v>1.2478360480330799</v>
      </c>
      <c r="D4601">
        <v>0.71534061355238499</v>
      </c>
      <c r="E4601">
        <v>6</v>
      </c>
      <c r="F4601">
        <v>1.01722196789785</v>
      </c>
      <c r="G4601" t="s">
        <v>87</v>
      </c>
      <c r="H4601" t="s">
        <v>87</v>
      </c>
      <c r="I4601">
        <v>517</v>
      </c>
      <c r="J4601">
        <v>732</v>
      </c>
      <c r="K4601">
        <v>0</v>
      </c>
    </row>
    <row r="4602" spans="1:11" x14ac:dyDescent="0.25">
      <c r="A4602" t="s">
        <v>85</v>
      </c>
    </row>
    <row r="4603" spans="1:11" x14ac:dyDescent="0.25">
      <c r="A4603">
        <v>139.41787657399601</v>
      </c>
      <c r="B4603">
        <v>12.1233217120097</v>
      </c>
      <c r="C4603">
        <v>2000</v>
      </c>
    </row>
    <row r="4604" spans="1:11" x14ac:dyDescent="0.25">
      <c r="A4604">
        <v>138.81329974615701</v>
      </c>
      <c r="B4604">
        <v>12.727898539848599</v>
      </c>
      <c r="C4604">
        <v>2000</v>
      </c>
    </row>
    <row r="4605" spans="1:11" x14ac:dyDescent="0.25">
      <c r="A4605">
        <v>137.939267697259</v>
      </c>
      <c r="B4605">
        <v>12.727898539848599</v>
      </c>
      <c r="C4605">
        <v>2001</v>
      </c>
    </row>
    <row r="4606" spans="1:11" x14ac:dyDescent="0.25">
      <c r="A4606">
        <v>139.09939753216699</v>
      </c>
      <c r="B4606">
        <v>11.5677687049411</v>
      </c>
      <c r="C4606">
        <v>2001</v>
      </c>
    </row>
    <row r="4607" spans="1:11" x14ac:dyDescent="0.25">
      <c r="A4607">
        <v>139.764459251782</v>
      </c>
      <c r="B4607">
        <v>10.9027069853255</v>
      </c>
      <c r="C4607">
        <v>2001</v>
      </c>
    </row>
    <row r="4608" spans="1:11" x14ac:dyDescent="0.25">
      <c r="A4608">
        <v>139.764459251782</v>
      </c>
      <c r="B4608">
        <v>11.7767390342231</v>
      </c>
      <c r="C4608">
        <v>2000</v>
      </c>
    </row>
    <row r="4609" spans="1:11" x14ac:dyDescent="0.25">
      <c r="A4609" t="s">
        <v>86</v>
      </c>
    </row>
    <row r="4610" spans="1:11" x14ac:dyDescent="0.25">
      <c r="A4610">
        <v>144</v>
      </c>
      <c r="B4610">
        <v>1</v>
      </c>
      <c r="C4610">
        <v>0.74806089135505305</v>
      </c>
      <c r="D4610">
        <v>1.19761669506557</v>
      </c>
      <c r="E4610">
        <v>6</v>
      </c>
      <c r="F4610">
        <v>1.01722196789785</v>
      </c>
      <c r="G4610" t="s">
        <v>87</v>
      </c>
      <c r="H4610" t="s">
        <v>87</v>
      </c>
      <c r="I4610">
        <v>107</v>
      </c>
      <c r="J4610">
        <v>110</v>
      </c>
      <c r="K4610">
        <v>0</v>
      </c>
    </row>
    <row r="4611" spans="1:11" x14ac:dyDescent="0.25">
      <c r="A4611" t="s">
        <v>85</v>
      </c>
    </row>
    <row r="4612" spans="1:11" x14ac:dyDescent="0.25">
      <c r="A4612">
        <v>11.662174219573901</v>
      </c>
      <c r="B4612">
        <v>70.338401366639502</v>
      </c>
      <c r="C4612">
        <v>2000</v>
      </c>
    </row>
    <row r="4613" spans="1:11" x14ac:dyDescent="0.25">
      <c r="A4613">
        <v>11.133215290556301</v>
      </c>
      <c r="B4613">
        <v>70.867360295657093</v>
      </c>
      <c r="C4613">
        <v>2000</v>
      </c>
    </row>
    <row r="4614" spans="1:11" x14ac:dyDescent="0.25">
      <c r="A4614">
        <v>11.133215290556301</v>
      </c>
      <c r="B4614">
        <v>69.993328246759503</v>
      </c>
      <c r="C4614">
        <v>2001</v>
      </c>
    </row>
    <row r="4615" spans="1:11" x14ac:dyDescent="0.25">
      <c r="A4615">
        <v>11.662174219573901</v>
      </c>
      <c r="B4615">
        <v>69.464369317741898</v>
      </c>
      <c r="C4615">
        <v>2001</v>
      </c>
    </row>
    <row r="4616" spans="1:11" x14ac:dyDescent="0.25">
      <c r="A4616">
        <v>12.509017105917</v>
      </c>
      <c r="B4616">
        <v>68.617526431398801</v>
      </c>
      <c r="C4616">
        <v>2001</v>
      </c>
    </row>
    <row r="4617" spans="1:11" x14ac:dyDescent="0.25">
      <c r="A4617">
        <v>12.509017105917</v>
      </c>
      <c r="B4617">
        <v>69.491558480296405</v>
      </c>
      <c r="C4617">
        <v>2000</v>
      </c>
    </row>
    <row r="4618" spans="1:11" x14ac:dyDescent="0.25">
      <c r="A4618" t="s">
        <v>86</v>
      </c>
    </row>
    <row r="4619" spans="1:11" x14ac:dyDescent="0.25">
      <c r="A4619">
        <v>471</v>
      </c>
      <c r="B4619">
        <v>1</v>
      </c>
      <c r="C4619">
        <v>0.20986466755656599</v>
      </c>
      <c r="D4619">
        <v>1.7313158501258501</v>
      </c>
      <c r="E4619">
        <v>6</v>
      </c>
      <c r="F4619">
        <v>1.01722196789785</v>
      </c>
      <c r="G4619" t="s">
        <v>87</v>
      </c>
      <c r="H4619" t="s">
        <v>87</v>
      </c>
      <c r="I4619">
        <v>432</v>
      </c>
      <c r="J4619">
        <v>807</v>
      </c>
      <c r="K4619">
        <v>0</v>
      </c>
    </row>
    <row r="4620" spans="1:11" x14ac:dyDescent="0.25">
      <c r="A4620" t="s">
        <v>85</v>
      </c>
    </row>
    <row r="4621" spans="1:11" x14ac:dyDescent="0.25">
      <c r="A4621">
        <v>78.392909050304397</v>
      </c>
      <c r="B4621">
        <v>141.77412982075799</v>
      </c>
      <c r="C4621">
        <v>2000</v>
      </c>
    </row>
    <row r="4622" spans="1:11" x14ac:dyDescent="0.25">
      <c r="A4622">
        <v>78.291758943019303</v>
      </c>
      <c r="B4622">
        <v>141.875279928043</v>
      </c>
      <c r="C4622">
        <v>2000</v>
      </c>
    </row>
    <row r="4623" spans="1:11" x14ac:dyDescent="0.25">
      <c r="A4623">
        <v>78.291758943019403</v>
      </c>
      <c r="B4623">
        <v>142.74931197693999</v>
      </c>
      <c r="C4623">
        <v>2001</v>
      </c>
    </row>
    <row r="4624" spans="1:11" x14ac:dyDescent="0.25">
      <c r="A4624">
        <v>78.487402294855698</v>
      </c>
      <c r="B4624">
        <v>142.553668625104</v>
      </c>
      <c r="C4624">
        <v>2001</v>
      </c>
    </row>
    <row r="4625" spans="1:11" x14ac:dyDescent="0.25">
      <c r="A4625">
        <v>80.101396875028598</v>
      </c>
      <c r="B4625">
        <v>140.939674044931</v>
      </c>
      <c r="C4625">
        <v>2001</v>
      </c>
    </row>
    <row r="4626" spans="1:11" x14ac:dyDescent="0.25">
      <c r="A4626">
        <v>79.227364826130994</v>
      </c>
      <c r="B4626">
        <v>140.939674044931</v>
      </c>
      <c r="C4626">
        <v>2000</v>
      </c>
    </row>
    <row r="4627" spans="1:11" x14ac:dyDescent="0.25">
      <c r="A4627" t="s">
        <v>86</v>
      </c>
    </row>
    <row r="4628" spans="1:11" x14ac:dyDescent="0.25">
      <c r="A4628">
        <v>1011</v>
      </c>
      <c r="B4628">
        <v>1</v>
      </c>
      <c r="C4628">
        <v>1.29455778879908</v>
      </c>
      <c r="D4628">
        <v>0.63965875241707704</v>
      </c>
      <c r="E4628">
        <v>6</v>
      </c>
      <c r="F4628">
        <v>1.01722196789785</v>
      </c>
      <c r="G4628" t="s">
        <v>87</v>
      </c>
      <c r="H4628" t="s">
        <v>87</v>
      </c>
      <c r="I4628">
        <v>425</v>
      </c>
      <c r="J4628">
        <v>431</v>
      </c>
      <c r="K4628">
        <v>0.12140552605247699</v>
      </c>
    </row>
    <row r="4629" spans="1:11" x14ac:dyDescent="0.25">
      <c r="A4629" t="s">
        <v>85</v>
      </c>
    </row>
    <row r="4630" spans="1:11" x14ac:dyDescent="0.25">
      <c r="A4630">
        <v>21.397267629577399</v>
      </c>
      <c r="B4630">
        <v>106.613654091783</v>
      </c>
      <c r="C4630">
        <v>2000</v>
      </c>
    </row>
    <row r="4631" spans="1:11" x14ac:dyDescent="0.25">
      <c r="A4631">
        <v>20.481877038479698</v>
      </c>
      <c r="B4631">
        <v>107.52904468288099</v>
      </c>
      <c r="C4631">
        <v>2000</v>
      </c>
    </row>
    <row r="4632" spans="1:11" x14ac:dyDescent="0.25">
      <c r="A4632">
        <v>20.481877038479698</v>
      </c>
      <c r="B4632">
        <v>108.403076731779</v>
      </c>
      <c r="C4632">
        <v>2001</v>
      </c>
    </row>
    <row r="4633" spans="1:11" x14ac:dyDescent="0.25">
      <c r="A4633">
        <v>21.397267629577399</v>
      </c>
      <c r="B4633">
        <v>107.48768614068101</v>
      </c>
      <c r="C4633">
        <v>2001</v>
      </c>
    </row>
    <row r="4634" spans="1:11" x14ac:dyDescent="0.25">
      <c r="A4634">
        <v>21.8495746710568</v>
      </c>
      <c r="B4634">
        <v>107.03537909920099</v>
      </c>
      <c r="C4634">
        <v>2001</v>
      </c>
    </row>
    <row r="4635" spans="1:11" x14ac:dyDescent="0.25">
      <c r="A4635">
        <v>21.8495746710568</v>
      </c>
      <c r="B4635">
        <v>106.161347050304</v>
      </c>
      <c r="C4635">
        <v>2000</v>
      </c>
    </row>
    <row r="4636" spans="1:11" x14ac:dyDescent="0.25">
      <c r="A4636" t="s">
        <v>86</v>
      </c>
    </row>
    <row r="4637" spans="1:11" x14ac:dyDescent="0.25">
      <c r="A4637">
        <v>159</v>
      </c>
      <c r="B4637">
        <v>1</v>
      </c>
      <c r="C4637">
        <v>1.65503255675466</v>
      </c>
      <c r="D4637">
        <v>0.279183984461497</v>
      </c>
      <c r="E4637">
        <v>8</v>
      </c>
      <c r="F4637">
        <v>1.01722196789785</v>
      </c>
      <c r="G4637" t="s">
        <v>87</v>
      </c>
      <c r="H4637" t="s">
        <v>87</v>
      </c>
      <c r="I4637">
        <v>425</v>
      </c>
      <c r="J4637">
        <v>431</v>
      </c>
      <c r="K4637">
        <v>0</v>
      </c>
    </row>
    <row r="4638" spans="1:11" x14ac:dyDescent="0.25">
      <c r="A4638" t="s">
        <v>85</v>
      </c>
    </row>
    <row r="4639" spans="1:11" x14ac:dyDescent="0.25">
      <c r="A4639">
        <v>14.4845486809783</v>
      </c>
      <c r="B4639">
        <v>99.219033303029605</v>
      </c>
      <c r="C4639">
        <v>2000</v>
      </c>
    </row>
    <row r="4640" spans="1:11" x14ac:dyDescent="0.25">
      <c r="A4640">
        <v>13.6334944220587</v>
      </c>
      <c r="B4640">
        <v>100.07008756194899</v>
      </c>
      <c r="C4640">
        <v>2000</v>
      </c>
    </row>
    <row r="4641" spans="1:11" x14ac:dyDescent="0.25">
      <c r="A4641">
        <v>13.328207169803299</v>
      </c>
      <c r="B4641">
        <v>100.375374814205</v>
      </c>
      <c r="C4641">
        <v>2000</v>
      </c>
    </row>
    <row r="4642" spans="1:11" x14ac:dyDescent="0.25">
      <c r="A4642">
        <v>12.454175120905701</v>
      </c>
      <c r="B4642">
        <v>100.375374814205</v>
      </c>
      <c r="C4642">
        <v>2001</v>
      </c>
    </row>
    <row r="4643" spans="1:11" x14ac:dyDescent="0.25">
      <c r="A4643">
        <v>12.8996374970595</v>
      </c>
      <c r="B4643">
        <v>99.929912438050806</v>
      </c>
      <c r="C4643">
        <v>2001</v>
      </c>
    </row>
    <row r="4644" spans="1:11" x14ac:dyDescent="0.25">
      <c r="A4644">
        <v>13.6384030976622</v>
      </c>
      <c r="B4644">
        <v>99.191146837448102</v>
      </c>
      <c r="C4644">
        <v>2001</v>
      </c>
    </row>
    <row r="4645" spans="1:11" x14ac:dyDescent="0.25">
      <c r="A4645">
        <v>13.821872753482801</v>
      </c>
      <c r="B4645">
        <v>99.0076771816275</v>
      </c>
      <c r="C4645">
        <v>2001</v>
      </c>
    </row>
    <row r="4646" spans="1:11" x14ac:dyDescent="0.25">
      <c r="A4646">
        <v>14.6959048023805</v>
      </c>
      <c r="B4646">
        <v>99.0076771816275</v>
      </c>
      <c r="C4646">
        <v>2000</v>
      </c>
    </row>
    <row r="4647" spans="1:11" x14ac:dyDescent="0.25">
      <c r="A4647" t="s">
        <v>86</v>
      </c>
    </row>
    <row r="4648" spans="1:11" x14ac:dyDescent="0.25">
      <c r="A4648">
        <v>461</v>
      </c>
      <c r="B4648">
        <v>1</v>
      </c>
      <c r="C4648">
        <v>0.177169908353527</v>
      </c>
      <c r="D4648">
        <v>1.75704663286263</v>
      </c>
      <c r="E4648">
        <v>6</v>
      </c>
      <c r="F4648">
        <v>1.01722196789785</v>
      </c>
      <c r="G4648" t="s">
        <v>87</v>
      </c>
      <c r="H4648" t="s">
        <v>87</v>
      </c>
      <c r="I4648">
        <v>425</v>
      </c>
      <c r="J4648">
        <v>431</v>
      </c>
      <c r="K4648">
        <v>0</v>
      </c>
    </row>
    <row r="4649" spans="1:11" x14ac:dyDescent="0.25">
      <c r="A4649" t="s">
        <v>85</v>
      </c>
    </row>
    <row r="4650" spans="1:11" x14ac:dyDescent="0.25">
      <c r="A4650">
        <v>55.032886818988999</v>
      </c>
      <c r="B4650">
        <v>141.829498376152</v>
      </c>
      <c r="C4650">
        <v>2000</v>
      </c>
    </row>
    <row r="4651" spans="1:11" x14ac:dyDescent="0.25">
      <c r="A4651">
        <v>54.9076087753701</v>
      </c>
      <c r="B4651">
        <v>141.95477641977101</v>
      </c>
      <c r="C4651">
        <v>2000</v>
      </c>
    </row>
    <row r="4652" spans="1:11" x14ac:dyDescent="0.25">
      <c r="A4652">
        <v>54.033576726472297</v>
      </c>
      <c r="B4652">
        <v>141.95477641977101</v>
      </c>
      <c r="C4652">
        <v>2001</v>
      </c>
    </row>
    <row r="4653" spans="1:11" x14ac:dyDescent="0.25">
      <c r="A4653">
        <v>54.158854770091303</v>
      </c>
      <c r="B4653">
        <v>141.829498376152</v>
      </c>
      <c r="C4653">
        <v>2001</v>
      </c>
    </row>
    <row r="4654" spans="1:11" x14ac:dyDescent="0.25">
      <c r="A4654">
        <v>55.401274359049502</v>
      </c>
      <c r="B4654">
        <v>140.587078787194</v>
      </c>
      <c r="C4654">
        <v>2001</v>
      </c>
    </row>
    <row r="4655" spans="1:11" x14ac:dyDescent="0.25">
      <c r="A4655">
        <v>56.275306407947198</v>
      </c>
      <c r="B4655">
        <v>140.587078787194</v>
      </c>
      <c r="C4655">
        <v>2000</v>
      </c>
    </row>
    <row r="4656" spans="1:11" x14ac:dyDescent="0.25">
      <c r="A4656" t="s">
        <v>86</v>
      </c>
    </row>
    <row r="4657" spans="1:11" x14ac:dyDescent="0.25">
      <c r="A4657">
        <v>865</v>
      </c>
      <c r="B4657">
        <v>1</v>
      </c>
      <c r="C4657">
        <v>0.24111342765552701</v>
      </c>
      <c r="D4657">
        <v>1.68254577252128</v>
      </c>
      <c r="E4657">
        <v>6</v>
      </c>
      <c r="F4657">
        <v>1.01722196789785</v>
      </c>
      <c r="G4657" t="s">
        <v>87</v>
      </c>
      <c r="H4657" t="s">
        <v>87</v>
      </c>
      <c r="I4657">
        <v>271</v>
      </c>
      <c r="J4657">
        <v>596</v>
      </c>
      <c r="K4657">
        <v>0.116069536161876</v>
      </c>
    </row>
    <row r="4658" spans="1:11" x14ac:dyDescent="0.25">
      <c r="A4658" t="s">
        <v>85</v>
      </c>
    </row>
    <row r="4659" spans="1:11" x14ac:dyDescent="0.25">
      <c r="A4659">
        <v>130.75476563885101</v>
      </c>
      <c r="B4659">
        <v>103.42154021407001</v>
      </c>
      <c r="C4659">
        <v>2000</v>
      </c>
    </row>
    <row r="4660" spans="1:11" x14ac:dyDescent="0.25">
      <c r="A4660">
        <v>130.63904873823699</v>
      </c>
      <c r="B4660">
        <v>103.537257114684</v>
      </c>
      <c r="C4660">
        <v>2000</v>
      </c>
    </row>
    <row r="4661" spans="1:11" x14ac:dyDescent="0.25">
      <c r="A4661">
        <v>130.63904873823699</v>
      </c>
      <c r="B4661">
        <v>104.411289163582</v>
      </c>
      <c r="C4661">
        <v>2001</v>
      </c>
    </row>
    <row r="4662" spans="1:11" x14ac:dyDescent="0.25">
      <c r="A4662">
        <v>130.86431771708399</v>
      </c>
      <c r="B4662">
        <v>104.186020184735</v>
      </c>
      <c r="C4662">
        <v>2001</v>
      </c>
    </row>
    <row r="4663" spans="1:11" x14ac:dyDescent="0.25">
      <c r="A4663">
        <v>132.43629722782299</v>
      </c>
      <c r="B4663">
        <v>102.614040673996</v>
      </c>
      <c r="C4663">
        <v>2001</v>
      </c>
    </row>
    <row r="4664" spans="1:11" x14ac:dyDescent="0.25">
      <c r="A4664">
        <v>131.562265178925</v>
      </c>
      <c r="B4664">
        <v>102.614040673996</v>
      </c>
      <c r="C4664">
        <v>2000</v>
      </c>
    </row>
    <row r="4665" spans="1:11" x14ac:dyDescent="0.25">
      <c r="A4665" t="s">
        <v>86</v>
      </c>
    </row>
    <row r="4666" spans="1:11" x14ac:dyDescent="0.25">
      <c r="A4666">
        <v>1101</v>
      </c>
      <c r="B4666">
        <v>1</v>
      </c>
      <c r="C4666">
        <v>1.34485550856313</v>
      </c>
      <c r="D4666">
        <v>0.57880369161367196</v>
      </c>
      <c r="E4666">
        <v>6</v>
      </c>
      <c r="F4666">
        <v>1.01722196789785</v>
      </c>
      <c r="G4666" t="s">
        <v>87</v>
      </c>
      <c r="H4666" t="s">
        <v>87</v>
      </c>
      <c r="I4666">
        <v>271</v>
      </c>
      <c r="J4666">
        <v>596</v>
      </c>
      <c r="K4666">
        <v>0.123942026493586</v>
      </c>
    </row>
    <row r="4667" spans="1:11" x14ac:dyDescent="0.25">
      <c r="A4667" t="s">
        <v>85</v>
      </c>
    </row>
    <row r="4668" spans="1:11" x14ac:dyDescent="0.25">
      <c r="A4668">
        <v>109.82210992921399</v>
      </c>
      <c r="B4668">
        <v>81.429452734731598</v>
      </c>
      <c r="C4668">
        <v>2000</v>
      </c>
    </row>
    <row r="4669" spans="1:11" x14ac:dyDescent="0.25">
      <c r="A4669">
        <v>109.176677143749</v>
      </c>
      <c r="B4669">
        <v>82.074885520196602</v>
      </c>
      <c r="C4669">
        <v>2000</v>
      </c>
    </row>
    <row r="4670" spans="1:11" x14ac:dyDescent="0.25">
      <c r="A4670">
        <v>109.176677143749</v>
      </c>
      <c r="B4670">
        <v>82.948917569094206</v>
      </c>
      <c r="C4670">
        <v>2001</v>
      </c>
    </row>
    <row r="4671" spans="1:11" x14ac:dyDescent="0.25">
      <c r="A4671">
        <v>110.433157257926</v>
      </c>
      <c r="B4671">
        <v>81.692437454916998</v>
      </c>
      <c r="C4671">
        <v>2001</v>
      </c>
    </row>
    <row r="4672" spans="1:11" x14ac:dyDescent="0.25">
      <c r="A4672">
        <v>110.973925633335</v>
      </c>
      <c r="B4672">
        <v>81.151669079508494</v>
      </c>
      <c r="C4672">
        <v>2001</v>
      </c>
    </row>
    <row r="4673" spans="1:11" x14ac:dyDescent="0.25">
      <c r="A4673">
        <v>110.099893584437</v>
      </c>
      <c r="B4673">
        <v>81.151669079508494</v>
      </c>
      <c r="C4673">
        <v>2000</v>
      </c>
    </row>
    <row r="4674" spans="1:11" x14ac:dyDescent="0.25">
      <c r="A4674" t="s">
        <v>86</v>
      </c>
    </row>
    <row r="4675" spans="1:11" x14ac:dyDescent="0.25">
      <c r="A4675">
        <v>623</v>
      </c>
      <c r="B4675">
        <v>1</v>
      </c>
      <c r="C4675">
        <v>1.1287327254714401</v>
      </c>
      <c r="D4675">
        <v>0.79492647470535605</v>
      </c>
      <c r="E4675">
        <v>6</v>
      </c>
      <c r="F4675">
        <v>1.01722196789785</v>
      </c>
      <c r="G4675" t="s">
        <v>87</v>
      </c>
      <c r="H4675" t="s">
        <v>87</v>
      </c>
      <c r="I4675">
        <v>271</v>
      </c>
      <c r="J4675">
        <v>596</v>
      </c>
      <c r="K4675">
        <v>0</v>
      </c>
    </row>
    <row r="4676" spans="1:11" x14ac:dyDescent="0.25">
      <c r="A4676" t="s">
        <v>85</v>
      </c>
    </row>
    <row r="4677" spans="1:11" x14ac:dyDescent="0.25">
      <c r="A4677">
        <v>114.61087368430999</v>
      </c>
      <c r="B4677">
        <v>86.425662909171706</v>
      </c>
      <c r="C4677">
        <v>2000</v>
      </c>
    </row>
    <row r="4678" spans="1:11" x14ac:dyDescent="0.25">
      <c r="A4678">
        <v>114.069164108517</v>
      </c>
      <c r="B4678">
        <v>86.967372484964599</v>
      </c>
      <c r="C4678">
        <v>2000</v>
      </c>
    </row>
    <row r="4679" spans="1:11" x14ac:dyDescent="0.25">
      <c r="A4679">
        <v>114.069164108517</v>
      </c>
      <c r="B4679">
        <v>87.841404533862203</v>
      </c>
      <c r="C4679">
        <v>2001</v>
      </c>
    </row>
    <row r="4680" spans="1:11" x14ac:dyDescent="0.25">
      <c r="A4680">
        <v>115.12372366138</v>
      </c>
      <c r="B4680">
        <v>86.786844980999106</v>
      </c>
      <c r="C4680">
        <v>2001</v>
      </c>
    </row>
    <row r="4681" spans="1:11" x14ac:dyDescent="0.25">
      <c r="A4681">
        <v>115.866412598103</v>
      </c>
      <c r="B4681">
        <v>86.044156044276505</v>
      </c>
      <c r="C4681">
        <v>2001</v>
      </c>
    </row>
    <row r="4682" spans="1:11" x14ac:dyDescent="0.25">
      <c r="A4682">
        <v>114.992380549205</v>
      </c>
      <c r="B4682">
        <v>86.044156044276505</v>
      </c>
      <c r="C4682">
        <v>2000</v>
      </c>
    </row>
    <row r="4683" spans="1:11" x14ac:dyDescent="0.25">
      <c r="A4683" t="s">
        <v>86</v>
      </c>
    </row>
    <row r="4684" spans="1:11" x14ac:dyDescent="0.25">
      <c r="A4684">
        <v>154</v>
      </c>
      <c r="B4684">
        <v>1</v>
      </c>
      <c r="C4684">
        <v>1.36179465625984</v>
      </c>
      <c r="D4684">
        <v>0.55293079497197795</v>
      </c>
      <c r="E4684">
        <v>6</v>
      </c>
      <c r="F4684">
        <v>1.01722196789785</v>
      </c>
      <c r="G4684" t="s">
        <v>87</v>
      </c>
      <c r="H4684" t="s">
        <v>87</v>
      </c>
      <c r="I4684">
        <v>356</v>
      </c>
      <c r="J4684">
        <v>102</v>
      </c>
      <c r="K4684">
        <v>0</v>
      </c>
    </row>
    <row r="4685" spans="1:11" x14ac:dyDescent="0.25">
      <c r="A4685" t="s">
        <v>85</v>
      </c>
    </row>
    <row r="4686" spans="1:11" x14ac:dyDescent="0.25">
      <c r="A4686">
        <v>49.340869761221903</v>
      </c>
      <c r="B4686">
        <v>83.408686685566195</v>
      </c>
      <c r="C4686">
        <v>2000</v>
      </c>
    </row>
    <row r="4687" spans="1:11" x14ac:dyDescent="0.25">
      <c r="A4687">
        <v>48.377935525196897</v>
      </c>
      <c r="B4687">
        <v>84.371620921591102</v>
      </c>
      <c r="C4687">
        <v>2000</v>
      </c>
    </row>
    <row r="4688" spans="1:11" x14ac:dyDescent="0.25">
      <c r="A4688">
        <v>47.5039034762993</v>
      </c>
      <c r="B4688">
        <v>84.371620921591102</v>
      </c>
      <c r="C4688">
        <v>2001</v>
      </c>
    </row>
    <row r="4689" spans="1:11" x14ac:dyDescent="0.25">
      <c r="A4689">
        <v>48.4668377123242</v>
      </c>
      <c r="B4689">
        <v>83.408686685566195</v>
      </c>
      <c r="C4689">
        <v>2001</v>
      </c>
    </row>
    <row r="4690" spans="1:11" x14ac:dyDescent="0.25">
      <c r="A4690">
        <v>48.857818826975802</v>
      </c>
      <c r="B4690">
        <v>83.0177055709146</v>
      </c>
      <c r="C4690">
        <v>2001</v>
      </c>
    </row>
    <row r="4691" spans="1:11" x14ac:dyDescent="0.25">
      <c r="A4691">
        <v>49.731850875873398</v>
      </c>
      <c r="B4691">
        <v>83.0177055709146</v>
      </c>
      <c r="C4691">
        <v>2000</v>
      </c>
    </row>
    <row r="4692" spans="1:11" x14ac:dyDescent="0.25">
      <c r="A4692" t="s">
        <v>86</v>
      </c>
    </row>
    <row r="4693" spans="1:11" x14ac:dyDescent="0.25">
      <c r="A4693">
        <v>921</v>
      </c>
      <c r="B4693">
        <v>1</v>
      </c>
      <c r="C4693">
        <v>1.62473904839216</v>
      </c>
      <c r="D4693">
        <v>0.267399758539625</v>
      </c>
      <c r="E4693">
        <v>6</v>
      </c>
      <c r="F4693">
        <v>1.01722196789785</v>
      </c>
      <c r="G4693" t="s">
        <v>87</v>
      </c>
      <c r="H4693" t="s">
        <v>87</v>
      </c>
      <c r="I4693">
        <v>773</v>
      </c>
      <c r="J4693">
        <v>505</v>
      </c>
      <c r="K4693">
        <v>0.117599171048291</v>
      </c>
    </row>
    <row r="4694" spans="1:11" x14ac:dyDescent="0.25">
      <c r="A4694" t="s">
        <v>85</v>
      </c>
    </row>
    <row r="4695" spans="1:11" x14ac:dyDescent="0.25">
      <c r="A4695">
        <v>145.19952533845199</v>
      </c>
      <c r="B4695">
        <v>26.422347940483299</v>
      </c>
      <c r="C4695">
        <v>2000</v>
      </c>
    </row>
    <row r="4696" spans="1:11" x14ac:dyDescent="0.25">
      <c r="A4696">
        <v>144.42591763540401</v>
      </c>
      <c r="B4696">
        <v>27.1959556435305</v>
      </c>
      <c r="C4696">
        <v>2000</v>
      </c>
    </row>
    <row r="4697" spans="1:11" x14ac:dyDescent="0.25">
      <c r="A4697">
        <v>144.42591763540401</v>
      </c>
      <c r="B4697">
        <v>28.069987692428199</v>
      </c>
      <c r="C4697">
        <v>2001</v>
      </c>
    </row>
    <row r="4698" spans="1:11" x14ac:dyDescent="0.25">
      <c r="A4698">
        <v>145.95003792991099</v>
      </c>
      <c r="B4698">
        <v>26.545867397922098</v>
      </c>
      <c r="C4698">
        <v>2001</v>
      </c>
    </row>
    <row r="4699" spans="1:11" x14ac:dyDescent="0.25">
      <c r="A4699">
        <v>146.20087784118101</v>
      </c>
      <c r="B4699">
        <v>26.295027486651701</v>
      </c>
      <c r="C4699">
        <v>2001</v>
      </c>
    </row>
    <row r="4700" spans="1:11" x14ac:dyDescent="0.25">
      <c r="A4700">
        <v>145.326845792283</v>
      </c>
      <c r="B4700">
        <v>26.295027486651701</v>
      </c>
      <c r="C4700">
        <v>2000</v>
      </c>
    </row>
    <row r="4701" spans="1:11" x14ac:dyDescent="0.25">
      <c r="A4701" t="s">
        <v>86</v>
      </c>
    </row>
    <row r="4702" spans="1:11" x14ac:dyDescent="0.25">
      <c r="A4702">
        <v>227</v>
      </c>
      <c r="B4702">
        <v>1</v>
      </c>
      <c r="C4702">
        <v>0.90435569612205302</v>
      </c>
      <c r="D4702">
        <v>0.974289830179913</v>
      </c>
      <c r="E4702">
        <v>6</v>
      </c>
      <c r="F4702">
        <v>1.01722196789785</v>
      </c>
      <c r="G4702" t="s">
        <v>87</v>
      </c>
      <c r="H4702" t="s">
        <v>87</v>
      </c>
      <c r="I4702">
        <v>814</v>
      </c>
      <c r="J4702">
        <v>198</v>
      </c>
      <c r="K4702">
        <v>0</v>
      </c>
    </row>
    <row r="4703" spans="1:11" x14ac:dyDescent="0.25">
      <c r="A4703" t="s">
        <v>85</v>
      </c>
    </row>
    <row r="4704" spans="1:11" x14ac:dyDescent="0.25">
      <c r="A4704">
        <v>9.0712837726298794</v>
      </c>
      <c r="B4704">
        <v>139.88204845920299</v>
      </c>
      <c r="C4704">
        <v>2000</v>
      </c>
    </row>
    <row r="4705" spans="1:11" x14ac:dyDescent="0.25">
      <c r="A4705">
        <v>8.43180772729729</v>
      </c>
      <c r="B4705">
        <v>140.52152450453599</v>
      </c>
      <c r="C4705">
        <v>2000</v>
      </c>
    </row>
    <row r="4706" spans="1:11" x14ac:dyDescent="0.25">
      <c r="A4706">
        <v>9.3058397761949596</v>
      </c>
      <c r="B4706">
        <v>140.52152450453599</v>
      </c>
      <c r="C4706">
        <v>2001</v>
      </c>
    </row>
    <row r="4707" spans="1:11" x14ac:dyDescent="0.25">
      <c r="A4707">
        <v>9.9453158215275401</v>
      </c>
      <c r="B4707">
        <v>139.88204845920299</v>
      </c>
      <c r="C4707">
        <v>2001</v>
      </c>
    </row>
    <row r="4708" spans="1:11" x14ac:dyDescent="0.25">
      <c r="A4708">
        <v>10.6342427672888</v>
      </c>
      <c r="B4708">
        <v>139.19312151344201</v>
      </c>
      <c r="C4708">
        <v>2001</v>
      </c>
    </row>
    <row r="4709" spans="1:11" x14ac:dyDescent="0.25">
      <c r="A4709">
        <v>9.7602107183911908</v>
      </c>
      <c r="B4709">
        <v>139.19312151344201</v>
      </c>
      <c r="C4709">
        <v>2000</v>
      </c>
    </row>
    <row r="4710" spans="1:11" x14ac:dyDescent="0.25">
      <c r="A4710" t="s">
        <v>86</v>
      </c>
    </row>
    <row r="4711" spans="1:11" x14ac:dyDescent="0.25">
      <c r="A4711">
        <v>669</v>
      </c>
      <c r="B4711">
        <v>0</v>
      </c>
      <c r="C4711">
        <v>0.189177775990508</v>
      </c>
      <c r="D4711">
        <v>1.6839838197003401</v>
      </c>
      <c r="E4711">
        <v>6</v>
      </c>
      <c r="F4711">
        <v>1.01722196789785</v>
      </c>
      <c r="G4711" t="s">
        <v>84</v>
      </c>
      <c r="H4711" t="s">
        <v>84</v>
      </c>
      <c r="I4711">
        <v>659</v>
      </c>
      <c r="J4711">
        <v>660</v>
      </c>
      <c r="K4711">
        <v>0</v>
      </c>
    </row>
    <row r="4712" spans="1:11" x14ac:dyDescent="0.25">
      <c r="A4712" t="s">
        <v>85</v>
      </c>
    </row>
    <row r="4713" spans="1:11" x14ac:dyDescent="0.25">
      <c r="A4713">
        <v>76.655881868045</v>
      </c>
      <c r="B4713">
        <v>0.98909446643604704</v>
      </c>
      <c r="C4713">
        <v>2000</v>
      </c>
    </row>
    <row r="4714" spans="1:11" x14ac:dyDescent="0.25">
      <c r="A4714">
        <v>76.522112979792297</v>
      </c>
      <c r="B4714">
        <v>0.85532557818336896</v>
      </c>
      <c r="C4714">
        <v>2000</v>
      </c>
    </row>
    <row r="4715" spans="1:11" x14ac:dyDescent="0.25">
      <c r="A4715">
        <v>76.085096955343502</v>
      </c>
      <c r="B4715">
        <v>1.2923416026321899</v>
      </c>
      <c r="C4715">
        <v>2001</v>
      </c>
    </row>
    <row r="4716" spans="1:11" x14ac:dyDescent="0.25">
      <c r="A4716">
        <v>76.218865843596106</v>
      </c>
      <c r="B4716">
        <v>1.4261104908848701</v>
      </c>
      <c r="C4716">
        <v>2001</v>
      </c>
    </row>
    <row r="4717" spans="1:11" x14ac:dyDescent="0.25">
      <c r="A4717">
        <v>77.409622221914702</v>
      </c>
      <c r="B4717">
        <v>2.6168668692033998</v>
      </c>
      <c r="C4717">
        <v>2001</v>
      </c>
    </row>
    <row r="4718" spans="1:11" x14ac:dyDescent="0.25">
      <c r="A4718">
        <v>77.846638246363497</v>
      </c>
      <c r="B4718">
        <v>2.1798508447545801</v>
      </c>
      <c r="C4718">
        <v>2000</v>
      </c>
    </row>
    <row r="4719" spans="1:11" x14ac:dyDescent="0.25">
      <c r="A4719" t="s">
        <v>86</v>
      </c>
    </row>
    <row r="4720" spans="1:11" x14ac:dyDescent="0.25">
      <c r="A4720">
        <v>1113</v>
      </c>
      <c r="B4720">
        <v>1</v>
      </c>
      <c r="C4720">
        <v>9.8808232050672004E-2</v>
      </c>
      <c r="D4720">
        <v>1.7651730062404101</v>
      </c>
      <c r="E4720">
        <v>8</v>
      </c>
      <c r="F4720">
        <v>1.01722196789785</v>
      </c>
      <c r="G4720" t="s">
        <v>87</v>
      </c>
      <c r="H4720" t="s">
        <v>87</v>
      </c>
      <c r="I4720">
        <v>29</v>
      </c>
      <c r="J4720">
        <v>835</v>
      </c>
      <c r="K4720">
        <v>0.123707222271514</v>
      </c>
    </row>
    <row r="4721" spans="1:11" x14ac:dyDescent="0.25">
      <c r="A4721" t="s">
        <v>85</v>
      </c>
    </row>
    <row r="4722" spans="1:11" x14ac:dyDescent="0.25">
      <c r="A4722">
        <v>49.237846123404402</v>
      </c>
      <c r="B4722">
        <v>75.880829351185</v>
      </c>
      <c r="C4722">
        <v>2000</v>
      </c>
    </row>
    <row r="4723" spans="1:11" x14ac:dyDescent="0.25">
      <c r="A4723">
        <v>49.160994705353403</v>
      </c>
      <c r="B4723">
        <v>75.957680769236006</v>
      </c>
      <c r="C4723">
        <v>2000</v>
      </c>
    </row>
    <row r="4724" spans="1:11" x14ac:dyDescent="0.25">
      <c r="A4724">
        <v>49.160994705353403</v>
      </c>
      <c r="B4724">
        <v>75.083648720338402</v>
      </c>
      <c r="C4724">
        <v>2001</v>
      </c>
    </row>
    <row r="4725" spans="1:11" x14ac:dyDescent="0.25">
      <c r="A4725">
        <v>49.223879229142497</v>
      </c>
      <c r="B4725">
        <v>75.020764196549294</v>
      </c>
      <c r="C4725">
        <v>2001</v>
      </c>
    </row>
    <row r="4726" spans="1:11" x14ac:dyDescent="0.25">
      <c r="A4726">
        <v>49.916139698339499</v>
      </c>
      <c r="B4726">
        <v>74.328503727352299</v>
      </c>
      <c r="C4726">
        <v>2001</v>
      </c>
    </row>
    <row r="4727" spans="1:11" x14ac:dyDescent="0.25">
      <c r="A4727">
        <v>50.479028478953502</v>
      </c>
      <c r="B4727">
        <v>73.765614946738296</v>
      </c>
      <c r="C4727">
        <v>2001</v>
      </c>
    </row>
    <row r="4728" spans="1:11" x14ac:dyDescent="0.25">
      <c r="A4728">
        <v>50.479028478953502</v>
      </c>
      <c r="B4728">
        <v>74.6396469956359</v>
      </c>
      <c r="C4728">
        <v>2000</v>
      </c>
    </row>
    <row r="4729" spans="1:11" x14ac:dyDescent="0.25">
      <c r="A4729">
        <v>50.083860301660501</v>
      </c>
      <c r="B4729">
        <v>75.034815172929001</v>
      </c>
      <c r="C4729">
        <v>2000</v>
      </c>
    </row>
    <row r="4730" spans="1:11" x14ac:dyDescent="0.25">
      <c r="A4730" t="s">
        <v>86</v>
      </c>
    </row>
    <row r="4731" spans="1:11" x14ac:dyDescent="0.25">
      <c r="A4731">
        <v>986</v>
      </c>
      <c r="B4731">
        <v>1</v>
      </c>
      <c r="C4731">
        <v>1.83775952708699</v>
      </c>
      <c r="D4731">
        <v>2.62217112040837E-2</v>
      </c>
      <c r="E4731">
        <v>6</v>
      </c>
      <c r="F4731">
        <v>1.01722196789785</v>
      </c>
      <c r="G4731" t="s">
        <v>87</v>
      </c>
      <c r="H4731" t="s">
        <v>87</v>
      </c>
      <c r="I4731">
        <v>29</v>
      </c>
      <c r="J4731">
        <v>835</v>
      </c>
      <c r="K4731">
        <v>0.119945352050412</v>
      </c>
    </row>
    <row r="4732" spans="1:11" x14ac:dyDescent="0.25">
      <c r="A4732" t="s">
        <v>85</v>
      </c>
    </row>
    <row r="4733" spans="1:11" x14ac:dyDescent="0.25">
      <c r="A4733">
        <v>4.4683074641449103</v>
      </c>
      <c r="B4733">
        <v>28.666009080440801</v>
      </c>
      <c r="C4733">
        <v>2000</v>
      </c>
    </row>
    <row r="4734" spans="1:11" x14ac:dyDescent="0.25">
      <c r="A4734">
        <v>3.1688152403514902</v>
      </c>
      <c r="B4734">
        <v>29.965501304234198</v>
      </c>
      <c r="C4734">
        <v>2000</v>
      </c>
    </row>
    <row r="4735" spans="1:11" x14ac:dyDescent="0.25">
      <c r="A4735">
        <v>4.0428472892491296</v>
      </c>
      <c r="B4735">
        <v>29.965501304234198</v>
      </c>
      <c r="C4735">
        <v>2001</v>
      </c>
    </row>
    <row r="4736" spans="1:11" x14ac:dyDescent="0.25">
      <c r="A4736">
        <v>5.3423395130425098</v>
      </c>
      <c r="B4736">
        <v>28.666009080440698</v>
      </c>
      <c r="C4736">
        <v>2001</v>
      </c>
    </row>
    <row r="4737" spans="1:11" x14ac:dyDescent="0.25">
      <c r="A4737">
        <v>5.3608810628492298</v>
      </c>
      <c r="B4737">
        <v>28.647467530634</v>
      </c>
      <c r="C4737">
        <v>2001</v>
      </c>
    </row>
    <row r="4738" spans="1:11" x14ac:dyDescent="0.25">
      <c r="A4738">
        <v>4.4868490139516304</v>
      </c>
      <c r="B4738">
        <v>28.647467530634099</v>
      </c>
      <c r="C4738">
        <v>2000</v>
      </c>
    </row>
    <row r="4739" spans="1:11" x14ac:dyDescent="0.25">
      <c r="A4739" t="s">
        <v>86</v>
      </c>
    </row>
    <row r="4740" spans="1:11" x14ac:dyDescent="0.25">
      <c r="A4740">
        <v>147</v>
      </c>
      <c r="B4740">
        <v>1</v>
      </c>
      <c r="C4740">
        <v>1.6122483523853799</v>
      </c>
      <c r="D4740">
        <v>0.25173288590569198</v>
      </c>
      <c r="E4740">
        <v>6</v>
      </c>
      <c r="F4740">
        <v>1.01722196789785</v>
      </c>
      <c r="G4740" t="s">
        <v>87</v>
      </c>
      <c r="H4740" t="s">
        <v>87</v>
      </c>
      <c r="I4740">
        <v>29</v>
      </c>
      <c r="J4740">
        <v>835</v>
      </c>
      <c r="K4740">
        <v>0</v>
      </c>
    </row>
    <row r="4741" spans="1:11" x14ac:dyDescent="0.25">
      <c r="A4741" t="s">
        <v>85</v>
      </c>
    </row>
    <row r="4742" spans="1:11" x14ac:dyDescent="0.25">
      <c r="A4742">
        <v>26.5504484770589</v>
      </c>
      <c r="B4742">
        <v>51.067071055084398</v>
      </c>
      <c r="C4742">
        <v>2000</v>
      </c>
    </row>
    <row r="4743" spans="1:11" x14ac:dyDescent="0.25">
      <c r="A4743">
        <v>25.410416734130301</v>
      </c>
      <c r="B4743">
        <v>52.207102798012997</v>
      </c>
      <c r="C4743">
        <v>2000</v>
      </c>
    </row>
    <row r="4744" spans="1:11" x14ac:dyDescent="0.25">
      <c r="A4744">
        <v>25.410416734130301</v>
      </c>
      <c r="B4744">
        <v>51.333070749115301</v>
      </c>
      <c r="C4744">
        <v>2001</v>
      </c>
    </row>
    <row r="4745" spans="1:11" x14ac:dyDescent="0.25">
      <c r="A4745">
        <v>26.550448477058801</v>
      </c>
      <c r="B4745">
        <v>50.193039006186801</v>
      </c>
      <c r="C4745">
        <v>2001</v>
      </c>
    </row>
    <row r="4746" spans="1:11" x14ac:dyDescent="0.25">
      <c r="A4746">
        <v>26.7284505077304</v>
      </c>
      <c r="B4746">
        <v>50.015036975515201</v>
      </c>
      <c r="C4746">
        <v>2001</v>
      </c>
    </row>
    <row r="4747" spans="1:11" x14ac:dyDescent="0.25">
      <c r="A4747">
        <v>26.7284505077304</v>
      </c>
      <c r="B4747">
        <v>50.889069024412798</v>
      </c>
      <c r="C4747">
        <v>2000</v>
      </c>
    </row>
    <row r="4748" spans="1:11" x14ac:dyDescent="0.25">
      <c r="A4748" t="s">
        <v>86</v>
      </c>
    </row>
    <row r="4749" spans="1:11" x14ac:dyDescent="0.25">
      <c r="A4749">
        <v>150</v>
      </c>
      <c r="B4749">
        <v>1</v>
      </c>
      <c r="C4749">
        <v>0.48868669949270999</v>
      </c>
      <c r="D4749">
        <v>1.3752945387983599</v>
      </c>
      <c r="E4749">
        <v>6</v>
      </c>
      <c r="F4749">
        <v>1.01722196789785</v>
      </c>
      <c r="G4749" t="s">
        <v>87</v>
      </c>
      <c r="H4749" t="s">
        <v>87</v>
      </c>
      <c r="I4749">
        <v>29</v>
      </c>
      <c r="J4749">
        <v>835</v>
      </c>
      <c r="K4749">
        <v>0</v>
      </c>
    </row>
    <row r="4750" spans="1:11" x14ac:dyDescent="0.25">
      <c r="A4750" t="s">
        <v>85</v>
      </c>
    </row>
    <row r="4751" spans="1:11" x14ac:dyDescent="0.25">
      <c r="A4751">
        <v>48.977178672317898</v>
      </c>
      <c r="B4751">
        <v>75.082757378026599</v>
      </c>
      <c r="C4751">
        <v>2000</v>
      </c>
    </row>
    <row r="4752" spans="1:11" x14ac:dyDescent="0.25">
      <c r="A4752">
        <v>48.631624993231</v>
      </c>
      <c r="B4752">
        <v>75.428311057113604</v>
      </c>
      <c r="C4752">
        <v>2000</v>
      </c>
    </row>
    <row r="4753" spans="1:11" x14ac:dyDescent="0.25">
      <c r="A4753">
        <v>48.631624993231</v>
      </c>
      <c r="B4753">
        <v>74.554279008216</v>
      </c>
      <c r="C4753">
        <v>2001</v>
      </c>
    </row>
    <row r="4754" spans="1:11" x14ac:dyDescent="0.25">
      <c r="A4754">
        <v>48.977178672317898</v>
      </c>
      <c r="B4754">
        <v>74.208725329128995</v>
      </c>
      <c r="C4754">
        <v>2001</v>
      </c>
    </row>
    <row r="4755" spans="1:11" x14ac:dyDescent="0.25">
      <c r="A4755">
        <v>49.949658766831099</v>
      </c>
      <c r="B4755">
        <v>73.236245234615893</v>
      </c>
      <c r="C4755">
        <v>2001</v>
      </c>
    </row>
    <row r="4756" spans="1:11" x14ac:dyDescent="0.25">
      <c r="A4756">
        <v>49.949658766831099</v>
      </c>
      <c r="B4756">
        <v>74.110277283513497</v>
      </c>
      <c r="C4756">
        <v>2000</v>
      </c>
    </row>
    <row r="4757" spans="1:11" x14ac:dyDescent="0.25">
      <c r="A4757" t="s">
        <v>86</v>
      </c>
    </row>
    <row r="4758" spans="1:11" x14ac:dyDescent="0.25">
      <c r="A4758">
        <v>639</v>
      </c>
      <c r="B4758">
        <v>1</v>
      </c>
      <c r="C4758">
        <v>1.5308604665035299</v>
      </c>
      <c r="D4758">
        <v>0.318373243750877</v>
      </c>
      <c r="E4758">
        <v>6</v>
      </c>
      <c r="F4758">
        <v>1.01722196789785</v>
      </c>
      <c r="G4758" t="s">
        <v>87</v>
      </c>
      <c r="H4758" t="s">
        <v>87</v>
      </c>
      <c r="I4758">
        <v>582</v>
      </c>
      <c r="J4758">
        <v>581</v>
      </c>
      <c r="K4758">
        <v>0</v>
      </c>
    </row>
    <row r="4759" spans="1:11" x14ac:dyDescent="0.25">
      <c r="A4759" t="s">
        <v>85</v>
      </c>
    </row>
    <row r="4760" spans="1:11" x14ac:dyDescent="0.25">
      <c r="A4760">
        <v>110.555316431241</v>
      </c>
      <c r="B4760">
        <v>65.251009378690199</v>
      </c>
      <c r="C4760">
        <v>2000</v>
      </c>
    </row>
    <row r="4761" spans="1:11" x14ac:dyDescent="0.25">
      <c r="A4761">
        <v>109.472834614326</v>
      </c>
      <c r="B4761">
        <v>66.333491195605305</v>
      </c>
      <c r="C4761">
        <v>2000</v>
      </c>
    </row>
    <row r="4762" spans="1:11" x14ac:dyDescent="0.25">
      <c r="A4762">
        <v>109.472834614326</v>
      </c>
      <c r="B4762">
        <v>65.459459146707601</v>
      </c>
      <c r="C4762">
        <v>2001</v>
      </c>
    </row>
    <row r="4763" spans="1:11" x14ac:dyDescent="0.25">
      <c r="A4763">
        <v>110.555316431241</v>
      </c>
      <c r="B4763">
        <v>64.376977329792595</v>
      </c>
      <c r="C4763">
        <v>2001</v>
      </c>
    </row>
    <row r="4764" spans="1:11" x14ac:dyDescent="0.25">
      <c r="A4764">
        <v>110.78044031084499</v>
      </c>
      <c r="B4764">
        <v>64.151853450188</v>
      </c>
      <c r="C4764">
        <v>2001</v>
      </c>
    </row>
    <row r="4765" spans="1:11" x14ac:dyDescent="0.25">
      <c r="A4765">
        <v>110.78044031084499</v>
      </c>
      <c r="B4765">
        <v>65.025885499085604</v>
      </c>
      <c r="C4765">
        <v>2000</v>
      </c>
    </row>
    <row r="4766" spans="1:11" x14ac:dyDescent="0.25">
      <c r="A4766" t="s">
        <v>86</v>
      </c>
    </row>
    <row r="4767" spans="1:11" x14ac:dyDescent="0.25">
      <c r="A4767">
        <v>925</v>
      </c>
      <c r="B4767">
        <v>1</v>
      </c>
      <c r="C4767">
        <v>0.47192142400982101</v>
      </c>
      <c r="D4767">
        <v>1.3773122862445899</v>
      </c>
      <c r="E4767">
        <v>6</v>
      </c>
      <c r="F4767">
        <v>1.01722196789785</v>
      </c>
      <c r="G4767" t="s">
        <v>87</v>
      </c>
      <c r="H4767" t="s">
        <v>87</v>
      </c>
      <c r="I4767">
        <v>582</v>
      </c>
      <c r="J4767">
        <v>581</v>
      </c>
      <c r="K4767">
        <v>0.117599171048291</v>
      </c>
    </row>
    <row r="4768" spans="1:11" x14ac:dyDescent="0.25">
      <c r="A4768" t="s">
        <v>85</v>
      </c>
    </row>
    <row r="4769" spans="1:11" x14ac:dyDescent="0.25">
      <c r="A4769">
        <v>120.89510711184499</v>
      </c>
      <c r="B4769">
        <v>77.088366014915195</v>
      </c>
      <c r="C4769">
        <v>2000</v>
      </c>
    </row>
    <row r="4770" spans="1:11" x14ac:dyDescent="0.25">
      <c r="A4770">
        <v>120.56140827274</v>
      </c>
      <c r="B4770">
        <v>77.422064854019695</v>
      </c>
      <c r="C4770">
        <v>2000</v>
      </c>
    </row>
    <row r="4771" spans="1:11" x14ac:dyDescent="0.25">
      <c r="A4771">
        <v>120.56140827274</v>
      </c>
      <c r="B4771">
        <v>76.548032805122105</v>
      </c>
      <c r="C4771">
        <v>2001</v>
      </c>
    </row>
    <row r="4772" spans="1:11" x14ac:dyDescent="0.25">
      <c r="A4772">
        <v>120.89510711184499</v>
      </c>
      <c r="B4772">
        <v>76.214333966017506</v>
      </c>
      <c r="C4772">
        <v>2001</v>
      </c>
    </row>
    <row r="4773" spans="1:11" x14ac:dyDescent="0.25">
      <c r="A4773">
        <v>121.86901396926</v>
      </c>
      <c r="B4773">
        <v>75.240427108602404</v>
      </c>
      <c r="C4773">
        <v>2001</v>
      </c>
    </row>
    <row r="4774" spans="1:11" x14ac:dyDescent="0.25">
      <c r="A4774">
        <v>121.86901396926</v>
      </c>
      <c r="B4774">
        <v>76.114459157500093</v>
      </c>
      <c r="C4774">
        <v>2000</v>
      </c>
    </row>
    <row r="4775" spans="1:11" x14ac:dyDescent="0.25">
      <c r="A4775" t="s">
        <v>86</v>
      </c>
    </row>
    <row r="4776" spans="1:11" x14ac:dyDescent="0.25">
      <c r="A4776">
        <v>385</v>
      </c>
      <c r="B4776">
        <v>1</v>
      </c>
      <c r="C4776">
        <v>1.48723228795607</v>
      </c>
      <c r="D4776">
        <v>0.36155762915419498</v>
      </c>
      <c r="E4776">
        <v>6</v>
      </c>
      <c r="F4776">
        <v>1.01722196789785</v>
      </c>
      <c r="G4776" t="s">
        <v>87</v>
      </c>
      <c r="H4776" t="s">
        <v>87</v>
      </c>
      <c r="I4776">
        <v>796</v>
      </c>
      <c r="J4776">
        <v>780</v>
      </c>
      <c r="K4776">
        <v>0</v>
      </c>
    </row>
    <row r="4777" spans="1:11" x14ac:dyDescent="0.25">
      <c r="A4777" t="s">
        <v>85</v>
      </c>
    </row>
    <row r="4778" spans="1:11" x14ac:dyDescent="0.25">
      <c r="A4778">
        <v>85.992452079131596</v>
      </c>
      <c r="B4778">
        <v>61.6386156167151</v>
      </c>
      <c r="C4778">
        <v>2000</v>
      </c>
    </row>
    <row r="4779" spans="1:11" x14ac:dyDescent="0.25">
      <c r="A4779">
        <v>85.292371258266797</v>
      </c>
      <c r="B4779">
        <v>62.338696437579898</v>
      </c>
      <c r="C4779">
        <v>2000</v>
      </c>
    </row>
    <row r="4780" spans="1:11" x14ac:dyDescent="0.25">
      <c r="A4780">
        <v>84.418339209369194</v>
      </c>
      <c r="B4780">
        <v>62.338696437579898</v>
      </c>
      <c r="C4780">
        <v>2001</v>
      </c>
    </row>
    <row r="4781" spans="1:11" x14ac:dyDescent="0.25">
      <c r="A4781">
        <v>85.821522460531</v>
      </c>
      <c r="B4781">
        <v>60.935513186418</v>
      </c>
      <c r="C4781">
        <v>2001</v>
      </c>
    </row>
    <row r="4782" spans="1:11" x14ac:dyDescent="0.25">
      <c r="A4782">
        <v>86.162647121196002</v>
      </c>
      <c r="B4782">
        <v>60.594388525753097</v>
      </c>
      <c r="C4782">
        <v>2001</v>
      </c>
    </row>
    <row r="4783" spans="1:11" x14ac:dyDescent="0.25">
      <c r="A4783">
        <v>86.162647121196002</v>
      </c>
      <c r="B4783">
        <v>61.4684205746507</v>
      </c>
      <c r="C4783">
        <v>2000</v>
      </c>
    </row>
    <row r="4784" spans="1:11" x14ac:dyDescent="0.25">
      <c r="A4784" t="s">
        <v>86</v>
      </c>
    </row>
    <row r="4785" spans="1:11" x14ac:dyDescent="0.25">
      <c r="A4785">
        <v>381</v>
      </c>
      <c r="B4785">
        <v>1</v>
      </c>
      <c r="C4785">
        <v>1.69760472625581</v>
      </c>
      <c r="D4785">
        <v>0.15118519085444901</v>
      </c>
      <c r="E4785">
        <v>6</v>
      </c>
      <c r="F4785">
        <v>1.01722196789785</v>
      </c>
      <c r="G4785" t="s">
        <v>87</v>
      </c>
      <c r="H4785" t="s">
        <v>87</v>
      </c>
      <c r="I4785">
        <v>796</v>
      </c>
      <c r="J4785">
        <v>780</v>
      </c>
      <c r="K4785">
        <v>0</v>
      </c>
    </row>
    <row r="4786" spans="1:11" x14ac:dyDescent="0.25">
      <c r="A4786" t="s">
        <v>85</v>
      </c>
    </row>
    <row r="4787" spans="1:11" x14ac:dyDescent="0.25">
      <c r="A4787">
        <v>83.534577994140093</v>
      </c>
      <c r="B4787">
        <v>58.982685437211799</v>
      </c>
      <c r="C4787">
        <v>2000</v>
      </c>
    </row>
    <row r="4788" spans="1:11" x14ac:dyDescent="0.25">
      <c r="A4788">
        <v>82.735469126019396</v>
      </c>
      <c r="B4788">
        <v>59.781794305332497</v>
      </c>
      <c r="C4788">
        <v>2000</v>
      </c>
    </row>
    <row r="4789" spans="1:11" x14ac:dyDescent="0.25">
      <c r="A4789">
        <v>82.735469126019396</v>
      </c>
      <c r="B4789">
        <v>60.655826354230101</v>
      </c>
      <c r="C4789">
        <v>2001</v>
      </c>
    </row>
    <row r="4790" spans="1:11" x14ac:dyDescent="0.25">
      <c r="A4790">
        <v>84.337135885318304</v>
      </c>
      <c r="B4790">
        <v>59.0541595949311</v>
      </c>
      <c r="C4790">
        <v>2001</v>
      </c>
    </row>
    <row r="4791" spans="1:11" x14ac:dyDescent="0.25">
      <c r="A4791">
        <v>84.479777037846205</v>
      </c>
      <c r="B4791">
        <v>58.911518442403299</v>
      </c>
      <c r="C4791">
        <v>2001</v>
      </c>
    </row>
    <row r="4792" spans="1:11" x14ac:dyDescent="0.25">
      <c r="A4792">
        <v>83.605744988948501</v>
      </c>
      <c r="B4792">
        <v>58.911518442403299</v>
      </c>
      <c r="C4792">
        <v>2000</v>
      </c>
    </row>
    <row r="4793" spans="1:11" x14ac:dyDescent="0.25">
      <c r="A4793" t="s">
        <v>86</v>
      </c>
    </row>
    <row r="4794" spans="1:11" x14ac:dyDescent="0.25">
      <c r="A4794">
        <v>926</v>
      </c>
      <c r="B4794">
        <v>1</v>
      </c>
      <c r="C4794">
        <v>0.82460299271794602</v>
      </c>
      <c r="D4794">
        <v>1.00640395068998</v>
      </c>
      <c r="E4794">
        <v>6</v>
      </c>
      <c r="F4794">
        <v>1.01722196789785</v>
      </c>
      <c r="G4794" t="s">
        <v>87</v>
      </c>
      <c r="H4794" t="s">
        <v>87</v>
      </c>
      <c r="I4794">
        <v>841</v>
      </c>
      <c r="J4794">
        <v>839</v>
      </c>
      <c r="K4794">
        <v>0.117599171048291</v>
      </c>
    </row>
    <row r="4795" spans="1:11" x14ac:dyDescent="0.25">
      <c r="A4795" t="s">
        <v>85</v>
      </c>
    </row>
    <row r="4796" spans="1:11" x14ac:dyDescent="0.25">
      <c r="A4796">
        <v>16.558028187405899</v>
      </c>
      <c r="B4796">
        <v>61.919020249936302</v>
      </c>
      <c r="C4796">
        <v>2000</v>
      </c>
    </row>
    <row r="4797" spans="1:11" x14ac:dyDescent="0.25">
      <c r="A4797">
        <v>15.974945819468299</v>
      </c>
      <c r="B4797">
        <v>62.502102617873902</v>
      </c>
      <c r="C4797">
        <v>2000</v>
      </c>
    </row>
    <row r="4798" spans="1:11" x14ac:dyDescent="0.25">
      <c r="A4798">
        <v>16.8489778683659</v>
      </c>
      <c r="B4798">
        <v>62.502102617873902</v>
      </c>
      <c r="C4798">
        <v>2001</v>
      </c>
    </row>
    <row r="4799" spans="1:11" x14ac:dyDescent="0.25">
      <c r="A4799">
        <v>17.432060236303499</v>
      </c>
      <c r="B4799">
        <v>61.919020249936302</v>
      </c>
      <c r="C4799">
        <v>2001</v>
      </c>
    </row>
    <row r="4800" spans="1:11" x14ac:dyDescent="0.25">
      <c r="A4800">
        <v>18.143695294449302</v>
      </c>
      <c r="B4800">
        <v>61.2073851917905</v>
      </c>
      <c r="C4800">
        <v>2001</v>
      </c>
    </row>
    <row r="4801" spans="1:11" x14ac:dyDescent="0.25">
      <c r="A4801">
        <v>17.269663245551701</v>
      </c>
      <c r="B4801">
        <v>61.2073851917905</v>
      </c>
      <c r="C4801">
        <v>2000</v>
      </c>
    </row>
    <row r="4802" spans="1:11" x14ac:dyDescent="0.25">
      <c r="A4802" t="s">
        <v>86</v>
      </c>
    </row>
    <row r="4803" spans="1:11" x14ac:dyDescent="0.25">
      <c r="A4803">
        <v>863</v>
      </c>
      <c r="B4803">
        <v>1</v>
      </c>
      <c r="C4803">
        <v>0.94057266416402596</v>
      </c>
      <c r="D4803">
        <v>0.88700849778453195</v>
      </c>
      <c r="E4803">
        <v>6</v>
      </c>
      <c r="F4803">
        <v>1.01722196789785</v>
      </c>
      <c r="G4803" t="s">
        <v>87</v>
      </c>
      <c r="H4803" t="s">
        <v>87</v>
      </c>
      <c r="I4803">
        <v>590</v>
      </c>
      <c r="J4803">
        <v>581</v>
      </c>
      <c r="K4803">
        <v>0.115162323415006</v>
      </c>
    </row>
    <row r="4804" spans="1:11" x14ac:dyDescent="0.25">
      <c r="A4804" t="s">
        <v>85</v>
      </c>
    </row>
    <row r="4805" spans="1:11" x14ac:dyDescent="0.25">
      <c r="A4805">
        <v>147.782636256904</v>
      </c>
      <c r="B4805">
        <v>102.85829327284701</v>
      </c>
      <c r="C4805">
        <v>2000</v>
      </c>
    </row>
    <row r="4806" spans="1:11" x14ac:dyDescent="0.25">
      <c r="A4806">
        <v>147.34246316242101</v>
      </c>
      <c r="B4806">
        <v>103.298466367329</v>
      </c>
      <c r="C4806">
        <v>2000</v>
      </c>
    </row>
    <row r="4807" spans="1:11" x14ac:dyDescent="0.25">
      <c r="A4807">
        <v>147.34246316242101</v>
      </c>
      <c r="B4807">
        <v>104.172498416227</v>
      </c>
      <c r="C4807">
        <v>2001</v>
      </c>
    </row>
    <row r="4808" spans="1:11" x14ac:dyDescent="0.25">
      <c r="A4808">
        <v>148.23246068599801</v>
      </c>
      <c r="B4808">
        <v>103.282500892651</v>
      </c>
      <c r="C4808">
        <v>2001</v>
      </c>
    </row>
    <row r="4809" spans="1:11" x14ac:dyDescent="0.25">
      <c r="A4809">
        <v>149.07177421965301</v>
      </c>
      <c r="B4809">
        <v>102.443187358996</v>
      </c>
      <c r="C4809">
        <v>2001</v>
      </c>
    </row>
    <row r="4810" spans="1:11" x14ac:dyDescent="0.25">
      <c r="A4810">
        <v>148.19774217075499</v>
      </c>
      <c r="B4810">
        <v>102.443187358996</v>
      </c>
      <c r="C4810">
        <v>2000</v>
      </c>
    </row>
    <row r="4811" spans="1:11" x14ac:dyDescent="0.25">
      <c r="A4811" t="s">
        <v>86</v>
      </c>
    </row>
    <row r="4812" spans="1:11" x14ac:dyDescent="0.25">
      <c r="A4812">
        <v>560</v>
      </c>
      <c r="B4812">
        <v>1</v>
      </c>
      <c r="C4812">
        <v>1.3263959956238001</v>
      </c>
      <c r="D4812">
        <v>0.49757472898529898</v>
      </c>
      <c r="E4812">
        <v>6</v>
      </c>
      <c r="F4812">
        <v>1.01722196789785</v>
      </c>
      <c r="G4812" t="s">
        <v>87</v>
      </c>
      <c r="H4812" t="s">
        <v>87</v>
      </c>
      <c r="I4812">
        <v>502</v>
      </c>
      <c r="J4812">
        <v>819</v>
      </c>
      <c r="K4812">
        <v>0</v>
      </c>
    </row>
    <row r="4813" spans="1:11" x14ac:dyDescent="0.25">
      <c r="A4813" t="s">
        <v>85</v>
      </c>
    </row>
    <row r="4814" spans="1:11" x14ac:dyDescent="0.25">
      <c r="A4814">
        <v>134.07427426850199</v>
      </c>
      <c r="B4814">
        <v>37.223296532502502</v>
      </c>
      <c r="C4814">
        <v>2000</v>
      </c>
    </row>
    <row r="4815" spans="1:11" x14ac:dyDescent="0.25">
      <c r="A4815">
        <v>133.13637066545701</v>
      </c>
      <c r="B4815">
        <v>38.1612001355468</v>
      </c>
      <c r="C4815">
        <v>2000</v>
      </c>
    </row>
    <row r="4816" spans="1:11" x14ac:dyDescent="0.25">
      <c r="A4816">
        <v>133.13637066545701</v>
      </c>
      <c r="B4816">
        <v>37.287168086649103</v>
      </c>
      <c r="C4816">
        <v>2001</v>
      </c>
    </row>
    <row r="4817" spans="1:11" x14ac:dyDescent="0.25">
      <c r="A4817">
        <v>134.07427426850199</v>
      </c>
      <c r="B4817">
        <v>36.349264483604799</v>
      </c>
      <c r="C4817">
        <v>2001</v>
      </c>
    </row>
    <row r="4818" spans="1:11" x14ac:dyDescent="0.25">
      <c r="A4818">
        <v>134.426112733514</v>
      </c>
      <c r="B4818">
        <v>35.9974260185923</v>
      </c>
      <c r="C4818">
        <v>2001</v>
      </c>
    </row>
    <row r="4819" spans="1:11" x14ac:dyDescent="0.25">
      <c r="A4819">
        <v>134.426112733514</v>
      </c>
      <c r="B4819">
        <v>36.871458067489897</v>
      </c>
      <c r="C4819">
        <v>2000</v>
      </c>
    </row>
    <row r="4820" spans="1:11" x14ac:dyDescent="0.25">
      <c r="A4820" t="s">
        <v>86</v>
      </c>
    </row>
    <row r="4821" spans="1:11" x14ac:dyDescent="0.25">
      <c r="A4821">
        <v>79</v>
      </c>
      <c r="B4821">
        <v>1</v>
      </c>
      <c r="C4821">
        <v>1.36742358190806</v>
      </c>
      <c r="D4821">
        <v>0.452628308968336</v>
      </c>
      <c r="E4821">
        <v>6</v>
      </c>
      <c r="F4821">
        <v>1.01722196789785</v>
      </c>
      <c r="G4821" t="s">
        <v>87</v>
      </c>
      <c r="H4821" t="s">
        <v>87</v>
      </c>
      <c r="I4821">
        <v>25</v>
      </c>
      <c r="J4821">
        <v>24</v>
      </c>
      <c r="K4821">
        <v>0</v>
      </c>
    </row>
    <row r="4822" spans="1:11" x14ac:dyDescent="0.25">
      <c r="A4822" t="s">
        <v>85</v>
      </c>
    </row>
    <row r="4823" spans="1:11" x14ac:dyDescent="0.25">
      <c r="A4823">
        <v>33.491394486507097</v>
      </c>
      <c r="B4823">
        <v>36.396931357391999</v>
      </c>
      <c r="C4823">
        <v>2000</v>
      </c>
    </row>
    <row r="4824" spans="1:11" x14ac:dyDescent="0.25">
      <c r="A4824">
        <v>32.524479998985498</v>
      </c>
      <c r="B4824">
        <v>37.363845844913598</v>
      </c>
      <c r="C4824">
        <v>2000</v>
      </c>
    </row>
    <row r="4825" spans="1:11" x14ac:dyDescent="0.25">
      <c r="A4825">
        <v>32.524479998985498</v>
      </c>
      <c r="B4825">
        <v>36.489813796015902</v>
      </c>
      <c r="C4825">
        <v>2001</v>
      </c>
    </row>
    <row r="4826" spans="1:11" x14ac:dyDescent="0.25">
      <c r="A4826">
        <v>33.491394486507097</v>
      </c>
      <c r="B4826">
        <v>35.522899308494402</v>
      </c>
      <c r="C4826">
        <v>2001</v>
      </c>
    </row>
    <row r="4827" spans="1:11" x14ac:dyDescent="0.25">
      <c r="A4827">
        <v>33.811451033135597</v>
      </c>
      <c r="B4827">
        <v>35.202842761865803</v>
      </c>
      <c r="C4827">
        <v>2001</v>
      </c>
    </row>
    <row r="4828" spans="1:11" x14ac:dyDescent="0.25">
      <c r="A4828">
        <v>33.811451033135597</v>
      </c>
      <c r="B4828">
        <v>36.076874810763499</v>
      </c>
      <c r="C4828">
        <v>2000</v>
      </c>
    </row>
    <row r="4829" spans="1:11" x14ac:dyDescent="0.25">
      <c r="A4829" t="s">
        <v>86</v>
      </c>
    </row>
    <row r="4830" spans="1:11" x14ac:dyDescent="0.25">
      <c r="A4830">
        <v>891</v>
      </c>
      <c r="B4830">
        <v>1</v>
      </c>
      <c r="C4830">
        <v>0.64011833416571995</v>
      </c>
      <c r="D4830">
        <v>1.1796099808665199</v>
      </c>
      <c r="E4830">
        <v>6</v>
      </c>
      <c r="F4830">
        <v>1.01722196789785</v>
      </c>
      <c r="G4830" t="s">
        <v>87</v>
      </c>
      <c r="H4830" t="s">
        <v>87</v>
      </c>
      <c r="I4830">
        <v>195</v>
      </c>
      <c r="J4830">
        <v>737</v>
      </c>
      <c r="K4830">
        <v>0.115162323415006</v>
      </c>
    </row>
    <row r="4831" spans="1:11" x14ac:dyDescent="0.25">
      <c r="A4831" t="s">
        <v>85</v>
      </c>
    </row>
    <row r="4832" spans="1:11" x14ac:dyDescent="0.25">
      <c r="A4832">
        <v>24.156386195289102</v>
      </c>
      <c r="B4832">
        <v>103.058613097331</v>
      </c>
      <c r="C4832">
        <v>2000</v>
      </c>
    </row>
    <row r="4833" spans="1:11" x14ac:dyDescent="0.25">
      <c r="A4833">
        <v>23.7037541804387</v>
      </c>
      <c r="B4833">
        <v>103.511245112182</v>
      </c>
      <c r="C4833">
        <v>2000</v>
      </c>
    </row>
    <row r="4834" spans="1:11" x14ac:dyDescent="0.25">
      <c r="A4834">
        <v>23.7037541804387</v>
      </c>
      <c r="B4834">
        <v>104.385277161079</v>
      </c>
      <c r="C4834">
        <v>2001</v>
      </c>
    </row>
    <row r="4835" spans="1:11" x14ac:dyDescent="0.25">
      <c r="A4835">
        <v>24.156386195289102</v>
      </c>
      <c r="B4835">
        <v>103.93264514622901</v>
      </c>
      <c r="C4835">
        <v>2001</v>
      </c>
    </row>
    <row r="4836" spans="1:11" x14ac:dyDescent="0.25">
      <c r="A4836">
        <v>24.9904964119151</v>
      </c>
      <c r="B4836">
        <v>103.09853492960301</v>
      </c>
      <c r="C4836">
        <v>2001</v>
      </c>
    </row>
    <row r="4837" spans="1:11" x14ac:dyDescent="0.25">
      <c r="A4837">
        <v>24.9904964119151</v>
      </c>
      <c r="B4837">
        <v>102.224502880705</v>
      </c>
      <c r="C4837">
        <v>2000</v>
      </c>
    </row>
    <row r="4838" spans="1:11" x14ac:dyDescent="0.25">
      <c r="A4838" t="s">
        <v>86</v>
      </c>
    </row>
    <row r="4839" spans="1:11" x14ac:dyDescent="0.25">
      <c r="A4839">
        <v>1050</v>
      </c>
      <c r="B4839">
        <v>1</v>
      </c>
      <c r="C4839">
        <v>1.5082524030433999</v>
      </c>
      <c r="D4839">
        <v>0.29489896377172897</v>
      </c>
      <c r="E4839">
        <v>6</v>
      </c>
      <c r="F4839">
        <v>1.01722196789785</v>
      </c>
      <c r="G4839" t="s">
        <v>87</v>
      </c>
      <c r="H4839" t="s">
        <v>87</v>
      </c>
      <c r="I4839">
        <v>510</v>
      </c>
      <c r="J4839">
        <v>773</v>
      </c>
      <c r="K4839">
        <v>0.122473809508668</v>
      </c>
    </row>
    <row r="4840" spans="1:11" x14ac:dyDescent="0.25">
      <c r="A4840" t="s">
        <v>85</v>
      </c>
    </row>
    <row r="4841" spans="1:11" x14ac:dyDescent="0.25">
      <c r="A4841">
        <v>132.120649178094</v>
      </c>
      <c r="B4841">
        <v>15.3077373003158</v>
      </c>
      <c r="C4841">
        <v>2000</v>
      </c>
    </row>
    <row r="4842" spans="1:11" x14ac:dyDescent="0.25">
      <c r="A4842">
        <v>131.05415367616101</v>
      </c>
      <c r="B4842">
        <v>16.374232802248699</v>
      </c>
      <c r="C4842">
        <v>2000</v>
      </c>
    </row>
    <row r="4843" spans="1:11" x14ac:dyDescent="0.25">
      <c r="A4843">
        <v>130.18012162726299</v>
      </c>
      <c r="B4843">
        <v>16.374232802248699</v>
      </c>
      <c r="C4843">
        <v>2001</v>
      </c>
    </row>
    <row r="4844" spans="1:11" x14ac:dyDescent="0.25">
      <c r="A4844">
        <v>131.24661712919601</v>
      </c>
      <c r="B4844">
        <v>15.3077373003158</v>
      </c>
      <c r="C4844">
        <v>2001</v>
      </c>
    </row>
    <row r="4845" spans="1:11" x14ac:dyDescent="0.25">
      <c r="A4845">
        <v>131.45514218624399</v>
      </c>
      <c r="B4845">
        <v>15.0992122432679</v>
      </c>
      <c r="C4845">
        <v>2001</v>
      </c>
    </row>
    <row r="4846" spans="1:11" x14ac:dyDescent="0.25">
      <c r="A4846">
        <v>132.32917423514201</v>
      </c>
      <c r="B4846">
        <v>15.0992122432679</v>
      </c>
      <c r="C4846">
        <v>2000</v>
      </c>
    </row>
    <row r="4847" spans="1:11" x14ac:dyDescent="0.25">
      <c r="A4847" t="s">
        <v>86</v>
      </c>
    </row>
    <row r="4848" spans="1:11" x14ac:dyDescent="0.25">
      <c r="A4848">
        <v>395</v>
      </c>
      <c r="B4848">
        <v>1</v>
      </c>
      <c r="C4848">
        <v>0.19620414954888701</v>
      </c>
      <c r="D4848">
        <v>1.60463906815552</v>
      </c>
      <c r="E4848">
        <v>6</v>
      </c>
      <c r="F4848">
        <v>1.01722196789785</v>
      </c>
      <c r="G4848" t="s">
        <v>87</v>
      </c>
      <c r="H4848" t="s">
        <v>87</v>
      </c>
      <c r="I4848">
        <v>844</v>
      </c>
      <c r="J4848">
        <v>587</v>
      </c>
      <c r="K4848">
        <v>0</v>
      </c>
    </row>
    <row r="4849" spans="1:11" x14ac:dyDescent="0.25">
      <c r="A4849" t="s">
        <v>85</v>
      </c>
    </row>
    <row r="4850" spans="1:11" x14ac:dyDescent="0.25">
      <c r="A4850">
        <v>75.0692669358546</v>
      </c>
      <c r="B4850">
        <v>63.762216499409298</v>
      </c>
      <c r="C4850">
        <v>2000</v>
      </c>
    </row>
    <row r="4851" spans="1:11" x14ac:dyDescent="0.25">
      <c r="A4851">
        <v>74.978143100607596</v>
      </c>
      <c r="B4851">
        <v>63.853340334656302</v>
      </c>
      <c r="C4851">
        <v>2000</v>
      </c>
    </row>
    <row r="4852" spans="1:11" x14ac:dyDescent="0.25">
      <c r="A4852">
        <v>74.104111051710007</v>
      </c>
      <c r="B4852">
        <v>63.853340334656401</v>
      </c>
      <c r="C4852">
        <v>2001</v>
      </c>
    </row>
    <row r="4853" spans="1:11" x14ac:dyDescent="0.25">
      <c r="A4853">
        <v>74.290461785748903</v>
      </c>
      <c r="B4853">
        <v>63.666989600617399</v>
      </c>
      <c r="C4853">
        <v>2001</v>
      </c>
    </row>
    <row r="4854" spans="1:11" x14ac:dyDescent="0.25">
      <c r="A4854">
        <v>75.814515527251402</v>
      </c>
      <c r="B4854">
        <v>62.1429358591149</v>
      </c>
      <c r="C4854">
        <v>2001</v>
      </c>
    </row>
    <row r="4855" spans="1:11" x14ac:dyDescent="0.25">
      <c r="A4855">
        <v>75.814515527251402</v>
      </c>
      <c r="B4855">
        <v>63.016967908012603</v>
      </c>
      <c r="C4855">
        <v>2000</v>
      </c>
    </row>
    <row r="4856" spans="1:11" x14ac:dyDescent="0.25">
      <c r="A4856" t="s">
        <v>86</v>
      </c>
    </row>
    <row r="4857" spans="1:11" x14ac:dyDescent="0.25">
      <c r="A4857">
        <v>1056</v>
      </c>
      <c r="B4857">
        <v>1</v>
      </c>
      <c r="C4857">
        <v>0.14844289627652099</v>
      </c>
      <c r="D4857">
        <v>1.64861026607377</v>
      </c>
      <c r="E4857">
        <v>6</v>
      </c>
      <c r="F4857">
        <v>1.01722196789785</v>
      </c>
      <c r="G4857" t="s">
        <v>87</v>
      </c>
      <c r="H4857" t="s">
        <v>87</v>
      </c>
      <c r="I4857">
        <v>421</v>
      </c>
      <c r="J4857">
        <v>783</v>
      </c>
      <c r="K4857">
        <v>0.121949590810518</v>
      </c>
    </row>
    <row r="4858" spans="1:11" x14ac:dyDescent="0.25">
      <c r="A4858" t="s">
        <v>85</v>
      </c>
    </row>
    <row r="4859" spans="1:11" x14ac:dyDescent="0.25">
      <c r="A4859">
        <v>103.65811067758</v>
      </c>
      <c r="B4859">
        <v>123.36178617475601</v>
      </c>
      <c r="C4859">
        <v>2000</v>
      </c>
    </row>
    <row r="4860" spans="1:11" x14ac:dyDescent="0.25">
      <c r="A4860">
        <v>103.55314569900401</v>
      </c>
      <c r="B4860">
        <v>123.46675115333301</v>
      </c>
      <c r="C4860">
        <v>2000</v>
      </c>
    </row>
    <row r="4861" spans="1:11" x14ac:dyDescent="0.25">
      <c r="A4861">
        <v>104.42717774790199</v>
      </c>
      <c r="B4861">
        <v>123.46675115333301</v>
      </c>
      <c r="C4861">
        <v>2001</v>
      </c>
    </row>
    <row r="4862" spans="1:11" x14ac:dyDescent="0.25">
      <c r="A4862">
        <v>104.532142726478</v>
      </c>
      <c r="B4862">
        <v>123.36178617475601</v>
      </c>
      <c r="C4862">
        <v>2001</v>
      </c>
    </row>
    <row r="4863" spans="1:11" x14ac:dyDescent="0.25">
      <c r="A4863">
        <v>105.697886225152</v>
      </c>
      <c r="B4863">
        <v>122.196042676082</v>
      </c>
      <c r="C4863">
        <v>2001</v>
      </c>
    </row>
    <row r="4864" spans="1:11" x14ac:dyDescent="0.25">
      <c r="A4864">
        <v>104.823854176255</v>
      </c>
      <c r="B4864">
        <v>122.196042676082</v>
      </c>
      <c r="C4864">
        <v>2000</v>
      </c>
    </row>
    <row r="4865" spans="1:11" x14ac:dyDescent="0.25">
      <c r="A4865" t="s">
        <v>86</v>
      </c>
    </row>
    <row r="4866" spans="1:11" x14ac:dyDescent="0.25">
      <c r="A4866">
        <v>905</v>
      </c>
      <c r="B4866">
        <v>1</v>
      </c>
      <c r="C4866">
        <v>0.37989967421680099</v>
      </c>
      <c r="D4866">
        <v>1.4124316416910101</v>
      </c>
      <c r="E4866">
        <v>6</v>
      </c>
      <c r="F4866">
        <v>1.01722196789785</v>
      </c>
      <c r="G4866" t="s">
        <v>87</v>
      </c>
      <c r="H4866" t="s">
        <v>87</v>
      </c>
      <c r="I4866">
        <v>766</v>
      </c>
      <c r="J4866">
        <v>667</v>
      </c>
      <c r="K4866">
        <v>0.11685087107927999</v>
      </c>
    </row>
    <row r="4867" spans="1:11" x14ac:dyDescent="0.25">
      <c r="A4867" t="s">
        <v>85</v>
      </c>
    </row>
    <row r="4868" spans="1:11" x14ac:dyDescent="0.25">
      <c r="A4868">
        <v>82.120329802197205</v>
      </c>
      <c r="B4868">
        <v>17.981688941612699</v>
      </c>
      <c r="C4868">
        <v>2000</v>
      </c>
    </row>
    <row r="4869" spans="1:11" x14ac:dyDescent="0.25">
      <c r="A4869">
        <v>81.759070949991397</v>
      </c>
      <c r="B4869">
        <v>18.342947793818499</v>
      </c>
      <c r="C4869">
        <v>2000</v>
      </c>
    </row>
    <row r="4870" spans="1:11" x14ac:dyDescent="0.25">
      <c r="A4870">
        <v>82.633102998889001</v>
      </c>
      <c r="B4870">
        <v>18.342947793818499</v>
      </c>
      <c r="C4870">
        <v>2001</v>
      </c>
    </row>
    <row r="4871" spans="1:11" x14ac:dyDescent="0.25">
      <c r="A4871">
        <v>82.809103418301703</v>
      </c>
      <c r="B4871">
        <v>18.1669473744059</v>
      </c>
      <c r="C4871">
        <v>2001</v>
      </c>
    </row>
    <row r="4872" spans="1:11" x14ac:dyDescent="0.25">
      <c r="A4872">
        <v>83.463456602051593</v>
      </c>
      <c r="B4872">
        <v>17.5125941906559</v>
      </c>
      <c r="C4872">
        <v>2001</v>
      </c>
    </row>
    <row r="4873" spans="1:11" x14ac:dyDescent="0.25">
      <c r="A4873">
        <v>83.463456602051593</v>
      </c>
      <c r="B4873">
        <v>16.6385621417583</v>
      </c>
      <c r="C4873">
        <v>2000</v>
      </c>
    </row>
    <row r="4874" spans="1:11" x14ac:dyDescent="0.25">
      <c r="A4874" t="s">
        <v>86</v>
      </c>
    </row>
    <row r="4875" spans="1:11" x14ac:dyDescent="0.25">
      <c r="A4875">
        <v>473</v>
      </c>
      <c r="B4875">
        <v>1</v>
      </c>
      <c r="C4875">
        <v>1.60273949652126</v>
      </c>
      <c r="D4875">
        <v>0.18565856352912699</v>
      </c>
      <c r="E4875">
        <v>8</v>
      </c>
      <c r="F4875">
        <v>1.01722196789785</v>
      </c>
      <c r="G4875" t="s">
        <v>87</v>
      </c>
      <c r="H4875" t="s">
        <v>87</v>
      </c>
      <c r="I4875">
        <v>354</v>
      </c>
      <c r="J4875">
        <v>359</v>
      </c>
      <c r="K4875">
        <v>0</v>
      </c>
    </row>
    <row r="4876" spans="1:11" x14ac:dyDescent="0.25">
      <c r="A4876" t="s">
        <v>85</v>
      </c>
    </row>
    <row r="4877" spans="1:11" x14ac:dyDescent="0.25">
      <c r="A4877">
        <v>80.971311822928698</v>
      </c>
      <c r="B4877">
        <v>99.704011840674198</v>
      </c>
      <c r="C4877">
        <v>2000</v>
      </c>
    </row>
    <row r="4878" spans="1:11" x14ac:dyDescent="0.25">
      <c r="A4878">
        <v>79.866702589144296</v>
      </c>
      <c r="B4878">
        <v>100.808621074459</v>
      </c>
      <c r="C4878">
        <v>2000</v>
      </c>
    </row>
    <row r="4879" spans="1:11" x14ac:dyDescent="0.25">
      <c r="A4879">
        <v>79.866702589144296</v>
      </c>
      <c r="B4879">
        <v>101.682653123356</v>
      </c>
      <c r="C4879">
        <v>2001</v>
      </c>
    </row>
    <row r="4880" spans="1:11" x14ac:dyDescent="0.25">
      <c r="A4880">
        <v>81.028709288291395</v>
      </c>
      <c r="B4880">
        <v>100.520646424209</v>
      </c>
      <c r="C4880">
        <v>2001</v>
      </c>
    </row>
    <row r="4881" spans="1:11" x14ac:dyDescent="0.25">
      <c r="A4881">
        <v>81.143882928880501</v>
      </c>
      <c r="B4881">
        <v>100.40547278362</v>
      </c>
      <c r="C4881">
        <v>2001</v>
      </c>
    </row>
    <row r="4882" spans="1:11" x14ac:dyDescent="0.25">
      <c r="A4882">
        <v>81.131290984866794</v>
      </c>
      <c r="B4882">
        <v>100.418064727634</v>
      </c>
      <c r="C4882">
        <v>2001</v>
      </c>
    </row>
    <row r="4883" spans="1:11" x14ac:dyDescent="0.25">
      <c r="A4883">
        <v>81.131290984866794</v>
      </c>
      <c r="B4883">
        <v>99.544032678736002</v>
      </c>
      <c r="C4883">
        <v>2000</v>
      </c>
    </row>
    <row r="4884" spans="1:11" x14ac:dyDescent="0.25">
      <c r="A4884">
        <v>81.080796447222696</v>
      </c>
      <c r="B4884">
        <v>99.594527216380101</v>
      </c>
      <c r="C4884">
        <v>2000</v>
      </c>
    </row>
    <row r="4885" spans="1:11" x14ac:dyDescent="0.25">
      <c r="A4885" t="s">
        <v>86</v>
      </c>
    </row>
    <row r="4886" spans="1:11" x14ac:dyDescent="0.25">
      <c r="A4886">
        <v>631</v>
      </c>
      <c r="B4886">
        <v>1</v>
      </c>
      <c r="C4886">
        <v>1.57118698276785</v>
      </c>
      <c r="D4886">
        <v>0.21548453821793601</v>
      </c>
      <c r="E4886">
        <v>6</v>
      </c>
      <c r="F4886">
        <v>1.01722196789785</v>
      </c>
      <c r="G4886" t="s">
        <v>87</v>
      </c>
      <c r="H4886" t="s">
        <v>87</v>
      </c>
      <c r="I4886">
        <v>849</v>
      </c>
      <c r="J4886">
        <v>782</v>
      </c>
      <c r="K4886">
        <v>0</v>
      </c>
    </row>
    <row r="4887" spans="1:11" x14ac:dyDescent="0.25">
      <c r="A4887" t="s">
        <v>85</v>
      </c>
    </row>
    <row r="4888" spans="1:11" x14ac:dyDescent="0.25">
      <c r="A4888">
        <v>109.972825216218</v>
      </c>
      <c r="B4888">
        <v>73.696174250664399</v>
      </c>
      <c r="C4888">
        <v>2000</v>
      </c>
    </row>
    <row r="4889" spans="1:11" x14ac:dyDescent="0.25">
      <c r="A4889">
        <v>109.24613721446499</v>
      </c>
      <c r="B4889">
        <v>74.422862252417403</v>
      </c>
      <c r="C4889">
        <v>2000</v>
      </c>
    </row>
    <row r="4890" spans="1:11" x14ac:dyDescent="0.25">
      <c r="A4890">
        <v>108.37210516556701</v>
      </c>
      <c r="B4890">
        <v>74.422862252417403</v>
      </c>
      <c r="C4890">
        <v>2001</v>
      </c>
    </row>
    <row r="4891" spans="1:11" x14ac:dyDescent="0.25">
      <c r="A4891">
        <v>109.86741110386799</v>
      </c>
      <c r="B4891">
        <v>72.927556314116103</v>
      </c>
      <c r="C4891">
        <v>2001</v>
      </c>
    </row>
    <row r="4892" spans="1:11" x14ac:dyDescent="0.25">
      <c r="A4892">
        <v>110.072488738258</v>
      </c>
      <c r="B4892">
        <v>72.722478679726706</v>
      </c>
      <c r="C4892">
        <v>2001</v>
      </c>
    </row>
    <row r="4893" spans="1:11" x14ac:dyDescent="0.25">
      <c r="A4893">
        <v>110.072488738258</v>
      </c>
      <c r="B4893">
        <v>73.596510728624295</v>
      </c>
      <c r="C4893">
        <v>2000</v>
      </c>
    </row>
    <row r="4894" spans="1:11" x14ac:dyDescent="0.25">
      <c r="A4894" t="s">
        <v>86</v>
      </c>
    </row>
    <row r="4895" spans="1:11" x14ac:dyDescent="0.25">
      <c r="A4895">
        <v>898</v>
      </c>
      <c r="B4895">
        <v>1</v>
      </c>
      <c r="C4895">
        <v>0.62560791507924296</v>
      </c>
      <c r="D4895">
        <v>1.1310382897950599</v>
      </c>
      <c r="E4895">
        <v>6</v>
      </c>
      <c r="F4895">
        <v>1.01722196789785</v>
      </c>
      <c r="G4895" t="s">
        <v>87</v>
      </c>
      <c r="H4895" t="s">
        <v>87</v>
      </c>
      <c r="I4895">
        <v>783</v>
      </c>
      <c r="J4895">
        <v>279</v>
      </c>
      <c r="K4895">
        <v>0.116465549931603</v>
      </c>
    </row>
    <row r="4896" spans="1:11" x14ac:dyDescent="0.25">
      <c r="A4896" t="s">
        <v>85</v>
      </c>
    </row>
    <row r="4897" spans="1:11" x14ac:dyDescent="0.25">
      <c r="A4897">
        <v>96.594530672586401</v>
      </c>
      <c r="B4897">
        <v>113.08197597418101</v>
      </c>
      <c r="C4897">
        <v>2000</v>
      </c>
    </row>
    <row r="4898" spans="1:11" x14ac:dyDescent="0.25">
      <c r="A4898">
        <v>96.152159073469804</v>
      </c>
      <c r="B4898">
        <v>113.52434757329701</v>
      </c>
      <c r="C4898">
        <v>2000</v>
      </c>
    </row>
    <row r="4899" spans="1:11" x14ac:dyDescent="0.25">
      <c r="A4899">
        <v>97.026191122367507</v>
      </c>
      <c r="B4899">
        <v>113.52434757329701</v>
      </c>
      <c r="C4899">
        <v>2001</v>
      </c>
    </row>
    <row r="4900" spans="1:11" x14ac:dyDescent="0.25">
      <c r="A4900">
        <v>97.468562721484005</v>
      </c>
      <c r="B4900">
        <v>113.08197597418101</v>
      </c>
      <c r="C4900">
        <v>2001</v>
      </c>
    </row>
    <row r="4901" spans="1:11" x14ac:dyDescent="0.25">
      <c r="A4901">
        <v>98.268327565979703</v>
      </c>
      <c r="B4901">
        <v>112.282211129685</v>
      </c>
      <c r="C4901">
        <v>2001</v>
      </c>
    </row>
    <row r="4902" spans="1:11" x14ac:dyDescent="0.25">
      <c r="A4902">
        <v>97.394295517082099</v>
      </c>
      <c r="B4902">
        <v>112.282211129685</v>
      </c>
      <c r="C4902">
        <v>2000</v>
      </c>
    </row>
    <row r="4903" spans="1:11" x14ac:dyDescent="0.25">
      <c r="A4903" t="s">
        <v>86</v>
      </c>
    </row>
    <row r="4904" spans="1:11" x14ac:dyDescent="0.25">
      <c r="A4904">
        <v>707</v>
      </c>
      <c r="B4904">
        <v>1</v>
      </c>
      <c r="C4904">
        <v>0.70418105002374898</v>
      </c>
      <c r="D4904">
        <v>1.04182648356444</v>
      </c>
      <c r="E4904">
        <v>6</v>
      </c>
      <c r="F4904">
        <v>1.01722196789785</v>
      </c>
      <c r="G4904" t="s">
        <v>87</v>
      </c>
      <c r="H4904" t="s">
        <v>87</v>
      </c>
      <c r="I4904">
        <v>674</v>
      </c>
      <c r="J4904">
        <v>796</v>
      </c>
      <c r="K4904">
        <v>0</v>
      </c>
    </row>
    <row r="4905" spans="1:11" x14ac:dyDescent="0.25">
      <c r="A4905" t="s">
        <v>85</v>
      </c>
    </row>
    <row r="4906" spans="1:11" x14ac:dyDescent="0.25">
      <c r="A4906">
        <v>63.132953482733001</v>
      </c>
      <c r="B4906">
        <v>41.652643804742397</v>
      </c>
      <c r="C4906">
        <v>2000</v>
      </c>
    </row>
    <row r="4907" spans="1:11" x14ac:dyDescent="0.25">
      <c r="A4907">
        <v>62.635022287078101</v>
      </c>
      <c r="B4907">
        <v>42.150575000397197</v>
      </c>
      <c r="C4907">
        <v>2000</v>
      </c>
    </row>
    <row r="4908" spans="1:11" x14ac:dyDescent="0.25">
      <c r="A4908">
        <v>61.760990238180497</v>
      </c>
      <c r="B4908">
        <v>42.150575000397197</v>
      </c>
      <c r="C4908">
        <v>2001</v>
      </c>
    </row>
    <row r="4909" spans="1:11" x14ac:dyDescent="0.25">
      <c r="A4909">
        <v>62.258921433835297</v>
      </c>
      <c r="B4909">
        <v>41.652643804742397</v>
      </c>
      <c r="C4909">
        <v>2001</v>
      </c>
    </row>
    <row r="4910" spans="1:11" x14ac:dyDescent="0.25">
      <c r="A4910">
        <v>62.995604005183502</v>
      </c>
      <c r="B4910">
        <v>40.915961233394199</v>
      </c>
      <c r="C4910">
        <v>2001</v>
      </c>
    </row>
    <row r="4911" spans="1:11" x14ac:dyDescent="0.25">
      <c r="A4911">
        <v>63.869636054081099</v>
      </c>
      <c r="B4911">
        <v>40.915961233394199</v>
      </c>
      <c r="C4911">
        <v>2000</v>
      </c>
    </row>
    <row r="4912" spans="1:11" x14ac:dyDescent="0.25">
      <c r="A4912" t="s">
        <v>86</v>
      </c>
    </row>
    <row r="4913" spans="1:11" x14ac:dyDescent="0.25">
      <c r="A4913">
        <v>1009</v>
      </c>
      <c r="B4913">
        <v>1</v>
      </c>
      <c r="C4913">
        <v>0.10990205637370599</v>
      </c>
      <c r="D4913">
        <v>1.6361054772144801</v>
      </c>
      <c r="E4913">
        <v>6</v>
      </c>
      <c r="F4913">
        <v>1.01722196789785</v>
      </c>
      <c r="G4913" t="s">
        <v>87</v>
      </c>
      <c r="H4913" t="s">
        <v>87</v>
      </c>
      <c r="I4913">
        <v>674</v>
      </c>
      <c r="J4913">
        <v>796</v>
      </c>
      <c r="K4913">
        <v>0.12140552605247699</v>
      </c>
    </row>
    <row r="4914" spans="1:11" x14ac:dyDescent="0.25">
      <c r="A4914" t="s">
        <v>85</v>
      </c>
    </row>
    <row r="4915" spans="1:11" x14ac:dyDescent="0.25">
      <c r="A4915">
        <v>61.7784797692482</v>
      </c>
      <c r="B4915">
        <v>41.138607503910897</v>
      </c>
      <c r="C4915">
        <v>2000</v>
      </c>
    </row>
    <row r="4916" spans="1:11" x14ac:dyDescent="0.25">
      <c r="A4916">
        <v>61.700767279920001</v>
      </c>
      <c r="B4916">
        <v>41.216319993239097</v>
      </c>
      <c r="C4916">
        <v>2000</v>
      </c>
    </row>
    <row r="4917" spans="1:11" x14ac:dyDescent="0.25">
      <c r="A4917">
        <v>60.826735231022298</v>
      </c>
      <c r="B4917">
        <v>41.216319993239097</v>
      </c>
      <c r="C4917">
        <v>2001</v>
      </c>
    </row>
    <row r="4918" spans="1:11" x14ac:dyDescent="0.25">
      <c r="A4918">
        <v>60.904447720350497</v>
      </c>
      <c r="B4918">
        <v>41.138607503910897</v>
      </c>
      <c r="C4918">
        <v>2001</v>
      </c>
    </row>
    <row r="4919" spans="1:11" x14ac:dyDescent="0.25">
      <c r="A4919">
        <v>62.061348998025302</v>
      </c>
      <c r="B4919">
        <v>39.981706226236099</v>
      </c>
      <c r="C4919">
        <v>2001</v>
      </c>
    </row>
    <row r="4920" spans="1:11" x14ac:dyDescent="0.25">
      <c r="A4920">
        <v>62.935381046922998</v>
      </c>
      <c r="B4920">
        <v>39.981706226236099</v>
      </c>
      <c r="C4920">
        <v>2000</v>
      </c>
    </row>
    <row r="4921" spans="1:11" x14ac:dyDescent="0.25">
      <c r="A4921" t="s">
        <v>86</v>
      </c>
    </row>
    <row r="4922" spans="1:11" x14ac:dyDescent="0.25">
      <c r="A4922">
        <v>556</v>
      </c>
      <c r="B4922">
        <v>1</v>
      </c>
      <c r="C4922">
        <v>1.60515543290439</v>
      </c>
      <c r="D4922">
        <v>0.13091594821548799</v>
      </c>
      <c r="E4922">
        <v>6</v>
      </c>
      <c r="F4922">
        <v>1.01722196789785</v>
      </c>
      <c r="G4922" t="s">
        <v>87</v>
      </c>
      <c r="H4922" t="s">
        <v>87</v>
      </c>
      <c r="I4922">
        <v>599</v>
      </c>
      <c r="J4922">
        <v>509</v>
      </c>
      <c r="K4922">
        <v>0</v>
      </c>
    </row>
    <row r="4923" spans="1:11" x14ac:dyDescent="0.25">
      <c r="A4923" t="s">
        <v>85</v>
      </c>
    </row>
    <row r="4924" spans="1:11" x14ac:dyDescent="0.25">
      <c r="A4924">
        <v>110.164956555313</v>
      </c>
      <c r="B4924">
        <v>41.546178609396101</v>
      </c>
      <c r="C4924">
        <v>2000</v>
      </c>
    </row>
    <row r="4925" spans="1:11" x14ac:dyDescent="0.25">
      <c r="A4925">
        <v>109.029940263848</v>
      </c>
      <c r="B4925">
        <v>42.6811949008612</v>
      </c>
      <c r="C4925">
        <v>2000</v>
      </c>
    </row>
    <row r="4926" spans="1:11" x14ac:dyDescent="0.25">
      <c r="A4926">
        <v>109.029940263848</v>
      </c>
      <c r="B4926">
        <v>43.555226949758897</v>
      </c>
      <c r="C4926">
        <v>2001</v>
      </c>
    </row>
    <row r="4927" spans="1:11" x14ac:dyDescent="0.25">
      <c r="A4927">
        <v>110.164956555313</v>
      </c>
      <c r="B4927">
        <v>42.420210658293698</v>
      </c>
      <c r="C4927">
        <v>2001</v>
      </c>
    </row>
    <row r="4928" spans="1:11" x14ac:dyDescent="0.25">
      <c r="A4928">
        <v>110.257528110062</v>
      </c>
      <c r="B4928">
        <v>42.327639103545103</v>
      </c>
      <c r="C4928">
        <v>2001</v>
      </c>
    </row>
    <row r="4929" spans="1:11" x14ac:dyDescent="0.25">
      <c r="A4929">
        <v>110.257528110062</v>
      </c>
      <c r="B4929">
        <v>41.453607054647399</v>
      </c>
      <c r="C4929">
        <v>2000</v>
      </c>
    </row>
    <row r="4930" spans="1:11" x14ac:dyDescent="0.25">
      <c r="A4930" t="s">
        <v>86</v>
      </c>
    </row>
    <row r="4931" spans="1:11" x14ac:dyDescent="0.25">
      <c r="A4931">
        <v>475</v>
      </c>
      <c r="B4931">
        <v>1</v>
      </c>
      <c r="C4931">
        <v>0.88649037142887699</v>
      </c>
      <c r="D4931">
        <v>0.84113670748814995</v>
      </c>
      <c r="E4931">
        <v>6</v>
      </c>
      <c r="F4931">
        <v>1.01722196789785</v>
      </c>
      <c r="G4931" t="s">
        <v>87</v>
      </c>
      <c r="H4931" t="s">
        <v>87</v>
      </c>
      <c r="I4931">
        <v>743</v>
      </c>
      <c r="J4931">
        <v>434</v>
      </c>
      <c r="K4931">
        <v>0</v>
      </c>
    </row>
    <row r="4932" spans="1:11" x14ac:dyDescent="0.25">
      <c r="A4932" t="s">
        <v>85</v>
      </c>
    </row>
    <row r="4933" spans="1:11" x14ac:dyDescent="0.25">
      <c r="A4933">
        <v>91.255111565257593</v>
      </c>
      <c r="B4933">
        <v>130.02310470793901</v>
      </c>
      <c r="C4933">
        <v>2000</v>
      </c>
    </row>
    <row r="4934" spans="1:11" x14ac:dyDescent="0.25">
      <c r="A4934">
        <v>90.852512496454906</v>
      </c>
      <c r="B4934">
        <v>130.42570377674201</v>
      </c>
      <c r="C4934">
        <v>2000</v>
      </c>
    </row>
    <row r="4935" spans="1:11" x14ac:dyDescent="0.25">
      <c r="A4935">
        <v>90.852512496454906</v>
      </c>
      <c r="B4935">
        <v>131.299735825639</v>
      </c>
      <c r="C4935">
        <v>2001</v>
      </c>
    </row>
    <row r="4936" spans="1:11" x14ac:dyDescent="0.25">
      <c r="A4936">
        <v>91.703600133840098</v>
      </c>
      <c r="B4936">
        <v>130.448648188254</v>
      </c>
      <c r="C4936">
        <v>2001</v>
      </c>
    </row>
    <row r="4937" spans="1:11" x14ac:dyDescent="0.25">
      <c r="A4937">
        <v>92.511145343767495</v>
      </c>
      <c r="B4937">
        <v>129.64110297832701</v>
      </c>
      <c r="C4937">
        <v>2001</v>
      </c>
    </row>
    <row r="4938" spans="1:11" x14ac:dyDescent="0.25">
      <c r="A4938">
        <v>91.637113294869806</v>
      </c>
      <c r="B4938">
        <v>129.64110297832701</v>
      </c>
      <c r="C4938">
        <v>2000</v>
      </c>
    </row>
    <row r="4939" spans="1:11" x14ac:dyDescent="0.25">
      <c r="A4939" t="s">
        <v>86</v>
      </c>
    </row>
    <row r="4940" spans="1:11" x14ac:dyDescent="0.25">
      <c r="A4940">
        <v>861</v>
      </c>
      <c r="B4940">
        <v>1</v>
      </c>
      <c r="C4940">
        <v>0.85654799899827705</v>
      </c>
      <c r="D4940">
        <v>0.871079079918751</v>
      </c>
      <c r="E4940">
        <v>6</v>
      </c>
      <c r="F4940">
        <v>1.01722196789785</v>
      </c>
      <c r="G4940" t="s">
        <v>87</v>
      </c>
      <c r="H4940" t="s">
        <v>87</v>
      </c>
      <c r="I4940">
        <v>743</v>
      </c>
      <c r="J4940">
        <v>434</v>
      </c>
      <c r="K4940">
        <v>0.116069536161876</v>
      </c>
    </row>
    <row r="4941" spans="1:11" x14ac:dyDescent="0.25">
      <c r="A4941" t="s">
        <v>85</v>
      </c>
    </row>
    <row r="4942" spans="1:11" x14ac:dyDescent="0.25">
      <c r="A4942">
        <v>47.163022467611597</v>
      </c>
      <c r="B4942">
        <v>85.958212231140607</v>
      </c>
      <c r="C4942">
        <v>2000</v>
      </c>
    </row>
    <row r="4943" spans="1:11" x14ac:dyDescent="0.25">
      <c r="A4943">
        <v>46.774021709232599</v>
      </c>
      <c r="B4943">
        <v>86.347212989519505</v>
      </c>
      <c r="C4943">
        <v>2000</v>
      </c>
    </row>
    <row r="4944" spans="1:11" x14ac:dyDescent="0.25">
      <c r="A4944">
        <v>46.774021709232599</v>
      </c>
      <c r="B4944">
        <v>87.221245038417194</v>
      </c>
      <c r="C4944">
        <v>2001</v>
      </c>
    </row>
    <row r="4945" spans="1:11" x14ac:dyDescent="0.25">
      <c r="A4945">
        <v>47.596362747860503</v>
      </c>
      <c r="B4945">
        <v>86.398903999789198</v>
      </c>
      <c r="C4945">
        <v>2001</v>
      </c>
    </row>
    <row r="4946" spans="1:11" x14ac:dyDescent="0.25">
      <c r="A4946">
        <v>48.432654556545103</v>
      </c>
      <c r="B4946">
        <v>85.562612191104606</v>
      </c>
      <c r="C4946">
        <v>2001</v>
      </c>
    </row>
    <row r="4947" spans="1:11" x14ac:dyDescent="0.25">
      <c r="A4947">
        <v>47.558622507647499</v>
      </c>
      <c r="B4947">
        <v>85.562612191104606</v>
      </c>
      <c r="C4947">
        <v>2000</v>
      </c>
    </row>
    <row r="4948" spans="1:11" x14ac:dyDescent="0.25">
      <c r="A4948" t="s">
        <v>86</v>
      </c>
    </row>
    <row r="4949" spans="1:11" x14ac:dyDescent="0.25">
      <c r="A4949">
        <v>1070</v>
      </c>
      <c r="B4949">
        <v>1</v>
      </c>
      <c r="C4949">
        <v>6.7071934988050001E-3</v>
      </c>
      <c r="D4949">
        <v>1.7168682891126501</v>
      </c>
      <c r="E4949">
        <v>6</v>
      </c>
      <c r="F4949">
        <v>1.01722196789785</v>
      </c>
      <c r="G4949" t="s">
        <v>87</v>
      </c>
      <c r="H4949" t="s">
        <v>87</v>
      </c>
      <c r="I4949">
        <v>266</v>
      </c>
      <c r="J4949">
        <v>267</v>
      </c>
      <c r="K4949">
        <v>0.12297972043158099</v>
      </c>
    </row>
    <row r="4950" spans="1:11" x14ac:dyDescent="0.25">
      <c r="A4950" t="s">
        <v>85</v>
      </c>
    </row>
    <row r="4951" spans="1:11" x14ac:dyDescent="0.25">
      <c r="A4951">
        <v>116.50019178236801</v>
      </c>
      <c r="B4951">
        <v>97.253095772226303</v>
      </c>
      <c r="C4951">
        <v>2000</v>
      </c>
    </row>
    <row r="4952" spans="1:11" x14ac:dyDescent="0.25">
      <c r="A4952">
        <v>116.495449080363</v>
      </c>
      <c r="B4952">
        <v>97.257838474232102</v>
      </c>
      <c r="C4952">
        <v>2000</v>
      </c>
    </row>
    <row r="4953" spans="1:11" x14ac:dyDescent="0.25">
      <c r="A4953">
        <v>116.495449080363</v>
      </c>
      <c r="B4953">
        <v>96.383806425334399</v>
      </c>
      <c r="C4953">
        <v>2001</v>
      </c>
    </row>
    <row r="4954" spans="1:11" x14ac:dyDescent="0.25">
      <c r="A4954">
        <v>116.50019178236801</v>
      </c>
      <c r="B4954">
        <v>96.379063723328699</v>
      </c>
      <c r="C4954">
        <v>2001</v>
      </c>
    </row>
    <row r="4955" spans="1:11" x14ac:dyDescent="0.25">
      <c r="A4955">
        <v>117.714200992004</v>
      </c>
      <c r="B4955">
        <v>95.165054513692994</v>
      </c>
      <c r="C4955">
        <v>2001</v>
      </c>
    </row>
    <row r="4956" spans="1:11" x14ac:dyDescent="0.25">
      <c r="A4956">
        <v>117.714200992004</v>
      </c>
      <c r="B4956">
        <v>96.039086562590597</v>
      </c>
      <c r="C4956">
        <v>2000</v>
      </c>
    </row>
    <row r="4957" spans="1:11" x14ac:dyDescent="0.25">
      <c r="A4957" t="s">
        <v>86</v>
      </c>
    </row>
    <row r="4958" spans="1:11" x14ac:dyDescent="0.25">
      <c r="A4958">
        <v>903</v>
      </c>
      <c r="B4958">
        <v>1</v>
      </c>
      <c r="C4958">
        <v>8.9079488175237004E-2</v>
      </c>
      <c r="D4958">
        <v>1.6344959944362101</v>
      </c>
      <c r="E4958">
        <v>6</v>
      </c>
      <c r="F4958">
        <v>1.01722196789785</v>
      </c>
      <c r="G4958" t="s">
        <v>87</v>
      </c>
      <c r="H4958" t="s">
        <v>87</v>
      </c>
      <c r="I4958">
        <v>266</v>
      </c>
      <c r="J4958">
        <v>267</v>
      </c>
      <c r="K4958">
        <v>0.11685087107927999</v>
      </c>
    </row>
    <row r="4959" spans="1:11" x14ac:dyDescent="0.25">
      <c r="A4959" t="s">
        <v>85</v>
      </c>
    </row>
    <row r="4960" spans="1:11" x14ac:dyDescent="0.25">
      <c r="A4960">
        <v>117.449353142851</v>
      </c>
      <c r="B4960">
        <v>98.085765116413398</v>
      </c>
      <c r="C4960">
        <v>2000</v>
      </c>
    </row>
    <row r="4961" spans="1:11" x14ac:dyDescent="0.25">
      <c r="A4961">
        <v>117.38636443269699</v>
      </c>
      <c r="B4961">
        <v>98.148753826566704</v>
      </c>
      <c r="C4961">
        <v>2000</v>
      </c>
    </row>
    <row r="4962" spans="1:11" x14ac:dyDescent="0.25">
      <c r="A4962">
        <v>117.38636443269699</v>
      </c>
      <c r="B4962">
        <v>97.2747217776691</v>
      </c>
      <c r="C4962">
        <v>2001</v>
      </c>
    </row>
    <row r="4963" spans="1:11" x14ac:dyDescent="0.25">
      <c r="A4963">
        <v>117.449353142851</v>
      </c>
      <c r="B4963">
        <v>97.211733067515794</v>
      </c>
      <c r="C4963">
        <v>2001</v>
      </c>
    </row>
    <row r="4964" spans="1:11" x14ac:dyDescent="0.25">
      <c r="A4964">
        <v>118.605116344339</v>
      </c>
      <c r="B4964">
        <v>96.055969866027695</v>
      </c>
      <c r="C4964">
        <v>2001</v>
      </c>
    </row>
    <row r="4965" spans="1:11" x14ac:dyDescent="0.25">
      <c r="A4965">
        <v>118.605116344339</v>
      </c>
      <c r="B4965">
        <v>96.930001914925299</v>
      </c>
      <c r="C4965">
        <v>2000</v>
      </c>
    </row>
    <row r="4966" spans="1:11" x14ac:dyDescent="0.25">
      <c r="A4966" t="s">
        <v>86</v>
      </c>
    </row>
    <row r="4967" spans="1:11" x14ac:dyDescent="0.25">
      <c r="A4967">
        <v>862</v>
      </c>
      <c r="B4967">
        <v>1</v>
      </c>
      <c r="C4967">
        <v>0.34344169534833202</v>
      </c>
      <c r="D4967">
        <v>1.376382800062</v>
      </c>
      <c r="E4967">
        <v>6</v>
      </c>
      <c r="F4967">
        <v>1.01722196789785</v>
      </c>
      <c r="G4967" t="s">
        <v>87</v>
      </c>
      <c r="H4967" t="s">
        <v>87</v>
      </c>
      <c r="I4967">
        <v>757</v>
      </c>
      <c r="J4967">
        <v>437</v>
      </c>
      <c r="K4967">
        <v>0.114536792619501</v>
      </c>
    </row>
    <row r="4968" spans="1:11" x14ac:dyDescent="0.25">
      <c r="A4968" t="s">
        <v>85</v>
      </c>
    </row>
    <row r="4969" spans="1:11" x14ac:dyDescent="0.25">
      <c r="A4969">
        <v>105.745529080122</v>
      </c>
      <c r="B4969">
        <v>141.56780525325999</v>
      </c>
      <c r="C4969">
        <v>2000</v>
      </c>
    </row>
    <row r="4970" spans="1:11" x14ac:dyDescent="0.25">
      <c r="A4970">
        <v>105.58994938459701</v>
      </c>
      <c r="B4970">
        <v>141.723384948784</v>
      </c>
      <c r="C4970">
        <v>2000</v>
      </c>
    </row>
    <row r="4971" spans="1:11" x14ac:dyDescent="0.25">
      <c r="A4971">
        <v>104.7159173357</v>
      </c>
      <c r="B4971">
        <v>141.723384948784</v>
      </c>
      <c r="C4971">
        <v>2001</v>
      </c>
    </row>
    <row r="4972" spans="1:11" x14ac:dyDescent="0.25">
      <c r="A4972">
        <v>105.046037543621</v>
      </c>
      <c r="B4972">
        <v>141.393264740863</v>
      </c>
      <c r="C4972">
        <v>2001</v>
      </c>
    </row>
    <row r="4973" spans="1:11" x14ac:dyDescent="0.25">
      <c r="A4973">
        <v>106.369032923304</v>
      </c>
      <c r="B4973">
        <v>140.07026936118001</v>
      </c>
      <c r="C4973">
        <v>2001</v>
      </c>
    </row>
    <row r="4974" spans="1:11" x14ac:dyDescent="0.25">
      <c r="A4974">
        <v>106.369032923304</v>
      </c>
      <c r="B4974">
        <v>140.944301410078</v>
      </c>
      <c r="C4974">
        <v>2000</v>
      </c>
    </row>
    <row r="4975" spans="1:11" x14ac:dyDescent="0.25">
      <c r="A4975" t="s">
        <v>86</v>
      </c>
    </row>
    <row r="4976" spans="1:11" x14ac:dyDescent="0.25">
      <c r="A4976">
        <v>477</v>
      </c>
      <c r="B4976">
        <v>1</v>
      </c>
      <c r="C4976">
        <v>1.54524011511015E-2</v>
      </c>
      <c r="D4976">
        <v>1.70437209425923</v>
      </c>
      <c r="E4976">
        <v>6</v>
      </c>
      <c r="F4976">
        <v>1.01722196789785</v>
      </c>
      <c r="G4976" t="s">
        <v>87</v>
      </c>
      <c r="H4976" t="s">
        <v>87</v>
      </c>
      <c r="I4976">
        <v>757</v>
      </c>
      <c r="J4976">
        <v>437</v>
      </c>
      <c r="K4976">
        <v>0</v>
      </c>
    </row>
    <row r="4977" spans="1:11" x14ac:dyDescent="0.25">
      <c r="A4977" t="s">
        <v>85</v>
      </c>
    </row>
    <row r="4978" spans="1:11" x14ac:dyDescent="0.25">
      <c r="A4978">
        <v>96.037020933127195</v>
      </c>
      <c r="B4978">
        <v>132.15645656720201</v>
      </c>
      <c r="C4978">
        <v>2000</v>
      </c>
    </row>
    <row r="4979" spans="1:11" x14ac:dyDescent="0.25">
      <c r="A4979">
        <v>96.030020968071199</v>
      </c>
      <c r="B4979">
        <v>132.16345653225801</v>
      </c>
      <c r="C4979">
        <v>2000</v>
      </c>
    </row>
    <row r="4980" spans="1:11" x14ac:dyDescent="0.25">
      <c r="A4980">
        <v>96.030020968071199</v>
      </c>
      <c r="B4980">
        <v>133.037488581156</v>
      </c>
      <c r="C4980">
        <v>2001</v>
      </c>
    </row>
    <row r="4981" spans="1:11" x14ac:dyDescent="0.25">
      <c r="A4981">
        <v>96.044873998294307</v>
      </c>
      <c r="B4981">
        <v>133.02263555093199</v>
      </c>
      <c r="C4981">
        <v>2001</v>
      </c>
    </row>
    <row r="4982" spans="1:11" x14ac:dyDescent="0.25">
      <c r="A4982">
        <v>97.683136555675404</v>
      </c>
      <c r="B4982">
        <v>131.38437299355101</v>
      </c>
      <c r="C4982">
        <v>2001</v>
      </c>
    </row>
    <row r="4983" spans="1:11" x14ac:dyDescent="0.25">
      <c r="A4983">
        <v>96.8091045067777</v>
      </c>
      <c r="B4983">
        <v>131.38437299355101</v>
      </c>
      <c r="C4983">
        <v>2000</v>
      </c>
    </row>
    <row r="4984" spans="1:11" x14ac:dyDescent="0.25">
      <c r="A4984" t="s">
        <v>86</v>
      </c>
    </row>
    <row r="4985" spans="1:11" x14ac:dyDescent="0.25">
      <c r="A4985">
        <v>887</v>
      </c>
      <c r="B4985">
        <v>1</v>
      </c>
      <c r="C4985">
        <v>0.40996509568879702</v>
      </c>
      <c r="D4985">
        <v>1.2943647529401701</v>
      </c>
      <c r="E4985">
        <v>6</v>
      </c>
      <c r="F4985">
        <v>1.01722196789785</v>
      </c>
      <c r="G4985" t="s">
        <v>87</v>
      </c>
      <c r="H4985" t="s">
        <v>87</v>
      </c>
      <c r="I4985">
        <v>828</v>
      </c>
      <c r="J4985">
        <v>429</v>
      </c>
      <c r="K4985">
        <v>0.115162323415006</v>
      </c>
    </row>
    <row r="4986" spans="1:11" x14ac:dyDescent="0.25">
      <c r="A4986" t="s">
        <v>85</v>
      </c>
    </row>
    <row r="4987" spans="1:11" x14ac:dyDescent="0.25">
      <c r="A4987">
        <v>74.564382829500502</v>
      </c>
      <c r="B4987">
        <v>148.886709873521</v>
      </c>
      <c r="C4987">
        <v>2000</v>
      </c>
    </row>
    <row r="4988" spans="1:11" x14ac:dyDescent="0.25">
      <c r="A4988">
        <v>74.274493730289194</v>
      </c>
      <c r="B4988">
        <v>149.17659897273199</v>
      </c>
      <c r="C4988">
        <v>2000</v>
      </c>
    </row>
    <row r="4989" spans="1:11" x14ac:dyDescent="0.25">
      <c r="A4989">
        <v>74.274493730289194</v>
      </c>
      <c r="B4989">
        <v>150.05063102163001</v>
      </c>
      <c r="C4989">
        <v>2001</v>
      </c>
    </row>
    <row r="4990" spans="1:11" x14ac:dyDescent="0.25">
      <c r="A4990">
        <v>74.564382829500502</v>
      </c>
      <c r="B4990">
        <v>149.76074192241799</v>
      </c>
      <c r="C4990">
        <v>2001</v>
      </c>
    </row>
    <row r="4991" spans="1:11" x14ac:dyDescent="0.25">
      <c r="A4991">
        <v>75.479636923633393</v>
      </c>
      <c r="B4991">
        <v>148.845487828286</v>
      </c>
      <c r="C4991">
        <v>2001</v>
      </c>
    </row>
    <row r="4992" spans="1:11" x14ac:dyDescent="0.25">
      <c r="A4992">
        <v>75.479636923633393</v>
      </c>
      <c r="B4992">
        <v>147.97145577938801</v>
      </c>
      <c r="C4992">
        <v>2000</v>
      </c>
    </row>
    <row r="4993" spans="1:11" x14ac:dyDescent="0.25">
      <c r="A4993" t="s">
        <v>86</v>
      </c>
    </row>
    <row r="4994" spans="1:11" x14ac:dyDescent="0.25">
      <c r="A4994">
        <v>959</v>
      </c>
      <c r="B4994">
        <v>1</v>
      </c>
      <c r="C4994">
        <v>1.41747604323355</v>
      </c>
      <c r="D4994">
        <v>0.27311747245119</v>
      </c>
      <c r="E4994">
        <v>6</v>
      </c>
      <c r="F4994">
        <v>1.01722196789785</v>
      </c>
      <c r="G4994" t="s">
        <v>87</v>
      </c>
      <c r="H4994" t="s">
        <v>87</v>
      </c>
      <c r="I4994">
        <v>421</v>
      </c>
      <c r="J4994">
        <v>265</v>
      </c>
      <c r="K4994">
        <v>0.11931529568040899</v>
      </c>
    </row>
    <row r="4995" spans="1:11" x14ac:dyDescent="0.25">
      <c r="A4995" t="s">
        <v>85</v>
      </c>
    </row>
    <row r="4996" spans="1:11" x14ac:dyDescent="0.25">
      <c r="A4996">
        <v>129.74239154939599</v>
      </c>
      <c r="B4996">
        <v>147.651383159045</v>
      </c>
      <c r="C4996">
        <v>2000</v>
      </c>
    </row>
    <row r="4997" spans="1:11" x14ac:dyDescent="0.25">
      <c r="A4997">
        <v>128.740084627057</v>
      </c>
      <c r="B4997">
        <v>148.65369008138501</v>
      </c>
      <c r="C4997">
        <v>2000</v>
      </c>
    </row>
    <row r="4998" spans="1:11" x14ac:dyDescent="0.25">
      <c r="A4998">
        <v>128.740084627057</v>
      </c>
      <c r="B4998">
        <v>147.77965803248799</v>
      </c>
      <c r="C4998">
        <v>2001</v>
      </c>
    </row>
    <row r="4999" spans="1:11" x14ac:dyDescent="0.25">
      <c r="A4999">
        <v>129.74239154939599</v>
      </c>
      <c r="B4999">
        <v>146.777351110148</v>
      </c>
      <c r="C4999">
        <v>2001</v>
      </c>
    </row>
    <row r="5000" spans="1:11" x14ac:dyDescent="0.25">
      <c r="A5000">
        <v>129.93551476622699</v>
      </c>
      <c r="B5000">
        <v>146.58422789331701</v>
      </c>
      <c r="C5000">
        <v>2001</v>
      </c>
    </row>
    <row r="5001" spans="1:11" x14ac:dyDescent="0.25">
      <c r="A5001">
        <v>129.93551476622699</v>
      </c>
      <c r="B5001">
        <v>147.45825994221499</v>
      </c>
      <c r="C5001">
        <v>2000</v>
      </c>
    </row>
    <row r="5002" spans="1:11" x14ac:dyDescent="0.25">
      <c r="A5002" t="s">
        <v>86</v>
      </c>
    </row>
    <row r="5003" spans="1:11" x14ac:dyDescent="0.25">
      <c r="A5003">
        <v>972</v>
      </c>
      <c r="B5003">
        <v>1</v>
      </c>
      <c r="C5003">
        <v>0.59405490741745803</v>
      </c>
      <c r="D5003">
        <v>1.0859328148157099</v>
      </c>
      <c r="E5003">
        <v>6</v>
      </c>
      <c r="F5003">
        <v>1.01722196789785</v>
      </c>
      <c r="G5003" t="s">
        <v>87</v>
      </c>
      <c r="H5003" t="s">
        <v>84</v>
      </c>
      <c r="I5003">
        <v>425</v>
      </c>
      <c r="J5003">
        <v>212</v>
      </c>
      <c r="K5003">
        <v>0.11963401938905099</v>
      </c>
    </row>
    <row r="5004" spans="1:11" x14ac:dyDescent="0.25">
      <c r="A5004" t="s">
        <v>85</v>
      </c>
    </row>
    <row r="5005" spans="1:11" x14ac:dyDescent="0.25">
      <c r="A5005">
        <v>18.435879126584801</v>
      </c>
      <c r="B5005">
        <v>104.79745805653199</v>
      </c>
      <c r="C5005">
        <v>2000</v>
      </c>
    </row>
    <row r="5006" spans="1:11" x14ac:dyDescent="0.25">
      <c r="A5006">
        <v>18.093084769357802</v>
      </c>
      <c r="B5006">
        <v>105.140252413759</v>
      </c>
      <c r="C5006">
        <v>2000</v>
      </c>
    </row>
    <row r="5007" spans="1:11" x14ac:dyDescent="0.25">
      <c r="A5007">
        <v>17.219052720460201</v>
      </c>
      <c r="B5007">
        <v>105.140252413759</v>
      </c>
      <c r="C5007">
        <v>2001</v>
      </c>
    </row>
    <row r="5008" spans="1:11" x14ac:dyDescent="0.25">
      <c r="A5008">
        <v>17.716378870097401</v>
      </c>
      <c r="B5008">
        <v>104.642926264122</v>
      </c>
      <c r="C5008">
        <v>2001</v>
      </c>
    </row>
    <row r="5009" spans="1:11" x14ac:dyDescent="0.25">
      <c r="A5009">
        <v>18.625491443385901</v>
      </c>
      <c r="B5009">
        <v>103.733813690833</v>
      </c>
      <c r="C5009">
        <v>2001</v>
      </c>
    </row>
    <row r="5010" spans="1:11" x14ac:dyDescent="0.25">
      <c r="A5010">
        <v>19.062507467834699</v>
      </c>
      <c r="B5010">
        <v>104.170829715282</v>
      </c>
      <c r="C5010">
        <v>2000</v>
      </c>
    </row>
    <row r="5011" spans="1:11" x14ac:dyDescent="0.25">
      <c r="A5011" t="s">
        <v>86</v>
      </c>
    </row>
    <row r="5012" spans="1:11" x14ac:dyDescent="0.25">
      <c r="A5012">
        <v>543</v>
      </c>
      <c r="B5012">
        <v>1</v>
      </c>
      <c r="C5012">
        <v>0.26640917589016799</v>
      </c>
      <c r="D5012">
        <v>1.400287619977</v>
      </c>
      <c r="E5012">
        <v>6</v>
      </c>
      <c r="F5012">
        <v>1.01722196789785</v>
      </c>
      <c r="G5012" t="s">
        <v>87</v>
      </c>
      <c r="H5012" t="s">
        <v>87</v>
      </c>
      <c r="I5012">
        <v>794</v>
      </c>
      <c r="J5012">
        <v>729</v>
      </c>
      <c r="K5012">
        <v>0</v>
      </c>
    </row>
    <row r="5013" spans="1:11" x14ac:dyDescent="0.25">
      <c r="A5013" t="s">
        <v>85</v>
      </c>
    </row>
    <row r="5014" spans="1:11" x14ac:dyDescent="0.25">
      <c r="A5014">
        <v>105.51522429593101</v>
      </c>
      <c r="B5014">
        <v>28.3619505396554</v>
      </c>
      <c r="C5014">
        <v>2000</v>
      </c>
    </row>
    <row r="5015" spans="1:11" x14ac:dyDescent="0.25">
      <c r="A5015">
        <v>105.256990776517</v>
      </c>
      <c r="B5015">
        <v>28.620184059069</v>
      </c>
      <c r="C5015">
        <v>2000</v>
      </c>
    </row>
    <row r="5016" spans="1:11" x14ac:dyDescent="0.25">
      <c r="A5016">
        <v>105.256990776517</v>
      </c>
      <c r="B5016">
        <v>27.7461520101714</v>
      </c>
      <c r="C5016">
        <v>2001</v>
      </c>
    </row>
    <row r="5017" spans="1:11" x14ac:dyDescent="0.25">
      <c r="A5017">
        <v>105.37551672678801</v>
      </c>
      <c r="B5017">
        <v>27.6276260599005</v>
      </c>
      <c r="C5017">
        <v>2001</v>
      </c>
    </row>
    <row r="5018" spans="1:11" x14ac:dyDescent="0.25">
      <c r="A5018">
        <v>105.99850735860799</v>
      </c>
      <c r="B5018">
        <v>27.004635428080601</v>
      </c>
      <c r="C5018">
        <v>2001</v>
      </c>
    </row>
    <row r="5019" spans="1:11" x14ac:dyDescent="0.25">
      <c r="A5019">
        <v>106.872539407505</v>
      </c>
      <c r="B5019">
        <v>27.004635428080601</v>
      </c>
      <c r="C5019">
        <v>2000</v>
      </c>
    </row>
    <row r="5020" spans="1:11" x14ac:dyDescent="0.25">
      <c r="A5020" t="s">
        <v>86</v>
      </c>
    </row>
    <row r="5021" spans="1:11" x14ac:dyDescent="0.25">
      <c r="A5021">
        <v>386</v>
      </c>
      <c r="B5021">
        <v>1</v>
      </c>
      <c r="C5021">
        <v>0.62222982870593302</v>
      </c>
      <c r="D5021">
        <v>1.04362689485925</v>
      </c>
      <c r="E5021">
        <v>6</v>
      </c>
      <c r="F5021">
        <v>1.01722196789785</v>
      </c>
      <c r="G5021" t="s">
        <v>87</v>
      </c>
      <c r="H5021" t="s">
        <v>87</v>
      </c>
      <c r="I5021">
        <v>275</v>
      </c>
      <c r="J5021">
        <v>270</v>
      </c>
      <c r="K5021">
        <v>0</v>
      </c>
    </row>
    <row r="5022" spans="1:11" x14ac:dyDescent="0.25">
      <c r="A5022" t="s">
        <v>85</v>
      </c>
    </row>
    <row r="5023" spans="1:11" x14ac:dyDescent="0.25">
      <c r="A5023">
        <v>95.037354002724101</v>
      </c>
      <c r="B5023">
        <v>90.445231483068596</v>
      </c>
      <c r="C5023">
        <v>2000</v>
      </c>
    </row>
    <row r="5024" spans="1:11" x14ac:dyDescent="0.25">
      <c r="A5024">
        <v>94.597371071389603</v>
      </c>
      <c r="B5024">
        <v>90.885214414403094</v>
      </c>
      <c r="C5024">
        <v>2000</v>
      </c>
    </row>
    <row r="5025" spans="1:11" x14ac:dyDescent="0.25">
      <c r="A5025">
        <v>94.597371071389603</v>
      </c>
      <c r="B5025">
        <v>91.759246463300698</v>
      </c>
      <c r="C5025">
        <v>2001</v>
      </c>
    </row>
    <row r="5026" spans="1:11" x14ac:dyDescent="0.25">
      <c r="A5026">
        <v>95.037354002724101</v>
      </c>
      <c r="B5026">
        <v>91.3192635319662</v>
      </c>
      <c r="C5026">
        <v>2001</v>
      </c>
    </row>
    <row r="5027" spans="1:11" x14ac:dyDescent="0.25">
      <c r="A5027">
        <v>95.775309657107698</v>
      </c>
      <c r="B5027">
        <v>90.581307877582503</v>
      </c>
      <c r="C5027">
        <v>2001</v>
      </c>
    </row>
    <row r="5028" spans="1:11" x14ac:dyDescent="0.25">
      <c r="A5028">
        <v>95.775309657107698</v>
      </c>
      <c r="B5028">
        <v>89.707275828684899</v>
      </c>
      <c r="C5028">
        <v>2000</v>
      </c>
    </row>
    <row r="5029" spans="1:11" x14ac:dyDescent="0.25">
      <c r="A5029" t="s">
        <v>86</v>
      </c>
    </row>
    <row r="5030" spans="1:11" x14ac:dyDescent="0.25">
      <c r="A5030">
        <v>1076</v>
      </c>
      <c r="B5030">
        <v>1</v>
      </c>
      <c r="C5030">
        <v>1.3930809698593301</v>
      </c>
      <c r="D5030">
        <v>0.27277575370584001</v>
      </c>
      <c r="E5030">
        <v>6</v>
      </c>
      <c r="F5030">
        <v>1.01722196789785</v>
      </c>
      <c r="G5030" t="s">
        <v>87</v>
      </c>
      <c r="H5030" t="s">
        <v>87</v>
      </c>
      <c r="I5030">
        <v>275</v>
      </c>
      <c r="J5030">
        <v>270</v>
      </c>
      <c r="K5030">
        <v>0.12297972043158099</v>
      </c>
    </row>
    <row r="5031" spans="1:11" x14ac:dyDescent="0.25">
      <c r="A5031" t="s">
        <v>85</v>
      </c>
    </row>
    <row r="5032" spans="1:11" x14ac:dyDescent="0.25">
      <c r="A5032">
        <v>126.095598501654</v>
      </c>
      <c r="B5032">
        <v>120.413327843609</v>
      </c>
      <c r="C5032">
        <v>2000</v>
      </c>
    </row>
    <row r="5033" spans="1:11" x14ac:dyDescent="0.25">
      <c r="A5033">
        <v>125.110541501125</v>
      </c>
      <c r="B5033">
        <v>121.39838484413799</v>
      </c>
      <c r="C5033">
        <v>2000</v>
      </c>
    </row>
    <row r="5034" spans="1:11" x14ac:dyDescent="0.25">
      <c r="A5034">
        <v>124.236509452227</v>
      </c>
      <c r="B5034">
        <v>121.39838484413799</v>
      </c>
      <c r="C5034">
        <v>2001</v>
      </c>
    </row>
    <row r="5035" spans="1:11" x14ac:dyDescent="0.25">
      <c r="A5035">
        <v>125.221566452757</v>
      </c>
      <c r="B5035">
        <v>120.413327843609</v>
      </c>
      <c r="C5035">
        <v>2001</v>
      </c>
    </row>
    <row r="5036" spans="1:11" x14ac:dyDescent="0.25">
      <c r="A5036">
        <v>125.414448037946</v>
      </c>
      <c r="B5036">
        <v>120.22044625842</v>
      </c>
      <c r="C5036">
        <v>2001</v>
      </c>
    </row>
    <row r="5037" spans="1:11" x14ac:dyDescent="0.25">
      <c r="A5037">
        <v>126.28848008684299</v>
      </c>
      <c r="B5037">
        <v>120.22044625842</v>
      </c>
      <c r="C5037">
        <v>2000</v>
      </c>
    </row>
    <row r="5038" spans="1:11" x14ac:dyDescent="0.25">
      <c r="A5038" t="s">
        <v>86</v>
      </c>
    </row>
    <row r="5039" spans="1:11" x14ac:dyDescent="0.25">
      <c r="A5039">
        <v>917</v>
      </c>
      <c r="B5039">
        <v>1</v>
      </c>
      <c r="C5039">
        <v>0.88543521849047802</v>
      </c>
      <c r="D5039">
        <v>0.78042150507469199</v>
      </c>
      <c r="E5039">
        <v>6</v>
      </c>
      <c r="F5039">
        <v>1.01722196789785</v>
      </c>
      <c r="G5039" t="s">
        <v>87</v>
      </c>
      <c r="H5039" t="s">
        <v>87</v>
      </c>
      <c r="I5039">
        <v>275</v>
      </c>
      <c r="J5039">
        <v>270</v>
      </c>
      <c r="K5039">
        <v>0.11722927267913701</v>
      </c>
    </row>
    <row r="5040" spans="1:11" x14ac:dyDescent="0.25">
      <c r="A5040" t="s">
        <v>85</v>
      </c>
    </row>
    <row r="5041" spans="1:11" x14ac:dyDescent="0.25">
      <c r="A5041">
        <v>118.117160168056</v>
      </c>
      <c r="B5041">
        <v>113.152809016478</v>
      </c>
      <c r="C5041">
        <v>2000</v>
      </c>
    </row>
    <row r="5042" spans="1:11" x14ac:dyDescent="0.25">
      <c r="A5042">
        <v>117.49106292076</v>
      </c>
      <c r="B5042">
        <v>113.778906263774</v>
      </c>
      <c r="C5042">
        <v>2000</v>
      </c>
    </row>
    <row r="5043" spans="1:11" x14ac:dyDescent="0.25">
      <c r="A5043">
        <v>116.61703087186299</v>
      </c>
      <c r="B5043">
        <v>113.778906263774</v>
      </c>
      <c r="C5043">
        <v>2001</v>
      </c>
    </row>
    <row r="5044" spans="1:11" x14ac:dyDescent="0.25">
      <c r="A5044">
        <v>117.243128119159</v>
      </c>
      <c r="B5044">
        <v>113.152809016478</v>
      </c>
      <c r="C5044">
        <v>2001</v>
      </c>
    </row>
    <row r="5045" spans="1:11" x14ac:dyDescent="0.25">
      <c r="A5045">
        <v>117.794969457581</v>
      </c>
      <c r="B5045">
        <v>112.60096767805599</v>
      </c>
      <c r="C5045">
        <v>2001</v>
      </c>
    </row>
    <row r="5046" spans="1:11" x14ac:dyDescent="0.25">
      <c r="A5046">
        <v>118.669001506478</v>
      </c>
      <c r="B5046">
        <v>112.60096767805599</v>
      </c>
      <c r="C5046">
        <v>2000</v>
      </c>
    </row>
    <row r="5047" spans="1:11" x14ac:dyDescent="0.25">
      <c r="A5047" t="s">
        <v>86</v>
      </c>
    </row>
    <row r="5048" spans="1:11" x14ac:dyDescent="0.25">
      <c r="A5048">
        <v>1116</v>
      </c>
      <c r="B5048">
        <v>1</v>
      </c>
      <c r="C5048">
        <v>1.20700403300418</v>
      </c>
      <c r="D5048">
        <v>0.45885269056098799</v>
      </c>
      <c r="E5048">
        <v>8</v>
      </c>
      <c r="F5048">
        <v>1.01722196789785</v>
      </c>
      <c r="G5048" t="s">
        <v>87</v>
      </c>
      <c r="H5048" t="s">
        <v>87</v>
      </c>
      <c r="I5048">
        <v>275</v>
      </c>
      <c r="J5048">
        <v>270</v>
      </c>
      <c r="K5048">
        <v>0.12440073496922301</v>
      </c>
    </row>
    <row r="5049" spans="1:11" x14ac:dyDescent="0.25">
      <c r="A5049" t="s">
        <v>85</v>
      </c>
    </row>
    <row r="5050" spans="1:11" x14ac:dyDescent="0.25">
      <c r="A5050">
        <v>101.256025499489</v>
      </c>
      <c r="B5050">
        <v>95.841567679985502</v>
      </c>
      <c r="C5050">
        <v>2000</v>
      </c>
    </row>
    <row r="5051" spans="1:11" x14ac:dyDescent="0.25">
      <c r="A5051">
        <v>100.428787263179</v>
      </c>
      <c r="B5051">
        <v>96.668805916295895</v>
      </c>
      <c r="C5051">
        <v>2000</v>
      </c>
    </row>
    <row r="5052" spans="1:11" x14ac:dyDescent="0.25">
      <c r="A5052">
        <v>100.404874918231</v>
      </c>
      <c r="B5052">
        <v>96.692718261244096</v>
      </c>
      <c r="C5052">
        <v>2000</v>
      </c>
    </row>
    <row r="5053" spans="1:11" x14ac:dyDescent="0.25">
      <c r="A5053">
        <v>99.530842869333</v>
      </c>
      <c r="B5053">
        <v>96.692718261244096</v>
      </c>
      <c r="C5053">
        <v>2001</v>
      </c>
    </row>
    <row r="5054" spans="1:11" x14ac:dyDescent="0.25">
      <c r="A5054">
        <v>99.571212736821096</v>
      </c>
      <c r="B5054">
        <v>96.6523483937561</v>
      </c>
      <c r="C5054">
        <v>2001</v>
      </c>
    </row>
    <row r="5055" spans="1:11" x14ac:dyDescent="0.25">
      <c r="A5055">
        <v>100.386653761388</v>
      </c>
      <c r="B5055">
        <v>95.836907369189205</v>
      </c>
      <c r="C5055">
        <v>2001</v>
      </c>
    </row>
    <row r="5056" spans="1:11" x14ac:dyDescent="0.25">
      <c r="A5056">
        <v>100.708781455051</v>
      </c>
      <c r="B5056">
        <v>95.514779675526</v>
      </c>
      <c r="C5056">
        <v>2001</v>
      </c>
    </row>
    <row r="5057" spans="1:11" x14ac:dyDescent="0.25">
      <c r="A5057">
        <v>101.582813503949</v>
      </c>
      <c r="B5057">
        <v>95.514779675526</v>
      </c>
      <c r="C5057">
        <v>2000</v>
      </c>
    </row>
    <row r="5058" spans="1:11" x14ac:dyDescent="0.25">
      <c r="A5058" t="s">
        <v>86</v>
      </c>
    </row>
    <row r="5059" spans="1:11" x14ac:dyDescent="0.25">
      <c r="A5059">
        <v>965</v>
      </c>
      <c r="B5059">
        <v>1</v>
      </c>
      <c r="C5059">
        <v>1.33766548669442</v>
      </c>
      <c r="D5059">
        <v>0.32026514334149397</v>
      </c>
      <c r="E5059">
        <v>6</v>
      </c>
      <c r="F5059">
        <v>1.01722196789785</v>
      </c>
      <c r="G5059" t="s">
        <v>87</v>
      </c>
      <c r="H5059" t="s">
        <v>87</v>
      </c>
      <c r="I5059">
        <v>835</v>
      </c>
      <c r="J5059">
        <v>354</v>
      </c>
      <c r="K5059">
        <v>0.11931529568040899</v>
      </c>
    </row>
    <row r="5060" spans="1:11" x14ac:dyDescent="0.25">
      <c r="A5060" t="s">
        <v>85</v>
      </c>
    </row>
    <row r="5061" spans="1:11" x14ac:dyDescent="0.25">
      <c r="A5061">
        <v>65.306040172001602</v>
      </c>
      <c r="B5061">
        <v>86.8697201521843</v>
      </c>
      <c r="C5061">
        <v>2000</v>
      </c>
    </row>
    <row r="5062" spans="1:11" x14ac:dyDescent="0.25">
      <c r="A5062">
        <v>64.007570903751798</v>
      </c>
      <c r="B5062">
        <v>88.168189420434203</v>
      </c>
      <c r="C5062">
        <v>2000</v>
      </c>
    </row>
    <row r="5063" spans="1:11" x14ac:dyDescent="0.25">
      <c r="A5063">
        <v>64.007570903751798</v>
      </c>
      <c r="B5063">
        <v>87.294157371536599</v>
      </c>
      <c r="C5063">
        <v>2001</v>
      </c>
    </row>
    <row r="5064" spans="1:11" x14ac:dyDescent="0.25">
      <c r="A5064">
        <v>64.600846308703595</v>
      </c>
      <c r="B5064">
        <v>86.700881966584703</v>
      </c>
      <c r="C5064">
        <v>2001</v>
      </c>
    </row>
    <row r="5065" spans="1:11" x14ac:dyDescent="0.25">
      <c r="A5065">
        <v>64.742888870538295</v>
      </c>
      <c r="B5065">
        <v>86.558839404750103</v>
      </c>
      <c r="C5065">
        <v>2001</v>
      </c>
    </row>
    <row r="5066" spans="1:11" x14ac:dyDescent="0.25">
      <c r="A5066">
        <v>65.616920919435898</v>
      </c>
      <c r="B5066">
        <v>86.558839404750103</v>
      </c>
      <c r="C5066">
        <v>2000</v>
      </c>
    </row>
    <row r="5067" spans="1:11" x14ac:dyDescent="0.25">
      <c r="A5067" t="s">
        <v>86</v>
      </c>
    </row>
    <row r="5068" spans="1:11" x14ac:dyDescent="0.25">
      <c r="A5068">
        <v>1106</v>
      </c>
      <c r="B5068">
        <v>1</v>
      </c>
      <c r="C5068">
        <v>1.42835924855926</v>
      </c>
      <c r="D5068">
        <v>0.22957138147665301</v>
      </c>
      <c r="E5068">
        <v>6</v>
      </c>
      <c r="F5068">
        <v>1.01722196789785</v>
      </c>
      <c r="G5068" t="s">
        <v>87</v>
      </c>
      <c r="H5068" t="s">
        <v>87</v>
      </c>
      <c r="I5068">
        <v>835</v>
      </c>
      <c r="J5068">
        <v>354</v>
      </c>
      <c r="K5068">
        <v>0.123942026493586</v>
      </c>
    </row>
    <row r="5069" spans="1:11" x14ac:dyDescent="0.25">
      <c r="A5069" t="s">
        <v>85</v>
      </c>
    </row>
    <row r="5070" spans="1:11" x14ac:dyDescent="0.25">
      <c r="A5070">
        <v>76.222011936944696</v>
      </c>
      <c r="B5070">
        <v>97.609619403072301</v>
      </c>
      <c r="C5070">
        <v>2000</v>
      </c>
    </row>
    <row r="5071" spans="1:11" x14ac:dyDescent="0.25">
      <c r="A5071">
        <v>74.835506411667296</v>
      </c>
      <c r="B5071">
        <v>98.996124928349701</v>
      </c>
      <c r="C5071">
        <v>2000</v>
      </c>
    </row>
    <row r="5072" spans="1:11" x14ac:dyDescent="0.25">
      <c r="A5072">
        <v>75.7095384605649</v>
      </c>
      <c r="B5072">
        <v>98.996124928349701</v>
      </c>
      <c r="C5072">
        <v>2001</v>
      </c>
    </row>
    <row r="5073" spans="1:11" x14ac:dyDescent="0.25">
      <c r="A5073">
        <v>76.343037956541096</v>
      </c>
      <c r="B5073">
        <v>98.362625432373505</v>
      </c>
      <c r="C5073">
        <v>2001</v>
      </c>
    </row>
    <row r="5074" spans="1:11" x14ac:dyDescent="0.25">
      <c r="A5074">
        <v>76.444856427351397</v>
      </c>
      <c r="B5074">
        <v>98.260806961563205</v>
      </c>
      <c r="C5074">
        <v>2001</v>
      </c>
    </row>
    <row r="5075" spans="1:11" x14ac:dyDescent="0.25">
      <c r="A5075">
        <v>76.444856427351397</v>
      </c>
      <c r="B5075">
        <v>97.386774912665601</v>
      </c>
      <c r="C5075">
        <v>2000</v>
      </c>
    </row>
    <row r="5076" spans="1:11" x14ac:dyDescent="0.25">
      <c r="A5076" t="s">
        <v>86</v>
      </c>
    </row>
    <row r="5077" spans="1:11" x14ac:dyDescent="0.25">
      <c r="A5077">
        <v>943</v>
      </c>
      <c r="B5077">
        <v>1</v>
      </c>
      <c r="C5077">
        <v>1.4414555750231099</v>
      </c>
      <c r="D5077">
        <v>0.20853325519702501</v>
      </c>
      <c r="E5077">
        <v>6</v>
      </c>
      <c r="F5077">
        <v>1.01722196789785</v>
      </c>
      <c r="G5077" t="s">
        <v>87</v>
      </c>
      <c r="H5077" t="s">
        <v>87</v>
      </c>
      <c r="I5077">
        <v>795</v>
      </c>
      <c r="J5077">
        <v>829</v>
      </c>
      <c r="K5077">
        <v>0.117959963458315</v>
      </c>
    </row>
    <row r="5078" spans="1:11" x14ac:dyDescent="0.25">
      <c r="A5078" t="s">
        <v>85</v>
      </c>
    </row>
    <row r="5079" spans="1:11" x14ac:dyDescent="0.25">
      <c r="A5079">
        <v>76.841991202140406</v>
      </c>
      <c r="B5079">
        <v>24.484082590317801</v>
      </c>
      <c r="C5079">
        <v>2000</v>
      </c>
    </row>
    <row r="5080" spans="1:11" x14ac:dyDescent="0.25">
      <c r="A5080">
        <v>75.440944281621</v>
      </c>
      <c r="B5080">
        <v>25.885129510837199</v>
      </c>
      <c r="C5080">
        <v>2000</v>
      </c>
    </row>
    <row r="5081" spans="1:11" x14ac:dyDescent="0.25">
      <c r="A5081">
        <v>76.314976330518604</v>
      </c>
      <c r="B5081">
        <v>25.885129510837199</v>
      </c>
      <c r="C5081">
        <v>2001</v>
      </c>
    </row>
    <row r="5082" spans="1:11" x14ac:dyDescent="0.25">
      <c r="A5082">
        <v>76.952455433755105</v>
      </c>
      <c r="B5082">
        <v>25.247650407600698</v>
      </c>
      <c r="C5082">
        <v>2001</v>
      </c>
    </row>
    <row r="5083" spans="1:11" x14ac:dyDescent="0.25">
      <c r="A5083">
        <v>77.044678596800495</v>
      </c>
      <c r="B5083">
        <v>25.155427244555302</v>
      </c>
      <c r="C5083">
        <v>2001</v>
      </c>
    </row>
    <row r="5084" spans="1:11" x14ac:dyDescent="0.25">
      <c r="A5084">
        <v>77.044678596800495</v>
      </c>
      <c r="B5084">
        <v>24.281395195657701</v>
      </c>
      <c r="C5084">
        <v>2000</v>
      </c>
    </row>
    <row r="5085" spans="1:11" x14ac:dyDescent="0.25">
      <c r="A5085" t="s">
        <v>86</v>
      </c>
    </row>
    <row r="5086" spans="1:11" x14ac:dyDescent="0.25">
      <c r="A5086">
        <v>980</v>
      </c>
      <c r="B5086">
        <v>1</v>
      </c>
      <c r="C5086">
        <v>0.92732329195645502</v>
      </c>
      <c r="D5086">
        <v>0.72266553826366897</v>
      </c>
      <c r="E5086">
        <v>6</v>
      </c>
      <c r="F5086">
        <v>1.01722196789785</v>
      </c>
      <c r="G5086" t="s">
        <v>87</v>
      </c>
      <c r="H5086" t="s">
        <v>87</v>
      </c>
      <c r="I5086">
        <v>795</v>
      </c>
      <c r="J5086">
        <v>829</v>
      </c>
      <c r="K5086">
        <v>0.11931529568040899</v>
      </c>
    </row>
    <row r="5087" spans="1:11" x14ac:dyDescent="0.25">
      <c r="A5087" t="s">
        <v>85</v>
      </c>
    </row>
    <row r="5088" spans="1:11" x14ac:dyDescent="0.25">
      <c r="A5088">
        <v>107.137451820625</v>
      </c>
      <c r="B5088">
        <v>55.7789821986836</v>
      </c>
      <c r="C5088">
        <v>2000</v>
      </c>
    </row>
    <row r="5089" spans="1:11" x14ac:dyDescent="0.25">
      <c r="A5089">
        <v>106.23612439504601</v>
      </c>
      <c r="B5089">
        <v>56.6803096242623</v>
      </c>
      <c r="C5089">
        <v>2000</v>
      </c>
    </row>
    <row r="5090" spans="1:11" x14ac:dyDescent="0.25">
      <c r="A5090">
        <v>107.11015644394401</v>
      </c>
      <c r="B5090">
        <v>56.6803096242623</v>
      </c>
      <c r="C5090">
        <v>2001</v>
      </c>
    </row>
    <row r="5091" spans="1:11" x14ac:dyDescent="0.25">
      <c r="A5091">
        <v>107.52026219455399</v>
      </c>
      <c r="B5091">
        <v>56.270203873651603</v>
      </c>
      <c r="C5091">
        <v>2001</v>
      </c>
    </row>
    <row r="5092" spans="1:11" x14ac:dyDescent="0.25">
      <c r="A5092">
        <v>107.839858710226</v>
      </c>
      <c r="B5092">
        <v>55.950607357980402</v>
      </c>
      <c r="C5092">
        <v>2001</v>
      </c>
    </row>
    <row r="5093" spans="1:11" x14ac:dyDescent="0.25">
      <c r="A5093">
        <v>107.839858710226</v>
      </c>
      <c r="B5093">
        <v>55.076575309082799</v>
      </c>
      <c r="C5093">
        <v>2000</v>
      </c>
    </row>
    <row r="5094" spans="1:11" x14ac:dyDescent="0.25">
      <c r="A5094" t="s">
        <v>86</v>
      </c>
    </row>
    <row r="5095" spans="1:11" x14ac:dyDescent="0.25">
      <c r="A5095">
        <v>396</v>
      </c>
      <c r="B5095">
        <v>1</v>
      </c>
      <c r="C5095">
        <v>0.75576875969786195</v>
      </c>
      <c r="D5095">
        <v>0.88862604773298803</v>
      </c>
      <c r="E5095">
        <v>6</v>
      </c>
      <c r="F5095">
        <v>1.01722196789785</v>
      </c>
      <c r="G5095" t="s">
        <v>87</v>
      </c>
      <c r="H5095" t="s">
        <v>87</v>
      </c>
      <c r="I5095">
        <v>345</v>
      </c>
      <c r="J5095">
        <v>830</v>
      </c>
      <c r="K5095">
        <v>0</v>
      </c>
    </row>
    <row r="5096" spans="1:11" x14ac:dyDescent="0.25">
      <c r="A5096" t="s">
        <v>85</v>
      </c>
    </row>
    <row r="5097" spans="1:11" x14ac:dyDescent="0.25">
      <c r="A5097">
        <v>89.511568479245298</v>
      </c>
      <c r="B5097">
        <v>58.9418573614495</v>
      </c>
      <c r="C5097">
        <v>2000</v>
      </c>
    </row>
    <row r="5098" spans="1:11" x14ac:dyDescent="0.25">
      <c r="A5098">
        <v>89.178013132968005</v>
      </c>
      <c r="B5098">
        <v>59.275412707726801</v>
      </c>
      <c r="C5098">
        <v>2000</v>
      </c>
    </row>
    <row r="5099" spans="1:11" x14ac:dyDescent="0.25">
      <c r="A5099">
        <v>89.178013132968005</v>
      </c>
      <c r="B5099">
        <v>60.149444756624398</v>
      </c>
      <c r="C5099">
        <v>2001</v>
      </c>
    </row>
    <row r="5100" spans="1:11" x14ac:dyDescent="0.25">
      <c r="A5100">
        <v>89.913276216673296</v>
      </c>
      <c r="B5100">
        <v>59.414181672919099</v>
      </c>
      <c r="C5100">
        <v>2001</v>
      </c>
    </row>
    <row r="5101" spans="1:11" x14ac:dyDescent="0.25">
      <c r="A5101">
        <v>90.777791876699098</v>
      </c>
      <c r="B5101">
        <v>58.549666012893297</v>
      </c>
      <c r="C5101">
        <v>2001</v>
      </c>
    </row>
    <row r="5102" spans="1:11" x14ac:dyDescent="0.25">
      <c r="A5102">
        <v>89.903759827801494</v>
      </c>
      <c r="B5102">
        <v>58.549666012893297</v>
      </c>
      <c r="C5102">
        <v>2000</v>
      </c>
    </row>
    <row r="5103" spans="1:11" x14ac:dyDescent="0.25">
      <c r="A5103" t="s">
        <v>86</v>
      </c>
    </row>
    <row r="5104" spans="1:11" x14ac:dyDescent="0.25">
      <c r="A5104">
        <v>983</v>
      </c>
      <c r="B5104">
        <v>1</v>
      </c>
      <c r="C5104">
        <v>1.1137553983286199</v>
      </c>
      <c r="D5104">
        <v>0.52960936317323304</v>
      </c>
      <c r="E5104">
        <v>6</v>
      </c>
      <c r="F5104">
        <v>1.01722196789785</v>
      </c>
      <c r="G5104" t="s">
        <v>87</v>
      </c>
      <c r="H5104" t="s">
        <v>87</v>
      </c>
      <c r="I5104">
        <v>275</v>
      </c>
      <c r="J5104">
        <v>722</v>
      </c>
      <c r="K5104">
        <v>0.120547941094079</v>
      </c>
    </row>
    <row r="5105" spans="1:11" x14ac:dyDescent="0.25">
      <c r="A5105" t="s">
        <v>85</v>
      </c>
    </row>
    <row r="5106" spans="1:11" x14ac:dyDescent="0.25">
      <c r="A5106">
        <v>70.129728707426693</v>
      </c>
      <c r="B5106">
        <v>65.434840630586393</v>
      </c>
      <c r="C5106">
        <v>2000</v>
      </c>
    </row>
    <row r="5107" spans="1:11" x14ac:dyDescent="0.25">
      <c r="A5107">
        <v>69.638362997499797</v>
      </c>
      <c r="B5107">
        <v>65.926206340513303</v>
      </c>
      <c r="C5107">
        <v>2000</v>
      </c>
    </row>
    <row r="5108" spans="1:11" x14ac:dyDescent="0.25">
      <c r="A5108">
        <v>68.764330948602193</v>
      </c>
      <c r="B5108">
        <v>65.926206340513303</v>
      </c>
      <c r="C5108">
        <v>2001</v>
      </c>
    </row>
    <row r="5109" spans="1:11" x14ac:dyDescent="0.25">
      <c r="A5109">
        <v>69.848053228157795</v>
      </c>
      <c r="B5109">
        <v>64.842484060957702</v>
      </c>
      <c r="C5109">
        <v>2001</v>
      </c>
    </row>
    <row r="5110" spans="1:11" x14ac:dyDescent="0.25">
      <c r="A5110">
        <v>70.363381339872006</v>
      </c>
      <c r="B5110">
        <v>64.327155949243505</v>
      </c>
      <c r="C5110">
        <v>2001</v>
      </c>
    </row>
    <row r="5111" spans="1:11" x14ac:dyDescent="0.25">
      <c r="A5111">
        <v>70.363381339872006</v>
      </c>
      <c r="B5111">
        <v>65.201187998141194</v>
      </c>
      <c r="C5111">
        <v>2000</v>
      </c>
    </row>
    <row r="5112" spans="1:11" x14ac:dyDescent="0.25">
      <c r="A5112" t="s">
        <v>86</v>
      </c>
    </row>
    <row r="5113" spans="1:11" x14ac:dyDescent="0.25">
      <c r="A5113">
        <v>382</v>
      </c>
      <c r="B5113">
        <v>1</v>
      </c>
      <c r="C5113">
        <v>0.68696903441008295</v>
      </c>
      <c r="D5113">
        <v>0.95639572709177401</v>
      </c>
      <c r="E5113">
        <v>6</v>
      </c>
      <c r="F5113">
        <v>1.01722196789785</v>
      </c>
      <c r="G5113" t="s">
        <v>87</v>
      </c>
      <c r="H5113" t="s">
        <v>87</v>
      </c>
      <c r="I5113">
        <v>275</v>
      </c>
      <c r="J5113">
        <v>722</v>
      </c>
      <c r="K5113">
        <v>0</v>
      </c>
    </row>
    <row r="5114" spans="1:11" x14ac:dyDescent="0.25">
      <c r="A5114" t="s">
        <v>85</v>
      </c>
    </row>
    <row r="5115" spans="1:11" x14ac:dyDescent="0.25">
      <c r="A5115">
        <v>77.234421800232695</v>
      </c>
      <c r="B5115">
        <v>72.916112252230306</v>
      </c>
      <c r="C5115">
        <v>2000</v>
      </c>
    </row>
    <row r="5116" spans="1:11" x14ac:dyDescent="0.25">
      <c r="A5116">
        <v>76.931345354724698</v>
      </c>
      <c r="B5116">
        <v>73.219188697738204</v>
      </c>
      <c r="C5116">
        <v>2000</v>
      </c>
    </row>
    <row r="5117" spans="1:11" x14ac:dyDescent="0.25">
      <c r="A5117">
        <v>76.057313305827094</v>
      </c>
      <c r="B5117">
        <v>73.219188697738204</v>
      </c>
      <c r="C5117">
        <v>2001</v>
      </c>
    </row>
    <row r="5118" spans="1:11" x14ac:dyDescent="0.25">
      <c r="A5118">
        <v>76.725757785712204</v>
      </c>
      <c r="B5118">
        <v>72.550744217853094</v>
      </c>
      <c r="C5118">
        <v>2001</v>
      </c>
    </row>
    <row r="5119" spans="1:11" x14ac:dyDescent="0.25">
      <c r="A5119">
        <v>77.656363697096893</v>
      </c>
      <c r="B5119">
        <v>71.620138306468405</v>
      </c>
      <c r="C5119">
        <v>2001</v>
      </c>
    </row>
    <row r="5120" spans="1:11" x14ac:dyDescent="0.25">
      <c r="A5120">
        <v>77.656363697096893</v>
      </c>
      <c r="B5120">
        <v>72.494170355366094</v>
      </c>
      <c r="C5120">
        <v>2000</v>
      </c>
    </row>
    <row r="5121" spans="1:11" x14ac:dyDescent="0.25">
      <c r="A5121" t="s">
        <v>86</v>
      </c>
    </row>
    <row r="5122" spans="1:11" x14ac:dyDescent="0.25">
      <c r="A5122">
        <v>383</v>
      </c>
      <c r="B5122">
        <v>1</v>
      </c>
      <c r="C5122">
        <v>0.36179470517712498</v>
      </c>
      <c r="D5122">
        <v>1.2815700563247301</v>
      </c>
      <c r="E5122">
        <v>6</v>
      </c>
      <c r="F5122">
        <v>1.01722196789785</v>
      </c>
      <c r="G5122" t="s">
        <v>87</v>
      </c>
      <c r="H5122" t="s">
        <v>87</v>
      </c>
      <c r="I5122">
        <v>275</v>
      </c>
      <c r="J5122">
        <v>722</v>
      </c>
      <c r="K5122">
        <v>0</v>
      </c>
    </row>
    <row r="5123" spans="1:11" x14ac:dyDescent="0.25">
      <c r="A5123" t="s">
        <v>85</v>
      </c>
    </row>
    <row r="5124" spans="1:11" x14ac:dyDescent="0.25">
      <c r="A5124">
        <v>77.977574192930405</v>
      </c>
      <c r="B5124">
        <v>73.946184942460704</v>
      </c>
      <c r="C5124">
        <v>2000</v>
      </c>
    </row>
    <row r="5125" spans="1:11" x14ac:dyDescent="0.25">
      <c r="A5125">
        <v>77.817957896188801</v>
      </c>
      <c r="B5125">
        <v>74.105801239202293</v>
      </c>
      <c r="C5125">
        <v>2000</v>
      </c>
    </row>
    <row r="5126" spans="1:11" x14ac:dyDescent="0.25">
      <c r="A5126">
        <v>77.817957896188801</v>
      </c>
      <c r="B5126">
        <v>74.979833288099897</v>
      </c>
      <c r="C5126">
        <v>2001</v>
      </c>
    </row>
    <row r="5127" spans="1:11" x14ac:dyDescent="0.25">
      <c r="A5127">
        <v>78.169996578303497</v>
      </c>
      <c r="B5127">
        <v>74.627794605985301</v>
      </c>
      <c r="C5127">
        <v>2001</v>
      </c>
    </row>
    <row r="5128" spans="1:11" x14ac:dyDescent="0.25">
      <c r="A5128">
        <v>79.4170082874586</v>
      </c>
      <c r="B5128">
        <v>73.380782896830098</v>
      </c>
      <c r="C5128">
        <v>2001</v>
      </c>
    </row>
    <row r="5129" spans="1:11" x14ac:dyDescent="0.25">
      <c r="A5129">
        <v>78.542976238560996</v>
      </c>
      <c r="B5129">
        <v>73.380782896830098</v>
      </c>
      <c r="C5129">
        <v>2000</v>
      </c>
    </row>
    <row r="5130" spans="1:11" x14ac:dyDescent="0.25">
      <c r="A5130" t="s">
        <v>86</v>
      </c>
    </row>
    <row r="5131" spans="1:11" x14ac:dyDescent="0.25">
      <c r="A5131">
        <v>389</v>
      </c>
      <c r="B5131">
        <v>1</v>
      </c>
      <c r="C5131">
        <v>0.148037051759729</v>
      </c>
      <c r="D5131">
        <v>1.4945739726251499</v>
      </c>
      <c r="E5131">
        <v>6</v>
      </c>
      <c r="F5131">
        <v>1.01722196789785</v>
      </c>
      <c r="G5131" t="s">
        <v>87</v>
      </c>
      <c r="H5131" t="s">
        <v>87</v>
      </c>
      <c r="I5131">
        <v>747</v>
      </c>
      <c r="J5131">
        <v>342</v>
      </c>
      <c r="K5131">
        <v>0</v>
      </c>
    </row>
    <row r="5132" spans="1:11" x14ac:dyDescent="0.25">
      <c r="A5132" t="s">
        <v>85</v>
      </c>
    </row>
    <row r="5133" spans="1:11" x14ac:dyDescent="0.25">
      <c r="A5133">
        <v>87.186561770815104</v>
      </c>
      <c r="B5133">
        <v>99.470670113559194</v>
      </c>
      <c r="C5133">
        <v>2000</v>
      </c>
    </row>
    <row r="5134" spans="1:11" x14ac:dyDescent="0.25">
      <c r="A5134">
        <v>87.081883767648904</v>
      </c>
      <c r="B5134">
        <v>99.575348116725394</v>
      </c>
      <c r="C5134">
        <v>2000</v>
      </c>
    </row>
    <row r="5135" spans="1:11" x14ac:dyDescent="0.25">
      <c r="A5135">
        <v>86.2078517187513</v>
      </c>
      <c r="B5135">
        <v>99.575348116725394</v>
      </c>
      <c r="C5135">
        <v>2001</v>
      </c>
    </row>
    <row r="5136" spans="1:11" x14ac:dyDescent="0.25">
      <c r="A5136">
        <v>86.3125297219175</v>
      </c>
      <c r="B5136">
        <v>99.470670113559194</v>
      </c>
      <c r="C5136">
        <v>2001</v>
      </c>
    </row>
    <row r="5137" spans="1:11" x14ac:dyDescent="0.25">
      <c r="A5137">
        <v>87.369353112945603</v>
      </c>
      <c r="B5137">
        <v>98.413846722531105</v>
      </c>
      <c r="C5137">
        <v>2001</v>
      </c>
    </row>
    <row r="5138" spans="1:11" x14ac:dyDescent="0.25">
      <c r="A5138">
        <v>88.243385161843193</v>
      </c>
      <c r="B5138">
        <v>98.413846722531105</v>
      </c>
      <c r="C5138">
        <v>2000</v>
      </c>
    </row>
    <row r="5139" spans="1:11" x14ac:dyDescent="0.25">
      <c r="A5139" t="s">
        <v>86</v>
      </c>
    </row>
    <row r="5140" spans="1:11" x14ac:dyDescent="0.25">
      <c r="A5140">
        <v>319</v>
      </c>
      <c r="B5140">
        <v>1</v>
      </c>
      <c r="C5140">
        <v>0.99015304785883296</v>
      </c>
      <c r="D5140">
        <v>0.65245797652604398</v>
      </c>
      <c r="E5140">
        <v>6</v>
      </c>
      <c r="F5140">
        <v>1.01722196789785</v>
      </c>
      <c r="G5140" t="s">
        <v>87</v>
      </c>
      <c r="H5140" t="s">
        <v>87</v>
      </c>
      <c r="I5140">
        <v>747</v>
      </c>
      <c r="J5140">
        <v>342</v>
      </c>
      <c r="K5140">
        <v>0</v>
      </c>
    </row>
    <row r="5141" spans="1:11" x14ac:dyDescent="0.25">
      <c r="A5141" t="s">
        <v>85</v>
      </c>
    </row>
    <row r="5142" spans="1:11" x14ac:dyDescent="0.25">
      <c r="A5142">
        <v>101.147652623303</v>
      </c>
      <c r="B5142">
        <v>112.240829103273</v>
      </c>
      <c r="C5142">
        <v>2000</v>
      </c>
    </row>
    <row r="5143" spans="1:11" x14ac:dyDescent="0.25">
      <c r="A5143">
        <v>100.44750868875001</v>
      </c>
      <c r="B5143">
        <v>112.940973037826</v>
      </c>
      <c r="C5143">
        <v>2000</v>
      </c>
    </row>
    <row r="5144" spans="1:11" x14ac:dyDescent="0.25">
      <c r="A5144">
        <v>99.573476639852203</v>
      </c>
      <c r="B5144">
        <v>112.940973037826</v>
      </c>
      <c r="C5144">
        <v>2001</v>
      </c>
    </row>
    <row r="5145" spans="1:11" x14ac:dyDescent="0.25">
      <c r="A5145">
        <v>100.273620574406</v>
      </c>
      <c r="B5145">
        <v>112.240829103273</v>
      </c>
      <c r="C5145">
        <v>2001</v>
      </c>
    </row>
    <row r="5146" spans="1:11" x14ac:dyDescent="0.25">
      <c r="A5146">
        <v>100.734978034047</v>
      </c>
      <c r="B5146">
        <v>111.77947164363199</v>
      </c>
      <c r="C5146">
        <v>2001</v>
      </c>
    </row>
    <row r="5147" spans="1:11" x14ac:dyDescent="0.25">
      <c r="A5147">
        <v>101.609010082944</v>
      </c>
      <c r="B5147">
        <v>111.77947164363199</v>
      </c>
      <c r="C5147">
        <v>2000</v>
      </c>
    </row>
    <row r="5148" spans="1:11" x14ac:dyDescent="0.25">
      <c r="A5148" t="s">
        <v>86</v>
      </c>
    </row>
    <row r="5149" spans="1:11" x14ac:dyDescent="0.25">
      <c r="A5149">
        <v>305</v>
      </c>
      <c r="B5149">
        <v>1</v>
      </c>
      <c r="C5149">
        <v>8.5034362069443106E-2</v>
      </c>
      <c r="D5149">
        <v>1.5575766623154299</v>
      </c>
      <c r="E5149">
        <v>6</v>
      </c>
      <c r="F5149">
        <v>1.01722196789785</v>
      </c>
      <c r="G5149" t="s">
        <v>87</v>
      </c>
      <c r="H5149" t="s">
        <v>87</v>
      </c>
      <c r="I5149">
        <v>747</v>
      </c>
      <c r="J5149">
        <v>342</v>
      </c>
      <c r="K5149">
        <v>0</v>
      </c>
    </row>
    <row r="5150" spans="1:11" x14ac:dyDescent="0.25">
      <c r="A5150" t="s">
        <v>85</v>
      </c>
    </row>
    <row r="5151" spans="1:11" x14ac:dyDescent="0.25">
      <c r="A5151">
        <v>120.87016546253599</v>
      </c>
      <c r="B5151">
        <v>133.243373063506</v>
      </c>
      <c r="C5151">
        <v>2000</v>
      </c>
    </row>
    <row r="5152" spans="1:11" x14ac:dyDescent="0.25">
      <c r="A5152">
        <v>120.810037088483</v>
      </c>
      <c r="B5152">
        <v>133.30350143755899</v>
      </c>
      <c r="C5152">
        <v>2000</v>
      </c>
    </row>
    <row r="5153" spans="1:11" x14ac:dyDescent="0.25">
      <c r="A5153">
        <v>119.936005039585</v>
      </c>
      <c r="B5153">
        <v>133.30350143755999</v>
      </c>
      <c r="C5153">
        <v>2001</v>
      </c>
    </row>
    <row r="5154" spans="1:11" x14ac:dyDescent="0.25">
      <c r="A5154">
        <v>119.996133413639</v>
      </c>
      <c r="B5154">
        <v>133.243373063506</v>
      </c>
      <c r="C5154">
        <v>2001</v>
      </c>
    </row>
    <row r="5155" spans="1:11" x14ac:dyDescent="0.25">
      <c r="A5155">
        <v>121.09750643378</v>
      </c>
      <c r="B5155">
        <v>132.14200004336499</v>
      </c>
      <c r="C5155">
        <v>2001</v>
      </c>
    </row>
    <row r="5156" spans="1:11" x14ac:dyDescent="0.25">
      <c r="A5156">
        <v>121.971538482677</v>
      </c>
      <c r="B5156">
        <v>132.14200004336499</v>
      </c>
      <c r="C5156">
        <v>2000</v>
      </c>
    </row>
    <row r="5157" spans="1:11" x14ac:dyDescent="0.25">
      <c r="A5157" t="s">
        <v>86</v>
      </c>
    </row>
    <row r="5158" spans="1:11" x14ac:dyDescent="0.25">
      <c r="A5158">
        <v>1094</v>
      </c>
      <c r="B5158">
        <v>1</v>
      </c>
      <c r="C5158">
        <v>0.217527656091143</v>
      </c>
      <c r="D5158">
        <v>1.4250833682937301</v>
      </c>
      <c r="E5158">
        <v>6</v>
      </c>
      <c r="F5158">
        <v>1.01722196789785</v>
      </c>
      <c r="G5158" t="s">
        <v>87</v>
      </c>
      <c r="H5158" t="s">
        <v>87</v>
      </c>
      <c r="I5158">
        <v>747</v>
      </c>
      <c r="J5158">
        <v>342</v>
      </c>
      <c r="K5158">
        <v>0.123707222271514</v>
      </c>
    </row>
    <row r="5159" spans="1:11" x14ac:dyDescent="0.25">
      <c r="A5159" t="s">
        <v>85</v>
      </c>
    </row>
    <row r="5160" spans="1:11" x14ac:dyDescent="0.25">
      <c r="A5160">
        <v>103.746133334351</v>
      </c>
      <c r="B5160">
        <v>115.931967121992</v>
      </c>
      <c r="C5160">
        <v>2000</v>
      </c>
    </row>
    <row r="5161" spans="1:11" x14ac:dyDescent="0.25">
      <c r="A5161">
        <v>103.59231805363299</v>
      </c>
      <c r="B5161">
        <v>116.08578240271</v>
      </c>
      <c r="C5161">
        <v>2000</v>
      </c>
    </row>
    <row r="5162" spans="1:11" x14ac:dyDescent="0.25">
      <c r="A5162">
        <v>103.59231805363299</v>
      </c>
      <c r="B5162">
        <v>116.959814451607</v>
      </c>
      <c r="C5162">
        <v>2001</v>
      </c>
    </row>
    <row r="5163" spans="1:11" x14ac:dyDescent="0.25">
      <c r="A5163">
        <v>103.746133334351</v>
      </c>
      <c r="B5163">
        <v>116.80599917089</v>
      </c>
      <c r="C5163">
        <v>2001</v>
      </c>
    </row>
    <row r="5164" spans="1:11" x14ac:dyDescent="0.25">
      <c r="A5164">
        <v>104.753819447827</v>
      </c>
      <c r="B5164">
        <v>115.798313057413</v>
      </c>
      <c r="C5164">
        <v>2001</v>
      </c>
    </row>
    <row r="5165" spans="1:11" x14ac:dyDescent="0.25">
      <c r="A5165">
        <v>104.753819447827</v>
      </c>
      <c r="B5165">
        <v>114.924281008515</v>
      </c>
      <c r="C5165">
        <v>2000</v>
      </c>
    </row>
    <row r="5166" spans="1:11" x14ac:dyDescent="0.25">
      <c r="A5166" t="s">
        <v>86</v>
      </c>
    </row>
    <row r="5167" spans="1:11" x14ac:dyDescent="0.25">
      <c r="A5167">
        <v>1014</v>
      </c>
      <c r="B5167">
        <v>1</v>
      </c>
      <c r="C5167">
        <v>1.5984480747693799</v>
      </c>
      <c r="D5167">
        <v>4.4162949615497403E-2</v>
      </c>
      <c r="E5167">
        <v>6</v>
      </c>
      <c r="F5167">
        <v>1.01722196789785</v>
      </c>
      <c r="G5167" t="s">
        <v>87</v>
      </c>
      <c r="H5167" t="s">
        <v>87</v>
      </c>
      <c r="I5167">
        <v>747</v>
      </c>
      <c r="J5167">
        <v>342</v>
      </c>
      <c r="K5167">
        <v>0.12140552605247699</v>
      </c>
    </row>
    <row r="5168" spans="1:11" x14ac:dyDescent="0.25">
      <c r="A5168" t="s">
        <v>85</v>
      </c>
    </row>
    <row r="5169" spans="1:11" x14ac:dyDescent="0.25">
      <c r="A5169">
        <v>105.252732792987</v>
      </c>
      <c r="B5169">
        <v>115.485650195975</v>
      </c>
      <c r="C5169">
        <v>2000</v>
      </c>
    </row>
    <row r="5170" spans="1:11" x14ac:dyDescent="0.25">
      <c r="A5170">
        <v>104.122459319943</v>
      </c>
      <c r="B5170">
        <v>116.615923669019</v>
      </c>
      <c r="C5170">
        <v>2000</v>
      </c>
    </row>
    <row r="5171" spans="1:11" x14ac:dyDescent="0.25">
      <c r="A5171">
        <v>104.122459319943</v>
      </c>
      <c r="B5171">
        <v>117.489955717917</v>
      </c>
      <c r="C5171">
        <v>2001</v>
      </c>
    </row>
    <row r="5172" spans="1:11" x14ac:dyDescent="0.25">
      <c r="A5172">
        <v>105.252732792987</v>
      </c>
      <c r="B5172">
        <v>116.359682244873</v>
      </c>
      <c r="C5172">
        <v>2001</v>
      </c>
    </row>
    <row r="5173" spans="1:11" x14ac:dyDescent="0.25">
      <c r="A5173">
        <v>105.283960714137</v>
      </c>
      <c r="B5173">
        <v>116.32845432372299</v>
      </c>
      <c r="C5173">
        <v>2001</v>
      </c>
    </row>
    <row r="5174" spans="1:11" x14ac:dyDescent="0.25">
      <c r="A5174">
        <v>105.283960714137</v>
      </c>
      <c r="B5174">
        <v>115.45442227482501</v>
      </c>
      <c r="C5174">
        <v>2000</v>
      </c>
    </row>
    <row r="5175" spans="1:11" x14ac:dyDescent="0.25">
      <c r="A5175" t="s">
        <v>86</v>
      </c>
    </row>
    <row r="5176" spans="1:11" x14ac:dyDescent="0.25">
      <c r="A5176">
        <v>935</v>
      </c>
      <c r="B5176">
        <v>1</v>
      </c>
      <c r="C5176">
        <v>0.59307033398668096</v>
      </c>
      <c r="D5176">
        <v>1.0495406903982001</v>
      </c>
      <c r="E5176">
        <v>6</v>
      </c>
      <c r="F5176">
        <v>1.01722196789785</v>
      </c>
      <c r="G5176" t="s">
        <v>87</v>
      </c>
      <c r="H5176" t="s">
        <v>87</v>
      </c>
      <c r="I5176">
        <v>747</v>
      </c>
      <c r="J5176">
        <v>342</v>
      </c>
      <c r="K5176">
        <v>0.117959963458315</v>
      </c>
    </row>
    <row r="5177" spans="1:11" x14ac:dyDescent="0.25">
      <c r="A5177" t="s">
        <v>85</v>
      </c>
    </row>
    <row r="5178" spans="1:11" x14ac:dyDescent="0.25">
      <c r="A5178">
        <v>114.945618415217</v>
      </c>
      <c r="B5178">
        <v>126.600354654528</v>
      </c>
      <c r="C5178">
        <v>2000</v>
      </c>
    </row>
    <row r="5179" spans="1:11" x14ac:dyDescent="0.25">
      <c r="A5179">
        <v>114.526254360335</v>
      </c>
      <c r="B5179">
        <v>127.01971870941099</v>
      </c>
      <c r="C5179">
        <v>2000</v>
      </c>
    </row>
    <row r="5180" spans="1:11" x14ac:dyDescent="0.25">
      <c r="A5180">
        <v>113.652222311437</v>
      </c>
      <c r="B5180">
        <v>127.01971870941099</v>
      </c>
      <c r="C5180">
        <v>2001</v>
      </c>
    </row>
    <row r="5181" spans="1:11" x14ac:dyDescent="0.25">
      <c r="A5181">
        <v>114.071586366319</v>
      </c>
      <c r="B5181">
        <v>126.600354654528</v>
      </c>
      <c r="C5181">
        <v>2001</v>
      </c>
    </row>
    <row r="5182" spans="1:11" x14ac:dyDescent="0.25">
      <c r="A5182">
        <v>114.81372370563101</v>
      </c>
      <c r="B5182">
        <v>125.858217315217</v>
      </c>
      <c r="C5182">
        <v>2001</v>
      </c>
    </row>
    <row r="5183" spans="1:11" x14ac:dyDescent="0.25">
      <c r="A5183">
        <v>115.68775575452899</v>
      </c>
      <c r="B5183">
        <v>125.858217315217</v>
      </c>
      <c r="C5183">
        <v>2000</v>
      </c>
    </row>
    <row r="5184" spans="1:11" x14ac:dyDescent="0.25">
      <c r="A5184" t="s">
        <v>86</v>
      </c>
    </row>
    <row r="5185" spans="1:11" x14ac:dyDescent="0.25">
      <c r="A5185">
        <v>1032</v>
      </c>
      <c r="B5185">
        <v>1</v>
      </c>
      <c r="C5185">
        <v>0.35584284576564301</v>
      </c>
      <c r="D5185">
        <v>1.2849829961661501</v>
      </c>
      <c r="E5185">
        <v>6</v>
      </c>
      <c r="F5185">
        <v>1.01722196789785</v>
      </c>
      <c r="G5185" t="s">
        <v>87</v>
      </c>
      <c r="H5185" t="s">
        <v>87</v>
      </c>
      <c r="I5185">
        <v>117</v>
      </c>
      <c r="J5185">
        <v>119</v>
      </c>
      <c r="K5185">
        <v>0.121949590810518</v>
      </c>
    </row>
    <row r="5186" spans="1:11" x14ac:dyDescent="0.25">
      <c r="A5186" t="s">
        <v>85</v>
      </c>
    </row>
    <row r="5187" spans="1:11" x14ac:dyDescent="0.25">
      <c r="A5187">
        <v>20.348551960358598</v>
      </c>
      <c r="B5187">
        <v>70.559203443834605</v>
      </c>
      <c r="C5187">
        <v>2000</v>
      </c>
    </row>
    <row r="5188" spans="1:11" x14ac:dyDescent="0.25">
      <c r="A5188">
        <v>20.096933071081001</v>
      </c>
      <c r="B5188">
        <v>70.810822333112199</v>
      </c>
      <c r="C5188">
        <v>2000</v>
      </c>
    </row>
    <row r="5189" spans="1:11" x14ac:dyDescent="0.25">
      <c r="A5189">
        <v>20.096933071081001</v>
      </c>
      <c r="B5189">
        <v>69.936790284214496</v>
      </c>
      <c r="C5189">
        <v>2001</v>
      </c>
    </row>
    <row r="5190" spans="1:11" x14ac:dyDescent="0.25">
      <c r="A5190">
        <v>20.348551960358598</v>
      </c>
      <c r="B5190">
        <v>69.685171394936901</v>
      </c>
      <c r="C5190">
        <v>2001</v>
      </c>
    </row>
    <row r="5191" spans="1:11" x14ac:dyDescent="0.25">
      <c r="A5191">
        <v>21.257172150657102</v>
      </c>
      <c r="B5191">
        <v>68.776551204638494</v>
      </c>
      <c r="C5191">
        <v>2001</v>
      </c>
    </row>
    <row r="5192" spans="1:11" x14ac:dyDescent="0.25">
      <c r="A5192">
        <v>21.257172150657102</v>
      </c>
      <c r="B5192">
        <v>69.650583253536098</v>
      </c>
      <c r="C5192">
        <v>2000</v>
      </c>
    </row>
    <row r="5193" spans="1:11" x14ac:dyDescent="0.25">
      <c r="A5193" t="s">
        <v>86</v>
      </c>
    </row>
    <row r="5194" spans="1:11" x14ac:dyDescent="0.25">
      <c r="A5194">
        <v>858</v>
      </c>
      <c r="B5194">
        <v>1</v>
      </c>
      <c r="C5194">
        <v>1.3218346858688199</v>
      </c>
      <c r="D5194">
        <v>0.31899115606297801</v>
      </c>
      <c r="E5194">
        <v>6</v>
      </c>
      <c r="F5194">
        <v>1.01722196789785</v>
      </c>
      <c r="G5194" t="s">
        <v>87</v>
      </c>
      <c r="H5194" t="s">
        <v>87</v>
      </c>
      <c r="I5194">
        <v>117</v>
      </c>
      <c r="J5194">
        <v>119</v>
      </c>
      <c r="K5194">
        <v>0.114536792619501</v>
      </c>
    </row>
    <row r="5195" spans="1:11" x14ac:dyDescent="0.25">
      <c r="A5195" t="s">
        <v>85</v>
      </c>
    </row>
    <row r="5196" spans="1:11" x14ac:dyDescent="0.25">
      <c r="A5196">
        <v>37.371847776878198</v>
      </c>
      <c r="B5196">
        <v>86.216380498938506</v>
      </c>
      <c r="C5196">
        <v>2000</v>
      </c>
    </row>
    <row r="5197" spans="1:11" x14ac:dyDescent="0.25">
      <c r="A5197">
        <v>36.437169506892701</v>
      </c>
      <c r="B5197">
        <v>87.151058768923903</v>
      </c>
      <c r="C5197">
        <v>2000</v>
      </c>
    </row>
    <row r="5198" spans="1:11" x14ac:dyDescent="0.25">
      <c r="A5198">
        <v>37.311201555790397</v>
      </c>
      <c r="B5198">
        <v>87.151058768923903</v>
      </c>
      <c r="C5198">
        <v>2001</v>
      </c>
    </row>
    <row r="5199" spans="1:11" x14ac:dyDescent="0.25">
      <c r="A5199">
        <v>38.245879825775802</v>
      </c>
      <c r="B5199">
        <v>86.216380498938406</v>
      </c>
      <c r="C5199">
        <v>2001</v>
      </c>
    </row>
    <row r="5200" spans="1:11" x14ac:dyDescent="0.25">
      <c r="A5200">
        <v>38.471440635366498</v>
      </c>
      <c r="B5200">
        <v>85.990819689347802</v>
      </c>
      <c r="C5200">
        <v>2001</v>
      </c>
    </row>
    <row r="5201" spans="1:11" x14ac:dyDescent="0.25">
      <c r="A5201">
        <v>37.597408586468802</v>
      </c>
      <c r="B5201">
        <v>85.990819689347802</v>
      </c>
      <c r="C5201">
        <v>2000</v>
      </c>
    </row>
    <row r="5202" spans="1:11" x14ac:dyDescent="0.25">
      <c r="A5202" t="s">
        <v>86</v>
      </c>
    </row>
    <row r="5203" spans="1:11" x14ac:dyDescent="0.25">
      <c r="A5203">
        <v>994</v>
      </c>
      <c r="B5203">
        <v>1</v>
      </c>
      <c r="C5203">
        <v>0.64727198791396001</v>
      </c>
      <c r="D5203">
        <v>0.98812283745797902</v>
      </c>
      <c r="E5203">
        <v>6</v>
      </c>
      <c r="F5203">
        <v>1.01722196789785</v>
      </c>
      <c r="G5203" t="s">
        <v>87</v>
      </c>
      <c r="H5203" t="s">
        <v>87</v>
      </c>
      <c r="I5203">
        <v>723</v>
      </c>
      <c r="J5203">
        <v>821</v>
      </c>
      <c r="K5203">
        <v>0.120547941094079</v>
      </c>
    </row>
    <row r="5204" spans="1:11" x14ac:dyDescent="0.25">
      <c r="A5204" t="s">
        <v>85</v>
      </c>
    </row>
    <row r="5205" spans="1:11" x14ac:dyDescent="0.25">
      <c r="A5205">
        <v>107.2362674326</v>
      </c>
      <c r="B5205">
        <v>91.991911796454801</v>
      </c>
      <c r="C5205">
        <v>2000</v>
      </c>
    </row>
    <row r="5206" spans="1:11" x14ac:dyDescent="0.25">
      <c r="A5206">
        <v>106.605610696881</v>
      </c>
      <c r="B5206">
        <v>92.6225685321741</v>
      </c>
      <c r="C5206">
        <v>2000</v>
      </c>
    </row>
    <row r="5207" spans="1:11" x14ac:dyDescent="0.25">
      <c r="A5207">
        <v>106.605610696881</v>
      </c>
      <c r="B5207">
        <v>91.748536483276496</v>
      </c>
      <c r="C5207">
        <v>2001</v>
      </c>
    </row>
    <row r="5208" spans="1:11" x14ac:dyDescent="0.25">
      <c r="A5208">
        <v>106.89033478501401</v>
      </c>
      <c r="B5208">
        <v>91.463812395143805</v>
      </c>
      <c r="C5208">
        <v>2001</v>
      </c>
    </row>
    <row r="5209" spans="1:11" x14ac:dyDescent="0.25">
      <c r="A5209">
        <v>107.32499344337</v>
      </c>
      <c r="B5209">
        <v>91.029153736787507</v>
      </c>
      <c r="C5209">
        <v>2001</v>
      </c>
    </row>
    <row r="5210" spans="1:11" x14ac:dyDescent="0.25">
      <c r="A5210">
        <v>108.19902549226801</v>
      </c>
      <c r="B5210">
        <v>91.029153736787507</v>
      </c>
      <c r="C5210">
        <v>2000</v>
      </c>
    </row>
    <row r="5211" spans="1:11" x14ac:dyDescent="0.25">
      <c r="A5211" t="s">
        <v>86</v>
      </c>
    </row>
    <row r="5212" spans="1:11" x14ac:dyDescent="0.25">
      <c r="A5212">
        <v>626</v>
      </c>
      <c r="B5212">
        <v>1</v>
      </c>
      <c r="C5212">
        <v>0.31124072928122398</v>
      </c>
      <c r="D5212">
        <v>1.3241540960907201</v>
      </c>
      <c r="E5212">
        <v>6</v>
      </c>
      <c r="F5212">
        <v>1.01722196789785</v>
      </c>
      <c r="G5212" t="s">
        <v>87</v>
      </c>
      <c r="H5212" t="s">
        <v>87</v>
      </c>
      <c r="I5212">
        <v>723</v>
      </c>
      <c r="J5212">
        <v>821</v>
      </c>
      <c r="K5212">
        <v>0</v>
      </c>
    </row>
    <row r="5213" spans="1:11" x14ac:dyDescent="0.25">
      <c r="A5213" t="s">
        <v>85</v>
      </c>
    </row>
    <row r="5214" spans="1:11" x14ac:dyDescent="0.25">
      <c r="A5214">
        <v>112.26652775549201</v>
      </c>
      <c r="B5214">
        <v>97.676983019944899</v>
      </c>
      <c r="C5214">
        <v>2000</v>
      </c>
    </row>
    <row r="5215" spans="1:11" x14ac:dyDescent="0.25">
      <c r="A5215">
        <v>111.963276470072</v>
      </c>
      <c r="B5215">
        <v>97.980234305365101</v>
      </c>
      <c r="C5215">
        <v>2000</v>
      </c>
    </row>
    <row r="5216" spans="1:11" x14ac:dyDescent="0.25">
      <c r="A5216">
        <v>112.83730851897</v>
      </c>
      <c r="B5216">
        <v>97.980234305365101</v>
      </c>
      <c r="C5216">
        <v>2001</v>
      </c>
    </row>
    <row r="5217" spans="1:11" x14ac:dyDescent="0.25">
      <c r="A5217">
        <v>112.974218094062</v>
      </c>
      <c r="B5217">
        <v>97.843324730272997</v>
      </c>
      <c r="C5217">
        <v>2001</v>
      </c>
    </row>
    <row r="5218" spans="1:11" x14ac:dyDescent="0.25">
      <c r="A5218">
        <v>113.55669126545899</v>
      </c>
      <c r="B5218">
        <v>97.260851558876098</v>
      </c>
      <c r="C5218">
        <v>2001</v>
      </c>
    </row>
    <row r="5219" spans="1:11" x14ac:dyDescent="0.25">
      <c r="A5219">
        <v>113.55669126545899</v>
      </c>
      <c r="B5219">
        <v>96.386819509978395</v>
      </c>
      <c r="C5219">
        <v>2000</v>
      </c>
    </row>
    <row r="5220" spans="1:11" x14ac:dyDescent="0.25">
      <c r="A5220" t="s">
        <v>86</v>
      </c>
    </row>
    <row r="5221" spans="1:11" x14ac:dyDescent="0.25">
      <c r="A5221">
        <v>397</v>
      </c>
      <c r="B5221">
        <v>1</v>
      </c>
      <c r="C5221">
        <v>1.5481715601385</v>
      </c>
      <c r="D5221">
        <v>8.7223265233436806E-2</v>
      </c>
      <c r="E5221">
        <v>6</v>
      </c>
      <c r="F5221">
        <v>1.01722196789785</v>
      </c>
      <c r="G5221" t="s">
        <v>87</v>
      </c>
      <c r="H5221" t="s">
        <v>87</v>
      </c>
      <c r="I5221">
        <v>723</v>
      </c>
      <c r="J5221">
        <v>821</v>
      </c>
      <c r="K5221">
        <v>0</v>
      </c>
    </row>
    <row r="5222" spans="1:11" x14ac:dyDescent="0.25">
      <c r="A5222" t="s">
        <v>85</v>
      </c>
    </row>
    <row r="5223" spans="1:11" x14ac:dyDescent="0.25">
      <c r="A5223">
        <v>93.348090395548496</v>
      </c>
      <c r="B5223">
        <v>76.348187187318999</v>
      </c>
      <c r="C5223">
        <v>2000</v>
      </c>
    </row>
    <row r="5224" spans="1:11" x14ac:dyDescent="0.25">
      <c r="A5224">
        <v>91.839659873787198</v>
      </c>
      <c r="B5224">
        <v>77.856617709080396</v>
      </c>
      <c r="C5224">
        <v>2000</v>
      </c>
    </row>
    <row r="5225" spans="1:11" x14ac:dyDescent="0.25">
      <c r="A5225">
        <v>91.839659873787198</v>
      </c>
      <c r="B5225">
        <v>76.982585660182806</v>
      </c>
      <c r="C5225">
        <v>2001</v>
      </c>
    </row>
    <row r="5226" spans="1:11" x14ac:dyDescent="0.25">
      <c r="A5226">
        <v>92.520674569253998</v>
      </c>
      <c r="B5226">
        <v>76.301570964716007</v>
      </c>
      <c r="C5226">
        <v>2001</v>
      </c>
    </row>
    <row r="5227" spans="1:11" x14ac:dyDescent="0.25">
      <c r="A5227">
        <v>92.559042620276202</v>
      </c>
      <c r="B5227">
        <v>76.263202913693704</v>
      </c>
      <c r="C5227">
        <v>2001</v>
      </c>
    </row>
    <row r="5228" spans="1:11" x14ac:dyDescent="0.25">
      <c r="A5228">
        <v>93.433074669173806</v>
      </c>
      <c r="B5228">
        <v>76.263202913693704</v>
      </c>
      <c r="C5228">
        <v>2000</v>
      </c>
    </row>
    <row r="5229" spans="1:11" x14ac:dyDescent="0.25">
      <c r="A5229" t="s">
        <v>86</v>
      </c>
    </row>
    <row r="5230" spans="1:11" x14ac:dyDescent="0.25">
      <c r="A5230">
        <v>1012</v>
      </c>
      <c r="B5230">
        <v>1</v>
      </c>
      <c r="C5230">
        <v>1.14094255224541</v>
      </c>
      <c r="D5230">
        <v>0.49445227312652301</v>
      </c>
      <c r="E5230">
        <v>6</v>
      </c>
      <c r="F5230">
        <v>1.01722196789785</v>
      </c>
      <c r="G5230" t="s">
        <v>87</v>
      </c>
      <c r="H5230" t="s">
        <v>87</v>
      </c>
      <c r="I5230">
        <v>723</v>
      </c>
      <c r="J5230">
        <v>821</v>
      </c>
      <c r="K5230">
        <v>0.12083958515882</v>
      </c>
    </row>
    <row r="5231" spans="1:11" x14ac:dyDescent="0.25">
      <c r="A5231" t="s">
        <v>85</v>
      </c>
    </row>
    <row r="5232" spans="1:11" x14ac:dyDescent="0.25">
      <c r="A5232">
        <v>130.116218213472</v>
      </c>
      <c r="B5232">
        <v>113.909866160254</v>
      </c>
      <c r="C5232">
        <v>2000</v>
      </c>
    </row>
    <row r="5233" spans="1:11" x14ac:dyDescent="0.25">
      <c r="A5233">
        <v>129.00456326921599</v>
      </c>
      <c r="B5233">
        <v>115.02152110451</v>
      </c>
      <c r="C5233">
        <v>2000</v>
      </c>
    </row>
    <row r="5234" spans="1:11" x14ac:dyDescent="0.25">
      <c r="A5234">
        <v>129.87859531811401</v>
      </c>
      <c r="B5234">
        <v>115.02152110451</v>
      </c>
      <c r="C5234">
        <v>2001</v>
      </c>
    </row>
    <row r="5235" spans="1:11" x14ac:dyDescent="0.25">
      <c r="A5235">
        <v>130.38047680513299</v>
      </c>
      <c r="B5235">
        <v>114.51963961749099</v>
      </c>
      <c r="C5235">
        <v>2001</v>
      </c>
    </row>
    <row r="5236" spans="1:11" x14ac:dyDescent="0.25">
      <c r="A5236">
        <v>130.59797806460301</v>
      </c>
      <c r="B5236">
        <v>114.302138358021</v>
      </c>
      <c r="C5236">
        <v>2001</v>
      </c>
    </row>
    <row r="5237" spans="1:11" x14ac:dyDescent="0.25">
      <c r="A5237">
        <v>130.59797806460301</v>
      </c>
      <c r="B5237">
        <v>113.428106309123</v>
      </c>
      <c r="C5237">
        <v>2000</v>
      </c>
    </row>
    <row r="5238" spans="1:11" x14ac:dyDescent="0.25">
      <c r="A5238" t="s">
        <v>86</v>
      </c>
    </row>
    <row r="5239" spans="1:11" x14ac:dyDescent="0.25">
      <c r="A5239">
        <v>398</v>
      </c>
      <c r="B5239">
        <v>1</v>
      </c>
      <c r="C5239">
        <v>1.4561707191336</v>
      </c>
      <c r="D5239">
        <v>0.17922410623833701</v>
      </c>
      <c r="E5239">
        <v>6</v>
      </c>
      <c r="F5239">
        <v>1.01722196789785</v>
      </c>
      <c r="G5239" t="s">
        <v>87</v>
      </c>
      <c r="H5239" t="s">
        <v>87</v>
      </c>
      <c r="I5239">
        <v>723</v>
      </c>
      <c r="J5239">
        <v>821</v>
      </c>
      <c r="K5239">
        <v>0</v>
      </c>
    </row>
    <row r="5240" spans="1:11" x14ac:dyDescent="0.25">
      <c r="A5240" t="s">
        <v>85</v>
      </c>
    </row>
    <row r="5241" spans="1:11" x14ac:dyDescent="0.25">
      <c r="A5241">
        <v>98.885557597040105</v>
      </c>
      <c r="B5241">
        <v>82.064932810107905</v>
      </c>
      <c r="C5241">
        <v>2000</v>
      </c>
    </row>
    <row r="5242" spans="1:11" x14ac:dyDescent="0.25">
      <c r="A5242">
        <v>97.466766285927406</v>
      </c>
      <c r="B5242">
        <v>83.483724121220604</v>
      </c>
      <c r="C5242">
        <v>2000</v>
      </c>
    </row>
    <row r="5243" spans="1:11" x14ac:dyDescent="0.25">
      <c r="A5243">
        <v>97.466766285927406</v>
      </c>
      <c r="B5243">
        <v>82.609692072323</v>
      </c>
      <c r="C5243">
        <v>2001</v>
      </c>
    </row>
    <row r="5244" spans="1:11" x14ac:dyDescent="0.25">
      <c r="A5244">
        <v>98.107311354944002</v>
      </c>
      <c r="B5244">
        <v>81.969147003306404</v>
      </c>
      <c r="C5244">
        <v>2001</v>
      </c>
    </row>
    <row r="5245" spans="1:11" x14ac:dyDescent="0.25">
      <c r="A5245">
        <v>98.186149032416495</v>
      </c>
      <c r="B5245">
        <v>81.890309325833897</v>
      </c>
      <c r="C5245">
        <v>2001</v>
      </c>
    </row>
    <row r="5246" spans="1:11" x14ac:dyDescent="0.25">
      <c r="A5246">
        <v>99.060181081314099</v>
      </c>
      <c r="B5246">
        <v>81.890309325833897</v>
      </c>
      <c r="C5246">
        <v>2000</v>
      </c>
    </row>
    <row r="5247" spans="1:11" x14ac:dyDescent="0.25">
      <c r="A5247" t="s">
        <v>86</v>
      </c>
    </row>
    <row r="5248" spans="1:11" x14ac:dyDescent="0.25">
      <c r="A5248">
        <v>303</v>
      </c>
      <c r="B5248">
        <v>1</v>
      </c>
      <c r="C5248">
        <v>0.140062472890985</v>
      </c>
      <c r="D5248">
        <v>1.4953323524809501</v>
      </c>
      <c r="E5248">
        <v>6</v>
      </c>
      <c r="F5248">
        <v>1.01722196789785</v>
      </c>
      <c r="G5248" t="s">
        <v>87</v>
      </c>
      <c r="H5248" t="s">
        <v>87</v>
      </c>
      <c r="I5248">
        <v>723</v>
      </c>
      <c r="J5248">
        <v>821</v>
      </c>
      <c r="K5248">
        <v>0</v>
      </c>
    </row>
    <row r="5249" spans="1:11" x14ac:dyDescent="0.25">
      <c r="A5249" t="s">
        <v>85</v>
      </c>
    </row>
    <row r="5250" spans="1:11" x14ac:dyDescent="0.25">
      <c r="A5250">
        <v>119.559053236691</v>
      </c>
      <c r="B5250">
        <v>105.30307683846399</v>
      </c>
      <c r="C5250">
        <v>2000</v>
      </c>
    </row>
    <row r="5251" spans="1:11" x14ac:dyDescent="0.25">
      <c r="A5251">
        <v>119.422586119931</v>
      </c>
      <c r="B5251">
        <v>105.439543955224</v>
      </c>
      <c r="C5251">
        <v>2000</v>
      </c>
    </row>
    <row r="5252" spans="1:11" x14ac:dyDescent="0.25">
      <c r="A5252">
        <v>119.422586119931</v>
      </c>
      <c r="B5252">
        <v>104.56551190632599</v>
      </c>
      <c r="C5252">
        <v>2001</v>
      </c>
    </row>
    <row r="5253" spans="1:11" x14ac:dyDescent="0.25">
      <c r="A5253">
        <v>119.48419725191199</v>
      </c>
      <c r="B5253">
        <v>104.503900774344</v>
      </c>
      <c r="C5253">
        <v>2001</v>
      </c>
    </row>
    <row r="5254" spans="1:11" x14ac:dyDescent="0.25">
      <c r="A5254">
        <v>120.14196886642</v>
      </c>
      <c r="B5254">
        <v>103.84612915983701</v>
      </c>
      <c r="C5254">
        <v>2001</v>
      </c>
    </row>
    <row r="5255" spans="1:11" x14ac:dyDescent="0.25">
      <c r="A5255">
        <v>121.01600091531699</v>
      </c>
      <c r="B5255">
        <v>103.84612915983701</v>
      </c>
      <c r="C5255">
        <v>2000</v>
      </c>
    </row>
    <row r="5256" spans="1:11" x14ac:dyDescent="0.25">
      <c r="A5256" t="s">
        <v>86</v>
      </c>
    </row>
    <row r="5257" spans="1:11" x14ac:dyDescent="0.25">
      <c r="A5257">
        <v>307</v>
      </c>
      <c r="B5257">
        <v>1</v>
      </c>
      <c r="C5257">
        <v>0.11243837469286801</v>
      </c>
      <c r="D5257">
        <v>1.52295645067906</v>
      </c>
      <c r="E5257">
        <v>6</v>
      </c>
      <c r="F5257">
        <v>1.01722196789785</v>
      </c>
      <c r="G5257" t="s">
        <v>87</v>
      </c>
      <c r="H5257" t="s">
        <v>87</v>
      </c>
      <c r="I5257">
        <v>723</v>
      </c>
      <c r="J5257">
        <v>821</v>
      </c>
      <c r="K5257">
        <v>0</v>
      </c>
    </row>
    <row r="5258" spans="1:11" x14ac:dyDescent="0.25">
      <c r="A5258" t="s">
        <v>85</v>
      </c>
    </row>
    <row r="5259" spans="1:11" x14ac:dyDescent="0.25">
      <c r="A5259">
        <v>137.791948904527</v>
      </c>
      <c r="B5259">
        <v>123.589802500251</v>
      </c>
      <c r="C5259">
        <v>2000</v>
      </c>
    </row>
    <row r="5260" spans="1:11" x14ac:dyDescent="0.25">
      <c r="A5260">
        <v>137.68239678474299</v>
      </c>
      <c r="B5260">
        <v>123.699354620036</v>
      </c>
      <c r="C5260">
        <v>2000</v>
      </c>
    </row>
    <row r="5261" spans="1:11" x14ac:dyDescent="0.25">
      <c r="A5261">
        <v>137.68239678474299</v>
      </c>
      <c r="B5261">
        <v>122.825322571138</v>
      </c>
      <c r="C5261">
        <v>2001</v>
      </c>
    </row>
    <row r="5262" spans="1:11" x14ac:dyDescent="0.25">
      <c r="A5262">
        <v>137.73185653937901</v>
      </c>
      <c r="B5262">
        <v>122.775862816501</v>
      </c>
      <c r="C5262">
        <v>2001</v>
      </c>
    </row>
    <row r="5263" spans="1:11" x14ac:dyDescent="0.25">
      <c r="A5263">
        <v>138.40177953123199</v>
      </c>
      <c r="B5263">
        <v>122.105939824649</v>
      </c>
      <c r="C5263">
        <v>2001</v>
      </c>
    </row>
    <row r="5264" spans="1:11" x14ac:dyDescent="0.25">
      <c r="A5264">
        <v>139.27581158012899</v>
      </c>
      <c r="B5264">
        <v>122.105939824649</v>
      </c>
      <c r="C5264">
        <v>2000</v>
      </c>
    </row>
    <row r="5265" spans="1:11" x14ac:dyDescent="0.25">
      <c r="A5265" t="s">
        <v>86</v>
      </c>
    </row>
    <row r="5266" spans="1:11" x14ac:dyDescent="0.25">
      <c r="A5266">
        <v>1126</v>
      </c>
      <c r="B5266">
        <v>1</v>
      </c>
      <c r="C5266">
        <v>1.17262104556326</v>
      </c>
      <c r="D5266">
        <v>0.46277377980866802</v>
      </c>
      <c r="E5266">
        <v>6</v>
      </c>
      <c r="F5266">
        <v>1.01722196789785</v>
      </c>
      <c r="G5266" t="s">
        <v>87</v>
      </c>
      <c r="H5266" t="s">
        <v>87</v>
      </c>
      <c r="I5266">
        <v>723</v>
      </c>
      <c r="J5266">
        <v>821</v>
      </c>
      <c r="K5266">
        <v>0.124845976961483</v>
      </c>
    </row>
    <row r="5267" spans="1:11" x14ac:dyDescent="0.25">
      <c r="A5267" t="s">
        <v>85</v>
      </c>
    </row>
    <row r="5268" spans="1:11" x14ac:dyDescent="0.25">
      <c r="A5268">
        <v>130.71966020738199</v>
      </c>
      <c r="B5268">
        <v>114.451577519868</v>
      </c>
      <c r="C5268">
        <v>2000</v>
      </c>
    </row>
    <row r="5269" spans="1:11" x14ac:dyDescent="0.25">
      <c r="A5269">
        <v>129.57713994597799</v>
      </c>
      <c r="B5269">
        <v>115.594097781272</v>
      </c>
      <c r="C5269">
        <v>2000</v>
      </c>
    </row>
    <row r="5270" spans="1:11" x14ac:dyDescent="0.25">
      <c r="A5270">
        <v>130.45117199487601</v>
      </c>
      <c r="B5270">
        <v>115.594097781272</v>
      </c>
      <c r="C5270">
        <v>2001</v>
      </c>
    </row>
    <row r="5271" spans="1:11" x14ac:dyDescent="0.25">
      <c r="A5271">
        <v>130.96698831963201</v>
      </c>
      <c r="B5271">
        <v>115.078281456516</v>
      </c>
      <c r="C5271">
        <v>2001</v>
      </c>
    </row>
    <row r="5272" spans="1:11" x14ac:dyDescent="0.25">
      <c r="A5272">
        <v>131.17055474136501</v>
      </c>
      <c r="B5272">
        <v>114.87471503478299</v>
      </c>
      <c r="C5272">
        <v>2001</v>
      </c>
    </row>
    <row r="5273" spans="1:11" x14ac:dyDescent="0.25">
      <c r="A5273">
        <v>131.17055474136501</v>
      </c>
      <c r="B5273">
        <v>114.00068298588501</v>
      </c>
      <c r="C5273">
        <v>2000</v>
      </c>
    </row>
    <row r="5274" spans="1:11" x14ac:dyDescent="0.25">
      <c r="A5274" t="s">
        <v>86</v>
      </c>
    </row>
    <row r="5275" spans="1:11" x14ac:dyDescent="0.25">
      <c r="A5275">
        <v>1055</v>
      </c>
      <c r="B5275">
        <v>1</v>
      </c>
      <c r="C5275">
        <v>0.56877251117268901</v>
      </c>
      <c r="D5275">
        <v>1.0666223141992399</v>
      </c>
      <c r="E5275">
        <v>6</v>
      </c>
      <c r="F5275">
        <v>1.01722196789785</v>
      </c>
      <c r="G5275" t="s">
        <v>87</v>
      </c>
      <c r="H5275" t="s">
        <v>87</v>
      </c>
      <c r="I5275">
        <v>723</v>
      </c>
      <c r="J5275">
        <v>821</v>
      </c>
      <c r="K5275">
        <v>0.121680115082949</v>
      </c>
    </row>
    <row r="5276" spans="1:11" x14ac:dyDescent="0.25">
      <c r="A5276" t="s">
        <v>85</v>
      </c>
    </row>
    <row r="5277" spans="1:11" x14ac:dyDescent="0.25">
      <c r="A5277">
        <v>126.483079759962</v>
      </c>
      <c r="B5277">
        <v>111.391692967461</v>
      </c>
      <c r="C5277">
        <v>2000</v>
      </c>
    </row>
    <row r="5278" spans="1:11" x14ac:dyDescent="0.25">
      <c r="A5278">
        <v>125.928907446064</v>
      </c>
      <c r="B5278">
        <v>111.945865281358</v>
      </c>
      <c r="C5278">
        <v>2000</v>
      </c>
    </row>
    <row r="5279" spans="1:11" x14ac:dyDescent="0.25">
      <c r="A5279">
        <v>125.928907446064</v>
      </c>
      <c r="B5279">
        <v>111.07183323245999</v>
      </c>
      <c r="C5279">
        <v>2001</v>
      </c>
    </row>
    <row r="5280" spans="1:11" x14ac:dyDescent="0.25">
      <c r="A5280">
        <v>126.179100931373</v>
      </c>
      <c r="B5280">
        <v>110.82163974715201</v>
      </c>
      <c r="C5280">
        <v>2001</v>
      </c>
    </row>
    <row r="5281" spans="1:11" x14ac:dyDescent="0.25">
      <c r="A5281">
        <v>126.648290192554</v>
      </c>
      <c r="B5281">
        <v>110.352450485971</v>
      </c>
      <c r="C5281">
        <v>2001</v>
      </c>
    </row>
    <row r="5282" spans="1:11" x14ac:dyDescent="0.25">
      <c r="A5282">
        <v>127.52232224145099</v>
      </c>
      <c r="B5282">
        <v>110.352450485971</v>
      </c>
      <c r="C5282">
        <v>2000</v>
      </c>
    </row>
    <row r="5283" spans="1:11" x14ac:dyDescent="0.25">
      <c r="A5283" t="s">
        <v>86</v>
      </c>
    </row>
    <row r="5284" spans="1:11" x14ac:dyDescent="0.25">
      <c r="A5284">
        <v>1064</v>
      </c>
      <c r="B5284">
        <v>1</v>
      </c>
      <c r="C5284">
        <v>0.42525277839481701</v>
      </c>
      <c r="D5284">
        <v>1.21014204697711</v>
      </c>
      <c r="E5284">
        <v>6</v>
      </c>
      <c r="F5284">
        <v>1.01722196789785</v>
      </c>
      <c r="G5284" t="s">
        <v>87</v>
      </c>
      <c r="H5284" t="s">
        <v>87</v>
      </c>
      <c r="I5284">
        <v>723</v>
      </c>
      <c r="J5284">
        <v>821</v>
      </c>
      <c r="K5284">
        <v>0.122473809508668</v>
      </c>
    </row>
    <row r="5285" spans="1:11" x14ac:dyDescent="0.25">
      <c r="A5285" t="s">
        <v>85</v>
      </c>
    </row>
    <row r="5286" spans="1:11" x14ac:dyDescent="0.25">
      <c r="A5286">
        <v>79.653997327090494</v>
      </c>
      <c r="B5286">
        <v>64.842281794508196</v>
      </c>
      <c r="C5286">
        <v>2000</v>
      </c>
    </row>
    <row r="5287" spans="1:11" x14ac:dyDescent="0.25">
      <c r="A5287">
        <v>79.239660643152703</v>
      </c>
      <c r="B5287">
        <v>65.256618478446001</v>
      </c>
      <c r="C5287">
        <v>2000</v>
      </c>
    </row>
    <row r="5288" spans="1:11" x14ac:dyDescent="0.25">
      <c r="A5288">
        <v>79.239660643152703</v>
      </c>
      <c r="B5288">
        <v>64.382586429548397</v>
      </c>
      <c r="C5288">
        <v>2001</v>
      </c>
    </row>
    <row r="5289" spans="1:11" x14ac:dyDescent="0.25">
      <c r="A5289">
        <v>79.4267222058577</v>
      </c>
      <c r="B5289">
        <v>64.1955248668434</v>
      </c>
      <c r="C5289">
        <v>2001</v>
      </c>
    </row>
    <row r="5290" spans="1:11" x14ac:dyDescent="0.25">
      <c r="A5290">
        <v>79.959043389641806</v>
      </c>
      <c r="B5290">
        <v>63.663203683059301</v>
      </c>
      <c r="C5290">
        <v>2001</v>
      </c>
    </row>
    <row r="5291" spans="1:11" x14ac:dyDescent="0.25">
      <c r="A5291">
        <v>80.833075438539396</v>
      </c>
      <c r="B5291">
        <v>63.663203683059301</v>
      </c>
      <c r="C5291">
        <v>2000</v>
      </c>
    </row>
    <row r="5292" spans="1:11" x14ac:dyDescent="0.25">
      <c r="A5292" t="s">
        <v>86</v>
      </c>
    </row>
    <row r="5293" spans="1:11" x14ac:dyDescent="0.25">
      <c r="A5293">
        <v>622</v>
      </c>
      <c r="B5293">
        <v>1</v>
      </c>
      <c r="C5293">
        <v>1.2632112019133801</v>
      </c>
      <c r="D5293">
        <v>0.34765290637919599</v>
      </c>
      <c r="E5293">
        <v>6</v>
      </c>
      <c r="F5293">
        <v>1.01722196789785</v>
      </c>
      <c r="G5293" t="s">
        <v>87</v>
      </c>
      <c r="H5293" t="s">
        <v>83</v>
      </c>
      <c r="I5293">
        <v>504</v>
      </c>
      <c r="J5293">
        <v>0</v>
      </c>
      <c r="K5293">
        <v>0</v>
      </c>
    </row>
    <row r="5294" spans="1:11" x14ac:dyDescent="0.25">
      <c r="A5294" t="s">
        <v>85</v>
      </c>
    </row>
    <row r="5295" spans="1:11" x14ac:dyDescent="0.25">
      <c r="A5295">
        <v>149.659856500975</v>
      </c>
      <c r="B5295">
        <v>55.098700938237101</v>
      </c>
      <c r="C5295">
        <v>2000</v>
      </c>
    </row>
    <row r="5296" spans="1:11" x14ac:dyDescent="0.25">
      <c r="A5296">
        <v>148.42393104100699</v>
      </c>
      <c r="B5296">
        <v>56.334626398205103</v>
      </c>
      <c r="C5296">
        <v>2000</v>
      </c>
    </row>
    <row r="5297" spans="1:11" x14ac:dyDescent="0.25">
      <c r="A5297">
        <v>149.29796308990501</v>
      </c>
      <c r="B5297">
        <v>56.334626398205103</v>
      </c>
      <c r="C5297">
        <v>2001</v>
      </c>
    </row>
    <row r="5298" spans="1:11" x14ac:dyDescent="0.25">
      <c r="A5298">
        <v>149.848488043825</v>
      </c>
      <c r="B5298">
        <v>55.784101444285497</v>
      </c>
      <c r="C5298">
        <v>2001</v>
      </c>
    </row>
    <row r="5299" spans="1:11" x14ac:dyDescent="0.25">
      <c r="A5299">
        <v>150</v>
      </c>
      <c r="B5299">
        <v>55.632589488110199</v>
      </c>
      <c r="C5299">
        <v>2001</v>
      </c>
    </row>
    <row r="5300" spans="1:11" x14ac:dyDescent="0.25">
      <c r="A5300">
        <v>150</v>
      </c>
      <c r="B5300">
        <v>54.758557439212503</v>
      </c>
      <c r="C5300">
        <v>2000</v>
      </c>
    </row>
    <row r="5301" spans="1:11" x14ac:dyDescent="0.25">
      <c r="A5301" t="s">
        <v>86</v>
      </c>
    </row>
    <row r="5302" spans="1:11" x14ac:dyDescent="0.25">
      <c r="A5302">
        <v>390</v>
      </c>
      <c r="B5302">
        <v>1</v>
      </c>
      <c r="C5302">
        <v>0.86996255063211703</v>
      </c>
      <c r="D5302">
        <v>0.73681364262527904</v>
      </c>
      <c r="E5302">
        <v>6</v>
      </c>
      <c r="F5302">
        <v>1.01722196789785</v>
      </c>
      <c r="G5302" t="s">
        <v>87</v>
      </c>
      <c r="H5302" t="s">
        <v>87</v>
      </c>
      <c r="I5302">
        <v>360</v>
      </c>
      <c r="J5302">
        <v>355</v>
      </c>
      <c r="K5302">
        <v>0</v>
      </c>
    </row>
    <row r="5303" spans="1:11" x14ac:dyDescent="0.25">
      <c r="A5303" t="s">
        <v>85</v>
      </c>
    </row>
    <row r="5304" spans="1:11" x14ac:dyDescent="0.25">
      <c r="A5304">
        <v>87.033732241035295</v>
      </c>
      <c r="B5304">
        <v>93.591563838800596</v>
      </c>
      <c r="C5304">
        <v>2000</v>
      </c>
    </row>
    <row r="5305" spans="1:11" x14ac:dyDescent="0.25">
      <c r="A5305">
        <v>86.418575822104998</v>
      </c>
      <c r="B5305">
        <v>94.206720257730893</v>
      </c>
      <c r="C5305">
        <v>2000</v>
      </c>
    </row>
    <row r="5306" spans="1:11" x14ac:dyDescent="0.25">
      <c r="A5306">
        <v>86.418575822104998</v>
      </c>
      <c r="B5306">
        <v>93.332688208833304</v>
      </c>
      <c r="C5306">
        <v>2001</v>
      </c>
    </row>
    <row r="5307" spans="1:11" x14ac:dyDescent="0.25">
      <c r="A5307">
        <v>87.033732241035295</v>
      </c>
      <c r="B5307">
        <v>92.717531789903006</v>
      </c>
      <c r="C5307">
        <v>2001</v>
      </c>
    </row>
    <row r="5308" spans="1:11" x14ac:dyDescent="0.25">
      <c r="A5308">
        <v>87.554738164206398</v>
      </c>
      <c r="B5308">
        <v>92.196525866731903</v>
      </c>
      <c r="C5308">
        <v>2001</v>
      </c>
    </row>
    <row r="5309" spans="1:11" x14ac:dyDescent="0.25">
      <c r="A5309">
        <v>87.554738164206398</v>
      </c>
      <c r="B5309">
        <v>93.070557915629493</v>
      </c>
      <c r="C5309">
        <v>2000</v>
      </c>
    </row>
    <row r="5310" spans="1:11" x14ac:dyDescent="0.25">
      <c r="A5310" t="s">
        <v>86</v>
      </c>
    </row>
    <row r="5311" spans="1:11" x14ac:dyDescent="0.25">
      <c r="A5311">
        <v>1018</v>
      </c>
      <c r="B5311">
        <v>1</v>
      </c>
      <c r="C5311">
        <v>0.21135156227462901</v>
      </c>
      <c r="D5311">
        <v>1.39542463098277</v>
      </c>
      <c r="E5311">
        <v>6</v>
      </c>
      <c r="F5311">
        <v>1.01722196789785</v>
      </c>
      <c r="G5311" t="s">
        <v>87</v>
      </c>
      <c r="H5311" t="s">
        <v>87</v>
      </c>
      <c r="I5311">
        <v>360</v>
      </c>
      <c r="J5311">
        <v>355</v>
      </c>
      <c r="K5311">
        <v>0.12083958515882</v>
      </c>
    </row>
    <row r="5312" spans="1:11" x14ac:dyDescent="0.25">
      <c r="A5312" t="s">
        <v>85</v>
      </c>
    </row>
    <row r="5313" spans="1:11" x14ac:dyDescent="0.25">
      <c r="A5313">
        <v>78.528143606860198</v>
      </c>
      <c r="B5313">
        <v>86.017391796688699</v>
      </c>
      <c r="C5313">
        <v>2000</v>
      </c>
    </row>
    <row r="5314" spans="1:11" x14ac:dyDescent="0.25">
      <c r="A5314">
        <v>78.378695483961494</v>
      </c>
      <c r="B5314">
        <v>86.166839919587403</v>
      </c>
      <c r="C5314">
        <v>2000</v>
      </c>
    </row>
    <row r="5315" spans="1:11" x14ac:dyDescent="0.25">
      <c r="A5315">
        <v>78.378695483961494</v>
      </c>
      <c r="B5315">
        <v>85.292807870689799</v>
      </c>
      <c r="C5315">
        <v>2001</v>
      </c>
    </row>
    <row r="5316" spans="1:11" x14ac:dyDescent="0.25">
      <c r="A5316">
        <v>78.528143606860198</v>
      </c>
      <c r="B5316">
        <v>85.143359747790996</v>
      </c>
      <c r="C5316">
        <v>2001</v>
      </c>
    </row>
    <row r="5317" spans="1:11" x14ac:dyDescent="0.25">
      <c r="A5317">
        <v>79.514857826062894</v>
      </c>
      <c r="B5317">
        <v>84.156645528588399</v>
      </c>
      <c r="C5317">
        <v>2001</v>
      </c>
    </row>
    <row r="5318" spans="1:11" x14ac:dyDescent="0.25">
      <c r="A5318">
        <v>79.514857826062894</v>
      </c>
      <c r="B5318">
        <v>85.030677577486003</v>
      </c>
      <c r="C5318">
        <v>2000</v>
      </c>
    </row>
    <row r="5319" spans="1:11" x14ac:dyDescent="0.25">
      <c r="A5319" t="s">
        <v>86</v>
      </c>
    </row>
    <row r="5320" spans="1:11" x14ac:dyDescent="0.25">
      <c r="A5320">
        <v>315</v>
      </c>
      <c r="B5320">
        <v>1</v>
      </c>
      <c r="C5320">
        <v>1.55507919812204</v>
      </c>
      <c r="D5320">
        <v>3.9668992500093501E-2</v>
      </c>
      <c r="E5320">
        <v>6</v>
      </c>
      <c r="F5320">
        <v>1.01722196789785</v>
      </c>
      <c r="G5320" t="s">
        <v>87</v>
      </c>
      <c r="H5320" t="s">
        <v>87</v>
      </c>
      <c r="I5320">
        <v>269</v>
      </c>
      <c r="J5320">
        <v>588</v>
      </c>
      <c r="K5320">
        <v>0</v>
      </c>
    </row>
    <row r="5321" spans="1:11" x14ac:dyDescent="0.25">
      <c r="A5321" t="s">
        <v>85</v>
      </c>
    </row>
    <row r="5322" spans="1:11" x14ac:dyDescent="0.25">
      <c r="A5322">
        <v>148.707672285504</v>
      </c>
      <c r="B5322">
        <v>124.12310455625401</v>
      </c>
      <c r="C5322">
        <v>2000</v>
      </c>
    </row>
    <row r="5323" spans="1:11" x14ac:dyDescent="0.25">
      <c r="A5323">
        <v>148.03421059111801</v>
      </c>
      <c r="B5323">
        <v>124.796566250639</v>
      </c>
      <c r="C5323">
        <v>2000</v>
      </c>
    </row>
    <row r="5324" spans="1:11" x14ac:dyDescent="0.25">
      <c r="A5324">
        <v>147.16017854222099</v>
      </c>
      <c r="B5324">
        <v>124.796566250639</v>
      </c>
      <c r="C5324">
        <v>2001</v>
      </c>
    </row>
    <row r="5325" spans="1:11" x14ac:dyDescent="0.25">
      <c r="A5325">
        <v>148.685930940384</v>
      </c>
      <c r="B5325">
        <v>123.270813852477</v>
      </c>
      <c r="C5325">
        <v>2001</v>
      </c>
    </row>
    <row r="5326" spans="1:11" x14ac:dyDescent="0.25">
      <c r="A5326">
        <v>148.72485182654299</v>
      </c>
      <c r="B5326">
        <v>123.23189296631701</v>
      </c>
      <c r="C5326">
        <v>2001</v>
      </c>
    </row>
    <row r="5327" spans="1:11" x14ac:dyDescent="0.25">
      <c r="A5327">
        <v>148.72485182654299</v>
      </c>
      <c r="B5327">
        <v>124.105925015214</v>
      </c>
      <c r="C5327">
        <v>2000</v>
      </c>
    </row>
    <row r="5328" spans="1:11" x14ac:dyDescent="0.25">
      <c r="A5328" t="s">
        <v>86</v>
      </c>
    </row>
    <row r="5329" spans="1:11" x14ac:dyDescent="0.25">
      <c r="A5329">
        <v>1063</v>
      </c>
      <c r="B5329">
        <v>1</v>
      </c>
      <c r="C5329">
        <v>0.77748994480510403</v>
      </c>
      <c r="D5329">
        <v>0.81600465695466096</v>
      </c>
      <c r="E5329">
        <v>6</v>
      </c>
      <c r="F5329">
        <v>1.01722196789785</v>
      </c>
      <c r="G5329" t="s">
        <v>87</v>
      </c>
      <c r="H5329" t="s">
        <v>87</v>
      </c>
      <c r="I5329">
        <v>427</v>
      </c>
      <c r="J5329">
        <v>841</v>
      </c>
      <c r="K5329">
        <v>0.121949590810518</v>
      </c>
    </row>
    <row r="5330" spans="1:11" x14ac:dyDescent="0.25">
      <c r="A5330" t="s">
        <v>85</v>
      </c>
    </row>
    <row r="5331" spans="1:11" x14ac:dyDescent="0.25">
      <c r="A5331">
        <v>50.723060504413297</v>
      </c>
      <c r="B5331">
        <v>98.404222155643794</v>
      </c>
      <c r="C5331">
        <v>2000</v>
      </c>
    </row>
    <row r="5332" spans="1:11" x14ac:dyDescent="0.25">
      <c r="A5332">
        <v>50.173292092137302</v>
      </c>
      <c r="B5332">
        <v>98.953990567919803</v>
      </c>
      <c r="C5332">
        <v>2000</v>
      </c>
    </row>
    <row r="5333" spans="1:11" x14ac:dyDescent="0.25">
      <c r="A5333">
        <v>51.047324141034899</v>
      </c>
      <c r="B5333">
        <v>98.953990567919803</v>
      </c>
      <c r="C5333">
        <v>2001</v>
      </c>
    </row>
    <row r="5334" spans="1:11" x14ac:dyDescent="0.25">
      <c r="A5334">
        <v>51.597092553311001</v>
      </c>
      <c r="B5334">
        <v>98.404222155643794</v>
      </c>
      <c r="C5334">
        <v>2001</v>
      </c>
    </row>
    <row r="5335" spans="1:11" x14ac:dyDescent="0.25">
      <c r="A5335">
        <v>52.174094979723399</v>
      </c>
      <c r="B5335">
        <v>97.827219729231302</v>
      </c>
      <c r="C5335">
        <v>2001</v>
      </c>
    </row>
    <row r="5336" spans="1:11" x14ac:dyDescent="0.25">
      <c r="A5336">
        <v>51.300062930825803</v>
      </c>
      <c r="B5336">
        <v>97.827219729231302</v>
      </c>
      <c r="C5336">
        <v>2000</v>
      </c>
    </row>
    <row r="5337" spans="1:11" x14ac:dyDescent="0.25">
      <c r="A5337" t="s">
        <v>86</v>
      </c>
    </row>
    <row r="5338" spans="1:11" x14ac:dyDescent="0.25">
      <c r="A5338">
        <v>1065</v>
      </c>
      <c r="B5338">
        <v>1</v>
      </c>
      <c r="C5338">
        <v>1.27672468339599</v>
      </c>
      <c r="D5338">
        <v>0.31676991836377499</v>
      </c>
      <c r="E5338">
        <v>6</v>
      </c>
      <c r="F5338">
        <v>1.01722196789785</v>
      </c>
      <c r="G5338" t="s">
        <v>87</v>
      </c>
      <c r="H5338" t="s">
        <v>87</v>
      </c>
      <c r="I5338">
        <v>427</v>
      </c>
      <c r="J5338">
        <v>841</v>
      </c>
      <c r="K5338">
        <v>0.122728925384179</v>
      </c>
    </row>
    <row r="5339" spans="1:11" x14ac:dyDescent="0.25">
      <c r="A5339" t="s">
        <v>85</v>
      </c>
    </row>
    <row r="5340" spans="1:11" x14ac:dyDescent="0.25">
      <c r="A5340">
        <v>61.998041100342398</v>
      </c>
      <c r="B5340">
        <v>108.97317821345</v>
      </c>
      <c r="C5340">
        <v>2000</v>
      </c>
    </row>
    <row r="5341" spans="1:11" x14ac:dyDescent="0.25">
      <c r="A5341">
        <v>61.095260419004802</v>
      </c>
      <c r="B5341">
        <v>109.875958894787</v>
      </c>
      <c r="C5341">
        <v>2000</v>
      </c>
    </row>
    <row r="5342" spans="1:11" x14ac:dyDescent="0.25">
      <c r="A5342">
        <v>61.969292467902399</v>
      </c>
      <c r="B5342">
        <v>109.875958894787</v>
      </c>
      <c r="C5342">
        <v>2001</v>
      </c>
    </row>
    <row r="5343" spans="1:11" x14ac:dyDescent="0.25">
      <c r="A5343">
        <v>62.872073149240002</v>
      </c>
      <c r="B5343">
        <v>108.97317821345</v>
      </c>
      <c r="C5343">
        <v>2001</v>
      </c>
    </row>
    <row r="5344" spans="1:11" x14ac:dyDescent="0.25">
      <c r="A5344">
        <v>63.096063306590899</v>
      </c>
      <c r="B5344">
        <v>108.749188056099</v>
      </c>
      <c r="C5344">
        <v>2001</v>
      </c>
    </row>
    <row r="5345" spans="1:11" x14ac:dyDescent="0.25">
      <c r="A5345">
        <v>62.222031257693303</v>
      </c>
      <c r="B5345">
        <v>108.749188056099</v>
      </c>
      <c r="C5345">
        <v>2000</v>
      </c>
    </row>
    <row r="5346" spans="1:11" x14ac:dyDescent="0.25">
      <c r="A5346" t="s">
        <v>86</v>
      </c>
    </row>
    <row r="5347" spans="1:11" x14ac:dyDescent="0.25">
      <c r="A5347">
        <v>635</v>
      </c>
      <c r="B5347">
        <v>1</v>
      </c>
      <c r="C5347">
        <v>1.05784790009787</v>
      </c>
      <c r="D5347">
        <v>0.53560865425291804</v>
      </c>
      <c r="E5347">
        <v>6</v>
      </c>
      <c r="F5347">
        <v>1.01722196789785</v>
      </c>
      <c r="G5347" t="s">
        <v>87</v>
      </c>
      <c r="H5347" t="s">
        <v>87</v>
      </c>
      <c r="I5347">
        <v>736</v>
      </c>
      <c r="J5347">
        <v>280</v>
      </c>
      <c r="K5347">
        <v>0</v>
      </c>
    </row>
    <row r="5348" spans="1:11" x14ac:dyDescent="0.25">
      <c r="A5348" t="s">
        <v>85</v>
      </c>
    </row>
    <row r="5349" spans="1:11" x14ac:dyDescent="0.25">
      <c r="A5349">
        <v>101.244529146806</v>
      </c>
      <c r="B5349">
        <v>61.343855683851999</v>
      </c>
      <c r="C5349">
        <v>2000</v>
      </c>
    </row>
    <row r="5350" spans="1:11" x14ac:dyDescent="0.25">
      <c r="A5350">
        <v>100.496517723183</v>
      </c>
      <c r="B5350">
        <v>62.091867107475103</v>
      </c>
      <c r="C5350">
        <v>2000</v>
      </c>
    </row>
    <row r="5351" spans="1:11" x14ac:dyDescent="0.25">
      <c r="A5351">
        <v>99.622485674285201</v>
      </c>
      <c r="B5351">
        <v>62.091867107475103</v>
      </c>
      <c r="C5351">
        <v>2001</v>
      </c>
    </row>
    <row r="5352" spans="1:11" x14ac:dyDescent="0.25">
      <c r="A5352">
        <v>100.370497097908</v>
      </c>
      <c r="B5352">
        <v>61.343855683851999</v>
      </c>
      <c r="C5352">
        <v>2001</v>
      </c>
    </row>
    <row r="5353" spans="1:11" x14ac:dyDescent="0.25">
      <c r="A5353">
        <v>100.749229609393</v>
      </c>
      <c r="B5353">
        <v>60.965123172367498</v>
      </c>
      <c r="C5353">
        <v>2001</v>
      </c>
    </row>
    <row r="5354" spans="1:11" x14ac:dyDescent="0.25">
      <c r="A5354">
        <v>101.62326165829001</v>
      </c>
      <c r="B5354">
        <v>60.965123172367498</v>
      </c>
      <c r="C5354">
        <v>2000</v>
      </c>
    </row>
    <row r="5355" spans="1:11" x14ac:dyDescent="0.25">
      <c r="A5355" t="s">
        <v>86</v>
      </c>
    </row>
    <row r="5356" spans="1:11" x14ac:dyDescent="0.25">
      <c r="A5356">
        <v>902</v>
      </c>
      <c r="B5356">
        <v>1</v>
      </c>
      <c r="C5356">
        <v>6.0300385227641598E-2</v>
      </c>
      <c r="D5356">
        <v>1.5331561691231499</v>
      </c>
      <c r="E5356">
        <v>6</v>
      </c>
      <c r="F5356">
        <v>1.01722196789785</v>
      </c>
      <c r="G5356" t="s">
        <v>87</v>
      </c>
      <c r="H5356" t="s">
        <v>87</v>
      </c>
      <c r="I5356">
        <v>736</v>
      </c>
      <c r="J5356">
        <v>280</v>
      </c>
      <c r="K5356">
        <v>0.116465549931603</v>
      </c>
    </row>
    <row r="5357" spans="1:11" x14ac:dyDescent="0.25">
      <c r="A5357" t="s">
        <v>85</v>
      </c>
    </row>
    <row r="5358" spans="1:11" x14ac:dyDescent="0.25">
      <c r="A5358">
        <v>137.73924259596501</v>
      </c>
      <c r="B5358">
        <v>99.249314357651699</v>
      </c>
      <c r="C5358">
        <v>2000</v>
      </c>
    </row>
    <row r="5359" spans="1:11" x14ac:dyDescent="0.25">
      <c r="A5359">
        <v>137.69660378466199</v>
      </c>
      <c r="B5359">
        <v>99.291953168954393</v>
      </c>
      <c r="C5359">
        <v>2000</v>
      </c>
    </row>
    <row r="5360" spans="1:11" x14ac:dyDescent="0.25">
      <c r="A5360">
        <v>137.69660378466199</v>
      </c>
      <c r="B5360">
        <v>100.165985217852</v>
      </c>
      <c r="C5360">
        <v>2001</v>
      </c>
    </row>
    <row r="5361" spans="1:11" x14ac:dyDescent="0.25">
      <c r="A5361">
        <v>137.73924259596501</v>
      </c>
      <c r="B5361">
        <v>100.123346406549</v>
      </c>
      <c r="C5361">
        <v>2001</v>
      </c>
    </row>
    <row r="5362" spans="1:11" x14ac:dyDescent="0.25">
      <c r="A5362">
        <v>138.82334771977</v>
      </c>
      <c r="B5362">
        <v>99.0392412827443</v>
      </c>
      <c r="C5362">
        <v>2001</v>
      </c>
    </row>
    <row r="5363" spans="1:11" x14ac:dyDescent="0.25">
      <c r="A5363">
        <v>138.82334771977</v>
      </c>
      <c r="B5363">
        <v>98.165209233846696</v>
      </c>
      <c r="C5363">
        <v>2000</v>
      </c>
    </row>
    <row r="5364" spans="1:11" x14ac:dyDescent="0.25">
      <c r="A5364" t="s">
        <v>86</v>
      </c>
    </row>
    <row r="5365" spans="1:11" x14ac:dyDescent="0.25">
      <c r="A5365">
        <v>933</v>
      </c>
      <c r="B5365">
        <v>1</v>
      </c>
      <c r="C5365">
        <v>1.1879046452933399</v>
      </c>
      <c r="D5365">
        <v>0.40351624920066298</v>
      </c>
      <c r="E5365">
        <v>6</v>
      </c>
      <c r="F5365">
        <v>1.01722196789785</v>
      </c>
      <c r="G5365" t="s">
        <v>87</v>
      </c>
      <c r="H5365" t="s">
        <v>87</v>
      </c>
      <c r="I5365">
        <v>439</v>
      </c>
      <c r="J5365">
        <v>189</v>
      </c>
      <c r="K5365">
        <v>0.118311737100288</v>
      </c>
    </row>
    <row r="5366" spans="1:11" x14ac:dyDescent="0.25">
      <c r="A5366" t="s">
        <v>85</v>
      </c>
    </row>
    <row r="5367" spans="1:11" x14ac:dyDescent="0.25">
      <c r="A5367">
        <v>53.664884776186597</v>
      </c>
      <c r="B5367">
        <v>145.61239190149701</v>
      </c>
      <c r="C5367">
        <v>2000</v>
      </c>
    </row>
    <row r="5368" spans="1:11" x14ac:dyDescent="0.25">
      <c r="A5368">
        <v>52.824909346096703</v>
      </c>
      <c r="B5368">
        <v>146.452367331587</v>
      </c>
      <c r="C5368">
        <v>2000</v>
      </c>
    </row>
    <row r="5369" spans="1:11" x14ac:dyDescent="0.25">
      <c r="A5369">
        <v>52.824909346096703</v>
      </c>
      <c r="B5369">
        <v>147.32639938048399</v>
      </c>
      <c r="C5369">
        <v>2001</v>
      </c>
    </row>
    <row r="5370" spans="1:11" x14ac:dyDescent="0.25">
      <c r="A5370">
        <v>53.664884776186597</v>
      </c>
      <c r="B5370">
        <v>146.486423950394</v>
      </c>
      <c r="C5370">
        <v>2001</v>
      </c>
    </row>
    <row r="5371" spans="1:11" x14ac:dyDescent="0.25">
      <c r="A5371">
        <v>53.950213852315301</v>
      </c>
      <c r="B5371">
        <v>146.201094874266</v>
      </c>
      <c r="C5371">
        <v>2001</v>
      </c>
    </row>
    <row r="5372" spans="1:11" x14ac:dyDescent="0.25">
      <c r="A5372">
        <v>53.950213852315301</v>
      </c>
      <c r="B5372">
        <v>145.32706282536799</v>
      </c>
      <c r="C5372">
        <v>2000</v>
      </c>
    </row>
    <row r="5373" spans="1:11" x14ac:dyDescent="0.25">
      <c r="A5373" t="s">
        <v>86</v>
      </c>
    </row>
    <row r="5374" spans="1:11" x14ac:dyDescent="0.25">
      <c r="A5374">
        <v>934</v>
      </c>
      <c r="B5374">
        <v>1</v>
      </c>
      <c r="C5374">
        <v>0.30940864199554602</v>
      </c>
      <c r="D5374">
        <v>1.2820122524984601</v>
      </c>
      <c r="E5374">
        <v>6</v>
      </c>
      <c r="F5374">
        <v>1.01722196789785</v>
      </c>
      <c r="G5374" t="s">
        <v>87</v>
      </c>
      <c r="H5374" t="s">
        <v>87</v>
      </c>
      <c r="I5374">
        <v>439</v>
      </c>
      <c r="J5374">
        <v>189</v>
      </c>
      <c r="K5374">
        <v>0.11865465261041699</v>
      </c>
    </row>
    <row r="5375" spans="1:11" x14ac:dyDescent="0.25">
      <c r="A5375" t="s">
        <v>85</v>
      </c>
    </row>
    <row r="5376" spans="1:11" x14ac:dyDescent="0.25">
      <c r="A5376">
        <v>55.827905764257501</v>
      </c>
      <c r="B5376">
        <v>149.01779385192199</v>
      </c>
      <c r="C5376">
        <v>2000</v>
      </c>
    </row>
    <row r="5377" spans="1:11" x14ac:dyDescent="0.25">
      <c r="A5377">
        <v>55.609120815344703</v>
      </c>
      <c r="B5377">
        <v>149.23657880083499</v>
      </c>
      <c r="C5377">
        <v>2000</v>
      </c>
    </row>
    <row r="5378" spans="1:11" x14ac:dyDescent="0.25">
      <c r="A5378">
        <v>55.609120815344703</v>
      </c>
      <c r="B5378">
        <v>150.11061084973201</v>
      </c>
      <c r="C5378">
        <v>2001</v>
      </c>
    </row>
    <row r="5379" spans="1:11" x14ac:dyDescent="0.25">
      <c r="A5379">
        <v>55.827905764257501</v>
      </c>
      <c r="B5379">
        <v>149.89182590082001</v>
      </c>
      <c r="C5379">
        <v>2001</v>
      </c>
    </row>
    <row r="5380" spans="1:11" x14ac:dyDescent="0.25">
      <c r="A5380">
        <v>56.7344253215634</v>
      </c>
      <c r="B5380">
        <v>148.985306343514</v>
      </c>
      <c r="C5380">
        <v>2001</v>
      </c>
    </row>
    <row r="5381" spans="1:11" x14ac:dyDescent="0.25">
      <c r="A5381">
        <v>56.7344253215634</v>
      </c>
      <c r="B5381">
        <v>148.11127429461601</v>
      </c>
      <c r="C5381">
        <v>2000</v>
      </c>
    </row>
    <row r="5382" spans="1:11" x14ac:dyDescent="0.25">
      <c r="A5382" t="s">
        <v>86</v>
      </c>
    </row>
    <row r="5383" spans="1:11" x14ac:dyDescent="0.25">
      <c r="A5383">
        <v>1040</v>
      </c>
      <c r="B5383">
        <v>1</v>
      </c>
      <c r="C5383">
        <v>1.28259340156333</v>
      </c>
      <c r="D5383">
        <v>0.30783076935376402</v>
      </c>
      <c r="E5383">
        <v>6</v>
      </c>
      <c r="F5383">
        <v>1.01722196789785</v>
      </c>
      <c r="G5383" t="s">
        <v>87</v>
      </c>
      <c r="H5383" t="s">
        <v>87</v>
      </c>
      <c r="I5383">
        <v>31</v>
      </c>
      <c r="J5383">
        <v>27</v>
      </c>
      <c r="K5383">
        <v>0.121949590810518</v>
      </c>
    </row>
    <row r="5384" spans="1:11" x14ac:dyDescent="0.25">
      <c r="A5384" t="s">
        <v>85</v>
      </c>
    </row>
    <row r="5385" spans="1:11" x14ac:dyDescent="0.25">
      <c r="A5385">
        <v>12.040769056790101</v>
      </c>
      <c r="B5385">
        <v>11.4408493501598</v>
      </c>
      <c r="C5385">
        <v>2000</v>
      </c>
    </row>
    <row r="5386" spans="1:11" x14ac:dyDescent="0.25">
      <c r="A5386">
        <v>11.486268991830901</v>
      </c>
      <c r="B5386">
        <v>11.995349415119099</v>
      </c>
      <c r="C5386">
        <v>2000</v>
      </c>
    </row>
    <row r="5387" spans="1:11" x14ac:dyDescent="0.25">
      <c r="A5387">
        <v>11.486268991830901</v>
      </c>
      <c r="B5387">
        <v>12.869381464016699</v>
      </c>
      <c r="C5387">
        <v>2001</v>
      </c>
    </row>
    <row r="5388" spans="1:11" x14ac:dyDescent="0.25">
      <c r="A5388">
        <v>12.745629910372701</v>
      </c>
      <c r="B5388">
        <v>11.610020545474899</v>
      </c>
      <c r="C5388">
        <v>2001</v>
      </c>
    </row>
    <row r="5389" spans="1:11" x14ac:dyDescent="0.25">
      <c r="A5389">
        <v>13.047884732498201</v>
      </c>
      <c r="B5389">
        <v>11.3077657233494</v>
      </c>
      <c r="C5389">
        <v>2001</v>
      </c>
    </row>
    <row r="5390" spans="1:11" x14ac:dyDescent="0.25">
      <c r="A5390">
        <v>12.173852683600501</v>
      </c>
      <c r="B5390">
        <v>11.3077657233494</v>
      </c>
      <c r="C5390">
        <v>2000</v>
      </c>
    </row>
    <row r="5391" spans="1:11" x14ac:dyDescent="0.25">
      <c r="A5391" t="s">
        <v>86</v>
      </c>
    </row>
    <row r="5392" spans="1:11" x14ac:dyDescent="0.25">
      <c r="A5392">
        <v>70</v>
      </c>
      <c r="B5392">
        <v>1</v>
      </c>
      <c r="C5392">
        <v>1.20721382882095</v>
      </c>
      <c r="D5392">
        <v>0.38321034209614202</v>
      </c>
      <c r="E5392">
        <v>6</v>
      </c>
      <c r="F5392">
        <v>1.01722196789785</v>
      </c>
      <c r="G5392" t="s">
        <v>87</v>
      </c>
      <c r="H5392" t="s">
        <v>87</v>
      </c>
      <c r="I5392">
        <v>31</v>
      </c>
      <c r="J5392">
        <v>27</v>
      </c>
      <c r="K5392">
        <v>0</v>
      </c>
    </row>
    <row r="5393" spans="1:11" x14ac:dyDescent="0.25">
      <c r="A5393" t="s">
        <v>85</v>
      </c>
    </row>
    <row r="5394" spans="1:11" x14ac:dyDescent="0.25">
      <c r="A5394">
        <v>4.9221801993309198</v>
      </c>
      <c r="B5394">
        <v>4.38743777792802</v>
      </c>
      <c r="C5394">
        <v>2000</v>
      </c>
    </row>
    <row r="5395" spans="1:11" x14ac:dyDescent="0.25">
      <c r="A5395">
        <v>4.4002687769853699</v>
      </c>
      <c r="B5395">
        <v>4.9093492002735699</v>
      </c>
      <c r="C5395">
        <v>2000</v>
      </c>
    </row>
    <row r="5396" spans="1:11" x14ac:dyDescent="0.25">
      <c r="A5396">
        <v>3.52623672808773</v>
      </c>
      <c r="B5396">
        <v>4.9093492002735699</v>
      </c>
      <c r="C5396">
        <v>2001</v>
      </c>
    </row>
    <row r="5397" spans="1:11" x14ac:dyDescent="0.25">
      <c r="A5397">
        <v>4.7115834751451198</v>
      </c>
      <c r="B5397">
        <v>3.7240024532161802</v>
      </c>
      <c r="C5397">
        <v>2001</v>
      </c>
    </row>
    <row r="5398" spans="1:11" x14ac:dyDescent="0.25">
      <c r="A5398">
        <v>5.0878524687550204</v>
      </c>
      <c r="B5398">
        <v>3.34773345960628</v>
      </c>
      <c r="C5398">
        <v>2001</v>
      </c>
    </row>
    <row r="5399" spans="1:11" x14ac:dyDescent="0.25">
      <c r="A5399">
        <v>5.0878524687550204</v>
      </c>
      <c r="B5399">
        <v>4.2217655085039203</v>
      </c>
      <c r="C5399">
        <v>2000</v>
      </c>
    </row>
    <row r="5400" spans="1:11" x14ac:dyDescent="0.25">
      <c r="A5400" t="s">
        <v>86</v>
      </c>
    </row>
    <row r="5401" spans="1:11" x14ac:dyDescent="0.25">
      <c r="A5401">
        <v>399</v>
      </c>
      <c r="B5401">
        <v>1</v>
      </c>
      <c r="C5401">
        <v>0.15108000483277101</v>
      </c>
      <c r="D5401">
        <v>1.4328260571773901</v>
      </c>
      <c r="E5401">
        <v>6</v>
      </c>
      <c r="F5401">
        <v>1.01722196789785</v>
      </c>
      <c r="G5401" t="s">
        <v>87</v>
      </c>
      <c r="H5401" t="s">
        <v>87</v>
      </c>
      <c r="I5401">
        <v>760</v>
      </c>
      <c r="J5401">
        <v>592</v>
      </c>
      <c r="K5401">
        <v>0</v>
      </c>
    </row>
    <row r="5402" spans="1:11" x14ac:dyDescent="0.25">
      <c r="A5402" t="s">
        <v>85</v>
      </c>
    </row>
    <row r="5403" spans="1:11" x14ac:dyDescent="0.25">
      <c r="A5403">
        <v>96.820116651169599</v>
      </c>
      <c r="B5403">
        <v>51.5238747822698</v>
      </c>
      <c r="C5403">
        <v>2000</v>
      </c>
    </row>
    <row r="5404" spans="1:11" x14ac:dyDescent="0.25">
      <c r="A5404">
        <v>96.713286955250595</v>
      </c>
      <c r="B5404">
        <v>51.630704478188697</v>
      </c>
      <c r="C5404">
        <v>2000</v>
      </c>
    </row>
    <row r="5405" spans="1:11" x14ac:dyDescent="0.25">
      <c r="A5405">
        <v>97.587319004148299</v>
      </c>
      <c r="B5405">
        <v>51.630704478188697</v>
      </c>
      <c r="C5405">
        <v>2001</v>
      </c>
    </row>
    <row r="5406" spans="1:11" x14ac:dyDescent="0.25">
      <c r="A5406">
        <v>97.694148700067203</v>
      </c>
      <c r="B5406">
        <v>51.5238747822698</v>
      </c>
      <c r="C5406">
        <v>2001</v>
      </c>
    </row>
    <row r="5407" spans="1:11" x14ac:dyDescent="0.25">
      <c r="A5407">
        <v>98.707309721358101</v>
      </c>
      <c r="B5407">
        <v>50.510713760978902</v>
      </c>
      <c r="C5407">
        <v>2001</v>
      </c>
    </row>
    <row r="5408" spans="1:11" x14ac:dyDescent="0.25">
      <c r="A5408">
        <v>97.833277672460497</v>
      </c>
      <c r="B5408">
        <v>50.510713760978902</v>
      </c>
      <c r="C5408">
        <v>2000</v>
      </c>
    </row>
    <row r="5409" spans="1:11" x14ac:dyDescent="0.25">
      <c r="A5409" t="s">
        <v>86</v>
      </c>
    </row>
    <row r="5410" spans="1:11" x14ac:dyDescent="0.25">
      <c r="A5410">
        <v>1085</v>
      </c>
      <c r="B5410">
        <v>1</v>
      </c>
      <c r="C5410">
        <v>0.535820014112808</v>
      </c>
      <c r="D5410">
        <v>1.0469595581251201</v>
      </c>
      <c r="E5410">
        <v>6</v>
      </c>
      <c r="F5410">
        <v>1.01722196789785</v>
      </c>
      <c r="G5410" t="s">
        <v>83</v>
      </c>
      <c r="H5410" t="s">
        <v>87</v>
      </c>
      <c r="I5410">
        <v>0</v>
      </c>
      <c r="J5410">
        <v>431</v>
      </c>
      <c r="K5410">
        <v>0.12297972043158099</v>
      </c>
    </row>
    <row r="5411" spans="1:11" x14ac:dyDescent="0.25">
      <c r="A5411" t="s">
        <v>85</v>
      </c>
    </row>
    <row r="5412" spans="1:11" x14ac:dyDescent="0.25">
      <c r="A5412">
        <v>0.52682545457121899</v>
      </c>
      <c r="B5412">
        <v>86.897367310879304</v>
      </c>
      <c r="C5412">
        <v>2000</v>
      </c>
    </row>
    <row r="5413" spans="1:11" x14ac:dyDescent="0.25">
      <c r="A5413">
        <v>0</v>
      </c>
      <c r="B5413">
        <v>87.424192765450599</v>
      </c>
      <c r="C5413">
        <v>2000</v>
      </c>
    </row>
    <row r="5414" spans="1:11" x14ac:dyDescent="0.25">
      <c r="A5414">
        <v>0</v>
      </c>
      <c r="B5414">
        <v>86.550160716552995</v>
      </c>
      <c r="C5414">
        <v>2001</v>
      </c>
    </row>
    <row r="5415" spans="1:11" x14ac:dyDescent="0.25">
      <c r="A5415">
        <v>0.23093847637803799</v>
      </c>
      <c r="B5415">
        <v>86.319222240174895</v>
      </c>
      <c r="C5415">
        <v>2001</v>
      </c>
    </row>
    <row r="5416" spans="1:11" x14ac:dyDescent="0.25">
      <c r="A5416">
        <v>0.68217814420413703</v>
      </c>
      <c r="B5416">
        <v>85.867982572348794</v>
      </c>
      <c r="C5416">
        <v>2001</v>
      </c>
    </row>
    <row r="5417" spans="1:11" x14ac:dyDescent="0.25">
      <c r="A5417">
        <v>1.55621019310177</v>
      </c>
      <c r="B5417">
        <v>85.867982572348794</v>
      </c>
      <c r="C5417">
        <v>2000</v>
      </c>
    </row>
    <row r="5418" spans="1:11" x14ac:dyDescent="0.25">
      <c r="A5418" t="s">
        <v>86</v>
      </c>
    </row>
    <row r="5419" spans="1:11" x14ac:dyDescent="0.25">
      <c r="A5419">
        <v>967</v>
      </c>
      <c r="B5419">
        <v>1</v>
      </c>
      <c r="C5419">
        <v>0.773647370526508</v>
      </c>
      <c r="D5419">
        <v>0.79993016173374798</v>
      </c>
      <c r="E5419">
        <v>6</v>
      </c>
      <c r="F5419">
        <v>1.01722196789785</v>
      </c>
      <c r="G5419" t="s">
        <v>87</v>
      </c>
      <c r="H5419" t="s">
        <v>87</v>
      </c>
      <c r="I5419">
        <v>835</v>
      </c>
      <c r="J5419">
        <v>822</v>
      </c>
      <c r="K5419">
        <v>0.118988924366406</v>
      </c>
    </row>
    <row r="5420" spans="1:11" x14ac:dyDescent="0.25">
      <c r="A5420" t="s">
        <v>85</v>
      </c>
    </row>
    <row r="5421" spans="1:11" x14ac:dyDescent="0.25">
      <c r="A5421">
        <v>16.221928132599999</v>
      </c>
      <c r="B5421">
        <v>38.858727312325698</v>
      </c>
      <c r="C5421">
        <v>2000</v>
      </c>
    </row>
    <row r="5422" spans="1:11" x14ac:dyDescent="0.25">
      <c r="A5422">
        <v>15.4600184641216</v>
      </c>
      <c r="B5422">
        <v>39.620636980804001</v>
      </c>
      <c r="C5422">
        <v>2000</v>
      </c>
    </row>
    <row r="5423" spans="1:11" x14ac:dyDescent="0.25">
      <c r="A5423">
        <v>16.3340505130192</v>
      </c>
      <c r="B5423">
        <v>39.620636980804001</v>
      </c>
      <c r="C5423">
        <v>2001</v>
      </c>
    </row>
    <row r="5424" spans="1:11" x14ac:dyDescent="0.25">
      <c r="A5424">
        <v>16.666243448433701</v>
      </c>
      <c r="B5424">
        <v>39.288444045389497</v>
      </c>
      <c r="C5424">
        <v>2001</v>
      </c>
    </row>
    <row r="5425" spans="1:11" x14ac:dyDescent="0.25">
      <c r="A5425">
        <v>17.009721832354401</v>
      </c>
      <c r="B5425">
        <v>38.9449656614688</v>
      </c>
      <c r="C5425">
        <v>2001</v>
      </c>
    </row>
    <row r="5426" spans="1:11" x14ac:dyDescent="0.25">
      <c r="A5426">
        <v>17.009721832354401</v>
      </c>
      <c r="B5426">
        <v>38.070933612571203</v>
      </c>
      <c r="C5426">
        <v>2000</v>
      </c>
    </row>
    <row r="5427" spans="1:11" x14ac:dyDescent="0.25">
      <c r="A5427" t="s">
        <v>86</v>
      </c>
    </row>
    <row r="5428" spans="1:11" x14ac:dyDescent="0.25">
      <c r="A5428">
        <v>969</v>
      </c>
      <c r="B5428">
        <v>1</v>
      </c>
      <c r="C5428">
        <v>0.37857879856931498</v>
      </c>
      <c r="D5428">
        <v>1.1935734622751999</v>
      </c>
      <c r="E5428">
        <v>6</v>
      </c>
      <c r="F5428">
        <v>1.01722196789785</v>
      </c>
      <c r="G5428" t="s">
        <v>87</v>
      </c>
      <c r="H5428" t="s">
        <v>87</v>
      </c>
      <c r="I5428">
        <v>24</v>
      </c>
      <c r="J5428">
        <v>344</v>
      </c>
      <c r="K5428">
        <v>0.11963401938905099</v>
      </c>
    </row>
    <row r="5429" spans="1:11" x14ac:dyDescent="0.25">
      <c r="A5429" t="s">
        <v>85</v>
      </c>
    </row>
    <row r="5430" spans="1:11" x14ac:dyDescent="0.25">
      <c r="A5430">
        <v>45.731553781326497</v>
      </c>
      <c r="B5430">
        <v>47.251116849468403</v>
      </c>
      <c r="C5430">
        <v>2000</v>
      </c>
    </row>
    <row r="5431" spans="1:11" x14ac:dyDescent="0.25">
      <c r="A5431">
        <v>45.358623426583499</v>
      </c>
      <c r="B5431">
        <v>47.624047204211401</v>
      </c>
      <c r="C5431">
        <v>2000</v>
      </c>
    </row>
    <row r="5432" spans="1:11" x14ac:dyDescent="0.25">
      <c r="A5432">
        <v>46.232655475481202</v>
      </c>
      <c r="B5432">
        <v>47.624047204211401</v>
      </c>
      <c r="C5432">
        <v>2001</v>
      </c>
    </row>
    <row r="5433" spans="1:11" x14ac:dyDescent="0.25">
      <c r="A5433">
        <v>46.395116392101798</v>
      </c>
      <c r="B5433">
        <v>47.461586287590698</v>
      </c>
      <c r="C5433">
        <v>2001</v>
      </c>
    </row>
    <row r="5434" spans="1:11" x14ac:dyDescent="0.25">
      <c r="A5434">
        <v>46.907318975733297</v>
      </c>
      <c r="B5434">
        <v>46.949383703959299</v>
      </c>
      <c r="C5434">
        <v>2001</v>
      </c>
    </row>
    <row r="5435" spans="1:11" x14ac:dyDescent="0.25">
      <c r="A5435">
        <v>46.907318975733297</v>
      </c>
      <c r="B5435">
        <v>46.075351655061603</v>
      </c>
      <c r="C5435">
        <v>2000</v>
      </c>
    </row>
    <row r="5436" spans="1:11" x14ac:dyDescent="0.25">
      <c r="A5436" t="s">
        <v>86</v>
      </c>
    </row>
    <row r="5437" spans="1:11" x14ac:dyDescent="0.25">
      <c r="A5437">
        <v>1108</v>
      </c>
      <c r="B5437">
        <v>1</v>
      </c>
      <c r="C5437">
        <v>1.3365056745700199</v>
      </c>
      <c r="D5437">
        <v>0.227765109135696</v>
      </c>
      <c r="E5437">
        <v>6</v>
      </c>
      <c r="F5437">
        <v>1.01722196789785</v>
      </c>
      <c r="G5437" t="s">
        <v>87</v>
      </c>
      <c r="H5437" t="s">
        <v>87</v>
      </c>
      <c r="I5437">
        <v>740</v>
      </c>
      <c r="J5437">
        <v>855</v>
      </c>
      <c r="K5437">
        <v>0.123942026493586</v>
      </c>
    </row>
    <row r="5438" spans="1:11" x14ac:dyDescent="0.25">
      <c r="A5438" t="s">
        <v>85</v>
      </c>
    </row>
    <row r="5439" spans="1:11" x14ac:dyDescent="0.25">
      <c r="A5439">
        <v>49.379614325425898</v>
      </c>
      <c r="B5439">
        <v>118.434019104314</v>
      </c>
      <c r="C5439">
        <v>2000</v>
      </c>
    </row>
    <row r="5440" spans="1:11" x14ac:dyDescent="0.25">
      <c r="A5440">
        <v>48.434562099843198</v>
      </c>
      <c r="B5440">
        <v>119.379071329897</v>
      </c>
      <c r="C5440">
        <v>2000</v>
      </c>
    </row>
    <row r="5441" spans="1:11" x14ac:dyDescent="0.25">
      <c r="A5441">
        <v>49.308594148740802</v>
      </c>
      <c r="B5441">
        <v>119.379071329897</v>
      </c>
      <c r="C5441">
        <v>2001</v>
      </c>
    </row>
    <row r="5442" spans="1:11" x14ac:dyDescent="0.25">
      <c r="A5442">
        <v>50.253646374323601</v>
      </c>
      <c r="B5442">
        <v>118.434019104314</v>
      </c>
      <c r="C5442">
        <v>2001</v>
      </c>
    </row>
    <row r="5443" spans="1:11" x14ac:dyDescent="0.25">
      <c r="A5443">
        <v>50.414700627511102</v>
      </c>
      <c r="B5443">
        <v>118.272964851127</v>
      </c>
      <c r="C5443">
        <v>2001</v>
      </c>
    </row>
    <row r="5444" spans="1:11" x14ac:dyDescent="0.25">
      <c r="A5444">
        <v>49.540668578613499</v>
      </c>
      <c r="B5444">
        <v>118.272964851127</v>
      </c>
      <c r="C5444">
        <v>2000</v>
      </c>
    </row>
    <row r="5445" spans="1:11" x14ac:dyDescent="0.25">
      <c r="A5445" t="s">
        <v>86</v>
      </c>
    </row>
    <row r="5446" spans="1:11" x14ac:dyDescent="0.25">
      <c r="A5446">
        <v>906</v>
      </c>
      <c r="B5446">
        <v>1</v>
      </c>
      <c r="C5446">
        <v>0.20011998690410601</v>
      </c>
      <c r="D5446">
        <v>1.3591670801354001</v>
      </c>
      <c r="E5446">
        <v>6</v>
      </c>
      <c r="F5446">
        <v>1.01722196789785</v>
      </c>
      <c r="G5446" t="s">
        <v>87</v>
      </c>
      <c r="H5446" t="s">
        <v>87</v>
      </c>
      <c r="I5446">
        <v>755</v>
      </c>
      <c r="J5446">
        <v>816</v>
      </c>
      <c r="K5446">
        <v>0.116465549931603</v>
      </c>
    </row>
    <row r="5447" spans="1:11" x14ac:dyDescent="0.25">
      <c r="A5447" t="s">
        <v>85</v>
      </c>
    </row>
    <row r="5448" spans="1:11" x14ac:dyDescent="0.25">
      <c r="A5448">
        <v>40.844007751831803</v>
      </c>
      <c r="B5448">
        <v>36.195069028612203</v>
      </c>
      <c r="C5448">
        <v>2000</v>
      </c>
    </row>
    <row r="5449" spans="1:11" x14ac:dyDescent="0.25">
      <c r="A5449">
        <v>40.7025015520409</v>
      </c>
      <c r="B5449">
        <v>36.336575228402999</v>
      </c>
      <c r="C5449">
        <v>2000</v>
      </c>
    </row>
    <row r="5450" spans="1:11" x14ac:dyDescent="0.25">
      <c r="A5450">
        <v>40.7025015520409</v>
      </c>
      <c r="B5450">
        <v>35.462543179505403</v>
      </c>
      <c r="C5450">
        <v>2001</v>
      </c>
    </row>
    <row r="5451" spans="1:11" x14ac:dyDescent="0.25">
      <c r="A5451">
        <v>40.844007751831803</v>
      </c>
      <c r="B5451">
        <v>35.321036979714499</v>
      </c>
      <c r="C5451">
        <v>2001</v>
      </c>
    </row>
    <row r="5452" spans="1:11" x14ac:dyDescent="0.25">
      <c r="A5452">
        <v>41.805084010960996</v>
      </c>
      <c r="B5452">
        <v>34.359960720585299</v>
      </c>
      <c r="C5452">
        <v>2001</v>
      </c>
    </row>
    <row r="5453" spans="1:11" x14ac:dyDescent="0.25">
      <c r="A5453">
        <v>41.805084010960996</v>
      </c>
      <c r="B5453">
        <v>35.233992769482903</v>
      </c>
      <c r="C5453">
        <v>2000</v>
      </c>
    </row>
    <row r="5454" spans="1:11" x14ac:dyDescent="0.25">
      <c r="A5454" t="s">
        <v>86</v>
      </c>
    </row>
    <row r="5455" spans="1:11" x14ac:dyDescent="0.25">
      <c r="A5455">
        <v>880</v>
      </c>
      <c r="B5455">
        <v>1</v>
      </c>
      <c r="C5455">
        <v>1.21812258567355</v>
      </c>
      <c r="D5455">
        <v>0.33689655318943301</v>
      </c>
      <c r="E5455">
        <v>6</v>
      </c>
      <c r="F5455">
        <v>1.01722196789785</v>
      </c>
      <c r="G5455" t="s">
        <v>87</v>
      </c>
      <c r="H5455" t="s">
        <v>87</v>
      </c>
      <c r="I5455">
        <v>343</v>
      </c>
      <c r="J5455">
        <v>34</v>
      </c>
      <c r="K5455">
        <v>0.115643722583405</v>
      </c>
    </row>
    <row r="5456" spans="1:11" x14ac:dyDescent="0.25">
      <c r="A5456" t="s">
        <v>85</v>
      </c>
    </row>
    <row r="5457" spans="1:11" x14ac:dyDescent="0.25">
      <c r="A5457">
        <v>10.680307282197001</v>
      </c>
      <c r="B5457">
        <v>14.879484295586799</v>
      </c>
      <c r="C5457">
        <v>2000</v>
      </c>
    </row>
    <row r="5458" spans="1:11" x14ac:dyDescent="0.25">
      <c r="A5458">
        <v>10.1613005786954</v>
      </c>
      <c r="B5458">
        <v>15.3984909990885</v>
      </c>
      <c r="C5458">
        <v>2000</v>
      </c>
    </row>
    <row r="5459" spans="1:11" x14ac:dyDescent="0.25">
      <c r="A5459">
        <v>10.1613005786954</v>
      </c>
      <c r="B5459">
        <v>16.272523047986098</v>
      </c>
      <c r="C5459">
        <v>2001</v>
      </c>
    </row>
    <row r="5460" spans="1:11" x14ac:dyDescent="0.25">
      <c r="A5460">
        <v>11.364979356486201</v>
      </c>
      <c r="B5460">
        <v>15.068844270195299</v>
      </c>
      <c r="C5460">
        <v>2001</v>
      </c>
    </row>
    <row r="5461" spans="1:11" x14ac:dyDescent="0.25">
      <c r="A5461">
        <v>11.6978811811091</v>
      </c>
      <c r="B5461">
        <v>14.7359424455724</v>
      </c>
      <c r="C5461">
        <v>2001</v>
      </c>
    </row>
    <row r="5462" spans="1:11" x14ac:dyDescent="0.25">
      <c r="A5462">
        <v>10.8238491322114</v>
      </c>
      <c r="B5462">
        <v>14.7359424455724</v>
      </c>
      <c r="C5462">
        <v>2000</v>
      </c>
    </row>
    <row r="5463" spans="1:11" x14ac:dyDescent="0.25">
      <c r="A5463" t="s">
        <v>86</v>
      </c>
    </row>
    <row r="5464" spans="1:11" x14ac:dyDescent="0.25">
      <c r="A5464">
        <v>80</v>
      </c>
      <c r="B5464">
        <v>1</v>
      </c>
      <c r="C5464">
        <v>3.80021998859306E-2</v>
      </c>
      <c r="D5464">
        <v>1.51701693897705</v>
      </c>
      <c r="E5464">
        <v>6</v>
      </c>
      <c r="F5464">
        <v>1.01722196789785</v>
      </c>
      <c r="G5464" t="s">
        <v>87</v>
      </c>
      <c r="H5464" t="s">
        <v>87</v>
      </c>
      <c r="I5464">
        <v>343</v>
      </c>
      <c r="J5464">
        <v>34</v>
      </c>
      <c r="K5464">
        <v>0</v>
      </c>
    </row>
    <row r="5465" spans="1:11" x14ac:dyDescent="0.25">
      <c r="A5465" t="s">
        <v>85</v>
      </c>
    </row>
    <row r="5466" spans="1:11" x14ac:dyDescent="0.25">
      <c r="A5466">
        <v>14.6937910753396</v>
      </c>
      <c r="B5466">
        <v>19.898598225410701</v>
      </c>
      <c r="C5466">
        <v>2000</v>
      </c>
    </row>
    <row r="5467" spans="1:11" x14ac:dyDescent="0.25">
      <c r="A5467">
        <v>14.6775994401786</v>
      </c>
      <c r="B5467">
        <v>19.914789860571801</v>
      </c>
      <c r="C5467">
        <v>2000</v>
      </c>
    </row>
    <row r="5468" spans="1:11" x14ac:dyDescent="0.25">
      <c r="A5468">
        <v>14.6775994401786</v>
      </c>
      <c r="B5468">
        <v>20.788821909469402</v>
      </c>
      <c r="C5468">
        <v>2001</v>
      </c>
    </row>
    <row r="5469" spans="1:11" x14ac:dyDescent="0.25">
      <c r="A5469">
        <v>14.715151031496299</v>
      </c>
      <c r="B5469">
        <v>20.7512703181517</v>
      </c>
      <c r="C5469">
        <v>2001</v>
      </c>
    </row>
    <row r="5470" spans="1:11" x14ac:dyDescent="0.25">
      <c r="A5470">
        <v>16.2141800425923</v>
      </c>
      <c r="B5470">
        <v>19.252241307055701</v>
      </c>
      <c r="C5470">
        <v>2001</v>
      </c>
    </row>
    <row r="5471" spans="1:11" x14ac:dyDescent="0.25">
      <c r="A5471">
        <v>15.3401479936947</v>
      </c>
      <c r="B5471">
        <v>19.252241307055701</v>
      </c>
      <c r="C5471">
        <v>2000</v>
      </c>
    </row>
    <row r="5472" spans="1:11" x14ac:dyDescent="0.25">
      <c r="A5472" t="s">
        <v>86</v>
      </c>
    </row>
    <row r="5473" spans="1:11" x14ac:dyDescent="0.25">
      <c r="A5473">
        <v>75</v>
      </c>
      <c r="B5473">
        <v>1</v>
      </c>
      <c r="C5473">
        <v>0.88777881375942502</v>
      </c>
      <c r="D5473">
        <v>0.66724032510355602</v>
      </c>
      <c r="E5473">
        <v>6</v>
      </c>
      <c r="F5473">
        <v>1.01722196789785</v>
      </c>
      <c r="G5473" t="s">
        <v>87</v>
      </c>
      <c r="H5473" t="s">
        <v>87</v>
      </c>
      <c r="I5473">
        <v>343</v>
      </c>
      <c r="J5473">
        <v>34</v>
      </c>
      <c r="K5473">
        <v>0</v>
      </c>
    </row>
    <row r="5474" spans="1:11" x14ac:dyDescent="0.25">
      <c r="A5474" t="s">
        <v>85</v>
      </c>
    </row>
    <row r="5475" spans="1:11" x14ac:dyDescent="0.25">
      <c r="A5475">
        <v>6.1583330375571199</v>
      </c>
      <c r="B5475">
        <v>10.639009850884801</v>
      </c>
      <c r="C5475">
        <v>2000</v>
      </c>
    </row>
    <row r="5476" spans="1:11" x14ac:dyDescent="0.25">
      <c r="A5476">
        <v>5.7800762340244001</v>
      </c>
      <c r="B5476">
        <v>11.017266654417501</v>
      </c>
      <c r="C5476">
        <v>2000</v>
      </c>
    </row>
    <row r="5477" spans="1:11" x14ac:dyDescent="0.25">
      <c r="A5477">
        <v>4.9060441851267704</v>
      </c>
      <c r="B5477">
        <v>11.017266654417501</v>
      </c>
      <c r="C5477">
        <v>2001</v>
      </c>
    </row>
    <row r="5478" spans="1:11" x14ac:dyDescent="0.25">
      <c r="A5478">
        <v>5.7832962204001301</v>
      </c>
      <c r="B5478">
        <v>10.1400146191442</v>
      </c>
      <c r="C5478">
        <v>2001</v>
      </c>
    </row>
    <row r="5479" spans="1:11" x14ac:dyDescent="0.25">
      <c r="A5479">
        <v>6.4426247875404696</v>
      </c>
      <c r="B5479">
        <v>9.4806860520038292</v>
      </c>
      <c r="C5479">
        <v>2001</v>
      </c>
    </row>
    <row r="5480" spans="1:11" x14ac:dyDescent="0.25">
      <c r="A5480">
        <v>6.4426247875404599</v>
      </c>
      <c r="B5480">
        <v>10.354718100901501</v>
      </c>
      <c r="C5480">
        <v>2000</v>
      </c>
    </row>
    <row r="5481" spans="1:11" x14ac:dyDescent="0.25">
      <c r="A5481" t="s">
        <v>86</v>
      </c>
    </row>
    <row r="5482" spans="1:11" x14ac:dyDescent="0.25">
      <c r="A5482">
        <v>464</v>
      </c>
      <c r="B5482">
        <v>1</v>
      </c>
      <c r="C5482">
        <v>0.73941677028476205</v>
      </c>
      <c r="D5482">
        <v>0.80035321072591603</v>
      </c>
      <c r="E5482">
        <v>6</v>
      </c>
      <c r="F5482">
        <v>1.01722196789785</v>
      </c>
      <c r="G5482" t="s">
        <v>87</v>
      </c>
      <c r="H5482" t="s">
        <v>87</v>
      </c>
      <c r="I5482">
        <v>423</v>
      </c>
      <c r="J5482">
        <v>855</v>
      </c>
      <c r="K5482">
        <v>0</v>
      </c>
    </row>
    <row r="5483" spans="1:11" x14ac:dyDescent="0.25">
      <c r="A5483" t="s">
        <v>85</v>
      </c>
    </row>
    <row r="5484" spans="1:11" x14ac:dyDescent="0.25">
      <c r="A5484">
        <v>61.059973219437502</v>
      </c>
      <c r="B5484">
        <v>130.92413985724801</v>
      </c>
      <c r="C5484">
        <v>2000</v>
      </c>
    </row>
    <row r="5485" spans="1:11" x14ac:dyDescent="0.25">
      <c r="A5485">
        <v>60.537126607046098</v>
      </c>
      <c r="B5485">
        <v>131.446986469639</v>
      </c>
      <c r="C5485">
        <v>2000</v>
      </c>
    </row>
    <row r="5486" spans="1:11" x14ac:dyDescent="0.25">
      <c r="A5486">
        <v>60.537126607045998</v>
      </c>
      <c r="B5486">
        <v>130.57295442074201</v>
      </c>
      <c r="C5486">
        <v>2001</v>
      </c>
    </row>
    <row r="5487" spans="1:11" x14ac:dyDescent="0.25">
      <c r="A5487">
        <v>61.059973219437502</v>
      </c>
      <c r="B5487">
        <v>130.05010780834999</v>
      </c>
      <c r="C5487">
        <v>2001</v>
      </c>
    </row>
    <row r="5488" spans="1:11" x14ac:dyDescent="0.25">
      <c r="A5488">
        <v>61.625908402086203</v>
      </c>
      <c r="B5488">
        <v>129.484172625702</v>
      </c>
      <c r="C5488">
        <v>2001</v>
      </c>
    </row>
    <row r="5489" spans="1:11" x14ac:dyDescent="0.25">
      <c r="A5489">
        <v>61.625908402086203</v>
      </c>
      <c r="B5489">
        <v>130.35820467459899</v>
      </c>
      <c r="C5489">
        <v>2000</v>
      </c>
    </row>
    <row r="5490" spans="1:11" x14ac:dyDescent="0.25">
      <c r="A5490" t="s">
        <v>86</v>
      </c>
    </row>
    <row r="5491" spans="1:11" x14ac:dyDescent="0.25">
      <c r="A5491">
        <v>67</v>
      </c>
      <c r="B5491">
        <v>1</v>
      </c>
      <c r="C5491">
        <v>0.44514129998996299</v>
      </c>
      <c r="D5491">
        <v>1.0917841638716199</v>
      </c>
      <c r="E5491">
        <v>6</v>
      </c>
      <c r="F5491">
        <v>1.01722196789785</v>
      </c>
      <c r="G5491" t="s">
        <v>87</v>
      </c>
      <c r="H5491" t="s">
        <v>87</v>
      </c>
      <c r="I5491">
        <v>785</v>
      </c>
      <c r="J5491">
        <v>102</v>
      </c>
      <c r="K5491">
        <v>0</v>
      </c>
    </row>
    <row r="5492" spans="1:11" x14ac:dyDescent="0.25">
      <c r="A5492" t="s">
        <v>85</v>
      </c>
    </row>
    <row r="5493" spans="1:11" x14ac:dyDescent="0.25">
      <c r="A5493">
        <v>6.6694139650414801</v>
      </c>
      <c r="B5493">
        <v>41.499284631814099</v>
      </c>
      <c r="C5493">
        <v>2000</v>
      </c>
    </row>
    <row r="5494" spans="1:11" x14ac:dyDescent="0.25">
      <c r="A5494">
        <v>6.3546515332323796</v>
      </c>
      <c r="B5494">
        <v>41.8140470636232</v>
      </c>
      <c r="C5494">
        <v>2000</v>
      </c>
    </row>
    <row r="5495" spans="1:11" x14ac:dyDescent="0.25">
      <c r="A5495">
        <v>6.3546515332323796</v>
      </c>
      <c r="B5495">
        <v>42.688079112520903</v>
      </c>
      <c r="C5495">
        <v>2001</v>
      </c>
    </row>
    <row r="5496" spans="1:11" x14ac:dyDescent="0.25">
      <c r="A5496">
        <v>6.6694139650414801</v>
      </c>
      <c r="B5496">
        <v>42.373316680711802</v>
      </c>
      <c r="C5496">
        <v>2001</v>
      </c>
    </row>
    <row r="5497" spans="1:11" x14ac:dyDescent="0.25">
      <c r="A5497">
        <v>7.4414219509071904</v>
      </c>
      <c r="B5497">
        <v>41.601308694846097</v>
      </c>
      <c r="C5497">
        <v>2001</v>
      </c>
    </row>
    <row r="5498" spans="1:11" x14ac:dyDescent="0.25">
      <c r="A5498">
        <v>7.4414219509071904</v>
      </c>
      <c r="B5498">
        <v>40.7272766459484</v>
      </c>
      <c r="C5498">
        <v>2000</v>
      </c>
    </row>
    <row r="5499" spans="1:11" x14ac:dyDescent="0.25">
      <c r="A5499" t="s">
        <v>86</v>
      </c>
    </row>
    <row r="5500" spans="1:11" x14ac:dyDescent="0.25">
      <c r="A5500">
        <v>72</v>
      </c>
      <c r="B5500">
        <v>1</v>
      </c>
      <c r="C5500">
        <v>0.87984922994426296</v>
      </c>
      <c r="D5500">
        <v>0.65707623391732295</v>
      </c>
      <c r="E5500">
        <v>6</v>
      </c>
      <c r="F5500">
        <v>1.01722196789785</v>
      </c>
      <c r="G5500" t="s">
        <v>87</v>
      </c>
      <c r="H5500" t="s">
        <v>87</v>
      </c>
      <c r="I5500">
        <v>785</v>
      </c>
      <c r="J5500">
        <v>102</v>
      </c>
      <c r="K5500">
        <v>0</v>
      </c>
    </row>
    <row r="5501" spans="1:11" x14ac:dyDescent="0.25">
      <c r="A5501" t="s">
        <v>85</v>
      </c>
    </row>
    <row r="5502" spans="1:11" x14ac:dyDescent="0.25">
      <c r="A5502">
        <v>11.275147570425201</v>
      </c>
      <c r="B5502">
        <v>45.4902483869854</v>
      </c>
      <c r="C5502">
        <v>2000</v>
      </c>
    </row>
    <row r="5503" spans="1:11" x14ac:dyDescent="0.25">
      <c r="A5503">
        <v>10.6530002135099</v>
      </c>
      <c r="B5503">
        <v>46.112395743900699</v>
      </c>
      <c r="C5503">
        <v>2000</v>
      </c>
    </row>
    <row r="5504" spans="1:11" x14ac:dyDescent="0.25">
      <c r="A5504">
        <v>10.6530002135099</v>
      </c>
      <c r="B5504">
        <v>46.986427792798402</v>
      </c>
      <c r="C5504">
        <v>2001</v>
      </c>
    </row>
    <row r="5505" spans="1:11" x14ac:dyDescent="0.25">
      <c r="A5505">
        <v>11.2751475704253</v>
      </c>
      <c r="B5505">
        <v>46.364280435883003</v>
      </c>
      <c r="C5505">
        <v>2001</v>
      </c>
    </row>
    <row r="5506" spans="1:11" x14ac:dyDescent="0.25">
      <c r="A5506">
        <v>11.739770631184699</v>
      </c>
      <c r="B5506">
        <v>45.899657375123603</v>
      </c>
      <c r="C5506">
        <v>2001</v>
      </c>
    </row>
    <row r="5507" spans="1:11" x14ac:dyDescent="0.25">
      <c r="A5507">
        <v>11.739770631184699</v>
      </c>
      <c r="B5507">
        <v>45.025625326225899</v>
      </c>
      <c r="C5507">
        <v>2000</v>
      </c>
    </row>
    <row r="5508" spans="1:11" x14ac:dyDescent="0.25">
      <c r="A5508" t="s">
        <v>86</v>
      </c>
    </row>
    <row r="5509" spans="1:11" x14ac:dyDescent="0.25">
      <c r="A5509">
        <v>976</v>
      </c>
      <c r="B5509">
        <v>1</v>
      </c>
      <c r="C5509">
        <v>0.362814428420968</v>
      </c>
      <c r="D5509">
        <v>1.1741110354406099</v>
      </c>
      <c r="E5509">
        <v>6</v>
      </c>
      <c r="F5509">
        <v>1.01722196789785</v>
      </c>
      <c r="G5509" t="s">
        <v>87</v>
      </c>
      <c r="H5509" t="s">
        <v>87</v>
      </c>
      <c r="I5509">
        <v>785</v>
      </c>
      <c r="J5509">
        <v>102</v>
      </c>
      <c r="K5509">
        <v>0.118988924366406</v>
      </c>
    </row>
    <row r="5510" spans="1:11" x14ac:dyDescent="0.25">
      <c r="A5510" t="s">
        <v>85</v>
      </c>
    </row>
    <row r="5511" spans="1:11" x14ac:dyDescent="0.25">
      <c r="A5511">
        <v>27.4105670249049</v>
      </c>
      <c r="B5511">
        <v>62.356865469998198</v>
      </c>
      <c r="C5511">
        <v>2000</v>
      </c>
    </row>
    <row r="5512" spans="1:11" x14ac:dyDescent="0.25">
      <c r="A5512">
        <v>27.154018482256099</v>
      </c>
      <c r="B5512">
        <v>62.613414012646999</v>
      </c>
      <c r="C5512">
        <v>2000</v>
      </c>
    </row>
    <row r="5513" spans="1:11" x14ac:dyDescent="0.25">
      <c r="A5513">
        <v>26.279986433358498</v>
      </c>
      <c r="B5513">
        <v>62.613414012646999</v>
      </c>
      <c r="C5513">
        <v>2001</v>
      </c>
    </row>
    <row r="5514" spans="1:11" x14ac:dyDescent="0.25">
      <c r="A5514">
        <v>26.536534976007299</v>
      </c>
      <c r="B5514">
        <v>62.356865469998198</v>
      </c>
      <c r="C5514">
        <v>2001</v>
      </c>
    </row>
    <row r="5515" spans="1:11" x14ac:dyDescent="0.25">
      <c r="A5515">
        <v>27.366756851033301</v>
      </c>
      <c r="B5515">
        <v>61.526643594972199</v>
      </c>
      <c r="C5515">
        <v>2001</v>
      </c>
    </row>
    <row r="5516" spans="1:11" x14ac:dyDescent="0.25">
      <c r="A5516">
        <v>28.240788899930902</v>
      </c>
      <c r="B5516">
        <v>61.526643594972199</v>
      </c>
      <c r="C5516">
        <v>2000</v>
      </c>
    </row>
    <row r="5517" spans="1:11" x14ac:dyDescent="0.25">
      <c r="A5517" t="s">
        <v>86</v>
      </c>
    </row>
    <row r="5518" spans="1:11" x14ac:dyDescent="0.25">
      <c r="A5518">
        <v>930</v>
      </c>
      <c r="B5518">
        <v>1</v>
      </c>
      <c r="C5518">
        <v>0.349936623488595</v>
      </c>
      <c r="D5518">
        <v>1.18698884037299</v>
      </c>
      <c r="E5518">
        <v>6</v>
      </c>
      <c r="F5518">
        <v>1.01722196789785</v>
      </c>
      <c r="G5518" t="s">
        <v>87</v>
      </c>
      <c r="H5518" t="s">
        <v>87</v>
      </c>
      <c r="I5518">
        <v>785</v>
      </c>
      <c r="J5518">
        <v>102</v>
      </c>
      <c r="K5518">
        <v>0.117959963458315</v>
      </c>
    </row>
    <row r="5519" spans="1:11" x14ac:dyDescent="0.25">
      <c r="A5519" t="s">
        <v>85</v>
      </c>
    </row>
    <row r="5520" spans="1:11" x14ac:dyDescent="0.25">
      <c r="A5520">
        <v>42.771017287742197</v>
      </c>
      <c r="B5520">
        <v>77.735527699224406</v>
      </c>
      <c r="C5520">
        <v>2000</v>
      </c>
    </row>
    <row r="5521" spans="1:11" x14ac:dyDescent="0.25">
      <c r="A5521">
        <v>42.523574728287898</v>
      </c>
      <c r="B5521">
        <v>77.982970258678705</v>
      </c>
      <c r="C5521">
        <v>2000</v>
      </c>
    </row>
    <row r="5522" spans="1:11" x14ac:dyDescent="0.25">
      <c r="A5522">
        <v>41.649542679390301</v>
      </c>
      <c r="B5522">
        <v>77.982970258678705</v>
      </c>
      <c r="C5522">
        <v>2001</v>
      </c>
    </row>
    <row r="5523" spans="1:11" x14ac:dyDescent="0.25">
      <c r="A5523">
        <v>41.8969852388446</v>
      </c>
      <c r="B5523">
        <v>77.735527699224406</v>
      </c>
      <c r="C5523">
        <v>2001</v>
      </c>
    </row>
    <row r="5524" spans="1:11" x14ac:dyDescent="0.25">
      <c r="A5524">
        <v>42.7363130970651</v>
      </c>
      <c r="B5524">
        <v>76.896199841003906</v>
      </c>
      <c r="C5524">
        <v>2001</v>
      </c>
    </row>
    <row r="5525" spans="1:11" x14ac:dyDescent="0.25">
      <c r="A5525">
        <v>43.610345145962697</v>
      </c>
      <c r="B5525">
        <v>76.896199841003906</v>
      </c>
      <c r="C5525">
        <v>2000</v>
      </c>
    </row>
    <row r="5526" spans="1:11" x14ac:dyDescent="0.25">
      <c r="A5526" t="s">
        <v>86</v>
      </c>
    </row>
    <row r="5527" spans="1:11" x14ac:dyDescent="0.25">
      <c r="A5527">
        <v>1089</v>
      </c>
      <c r="B5527">
        <v>1</v>
      </c>
      <c r="C5527">
        <v>0.33400788063099202</v>
      </c>
      <c r="D5527">
        <v>1.20251104724202</v>
      </c>
      <c r="E5527">
        <v>6</v>
      </c>
      <c r="F5527">
        <v>1.01722196789785</v>
      </c>
      <c r="G5527" t="s">
        <v>87</v>
      </c>
      <c r="H5527" t="s">
        <v>87</v>
      </c>
      <c r="I5527">
        <v>751</v>
      </c>
      <c r="J5527">
        <v>756</v>
      </c>
      <c r="K5527">
        <v>0.12322624704732001</v>
      </c>
    </row>
    <row r="5528" spans="1:11" x14ac:dyDescent="0.25">
      <c r="A5528" t="s">
        <v>85</v>
      </c>
    </row>
    <row r="5529" spans="1:11" x14ac:dyDescent="0.25">
      <c r="A5529">
        <v>52.733260095935499</v>
      </c>
      <c r="B5529">
        <v>13.077558198979901</v>
      </c>
      <c r="C5529">
        <v>2000</v>
      </c>
    </row>
    <row r="5530" spans="1:11" x14ac:dyDescent="0.25">
      <c r="A5530">
        <v>52.4970808585716</v>
      </c>
      <c r="B5530">
        <v>13.3137374363438</v>
      </c>
      <c r="C5530">
        <v>2000</v>
      </c>
    </row>
    <row r="5531" spans="1:11" x14ac:dyDescent="0.25">
      <c r="A5531">
        <v>53.371112907469197</v>
      </c>
      <c r="B5531">
        <v>13.3137374363438</v>
      </c>
      <c r="C5531">
        <v>2001</v>
      </c>
    </row>
    <row r="5532" spans="1:11" x14ac:dyDescent="0.25">
      <c r="A5532">
        <v>53.607292144833103</v>
      </c>
      <c r="B5532">
        <v>13.077558198979901</v>
      </c>
      <c r="C5532">
        <v>2001</v>
      </c>
    </row>
    <row r="5533" spans="1:11" x14ac:dyDescent="0.25">
      <c r="A5533">
        <v>54.457595860789702</v>
      </c>
      <c r="B5533">
        <v>12.2272544830233</v>
      </c>
      <c r="C5533">
        <v>2001</v>
      </c>
    </row>
    <row r="5534" spans="1:11" x14ac:dyDescent="0.25">
      <c r="A5534">
        <v>53.583563811892098</v>
      </c>
      <c r="B5534">
        <v>12.2272544830233</v>
      </c>
      <c r="C5534">
        <v>2000</v>
      </c>
    </row>
    <row r="5535" spans="1:11" x14ac:dyDescent="0.25">
      <c r="A5535" t="s">
        <v>86</v>
      </c>
    </row>
    <row r="5536" spans="1:11" x14ac:dyDescent="0.25">
      <c r="A5536">
        <v>954</v>
      </c>
      <c r="B5536">
        <v>1</v>
      </c>
      <c r="C5536">
        <v>0.747386294824398</v>
      </c>
      <c r="D5536">
        <v>0.77651671480356299</v>
      </c>
      <c r="E5536">
        <v>6</v>
      </c>
      <c r="F5536">
        <v>1.01722196789785</v>
      </c>
      <c r="G5536" t="s">
        <v>87</v>
      </c>
      <c r="H5536" t="s">
        <v>87</v>
      </c>
      <c r="I5536">
        <v>116</v>
      </c>
      <c r="J5536">
        <v>785</v>
      </c>
      <c r="K5536">
        <v>0.11865465261041699</v>
      </c>
    </row>
    <row r="5537" spans="1:11" x14ac:dyDescent="0.25">
      <c r="A5537" t="s">
        <v>85</v>
      </c>
    </row>
    <row r="5538" spans="1:11" x14ac:dyDescent="0.25">
      <c r="A5538">
        <v>3.1677346807754301</v>
      </c>
      <c r="B5538">
        <v>39.7252906806509</v>
      </c>
      <c r="C5538">
        <v>2000</v>
      </c>
    </row>
    <row r="5539" spans="1:11" x14ac:dyDescent="0.25">
      <c r="A5539">
        <v>2.63925276353921</v>
      </c>
      <c r="B5539">
        <v>40.253772597887099</v>
      </c>
      <c r="C5539">
        <v>2000</v>
      </c>
    </row>
    <row r="5540" spans="1:11" x14ac:dyDescent="0.25">
      <c r="A5540">
        <v>2.63925276353921</v>
      </c>
      <c r="B5540">
        <v>41.127804646784703</v>
      </c>
      <c r="C5540">
        <v>2001</v>
      </c>
    </row>
    <row r="5541" spans="1:11" x14ac:dyDescent="0.25">
      <c r="A5541">
        <v>3.1677346807754301</v>
      </c>
      <c r="B5541">
        <v>40.599322729548497</v>
      </c>
      <c r="C5541">
        <v>2001</v>
      </c>
    </row>
    <row r="5542" spans="1:11" x14ac:dyDescent="0.25">
      <c r="A5542">
        <v>3.7168149155177299</v>
      </c>
      <c r="B5542">
        <v>40.050242494806199</v>
      </c>
      <c r="C5542">
        <v>2001</v>
      </c>
    </row>
    <row r="5543" spans="1:11" x14ac:dyDescent="0.25">
      <c r="A5543">
        <v>3.7168149155177299</v>
      </c>
      <c r="B5543">
        <v>39.176210445908602</v>
      </c>
      <c r="C5543">
        <v>2000</v>
      </c>
    </row>
    <row r="5544" spans="1:11" x14ac:dyDescent="0.25">
      <c r="A5544" t="s">
        <v>86</v>
      </c>
    </row>
    <row r="5545" spans="1:11" x14ac:dyDescent="0.25">
      <c r="A5545">
        <v>151</v>
      </c>
      <c r="B5545">
        <v>1</v>
      </c>
      <c r="C5545">
        <v>1.29091348580827</v>
      </c>
      <c r="D5545">
        <v>0.23298952381968999</v>
      </c>
      <c r="E5545">
        <v>6</v>
      </c>
      <c r="F5545">
        <v>1.01722196789785</v>
      </c>
      <c r="G5545" t="s">
        <v>87</v>
      </c>
      <c r="H5545" t="s">
        <v>87</v>
      </c>
      <c r="I5545">
        <v>116</v>
      </c>
      <c r="J5545">
        <v>785</v>
      </c>
      <c r="K5545">
        <v>0</v>
      </c>
    </row>
    <row r="5546" spans="1:11" x14ac:dyDescent="0.25">
      <c r="A5546" t="s">
        <v>85</v>
      </c>
    </row>
    <row r="5547" spans="1:11" x14ac:dyDescent="0.25">
      <c r="A5547">
        <v>39.7630202028638</v>
      </c>
      <c r="B5547">
        <v>75.551912677731295</v>
      </c>
      <c r="C5547">
        <v>2000</v>
      </c>
    </row>
    <row r="5548" spans="1:11" x14ac:dyDescent="0.25">
      <c r="A5548">
        <v>38.850206523123703</v>
      </c>
      <c r="B5548">
        <v>76.464726357471505</v>
      </c>
      <c r="C5548">
        <v>2000</v>
      </c>
    </row>
    <row r="5549" spans="1:11" x14ac:dyDescent="0.25">
      <c r="A5549">
        <v>37.976174474225999</v>
      </c>
      <c r="B5549">
        <v>76.464726357471505</v>
      </c>
      <c r="C5549">
        <v>2001</v>
      </c>
    </row>
    <row r="5550" spans="1:11" x14ac:dyDescent="0.25">
      <c r="A5550">
        <v>38.888988153966203</v>
      </c>
      <c r="B5550">
        <v>75.551912677731295</v>
      </c>
      <c r="C5550">
        <v>2001</v>
      </c>
    </row>
    <row r="5551" spans="1:11" x14ac:dyDescent="0.25">
      <c r="A5551">
        <v>39.053736626204497</v>
      </c>
      <c r="B5551">
        <v>75.387164205492994</v>
      </c>
      <c r="C5551">
        <v>2001</v>
      </c>
    </row>
    <row r="5552" spans="1:11" x14ac:dyDescent="0.25">
      <c r="A5552">
        <v>39.9277686751022</v>
      </c>
      <c r="B5552">
        <v>75.387164205492994</v>
      </c>
      <c r="C5552">
        <v>2000</v>
      </c>
    </row>
    <row r="5553" spans="1:11" x14ac:dyDescent="0.25">
      <c r="A5553" t="s">
        <v>86</v>
      </c>
    </row>
    <row r="5554" spans="1:11" x14ac:dyDescent="0.25">
      <c r="A5554">
        <v>715</v>
      </c>
      <c r="B5554">
        <v>1</v>
      </c>
      <c r="C5554">
        <v>1.09629438703634</v>
      </c>
      <c r="D5554">
        <v>0.419704392740048</v>
      </c>
      <c r="E5554">
        <v>6</v>
      </c>
      <c r="F5554">
        <v>1.01722196789785</v>
      </c>
      <c r="G5554" t="s">
        <v>87</v>
      </c>
      <c r="H5554" t="s">
        <v>87</v>
      </c>
      <c r="I5554">
        <v>662</v>
      </c>
      <c r="J5554">
        <v>756</v>
      </c>
      <c r="K5554">
        <v>0</v>
      </c>
    </row>
    <row r="5555" spans="1:11" x14ac:dyDescent="0.25">
      <c r="A5555" t="s">
        <v>85</v>
      </c>
    </row>
    <row r="5556" spans="1:11" x14ac:dyDescent="0.25">
      <c r="A5556">
        <v>77.050623262466203</v>
      </c>
      <c r="B5556">
        <v>36.045889729988403</v>
      </c>
      <c r="C5556">
        <v>2000</v>
      </c>
    </row>
    <row r="5557" spans="1:11" x14ac:dyDescent="0.25">
      <c r="A5557">
        <v>76.591454167660103</v>
      </c>
      <c r="B5557">
        <v>36.505058824794503</v>
      </c>
      <c r="C5557">
        <v>2000</v>
      </c>
    </row>
    <row r="5558" spans="1:11" x14ac:dyDescent="0.25">
      <c r="A5558">
        <v>76.591454167660103</v>
      </c>
      <c r="B5558">
        <v>37.3790908736921</v>
      </c>
      <c r="C5558">
        <v>2001</v>
      </c>
    </row>
    <row r="5559" spans="1:11" x14ac:dyDescent="0.25">
      <c r="A5559">
        <v>77.682679463354205</v>
      </c>
      <c r="B5559">
        <v>36.287865577997998</v>
      </c>
      <c r="C5559">
        <v>2001</v>
      </c>
    </row>
    <row r="5560" spans="1:11" x14ac:dyDescent="0.25">
      <c r="A5560">
        <v>78.100443209559302</v>
      </c>
      <c r="B5560">
        <v>35.870101831792901</v>
      </c>
      <c r="C5560">
        <v>2001</v>
      </c>
    </row>
    <row r="5561" spans="1:11" x14ac:dyDescent="0.25">
      <c r="A5561">
        <v>77.226411160661698</v>
      </c>
      <c r="B5561">
        <v>35.870101831792901</v>
      </c>
      <c r="C5561">
        <v>2000</v>
      </c>
    </row>
    <row r="5562" spans="1:11" x14ac:dyDescent="0.25">
      <c r="A5562" t="s">
        <v>86</v>
      </c>
    </row>
    <row r="5563" spans="1:11" x14ac:dyDescent="0.25">
      <c r="A5563">
        <v>973</v>
      </c>
      <c r="B5563">
        <v>1</v>
      </c>
      <c r="C5563">
        <v>1.16261054342004</v>
      </c>
      <c r="D5563">
        <v>0.35338823635635602</v>
      </c>
      <c r="E5563">
        <v>6</v>
      </c>
      <c r="F5563">
        <v>1.01722196789785</v>
      </c>
      <c r="G5563" t="s">
        <v>87</v>
      </c>
      <c r="H5563" t="s">
        <v>87</v>
      </c>
      <c r="I5563">
        <v>662</v>
      </c>
      <c r="J5563">
        <v>756</v>
      </c>
      <c r="K5563">
        <v>0.118988924366406</v>
      </c>
    </row>
    <row r="5564" spans="1:11" x14ac:dyDescent="0.25">
      <c r="A5564" t="s">
        <v>85</v>
      </c>
    </row>
    <row r="5565" spans="1:11" x14ac:dyDescent="0.25">
      <c r="A5565">
        <v>82.674315647730893</v>
      </c>
      <c r="B5565">
        <v>41.614030741720903</v>
      </c>
      <c r="C5565">
        <v>2000</v>
      </c>
    </row>
    <row r="5566" spans="1:11" x14ac:dyDescent="0.25">
      <c r="A5566">
        <v>82.187370866158702</v>
      </c>
      <c r="B5566">
        <v>42.100975523293101</v>
      </c>
      <c r="C5566">
        <v>2000</v>
      </c>
    </row>
    <row r="5567" spans="1:11" x14ac:dyDescent="0.25">
      <c r="A5567">
        <v>82.187370866158702</v>
      </c>
      <c r="B5567">
        <v>42.975007572190798</v>
      </c>
      <c r="C5567">
        <v>2001</v>
      </c>
    </row>
    <row r="5568" spans="1:11" x14ac:dyDescent="0.25">
      <c r="A5568">
        <v>83.344605682849107</v>
      </c>
      <c r="B5568">
        <v>41.8177727555004</v>
      </c>
      <c r="C5568">
        <v>2001</v>
      </c>
    </row>
    <row r="5569" spans="1:11" x14ac:dyDescent="0.25">
      <c r="A5569">
        <v>83.6963599080579</v>
      </c>
      <c r="B5569">
        <v>41.4660185302915</v>
      </c>
      <c r="C5569">
        <v>2001</v>
      </c>
    </row>
    <row r="5570" spans="1:11" x14ac:dyDescent="0.25">
      <c r="A5570">
        <v>82.822327859160296</v>
      </c>
      <c r="B5570">
        <v>41.4660185302915</v>
      </c>
      <c r="C5570">
        <v>2000</v>
      </c>
    </row>
    <row r="5571" spans="1:11" x14ac:dyDescent="0.25">
      <c r="A5571" t="s">
        <v>86</v>
      </c>
    </row>
    <row r="5572" spans="1:11" x14ac:dyDescent="0.25">
      <c r="A5572">
        <v>897</v>
      </c>
      <c r="B5572">
        <v>1</v>
      </c>
      <c r="C5572">
        <v>8.3414902341878899E-2</v>
      </c>
      <c r="D5572">
        <v>1.4276107962620801</v>
      </c>
      <c r="E5572">
        <v>6</v>
      </c>
      <c r="F5572">
        <v>1.01722196789785</v>
      </c>
      <c r="G5572" t="s">
        <v>87</v>
      </c>
      <c r="H5572" t="s">
        <v>87</v>
      </c>
      <c r="I5572">
        <v>346</v>
      </c>
      <c r="J5572">
        <v>745</v>
      </c>
      <c r="K5572">
        <v>0.11685087107927999</v>
      </c>
    </row>
    <row r="5573" spans="1:11" x14ac:dyDescent="0.25">
      <c r="A5573" t="s">
        <v>85</v>
      </c>
    </row>
    <row r="5574" spans="1:11" x14ac:dyDescent="0.25">
      <c r="A5574">
        <v>124.52826452797601</v>
      </c>
      <c r="B5574">
        <v>132.61142578139601</v>
      </c>
      <c r="C5574">
        <v>2000</v>
      </c>
    </row>
    <row r="5575" spans="1:11" x14ac:dyDescent="0.25">
      <c r="A5575">
        <v>124.49340638680999</v>
      </c>
      <c r="B5575">
        <v>132.646283922561</v>
      </c>
      <c r="C5575">
        <v>2000</v>
      </c>
    </row>
    <row r="5576" spans="1:11" x14ac:dyDescent="0.25">
      <c r="A5576">
        <v>124.49340638680999</v>
      </c>
      <c r="B5576">
        <v>133.52031597145901</v>
      </c>
      <c r="C5576">
        <v>2001</v>
      </c>
    </row>
    <row r="5577" spans="1:11" x14ac:dyDescent="0.25">
      <c r="A5577">
        <v>124.57651473184001</v>
      </c>
      <c r="B5577">
        <v>133.437207626429</v>
      </c>
      <c r="C5577">
        <v>2001</v>
      </c>
    </row>
    <row r="5578" spans="1:11" x14ac:dyDescent="0.25">
      <c r="A5578">
        <v>125.99887892928901</v>
      </c>
      <c r="B5578">
        <v>132.01484342897999</v>
      </c>
      <c r="C5578">
        <v>2001</v>
      </c>
    </row>
    <row r="5579" spans="1:11" x14ac:dyDescent="0.25">
      <c r="A5579">
        <v>125.124846880391</v>
      </c>
      <c r="B5579">
        <v>132.01484342897999</v>
      </c>
      <c r="C5579">
        <v>2000</v>
      </c>
    </row>
    <row r="5580" spans="1:11" x14ac:dyDescent="0.25">
      <c r="A5580" t="s">
        <v>86</v>
      </c>
    </row>
    <row r="5581" spans="1:11" x14ac:dyDescent="0.25">
      <c r="A5581">
        <v>1057</v>
      </c>
      <c r="B5581">
        <v>1</v>
      </c>
      <c r="C5581">
        <v>5.4889684757597501E-4</v>
      </c>
      <c r="D5581">
        <v>1.5104768017563801</v>
      </c>
      <c r="E5581">
        <v>6</v>
      </c>
      <c r="F5581">
        <v>1.01722196789785</v>
      </c>
      <c r="G5581" t="s">
        <v>87</v>
      </c>
      <c r="H5581" t="s">
        <v>87</v>
      </c>
      <c r="I5581">
        <v>346</v>
      </c>
      <c r="J5581">
        <v>745</v>
      </c>
      <c r="K5581">
        <v>0.12221412765037699</v>
      </c>
    </row>
    <row r="5582" spans="1:11" x14ac:dyDescent="0.25">
      <c r="A5582" t="s">
        <v>85</v>
      </c>
    </row>
    <row r="5583" spans="1:11" x14ac:dyDescent="0.25">
      <c r="A5583">
        <v>123.99215917102001</v>
      </c>
      <c r="B5583">
        <v>132.14457795124301</v>
      </c>
      <c r="C5583">
        <v>2000</v>
      </c>
    </row>
    <row r="5584" spans="1:11" x14ac:dyDescent="0.25">
      <c r="A5584">
        <v>123.99192979325601</v>
      </c>
      <c r="B5584">
        <v>132.14480732900699</v>
      </c>
      <c r="C5584">
        <v>2000</v>
      </c>
    </row>
    <row r="5585" spans="1:11" x14ac:dyDescent="0.25">
      <c r="A5585">
        <v>123.11789774435</v>
      </c>
      <c r="B5585">
        <v>132.14480732899901</v>
      </c>
      <c r="C5585">
        <v>2001</v>
      </c>
    </row>
    <row r="5586" spans="1:11" x14ac:dyDescent="0.25">
      <c r="A5586">
        <v>123.118444623952</v>
      </c>
      <c r="B5586">
        <v>132.144260449397</v>
      </c>
      <c r="C5586">
        <v>2001</v>
      </c>
    </row>
    <row r="5587" spans="1:11" x14ac:dyDescent="0.25">
      <c r="A5587">
        <v>124.62337028683299</v>
      </c>
      <c r="B5587">
        <v>130.63933478652399</v>
      </c>
      <c r="C5587">
        <v>2001</v>
      </c>
    </row>
    <row r="5588" spans="1:11" x14ac:dyDescent="0.25">
      <c r="A5588">
        <v>124.62337028683299</v>
      </c>
      <c r="B5588">
        <v>131.513366835422</v>
      </c>
      <c r="C5588">
        <v>2000</v>
      </c>
    </row>
    <row r="5589" spans="1:11" x14ac:dyDescent="0.25">
      <c r="A5589" t="s">
        <v>86</v>
      </c>
    </row>
    <row r="5590" spans="1:11" x14ac:dyDescent="0.25">
      <c r="A5590">
        <v>1075</v>
      </c>
      <c r="B5590">
        <v>1</v>
      </c>
      <c r="C5590">
        <v>1.3910864690342899</v>
      </c>
      <c r="D5590">
        <v>0.119939229569667</v>
      </c>
      <c r="E5590">
        <v>6</v>
      </c>
      <c r="F5590">
        <v>1.01722196789785</v>
      </c>
      <c r="G5590" t="s">
        <v>87</v>
      </c>
      <c r="H5590" t="s">
        <v>87</v>
      </c>
      <c r="I5590">
        <v>346</v>
      </c>
      <c r="J5590">
        <v>745</v>
      </c>
      <c r="K5590">
        <v>0.122728925384179</v>
      </c>
    </row>
    <row r="5591" spans="1:11" x14ac:dyDescent="0.25">
      <c r="A5591" t="s">
        <v>85</v>
      </c>
    </row>
    <row r="5592" spans="1:11" x14ac:dyDescent="0.25">
      <c r="A5592">
        <v>105.378238871007</v>
      </c>
      <c r="B5592">
        <v>112.36847790572899</v>
      </c>
      <c r="C5592">
        <v>2000</v>
      </c>
    </row>
    <row r="5593" spans="1:11" x14ac:dyDescent="0.25">
      <c r="A5593">
        <v>104.79691962049201</v>
      </c>
      <c r="B5593">
        <v>112.94979715624299</v>
      </c>
      <c r="C5593">
        <v>2000</v>
      </c>
    </row>
    <row r="5594" spans="1:11" x14ac:dyDescent="0.25">
      <c r="A5594">
        <v>103.922887571595</v>
      </c>
      <c r="B5594">
        <v>112.94979715624299</v>
      </c>
      <c r="C5594">
        <v>2001</v>
      </c>
    </row>
    <row r="5595" spans="1:11" x14ac:dyDescent="0.25">
      <c r="A5595">
        <v>105.308861672022</v>
      </c>
      <c r="B5595">
        <v>111.563823055816</v>
      </c>
      <c r="C5595">
        <v>2001</v>
      </c>
    </row>
    <row r="5596" spans="1:11" x14ac:dyDescent="0.25">
      <c r="A5596">
        <v>105.428360114074</v>
      </c>
      <c r="B5596">
        <v>111.444324613765</v>
      </c>
      <c r="C5596">
        <v>2001</v>
      </c>
    </row>
    <row r="5597" spans="1:11" x14ac:dyDescent="0.25">
      <c r="A5597">
        <v>105.428360114074</v>
      </c>
      <c r="B5597">
        <v>112.318356662662</v>
      </c>
      <c r="C5597">
        <v>2000</v>
      </c>
    </row>
    <row r="5598" spans="1:11" x14ac:dyDescent="0.25">
      <c r="A5598" t="s">
        <v>86</v>
      </c>
    </row>
    <row r="5599" spans="1:11" x14ac:dyDescent="0.25">
      <c r="A5599">
        <v>76</v>
      </c>
      <c r="B5599">
        <v>1</v>
      </c>
      <c r="C5599">
        <v>1.2984958191042399</v>
      </c>
      <c r="D5599">
        <v>0.211720906962128</v>
      </c>
      <c r="E5599">
        <v>6</v>
      </c>
      <c r="F5599">
        <v>1.01722196789785</v>
      </c>
      <c r="G5599" t="s">
        <v>87</v>
      </c>
      <c r="H5599" t="s">
        <v>87</v>
      </c>
      <c r="I5599">
        <v>676</v>
      </c>
      <c r="J5599">
        <v>824</v>
      </c>
      <c r="K5599">
        <v>0</v>
      </c>
    </row>
    <row r="5600" spans="1:11" x14ac:dyDescent="0.25">
      <c r="A5600" t="s">
        <v>85</v>
      </c>
    </row>
    <row r="5601" spans="1:11" x14ac:dyDescent="0.25">
      <c r="A5601">
        <v>45.115622833433903</v>
      </c>
      <c r="B5601">
        <v>28.707709537682899</v>
      </c>
      <c r="C5601">
        <v>2000</v>
      </c>
    </row>
    <row r="5602" spans="1:11" x14ac:dyDescent="0.25">
      <c r="A5602">
        <v>44.197447634402899</v>
      </c>
      <c r="B5602">
        <v>29.6258847367139</v>
      </c>
      <c r="C5602">
        <v>2000</v>
      </c>
    </row>
    <row r="5603" spans="1:11" x14ac:dyDescent="0.25">
      <c r="A5603">
        <v>45.071479683300602</v>
      </c>
      <c r="B5603">
        <v>29.6258847367139</v>
      </c>
      <c r="C5603">
        <v>2001</v>
      </c>
    </row>
    <row r="5604" spans="1:11" x14ac:dyDescent="0.25">
      <c r="A5604">
        <v>45.9896548823316</v>
      </c>
      <c r="B5604">
        <v>28.707709537682899</v>
      </c>
      <c r="C5604">
        <v>2001</v>
      </c>
    </row>
    <row r="5605" spans="1:11" x14ac:dyDescent="0.25">
      <c r="A5605">
        <v>46.139364171363503</v>
      </c>
      <c r="B5605">
        <v>28.558000248650998</v>
      </c>
      <c r="C5605">
        <v>2001</v>
      </c>
    </row>
    <row r="5606" spans="1:11" x14ac:dyDescent="0.25">
      <c r="A5606">
        <v>45.2653321224658</v>
      </c>
      <c r="B5606">
        <v>28.558000248650998</v>
      </c>
      <c r="C5606">
        <v>2000</v>
      </c>
    </row>
    <row r="5607" spans="1:11" x14ac:dyDescent="0.25">
      <c r="A5607" t="s">
        <v>86</v>
      </c>
    </row>
    <row r="5608" spans="1:11" x14ac:dyDescent="0.25">
      <c r="A5608">
        <v>1046</v>
      </c>
      <c r="B5608">
        <v>1</v>
      </c>
      <c r="C5608">
        <v>0.75373978406783904</v>
      </c>
      <c r="D5608">
        <v>0.75467234894607305</v>
      </c>
      <c r="E5608">
        <v>6</v>
      </c>
      <c r="F5608">
        <v>1.01722196789785</v>
      </c>
      <c r="G5608" t="s">
        <v>87</v>
      </c>
      <c r="H5608" t="s">
        <v>87</v>
      </c>
      <c r="I5608">
        <v>664</v>
      </c>
      <c r="J5608">
        <v>586</v>
      </c>
      <c r="K5608">
        <v>0.122473809508668</v>
      </c>
    </row>
    <row r="5609" spans="1:11" x14ac:dyDescent="0.25">
      <c r="A5609" t="s">
        <v>85</v>
      </c>
    </row>
    <row r="5610" spans="1:11" x14ac:dyDescent="0.25">
      <c r="A5610">
        <v>76.308798172522202</v>
      </c>
      <c r="B5610">
        <v>21.352983455945399</v>
      </c>
      <c r="C5610">
        <v>2000</v>
      </c>
    </row>
    <row r="5611" spans="1:11" x14ac:dyDescent="0.25">
      <c r="A5611">
        <v>75.994196581185903</v>
      </c>
      <c r="B5611">
        <v>21.667585047281701</v>
      </c>
      <c r="C5611">
        <v>2000</v>
      </c>
    </row>
    <row r="5612" spans="1:11" x14ac:dyDescent="0.25">
      <c r="A5612">
        <v>75.994196581185903</v>
      </c>
      <c r="B5612">
        <v>22.541617096179301</v>
      </c>
      <c r="C5612">
        <v>2001</v>
      </c>
    </row>
    <row r="5613" spans="1:11" x14ac:dyDescent="0.25">
      <c r="A5613">
        <v>76.745544014978506</v>
      </c>
      <c r="B5613">
        <v>21.790269662386699</v>
      </c>
      <c r="C5613">
        <v>2001</v>
      </c>
    </row>
    <row r="5614" spans="1:11" x14ac:dyDescent="0.25">
      <c r="A5614">
        <v>77.497821053712897</v>
      </c>
      <c r="B5614">
        <v>21.0379926236523</v>
      </c>
      <c r="C5614">
        <v>2001</v>
      </c>
    </row>
    <row r="5615" spans="1:11" x14ac:dyDescent="0.25">
      <c r="A5615">
        <v>76.623789004815293</v>
      </c>
      <c r="B5615">
        <v>21.0379926236523</v>
      </c>
      <c r="C5615">
        <v>2000</v>
      </c>
    </row>
    <row r="5616" spans="1:11" x14ac:dyDescent="0.25">
      <c r="A5616" t="s">
        <v>86</v>
      </c>
    </row>
    <row r="5617" spans="1:11" x14ac:dyDescent="0.25">
      <c r="A5617">
        <v>951</v>
      </c>
      <c r="B5617">
        <v>1</v>
      </c>
      <c r="C5617">
        <v>0.40448042421510899</v>
      </c>
      <c r="D5617">
        <v>1.1031117385679201</v>
      </c>
      <c r="E5617">
        <v>6</v>
      </c>
      <c r="F5617">
        <v>1.01722196789785</v>
      </c>
      <c r="G5617" t="s">
        <v>87</v>
      </c>
      <c r="H5617" t="s">
        <v>87</v>
      </c>
      <c r="I5617">
        <v>509</v>
      </c>
      <c r="J5617">
        <v>594</v>
      </c>
      <c r="K5617">
        <v>0.11865465261041699</v>
      </c>
    </row>
    <row r="5618" spans="1:11" x14ac:dyDescent="0.25">
      <c r="A5618" t="s">
        <v>85</v>
      </c>
    </row>
    <row r="5619" spans="1:11" x14ac:dyDescent="0.25">
      <c r="A5619">
        <v>144.12937294771601</v>
      </c>
      <c r="B5619">
        <v>74.987929190221905</v>
      </c>
      <c r="C5619">
        <v>2000</v>
      </c>
    </row>
    <row r="5620" spans="1:11" x14ac:dyDescent="0.25">
      <c r="A5620">
        <v>143.96061159667599</v>
      </c>
      <c r="B5620">
        <v>75.156690541262094</v>
      </c>
      <c r="C5620">
        <v>2000</v>
      </c>
    </row>
    <row r="5621" spans="1:11" x14ac:dyDescent="0.25">
      <c r="A5621">
        <v>143.086579547779</v>
      </c>
      <c r="B5621">
        <v>75.156690541262094</v>
      </c>
      <c r="C5621">
        <v>2001</v>
      </c>
    </row>
    <row r="5622" spans="1:11" x14ac:dyDescent="0.25">
      <c r="A5622">
        <v>143.48983989837799</v>
      </c>
      <c r="B5622">
        <v>74.753430190662797</v>
      </c>
      <c r="C5622">
        <v>2001</v>
      </c>
    </row>
    <row r="5623" spans="1:11" x14ac:dyDescent="0.25">
      <c r="A5623">
        <v>144.58962421379499</v>
      </c>
      <c r="B5623">
        <v>73.653645875245701</v>
      </c>
      <c r="C5623">
        <v>2001</v>
      </c>
    </row>
    <row r="5624" spans="1:11" x14ac:dyDescent="0.25">
      <c r="A5624">
        <v>144.58962421379499</v>
      </c>
      <c r="B5624">
        <v>74.527677924143404</v>
      </c>
      <c r="C5624">
        <v>2000</v>
      </c>
    </row>
    <row r="5625" spans="1:11" x14ac:dyDescent="0.25">
      <c r="A5625" t="s">
        <v>86</v>
      </c>
    </row>
    <row r="5626" spans="1:11" x14ac:dyDescent="0.25">
      <c r="A5626">
        <v>1121</v>
      </c>
      <c r="B5626">
        <v>1</v>
      </c>
      <c r="C5626">
        <v>1.06633494183931</v>
      </c>
      <c r="D5626">
        <v>0.44031535412436501</v>
      </c>
      <c r="E5626">
        <v>6</v>
      </c>
      <c r="F5626">
        <v>1.01722196789785</v>
      </c>
      <c r="G5626" t="s">
        <v>87</v>
      </c>
      <c r="H5626" t="s">
        <v>87</v>
      </c>
      <c r="I5626">
        <v>781</v>
      </c>
      <c r="J5626">
        <v>671</v>
      </c>
      <c r="K5626">
        <v>0.124625009531664</v>
      </c>
    </row>
    <row r="5627" spans="1:11" x14ac:dyDescent="0.25">
      <c r="A5627" t="s">
        <v>85</v>
      </c>
    </row>
    <row r="5628" spans="1:11" x14ac:dyDescent="0.25">
      <c r="A5628">
        <v>101.33435321483999</v>
      </c>
      <c r="B5628">
        <v>14.9534781802178</v>
      </c>
      <c r="C5628">
        <v>2000</v>
      </c>
    </row>
    <row r="5629" spans="1:11" x14ac:dyDescent="0.25">
      <c r="A5629">
        <v>100.271041528448</v>
      </c>
      <c r="B5629">
        <v>16.0167898666102</v>
      </c>
      <c r="C5629">
        <v>2000</v>
      </c>
    </row>
    <row r="5630" spans="1:11" x14ac:dyDescent="0.25">
      <c r="A5630">
        <v>100.271041528448</v>
      </c>
      <c r="B5630">
        <v>15.142757817712599</v>
      </c>
      <c r="C5630">
        <v>2001</v>
      </c>
    </row>
    <row r="5631" spans="1:11" x14ac:dyDescent="0.25">
      <c r="A5631">
        <v>100.715755178837</v>
      </c>
      <c r="B5631">
        <v>14.6980441673235</v>
      </c>
      <c r="C5631">
        <v>2001</v>
      </c>
    </row>
    <row r="5632" spans="1:11" x14ac:dyDescent="0.25">
      <c r="A5632">
        <v>100.899388145152</v>
      </c>
      <c r="B5632">
        <v>14.5144112010088</v>
      </c>
      <c r="C5632">
        <v>2001</v>
      </c>
    </row>
    <row r="5633" spans="1:11" x14ac:dyDescent="0.25">
      <c r="A5633">
        <v>101.773420194049</v>
      </c>
      <c r="B5633">
        <v>14.5144112010088</v>
      </c>
      <c r="C5633">
        <v>2000</v>
      </c>
    </row>
    <row r="5634" spans="1:11" x14ac:dyDescent="0.25">
      <c r="A5634" t="s">
        <v>86</v>
      </c>
    </row>
    <row r="5635" spans="1:11" x14ac:dyDescent="0.25">
      <c r="A5635">
        <v>230</v>
      </c>
      <c r="B5635">
        <v>1</v>
      </c>
      <c r="C5635">
        <v>0.55014054189027894</v>
      </c>
      <c r="D5635">
        <v>0.94265883438473697</v>
      </c>
      <c r="E5635">
        <v>6</v>
      </c>
      <c r="F5635">
        <v>1.01722196789785</v>
      </c>
      <c r="G5635" t="s">
        <v>87</v>
      </c>
      <c r="H5635" t="s">
        <v>87</v>
      </c>
      <c r="I5635">
        <v>199</v>
      </c>
      <c r="J5635">
        <v>105</v>
      </c>
      <c r="K5635">
        <v>0</v>
      </c>
    </row>
    <row r="5636" spans="1:11" x14ac:dyDescent="0.25">
      <c r="A5636" t="s">
        <v>85</v>
      </c>
    </row>
    <row r="5637" spans="1:11" x14ac:dyDescent="0.25">
      <c r="A5637">
        <v>30.382608531686699</v>
      </c>
      <c r="B5637">
        <v>101.46684604345199</v>
      </c>
      <c r="C5637">
        <v>2000</v>
      </c>
    </row>
    <row r="5638" spans="1:11" x14ac:dyDescent="0.25">
      <c r="A5638">
        <v>29.993600423910401</v>
      </c>
      <c r="B5638">
        <v>101.855854151229</v>
      </c>
      <c r="C5638">
        <v>2000</v>
      </c>
    </row>
    <row r="5639" spans="1:11" x14ac:dyDescent="0.25">
      <c r="A5639">
        <v>29.9936004239105</v>
      </c>
      <c r="B5639">
        <v>100.98182210233099</v>
      </c>
      <c r="C5639">
        <v>2001</v>
      </c>
    </row>
    <row r="5640" spans="1:11" x14ac:dyDescent="0.25">
      <c r="A5640">
        <v>30.382608531686699</v>
      </c>
      <c r="B5640">
        <v>100.592813994555</v>
      </c>
      <c r="C5640">
        <v>2001</v>
      </c>
    </row>
    <row r="5641" spans="1:11" x14ac:dyDescent="0.25">
      <c r="A5641">
        <v>31.049168985825599</v>
      </c>
      <c r="B5641">
        <v>99.926253540415999</v>
      </c>
      <c r="C5641">
        <v>2001</v>
      </c>
    </row>
    <row r="5642" spans="1:11" x14ac:dyDescent="0.25">
      <c r="A5642">
        <v>31.049168985825599</v>
      </c>
      <c r="B5642">
        <v>100.800285589314</v>
      </c>
      <c r="C5642">
        <v>2000</v>
      </c>
    </row>
    <row r="5643" spans="1:11" x14ac:dyDescent="0.25">
      <c r="A5643" t="s">
        <v>86</v>
      </c>
    </row>
    <row r="5644" spans="1:11" x14ac:dyDescent="0.25">
      <c r="A5644">
        <v>232</v>
      </c>
      <c r="B5644">
        <v>1</v>
      </c>
      <c r="C5644">
        <v>0.80045640465026202</v>
      </c>
      <c r="D5644">
        <v>0.68042723436451502</v>
      </c>
      <c r="E5644">
        <v>6</v>
      </c>
      <c r="F5644">
        <v>1.01722196789785</v>
      </c>
      <c r="G5644" t="s">
        <v>87</v>
      </c>
      <c r="H5644" t="s">
        <v>87</v>
      </c>
      <c r="I5644">
        <v>776</v>
      </c>
      <c r="J5644">
        <v>786</v>
      </c>
      <c r="K5644">
        <v>0</v>
      </c>
    </row>
    <row r="5645" spans="1:11" x14ac:dyDescent="0.25">
      <c r="A5645" t="s">
        <v>85</v>
      </c>
    </row>
    <row r="5646" spans="1:11" x14ac:dyDescent="0.25">
      <c r="A5646">
        <v>25.5587210198828</v>
      </c>
      <c r="B5646">
        <v>123.320995532381</v>
      </c>
      <c r="C5646">
        <v>2000</v>
      </c>
    </row>
    <row r="5647" spans="1:11" x14ac:dyDescent="0.25">
      <c r="A5647">
        <v>24.756494257485699</v>
      </c>
      <c r="B5647">
        <v>124.123222294778</v>
      </c>
      <c r="C5647">
        <v>2000</v>
      </c>
    </row>
    <row r="5648" spans="1:11" x14ac:dyDescent="0.25">
      <c r="A5648">
        <v>24.756494257485699</v>
      </c>
      <c r="B5648">
        <v>123.24919024588</v>
      </c>
      <c r="C5648">
        <v>2001</v>
      </c>
    </row>
    <row r="5649" spans="1:11" x14ac:dyDescent="0.25">
      <c r="A5649">
        <v>25.086283798633499</v>
      </c>
      <c r="B5649">
        <v>122.919400704732</v>
      </c>
      <c r="C5649">
        <v>2001</v>
      </c>
    </row>
    <row r="5650" spans="1:11" x14ac:dyDescent="0.25">
      <c r="A5650">
        <v>25.366621096332398</v>
      </c>
      <c r="B5650">
        <v>122.63906340703301</v>
      </c>
      <c r="C5650">
        <v>2001</v>
      </c>
    </row>
    <row r="5651" spans="1:11" x14ac:dyDescent="0.25">
      <c r="A5651">
        <v>26.240653145230102</v>
      </c>
      <c r="B5651">
        <v>122.63906340703301</v>
      </c>
      <c r="C5651">
        <v>2000</v>
      </c>
    </row>
    <row r="5652" spans="1:11" x14ac:dyDescent="0.25">
      <c r="A5652" t="s">
        <v>86</v>
      </c>
    </row>
    <row r="5653" spans="1:11" x14ac:dyDescent="0.25">
      <c r="A5653">
        <v>910</v>
      </c>
      <c r="B5653">
        <v>1</v>
      </c>
      <c r="C5653">
        <v>0.16043243991254</v>
      </c>
      <c r="D5653">
        <v>1.3115115726475199</v>
      </c>
      <c r="E5653">
        <v>6</v>
      </c>
      <c r="F5653">
        <v>1.01722196789785</v>
      </c>
      <c r="G5653" t="s">
        <v>87</v>
      </c>
      <c r="H5653" t="s">
        <v>87</v>
      </c>
      <c r="I5653">
        <v>507</v>
      </c>
      <c r="J5653">
        <v>511</v>
      </c>
      <c r="K5653">
        <v>0.116465549931603</v>
      </c>
    </row>
    <row r="5654" spans="1:11" x14ac:dyDescent="0.25">
      <c r="A5654" t="s">
        <v>85</v>
      </c>
    </row>
    <row r="5655" spans="1:11" x14ac:dyDescent="0.25">
      <c r="A5655">
        <v>145.565252970236</v>
      </c>
      <c r="B5655">
        <v>24.4963433432752</v>
      </c>
      <c r="C5655">
        <v>2000</v>
      </c>
    </row>
    <row r="5656" spans="1:11" x14ac:dyDescent="0.25">
      <c r="A5656">
        <v>145.45181010405199</v>
      </c>
      <c r="B5656">
        <v>24.609786209459699</v>
      </c>
      <c r="C5656">
        <v>2000</v>
      </c>
    </row>
    <row r="5657" spans="1:11" x14ac:dyDescent="0.25">
      <c r="A5657">
        <v>145.45181010405199</v>
      </c>
      <c r="B5657">
        <v>23.735754160561999</v>
      </c>
      <c r="C5657">
        <v>2001</v>
      </c>
    </row>
    <row r="5658" spans="1:11" x14ac:dyDescent="0.25">
      <c r="A5658">
        <v>145.565252970236</v>
      </c>
      <c r="B5658">
        <v>23.622311294377599</v>
      </c>
      <c r="C5658">
        <v>2001</v>
      </c>
    </row>
    <row r="5659" spans="1:11" x14ac:dyDescent="0.25">
      <c r="A5659">
        <v>146.49263169686</v>
      </c>
      <c r="B5659">
        <v>22.694932567753899</v>
      </c>
      <c r="C5659">
        <v>2001</v>
      </c>
    </row>
    <row r="5660" spans="1:11" x14ac:dyDescent="0.25">
      <c r="A5660">
        <v>146.49263169686</v>
      </c>
      <c r="B5660">
        <v>23.568964616651499</v>
      </c>
      <c r="C5660">
        <v>2000</v>
      </c>
    </row>
    <row r="5661" spans="1:11" x14ac:dyDescent="0.25">
      <c r="A5661" t="s">
        <v>86</v>
      </c>
    </row>
    <row r="5662" spans="1:11" x14ac:dyDescent="0.25">
      <c r="A5662">
        <v>995</v>
      </c>
      <c r="B5662">
        <v>1</v>
      </c>
      <c r="C5662">
        <v>0.30102724725685398</v>
      </c>
      <c r="D5662">
        <v>1.17036961359848</v>
      </c>
      <c r="E5662">
        <v>6</v>
      </c>
      <c r="F5662">
        <v>1.01722196789785</v>
      </c>
      <c r="G5662" t="s">
        <v>87</v>
      </c>
      <c r="H5662" t="s">
        <v>87</v>
      </c>
      <c r="I5662">
        <v>849</v>
      </c>
      <c r="J5662">
        <v>268</v>
      </c>
      <c r="K5662">
        <v>0.119945352050412</v>
      </c>
    </row>
    <row r="5663" spans="1:11" x14ac:dyDescent="0.25">
      <c r="A5663" t="s">
        <v>85</v>
      </c>
    </row>
    <row r="5664" spans="1:11" x14ac:dyDescent="0.25">
      <c r="A5664">
        <v>137.18129071042901</v>
      </c>
      <c r="B5664">
        <v>101.932298932668</v>
      </c>
      <c r="C5664">
        <v>2000</v>
      </c>
    </row>
    <row r="5665" spans="1:11" x14ac:dyDescent="0.25">
      <c r="A5665">
        <v>136.96843230257201</v>
      </c>
      <c r="B5665">
        <v>102.145157340525</v>
      </c>
      <c r="C5665">
        <v>2000</v>
      </c>
    </row>
    <row r="5666" spans="1:11" x14ac:dyDescent="0.25">
      <c r="A5666">
        <v>136.96843230257201</v>
      </c>
      <c r="B5666">
        <v>103.019189389422</v>
      </c>
      <c r="C5666">
        <v>2001</v>
      </c>
    </row>
    <row r="5667" spans="1:11" x14ac:dyDescent="0.25">
      <c r="A5667">
        <v>137.18129071042901</v>
      </c>
      <c r="B5667">
        <v>102.806330981565</v>
      </c>
      <c r="C5667">
        <v>2001</v>
      </c>
    </row>
    <row r="5668" spans="1:11" x14ac:dyDescent="0.25">
      <c r="A5668">
        <v>138.00886700069901</v>
      </c>
      <c r="B5668">
        <v>101.97875469129499</v>
      </c>
      <c r="C5668">
        <v>2001</v>
      </c>
    </row>
    <row r="5669" spans="1:11" x14ac:dyDescent="0.25">
      <c r="A5669">
        <v>138.00886700069901</v>
      </c>
      <c r="B5669">
        <v>101.10472264239699</v>
      </c>
      <c r="C5669">
        <v>2000</v>
      </c>
    </row>
    <row r="5670" spans="1:11" x14ac:dyDescent="0.25">
      <c r="A5670" t="s">
        <v>86</v>
      </c>
    </row>
    <row r="5671" spans="1:11" x14ac:dyDescent="0.25">
      <c r="A5671">
        <v>310</v>
      </c>
      <c r="B5671">
        <v>1</v>
      </c>
      <c r="C5671">
        <v>0.62446377631410899</v>
      </c>
      <c r="D5671">
        <v>0.84693308454122695</v>
      </c>
      <c r="E5671">
        <v>6</v>
      </c>
      <c r="F5671">
        <v>1.01722196789785</v>
      </c>
      <c r="G5671" t="s">
        <v>87</v>
      </c>
      <c r="H5671" t="s">
        <v>87</v>
      </c>
      <c r="I5671">
        <v>849</v>
      </c>
      <c r="J5671">
        <v>268</v>
      </c>
      <c r="K5671">
        <v>0</v>
      </c>
    </row>
    <row r="5672" spans="1:11" x14ac:dyDescent="0.25">
      <c r="A5672" t="s">
        <v>85</v>
      </c>
    </row>
    <row r="5673" spans="1:11" x14ac:dyDescent="0.25">
      <c r="A5673">
        <v>139.32564585205401</v>
      </c>
      <c r="B5673">
        <v>103.619245748333</v>
      </c>
      <c r="C5673">
        <v>2000</v>
      </c>
    </row>
    <row r="5674" spans="1:11" x14ac:dyDescent="0.25">
      <c r="A5674">
        <v>138.88408328121699</v>
      </c>
      <c r="B5674">
        <v>104.06080831916999</v>
      </c>
      <c r="C5674">
        <v>2000</v>
      </c>
    </row>
    <row r="5675" spans="1:11" x14ac:dyDescent="0.25">
      <c r="A5675">
        <v>138.88408328121699</v>
      </c>
      <c r="B5675">
        <v>104.934840368068</v>
      </c>
      <c r="C5675">
        <v>2001</v>
      </c>
    </row>
    <row r="5676" spans="1:11" x14ac:dyDescent="0.25">
      <c r="A5676">
        <v>139.32564585205401</v>
      </c>
      <c r="B5676">
        <v>104.493277797231</v>
      </c>
      <c r="C5676">
        <v>2001</v>
      </c>
    </row>
    <row r="5677" spans="1:11" x14ac:dyDescent="0.25">
      <c r="A5677">
        <v>139.92451797934501</v>
      </c>
      <c r="B5677">
        <v>103.89440566994</v>
      </c>
      <c r="C5677">
        <v>2001</v>
      </c>
    </row>
    <row r="5678" spans="1:11" x14ac:dyDescent="0.25">
      <c r="A5678">
        <v>139.92451797934501</v>
      </c>
      <c r="B5678">
        <v>103.02037362104301</v>
      </c>
      <c r="C5678">
        <v>2000</v>
      </c>
    </row>
    <row r="5679" spans="1:11" x14ac:dyDescent="0.25">
      <c r="A5679" t="s">
        <v>86</v>
      </c>
    </row>
    <row r="5680" spans="1:11" x14ac:dyDescent="0.25">
      <c r="A5680">
        <v>936</v>
      </c>
      <c r="B5680">
        <v>1</v>
      </c>
      <c r="C5680">
        <v>5.9162255681179901E-2</v>
      </c>
      <c r="D5680">
        <v>1.4038159697435399</v>
      </c>
      <c r="E5680">
        <v>6</v>
      </c>
      <c r="F5680">
        <v>1.01722196789785</v>
      </c>
      <c r="G5680" t="s">
        <v>87</v>
      </c>
      <c r="H5680" t="s">
        <v>87</v>
      </c>
      <c r="I5680">
        <v>265</v>
      </c>
      <c r="J5680">
        <v>852</v>
      </c>
      <c r="K5680">
        <v>0.118311737100288</v>
      </c>
    </row>
    <row r="5681" spans="1:11" x14ac:dyDescent="0.25">
      <c r="A5681" t="s">
        <v>85</v>
      </c>
    </row>
    <row r="5682" spans="1:11" x14ac:dyDescent="0.25">
      <c r="A5682">
        <v>121.33211848808</v>
      </c>
      <c r="B5682">
        <v>138.77119559970299</v>
      </c>
      <c r="C5682">
        <v>2000</v>
      </c>
    </row>
    <row r="5683" spans="1:11" x14ac:dyDescent="0.25">
      <c r="A5683">
        <v>121.290284455898</v>
      </c>
      <c r="B5683">
        <v>138.813029631885</v>
      </c>
      <c r="C5683">
        <v>2000</v>
      </c>
    </row>
    <row r="5684" spans="1:11" x14ac:dyDescent="0.25">
      <c r="A5684">
        <v>122.16431650479601</v>
      </c>
      <c r="B5684">
        <v>138.813029631885</v>
      </c>
      <c r="C5684">
        <v>2001</v>
      </c>
    </row>
    <row r="5685" spans="1:11" x14ac:dyDescent="0.25">
      <c r="A5685">
        <v>122.206150536978</v>
      </c>
      <c r="B5685">
        <v>138.77119559970299</v>
      </c>
      <c r="C5685">
        <v>2001</v>
      </c>
    </row>
    <row r="5686" spans="1:11" x14ac:dyDescent="0.25">
      <c r="A5686">
        <v>123.19879832872201</v>
      </c>
      <c r="B5686">
        <v>137.778547807959</v>
      </c>
      <c r="C5686">
        <v>2001</v>
      </c>
    </row>
    <row r="5687" spans="1:11" x14ac:dyDescent="0.25">
      <c r="A5687">
        <v>122.324766279824</v>
      </c>
      <c r="B5687">
        <v>137.778547807959</v>
      </c>
      <c r="C5687">
        <v>2000</v>
      </c>
    </row>
    <row r="5688" spans="1:11" x14ac:dyDescent="0.25">
      <c r="A5688" t="s">
        <v>86</v>
      </c>
    </row>
    <row r="5689" spans="1:11" x14ac:dyDescent="0.25">
      <c r="A5689">
        <v>301</v>
      </c>
      <c r="B5689">
        <v>1</v>
      </c>
      <c r="C5689">
        <v>1.44529018091315</v>
      </c>
      <c r="D5689">
        <v>1.76880445115657E-2</v>
      </c>
      <c r="E5689">
        <v>6</v>
      </c>
      <c r="F5689">
        <v>1.01722196789785</v>
      </c>
      <c r="G5689" t="s">
        <v>87</v>
      </c>
      <c r="H5689" t="s">
        <v>87</v>
      </c>
      <c r="I5689">
        <v>265</v>
      </c>
      <c r="J5689">
        <v>852</v>
      </c>
      <c r="K5689">
        <v>0</v>
      </c>
    </row>
    <row r="5690" spans="1:11" x14ac:dyDescent="0.25">
      <c r="A5690" t="s">
        <v>85</v>
      </c>
    </row>
    <row r="5691" spans="1:11" x14ac:dyDescent="0.25">
      <c r="A5691">
        <v>121.218083075349</v>
      </c>
      <c r="B5691">
        <v>136.696879275925</v>
      </c>
      <c r="C5691">
        <v>2000</v>
      </c>
    </row>
    <row r="5692" spans="1:11" x14ac:dyDescent="0.25">
      <c r="A5692">
        <v>120.196108587643</v>
      </c>
      <c r="B5692">
        <v>137.71885376362999</v>
      </c>
      <c r="C5692">
        <v>2000</v>
      </c>
    </row>
    <row r="5693" spans="1:11" x14ac:dyDescent="0.25">
      <c r="A5693">
        <v>120.196108587643</v>
      </c>
      <c r="B5693">
        <v>136.844821714733</v>
      </c>
      <c r="C5693">
        <v>2001</v>
      </c>
    </row>
    <row r="5694" spans="1:11" x14ac:dyDescent="0.25">
      <c r="A5694">
        <v>121.218083075349</v>
      </c>
      <c r="B5694">
        <v>135.82284722702701</v>
      </c>
      <c r="C5694">
        <v>2001</v>
      </c>
    </row>
    <row r="5695" spans="1:11" x14ac:dyDescent="0.25">
      <c r="A5695">
        <v>121.230590411569</v>
      </c>
      <c r="B5695">
        <v>135.810339890807</v>
      </c>
      <c r="C5695">
        <v>2001</v>
      </c>
    </row>
    <row r="5696" spans="1:11" x14ac:dyDescent="0.25">
      <c r="A5696">
        <v>121.230590411569</v>
      </c>
      <c r="B5696">
        <v>136.68437193970499</v>
      </c>
      <c r="C5696">
        <v>2000</v>
      </c>
    </row>
    <row r="5697" spans="1:11" x14ac:dyDescent="0.25">
      <c r="A5697" t="s">
        <v>86</v>
      </c>
    </row>
    <row r="5698" spans="1:11" x14ac:dyDescent="0.25">
      <c r="A5698">
        <v>992</v>
      </c>
      <c r="B5698">
        <v>1</v>
      </c>
      <c r="C5698">
        <v>0.19548633603482601</v>
      </c>
      <c r="D5698">
        <v>1.25205583660616</v>
      </c>
      <c r="E5698">
        <v>6</v>
      </c>
      <c r="F5698">
        <v>1.01722196789785</v>
      </c>
      <c r="G5698" t="s">
        <v>87</v>
      </c>
      <c r="H5698" t="s">
        <v>87</v>
      </c>
      <c r="I5698">
        <v>829</v>
      </c>
      <c r="J5698">
        <v>733</v>
      </c>
      <c r="K5698">
        <v>0.119945352050412</v>
      </c>
    </row>
    <row r="5699" spans="1:11" x14ac:dyDescent="0.25">
      <c r="A5699" t="s">
        <v>85</v>
      </c>
    </row>
    <row r="5700" spans="1:11" x14ac:dyDescent="0.25">
      <c r="A5700">
        <v>110.61367470734901</v>
      </c>
      <c r="B5700">
        <v>57.6919673499943</v>
      </c>
      <c r="C5700">
        <v>2000</v>
      </c>
    </row>
    <row r="5701" spans="1:11" x14ac:dyDescent="0.25">
      <c r="A5701">
        <v>110.534462729243</v>
      </c>
      <c r="B5701">
        <v>57.771179328100402</v>
      </c>
      <c r="C5701">
        <v>2000</v>
      </c>
    </row>
    <row r="5702" spans="1:11" x14ac:dyDescent="0.25">
      <c r="A5702">
        <v>109.660430680346</v>
      </c>
      <c r="B5702">
        <v>57.771179328100303</v>
      </c>
      <c r="C5702">
        <v>2001</v>
      </c>
    </row>
    <row r="5703" spans="1:11" x14ac:dyDescent="0.25">
      <c r="A5703">
        <v>109.85767812991899</v>
      </c>
      <c r="B5703">
        <v>57.573931878527297</v>
      </c>
      <c r="C5703">
        <v>2001</v>
      </c>
    </row>
    <row r="5704" spans="1:11" x14ac:dyDescent="0.25">
      <c r="A5704">
        <v>111.12101359112199</v>
      </c>
      <c r="B5704">
        <v>56.310596417323602</v>
      </c>
      <c r="C5704">
        <v>2001</v>
      </c>
    </row>
    <row r="5705" spans="1:11" x14ac:dyDescent="0.25">
      <c r="A5705">
        <v>111.12101359112199</v>
      </c>
      <c r="B5705">
        <v>57.184628466221199</v>
      </c>
      <c r="C5705">
        <v>2000</v>
      </c>
    </row>
    <row r="5706" spans="1:11" x14ac:dyDescent="0.25">
      <c r="A5706" t="s">
        <v>86</v>
      </c>
    </row>
    <row r="5707" spans="1:11" x14ac:dyDescent="0.25">
      <c r="A5707">
        <v>988</v>
      </c>
      <c r="B5707">
        <v>1</v>
      </c>
      <c r="C5707">
        <v>0.32125542964578802</v>
      </c>
      <c r="D5707">
        <v>1.1240132497892401</v>
      </c>
      <c r="E5707">
        <v>6</v>
      </c>
      <c r="F5707">
        <v>1.01722196789785</v>
      </c>
      <c r="G5707" t="s">
        <v>87</v>
      </c>
      <c r="H5707" t="s">
        <v>87</v>
      </c>
      <c r="I5707">
        <v>23</v>
      </c>
      <c r="J5707">
        <v>32</v>
      </c>
      <c r="K5707">
        <v>0.120547941094079</v>
      </c>
    </row>
    <row r="5708" spans="1:11" x14ac:dyDescent="0.25">
      <c r="A5708" t="s">
        <v>85</v>
      </c>
    </row>
    <row r="5709" spans="1:11" x14ac:dyDescent="0.25">
      <c r="A5709">
        <v>13.228606644184</v>
      </c>
      <c r="B5709">
        <v>26.320151403229801</v>
      </c>
      <c r="C5709">
        <v>2000</v>
      </c>
    </row>
    <row r="5710" spans="1:11" x14ac:dyDescent="0.25">
      <c r="A5710">
        <v>13.001444751388499</v>
      </c>
      <c r="B5710">
        <v>26.547313296025301</v>
      </c>
      <c r="C5710">
        <v>2000</v>
      </c>
    </row>
    <row r="5711" spans="1:11" x14ac:dyDescent="0.25">
      <c r="A5711">
        <v>12.127412702490901</v>
      </c>
      <c r="B5711">
        <v>26.547313296025301</v>
      </c>
      <c r="C5711">
        <v>2001</v>
      </c>
    </row>
    <row r="5712" spans="1:11" x14ac:dyDescent="0.25">
      <c r="A5712">
        <v>12.354574595286399</v>
      </c>
      <c r="B5712">
        <v>26.320151403229801</v>
      </c>
      <c r="C5712">
        <v>2001</v>
      </c>
    </row>
    <row r="5713" spans="1:11" x14ac:dyDescent="0.25">
      <c r="A5713">
        <v>13.1493719863559</v>
      </c>
      <c r="B5713">
        <v>25.5253540121603</v>
      </c>
      <c r="C5713">
        <v>2001</v>
      </c>
    </row>
    <row r="5714" spans="1:11" x14ac:dyDescent="0.25">
      <c r="A5714">
        <v>14.023404035253501</v>
      </c>
      <c r="B5714">
        <v>25.5253540121603</v>
      </c>
      <c r="C5714">
        <v>2000</v>
      </c>
    </row>
    <row r="5715" spans="1:11" x14ac:dyDescent="0.25">
      <c r="A5715" t="s">
        <v>86</v>
      </c>
    </row>
    <row r="5716" spans="1:11" x14ac:dyDescent="0.25">
      <c r="A5716">
        <v>1074</v>
      </c>
      <c r="B5716">
        <v>1</v>
      </c>
      <c r="C5716">
        <v>0.45129149654370299</v>
      </c>
      <c r="D5716">
        <v>0.99397718289132797</v>
      </c>
      <c r="E5716">
        <v>6</v>
      </c>
      <c r="F5716">
        <v>1.01722196789785</v>
      </c>
      <c r="G5716" t="s">
        <v>87</v>
      </c>
      <c r="H5716" t="s">
        <v>87</v>
      </c>
      <c r="I5716">
        <v>23</v>
      </c>
      <c r="J5716">
        <v>32</v>
      </c>
      <c r="K5716">
        <v>0.12322624704732001</v>
      </c>
    </row>
    <row r="5717" spans="1:11" x14ac:dyDescent="0.25">
      <c r="A5717" t="s">
        <v>85</v>
      </c>
    </row>
    <row r="5718" spans="1:11" x14ac:dyDescent="0.25">
      <c r="A5718">
        <v>1.3087599893606801</v>
      </c>
      <c r="B5718">
        <v>14.216405979001699</v>
      </c>
      <c r="C5718">
        <v>2000</v>
      </c>
    </row>
    <row r="5719" spans="1:11" x14ac:dyDescent="0.25">
      <c r="A5719">
        <v>0.98964871186280501</v>
      </c>
      <c r="B5719">
        <v>14.535517256499601</v>
      </c>
      <c r="C5719">
        <v>2000</v>
      </c>
    </row>
    <row r="5720" spans="1:11" x14ac:dyDescent="0.25">
      <c r="A5720">
        <v>0.98964871186280701</v>
      </c>
      <c r="B5720">
        <v>15.409549305397301</v>
      </c>
      <c r="C5720">
        <v>2001</v>
      </c>
    </row>
    <row r="5721" spans="1:11" x14ac:dyDescent="0.25">
      <c r="A5721">
        <v>1.30875998936069</v>
      </c>
      <c r="B5721">
        <v>15.090438027899401</v>
      </c>
      <c r="C5721">
        <v>2001</v>
      </c>
    </row>
    <row r="5722" spans="1:11" x14ac:dyDescent="0.25">
      <c r="A5722">
        <v>2.0116079957278501</v>
      </c>
      <c r="B5722">
        <v>14.387590021532199</v>
      </c>
      <c r="C5722">
        <v>2001</v>
      </c>
    </row>
    <row r="5723" spans="1:11" x14ac:dyDescent="0.25">
      <c r="A5723">
        <v>2.0116079957278399</v>
      </c>
      <c r="B5723">
        <v>13.513557972634599</v>
      </c>
      <c r="C5723">
        <v>2000</v>
      </c>
    </row>
    <row r="5724" spans="1:11" x14ac:dyDescent="0.25">
      <c r="A5724" t="s">
        <v>86</v>
      </c>
    </row>
    <row r="5725" spans="1:11" x14ac:dyDescent="0.25">
      <c r="A5725">
        <v>703</v>
      </c>
      <c r="B5725">
        <v>1</v>
      </c>
      <c r="C5725">
        <v>0.38344715470127999</v>
      </c>
      <c r="D5725">
        <v>1.0531607754146599</v>
      </c>
      <c r="E5725">
        <v>6</v>
      </c>
      <c r="F5725">
        <v>1.01722196789785</v>
      </c>
      <c r="G5725" t="s">
        <v>87</v>
      </c>
      <c r="H5725" t="s">
        <v>87</v>
      </c>
      <c r="I5725">
        <v>680</v>
      </c>
      <c r="J5725">
        <v>670</v>
      </c>
      <c r="K5725">
        <v>0</v>
      </c>
    </row>
    <row r="5726" spans="1:11" x14ac:dyDescent="0.25">
      <c r="A5726" t="s">
        <v>85</v>
      </c>
    </row>
    <row r="5727" spans="1:11" x14ac:dyDescent="0.25">
      <c r="A5727">
        <v>64.227173912777701</v>
      </c>
      <c r="B5727">
        <v>2.1570028809183901</v>
      </c>
      <c r="C5727">
        <v>2000</v>
      </c>
    </row>
    <row r="5728" spans="1:11" x14ac:dyDescent="0.25">
      <c r="A5728">
        <v>63.839391233799297</v>
      </c>
      <c r="B5728">
        <v>2.5447855598967402</v>
      </c>
      <c r="C5728">
        <v>2000</v>
      </c>
    </row>
    <row r="5729" spans="1:11" x14ac:dyDescent="0.25">
      <c r="A5729">
        <v>64.713423282696994</v>
      </c>
      <c r="B5729">
        <v>2.5447855598967402</v>
      </c>
      <c r="C5729">
        <v>2001</v>
      </c>
    </row>
    <row r="5730" spans="1:11" x14ac:dyDescent="0.25">
      <c r="A5730">
        <v>64.867916770350504</v>
      </c>
      <c r="B5730">
        <v>2.3902920722431702</v>
      </c>
      <c r="C5730">
        <v>2001</v>
      </c>
    </row>
    <row r="5731" spans="1:11" x14ac:dyDescent="0.25">
      <c r="A5731">
        <v>65.292242467539495</v>
      </c>
      <c r="B5731">
        <v>1.96596637505421</v>
      </c>
      <c r="C5731">
        <v>2001</v>
      </c>
    </row>
    <row r="5732" spans="1:11" x14ac:dyDescent="0.25">
      <c r="A5732">
        <v>65.292242467539495</v>
      </c>
      <c r="B5732">
        <v>1.0919343261565799</v>
      </c>
      <c r="C5732">
        <v>2000</v>
      </c>
    </row>
    <row r="5733" spans="1:11" x14ac:dyDescent="0.25">
      <c r="A5733" t="s">
        <v>86</v>
      </c>
    </row>
    <row r="5734" spans="1:11" x14ac:dyDescent="0.25">
      <c r="A5734">
        <v>734</v>
      </c>
      <c r="B5734">
        <v>0</v>
      </c>
      <c r="C5734">
        <v>0</v>
      </c>
      <c r="D5734">
        <v>1.4336809467307901</v>
      </c>
      <c r="E5734">
        <v>4</v>
      </c>
      <c r="F5734">
        <v>1.01722196789785</v>
      </c>
      <c r="G5734" t="s">
        <v>84</v>
      </c>
      <c r="H5734" t="s">
        <v>83</v>
      </c>
      <c r="I5734">
        <v>591</v>
      </c>
      <c r="J5734">
        <v>0</v>
      </c>
      <c r="K5734">
        <v>9.4763910412348204E-2</v>
      </c>
    </row>
    <row r="5735" spans="1:11" x14ac:dyDescent="0.25">
      <c r="A5735" t="s">
        <v>85</v>
      </c>
    </row>
    <row r="5736" spans="1:11" x14ac:dyDescent="0.25">
      <c r="A5736">
        <v>149.204742492733</v>
      </c>
      <c r="B5736">
        <v>96.7546651553196</v>
      </c>
      <c r="C5736">
        <v>2000</v>
      </c>
    </row>
    <row r="5737" spans="1:11" x14ac:dyDescent="0.25">
      <c r="A5737">
        <v>148.767726468284</v>
      </c>
      <c r="B5737">
        <v>97.191681179768395</v>
      </c>
      <c r="C5737">
        <v>2001</v>
      </c>
    </row>
    <row r="5738" spans="1:11" x14ac:dyDescent="0.25">
      <c r="A5738">
        <v>150</v>
      </c>
      <c r="B5738">
        <v>98.4239547114841</v>
      </c>
      <c r="C5738">
        <v>2001</v>
      </c>
    </row>
    <row r="5739" spans="1:11" x14ac:dyDescent="0.25">
      <c r="A5739">
        <v>150</v>
      </c>
      <c r="B5739">
        <v>97.549922662586496</v>
      </c>
      <c r="C5739">
        <v>2000</v>
      </c>
    </row>
    <row r="5740" spans="1:11" x14ac:dyDescent="0.25">
      <c r="A5740" t="s">
        <v>86</v>
      </c>
    </row>
    <row r="5741" spans="1:11" x14ac:dyDescent="0.25">
      <c r="A5741">
        <v>890</v>
      </c>
      <c r="B5741">
        <v>1</v>
      </c>
      <c r="C5741">
        <v>0.16186205772199</v>
      </c>
      <c r="D5741">
        <v>1.2680496107339401</v>
      </c>
      <c r="E5741">
        <v>6</v>
      </c>
      <c r="F5741">
        <v>1.01722196789785</v>
      </c>
      <c r="G5741" t="s">
        <v>87</v>
      </c>
      <c r="H5741" t="s">
        <v>87</v>
      </c>
      <c r="I5741">
        <v>786</v>
      </c>
      <c r="J5741">
        <v>806</v>
      </c>
      <c r="K5741">
        <v>0.114536792619501</v>
      </c>
    </row>
    <row r="5742" spans="1:11" x14ac:dyDescent="0.25">
      <c r="A5742" t="s">
        <v>85</v>
      </c>
    </row>
    <row r="5743" spans="1:11" x14ac:dyDescent="0.25">
      <c r="A5743">
        <v>5.5322925003860997</v>
      </c>
      <c r="B5743">
        <v>101.70179524492499</v>
      </c>
      <c r="C5743">
        <v>2000</v>
      </c>
    </row>
    <row r="5744" spans="1:11" x14ac:dyDescent="0.25">
      <c r="A5744">
        <v>5.4178387417540703</v>
      </c>
      <c r="B5744">
        <v>101.816249003557</v>
      </c>
      <c r="C5744">
        <v>2000</v>
      </c>
    </row>
    <row r="5745" spans="1:11" x14ac:dyDescent="0.25">
      <c r="A5745">
        <v>5.4178387417540703</v>
      </c>
      <c r="B5745">
        <v>102.69028105245501</v>
      </c>
      <c r="C5745">
        <v>2001</v>
      </c>
    </row>
    <row r="5746" spans="1:11" x14ac:dyDescent="0.25">
      <c r="A5746">
        <v>5.5322925003860997</v>
      </c>
      <c r="B5746">
        <v>102.575827293823</v>
      </c>
      <c r="C5746">
        <v>2001</v>
      </c>
    </row>
    <row r="5747" spans="1:11" x14ac:dyDescent="0.25">
      <c r="A5747">
        <v>6.4289389790170404</v>
      </c>
      <c r="B5747">
        <v>101.679180815192</v>
      </c>
      <c r="C5747">
        <v>2001</v>
      </c>
    </row>
    <row r="5748" spans="1:11" x14ac:dyDescent="0.25">
      <c r="A5748">
        <v>6.4289389790170404</v>
      </c>
      <c r="B5748">
        <v>100.805148766294</v>
      </c>
      <c r="C5748">
        <v>2000</v>
      </c>
    </row>
    <row r="5749" spans="1:11" x14ac:dyDescent="0.25">
      <c r="A5749" t="s">
        <v>86</v>
      </c>
    </row>
    <row r="5750" spans="1:11" x14ac:dyDescent="0.25">
      <c r="A5750">
        <v>226</v>
      </c>
      <c r="B5750">
        <v>1</v>
      </c>
      <c r="C5750">
        <v>5.1351539149820297E-2</v>
      </c>
      <c r="D5750">
        <v>1.37856012930611</v>
      </c>
      <c r="E5750">
        <v>6</v>
      </c>
      <c r="F5750">
        <v>1.01722196789785</v>
      </c>
      <c r="G5750" t="s">
        <v>87</v>
      </c>
      <c r="H5750" t="s">
        <v>87</v>
      </c>
      <c r="I5750">
        <v>786</v>
      </c>
      <c r="J5750">
        <v>806</v>
      </c>
      <c r="K5750">
        <v>0</v>
      </c>
    </row>
    <row r="5751" spans="1:11" x14ac:dyDescent="0.25">
      <c r="A5751" t="s">
        <v>85</v>
      </c>
    </row>
    <row r="5752" spans="1:11" x14ac:dyDescent="0.25">
      <c r="A5752">
        <v>19.773535660828198</v>
      </c>
      <c r="B5752">
        <v>116.099323879517</v>
      </c>
      <c r="C5752">
        <v>2000</v>
      </c>
    </row>
    <row r="5753" spans="1:11" x14ac:dyDescent="0.25">
      <c r="A5753">
        <v>19.737224639270998</v>
      </c>
      <c r="B5753">
        <v>116.135634901074</v>
      </c>
      <c r="C5753">
        <v>2000</v>
      </c>
    </row>
    <row r="5754" spans="1:11" x14ac:dyDescent="0.25">
      <c r="A5754">
        <v>19.737224639270998</v>
      </c>
      <c r="B5754">
        <v>117.009666949972</v>
      </c>
      <c r="C5754">
        <v>2001</v>
      </c>
    </row>
    <row r="5755" spans="1:11" x14ac:dyDescent="0.25">
      <c r="A5755">
        <v>19.773535660828198</v>
      </c>
      <c r="B5755">
        <v>116.973355928415</v>
      </c>
      <c r="C5755">
        <v>2001</v>
      </c>
    </row>
    <row r="5756" spans="1:11" x14ac:dyDescent="0.25">
      <c r="A5756">
        <v>20.748324876533999</v>
      </c>
      <c r="B5756">
        <v>115.99856671270901</v>
      </c>
      <c r="C5756">
        <v>2001</v>
      </c>
    </row>
    <row r="5757" spans="1:11" x14ac:dyDescent="0.25">
      <c r="A5757">
        <v>20.748324876533999</v>
      </c>
      <c r="B5757">
        <v>115.124534663811</v>
      </c>
      <c r="C5757">
        <v>2000</v>
      </c>
    </row>
    <row r="5758" spans="1:11" x14ac:dyDescent="0.25">
      <c r="A5758" t="s">
        <v>86</v>
      </c>
    </row>
    <row r="5759" spans="1:11" x14ac:dyDescent="0.25">
      <c r="A5759">
        <v>922</v>
      </c>
      <c r="B5759">
        <v>1</v>
      </c>
      <c r="C5759">
        <v>0.57845321422622897</v>
      </c>
      <c r="D5759">
        <v>0.84819413142015798</v>
      </c>
      <c r="E5759">
        <v>6</v>
      </c>
      <c r="F5759">
        <v>1.01722196789785</v>
      </c>
      <c r="G5759" t="s">
        <v>87</v>
      </c>
      <c r="H5759" t="s">
        <v>87</v>
      </c>
      <c r="I5759">
        <v>342</v>
      </c>
      <c r="J5759">
        <v>346</v>
      </c>
      <c r="K5759">
        <v>0.117599171048291</v>
      </c>
    </row>
    <row r="5760" spans="1:11" x14ac:dyDescent="0.25">
      <c r="A5760" t="s">
        <v>85</v>
      </c>
    </row>
    <row r="5761" spans="1:11" x14ac:dyDescent="0.25">
      <c r="A5761">
        <v>113.316602789944</v>
      </c>
      <c r="B5761">
        <v>122.669007969875</v>
      </c>
      <c r="C5761">
        <v>2000</v>
      </c>
    </row>
    <row r="5762" spans="1:11" x14ac:dyDescent="0.25">
      <c r="A5762">
        <v>112.907574599566</v>
      </c>
      <c r="B5762">
        <v>123.078036160254</v>
      </c>
      <c r="C5762">
        <v>2000</v>
      </c>
    </row>
    <row r="5763" spans="1:11" x14ac:dyDescent="0.25">
      <c r="A5763">
        <v>112.907574599566</v>
      </c>
      <c r="B5763">
        <v>123.95206820915099</v>
      </c>
      <c r="C5763">
        <v>2001</v>
      </c>
    </row>
    <row r="5764" spans="1:11" x14ac:dyDescent="0.25">
      <c r="A5764">
        <v>113.316602789944</v>
      </c>
      <c r="B5764">
        <v>123.543040018773</v>
      </c>
      <c r="C5764">
        <v>2001</v>
      </c>
    </row>
    <row r="5765" spans="1:11" x14ac:dyDescent="0.25">
      <c r="A5765">
        <v>113.916366612034</v>
      </c>
      <c r="B5765">
        <v>122.943276196683</v>
      </c>
      <c r="C5765">
        <v>2001</v>
      </c>
    </row>
    <row r="5766" spans="1:11" x14ac:dyDescent="0.25">
      <c r="A5766">
        <v>113.916366612034</v>
      </c>
      <c r="B5766">
        <v>122.069244147785</v>
      </c>
      <c r="C5766">
        <v>2000</v>
      </c>
    </row>
    <row r="5767" spans="1:11" x14ac:dyDescent="0.25">
      <c r="A5767" t="s">
        <v>86</v>
      </c>
    </row>
    <row r="5768" spans="1:11" x14ac:dyDescent="0.25">
      <c r="A5768">
        <v>1019</v>
      </c>
      <c r="B5768">
        <v>1</v>
      </c>
      <c r="C5768">
        <v>0.46433505712879303</v>
      </c>
      <c r="D5768">
        <v>0.96231228851759498</v>
      </c>
      <c r="E5768">
        <v>6</v>
      </c>
      <c r="F5768">
        <v>1.01722196789785</v>
      </c>
      <c r="G5768" t="s">
        <v>87</v>
      </c>
      <c r="H5768" t="s">
        <v>87</v>
      </c>
      <c r="I5768">
        <v>342</v>
      </c>
      <c r="J5768">
        <v>346</v>
      </c>
      <c r="K5768">
        <v>0.121125394062888</v>
      </c>
    </row>
    <row r="5769" spans="1:11" x14ac:dyDescent="0.25">
      <c r="A5769" t="s">
        <v>85</v>
      </c>
    </row>
    <row r="5770" spans="1:11" x14ac:dyDescent="0.25">
      <c r="A5770">
        <v>74.361981924317206</v>
      </c>
      <c r="B5770">
        <v>83.875774549728206</v>
      </c>
      <c r="C5770">
        <v>2000</v>
      </c>
    </row>
    <row r="5771" spans="1:11" x14ac:dyDescent="0.25">
      <c r="A5771">
        <v>74.033647456678807</v>
      </c>
      <c r="B5771">
        <v>84.204109017366605</v>
      </c>
      <c r="C5771">
        <v>2000</v>
      </c>
    </row>
    <row r="5772" spans="1:11" x14ac:dyDescent="0.25">
      <c r="A5772">
        <v>73.159615407781104</v>
      </c>
      <c r="B5772">
        <v>84.204109017366605</v>
      </c>
      <c r="C5772">
        <v>2001</v>
      </c>
    </row>
    <row r="5773" spans="1:11" x14ac:dyDescent="0.25">
      <c r="A5773">
        <v>73.487949875419602</v>
      </c>
      <c r="B5773">
        <v>83.875774549728206</v>
      </c>
      <c r="C5773">
        <v>2001</v>
      </c>
    </row>
    <row r="5774" spans="1:11" x14ac:dyDescent="0.25">
      <c r="A5774">
        <v>74.168407420249494</v>
      </c>
      <c r="B5774">
        <v>83.1953170048983</v>
      </c>
      <c r="C5774">
        <v>2001</v>
      </c>
    </row>
    <row r="5775" spans="1:11" x14ac:dyDescent="0.25">
      <c r="A5775">
        <v>75.042439469147098</v>
      </c>
      <c r="B5775">
        <v>83.1953170048983</v>
      </c>
      <c r="C5775">
        <v>2000</v>
      </c>
    </row>
    <row r="5776" spans="1:11" x14ac:dyDescent="0.25">
      <c r="A5776" t="s">
        <v>86</v>
      </c>
    </row>
    <row r="5777" spans="1:11" x14ac:dyDescent="0.25">
      <c r="A5777">
        <v>918</v>
      </c>
      <c r="B5777">
        <v>1</v>
      </c>
      <c r="C5777">
        <v>1.30433814610034</v>
      </c>
      <c r="D5777">
        <v>0.100487734573825</v>
      </c>
      <c r="E5777">
        <v>6</v>
      </c>
      <c r="F5777">
        <v>1.01722196789785</v>
      </c>
      <c r="G5777" t="s">
        <v>87</v>
      </c>
      <c r="H5777" t="s">
        <v>87</v>
      </c>
      <c r="I5777">
        <v>32</v>
      </c>
      <c r="J5777">
        <v>753</v>
      </c>
      <c r="K5777">
        <v>0.11722927267913701</v>
      </c>
    </row>
    <row r="5778" spans="1:11" x14ac:dyDescent="0.25">
      <c r="A5778" t="s">
        <v>85</v>
      </c>
    </row>
    <row r="5779" spans="1:11" x14ac:dyDescent="0.25">
      <c r="A5779">
        <v>19.2974079492983</v>
      </c>
      <c r="B5779">
        <v>29.766257430958198</v>
      </c>
      <c r="C5779">
        <v>2000</v>
      </c>
    </row>
    <row r="5780" spans="1:11" x14ac:dyDescent="0.25">
      <c r="A5780">
        <v>18.780857701674901</v>
      </c>
      <c r="B5780">
        <v>30.282807678581602</v>
      </c>
      <c r="C5780">
        <v>2000</v>
      </c>
    </row>
    <row r="5781" spans="1:11" x14ac:dyDescent="0.25">
      <c r="A5781">
        <v>17.906825652777201</v>
      </c>
      <c r="B5781">
        <v>30.282807678581602</v>
      </c>
      <c r="C5781">
        <v>2001</v>
      </c>
    </row>
    <row r="5782" spans="1:11" x14ac:dyDescent="0.25">
      <c r="A5782">
        <v>19.234888101289499</v>
      </c>
      <c r="B5782">
        <v>28.9547452300693</v>
      </c>
      <c r="C5782">
        <v>2001</v>
      </c>
    </row>
    <row r="5783" spans="1:11" x14ac:dyDescent="0.25">
      <c r="A5783">
        <v>19.337203583837098</v>
      </c>
      <c r="B5783">
        <v>28.8524297475217</v>
      </c>
      <c r="C5783">
        <v>2001</v>
      </c>
    </row>
    <row r="5784" spans="1:11" x14ac:dyDescent="0.25">
      <c r="A5784">
        <v>19.337203583837098</v>
      </c>
      <c r="B5784">
        <v>29.7264617964194</v>
      </c>
      <c r="C5784">
        <v>2000</v>
      </c>
    </row>
    <row r="5785" spans="1:11" x14ac:dyDescent="0.25">
      <c r="A5785" t="s">
        <v>86</v>
      </c>
    </row>
    <row r="5786" spans="1:11" x14ac:dyDescent="0.25">
      <c r="A5786">
        <v>1041</v>
      </c>
      <c r="B5786">
        <v>1</v>
      </c>
      <c r="C5786">
        <v>9.5444139748160198E-2</v>
      </c>
      <c r="D5786">
        <v>1.30938174092601</v>
      </c>
      <c r="E5786">
        <v>6</v>
      </c>
      <c r="F5786">
        <v>1.01722196789785</v>
      </c>
      <c r="G5786" t="s">
        <v>87</v>
      </c>
      <c r="H5786" t="s">
        <v>87</v>
      </c>
      <c r="I5786">
        <v>32</v>
      </c>
      <c r="J5786">
        <v>753</v>
      </c>
      <c r="K5786">
        <v>0.12221412765037699</v>
      </c>
    </row>
    <row r="5787" spans="1:11" x14ac:dyDescent="0.25">
      <c r="A5787" t="s">
        <v>85</v>
      </c>
    </row>
    <row r="5788" spans="1:11" x14ac:dyDescent="0.25">
      <c r="A5788">
        <v>26.272123601413899</v>
      </c>
      <c r="B5788">
        <v>37.698477086462198</v>
      </c>
      <c r="C5788">
        <v>2000</v>
      </c>
    </row>
    <row r="5789" spans="1:11" x14ac:dyDescent="0.25">
      <c r="A5789">
        <v>26.2343253554847</v>
      </c>
      <c r="B5789">
        <v>37.736275332391401</v>
      </c>
      <c r="C5789">
        <v>2000</v>
      </c>
    </row>
    <row r="5790" spans="1:11" x14ac:dyDescent="0.25">
      <c r="A5790">
        <v>25.360293306587</v>
      </c>
      <c r="B5790">
        <v>37.736275332391401</v>
      </c>
      <c r="C5790">
        <v>2001</v>
      </c>
    </row>
    <row r="5791" spans="1:11" x14ac:dyDescent="0.25">
      <c r="A5791">
        <v>25.457473457538701</v>
      </c>
      <c r="B5791">
        <v>37.6390951814397</v>
      </c>
      <c r="C5791">
        <v>2001</v>
      </c>
    </row>
    <row r="5792" spans="1:11" x14ac:dyDescent="0.25">
      <c r="A5792">
        <v>26.790671237646901</v>
      </c>
      <c r="B5792">
        <v>36.305897401331499</v>
      </c>
      <c r="C5792">
        <v>2001</v>
      </c>
    </row>
    <row r="5793" spans="1:11" x14ac:dyDescent="0.25">
      <c r="A5793">
        <v>26.790671237646901</v>
      </c>
      <c r="B5793">
        <v>37.179929450229203</v>
      </c>
      <c r="C5793">
        <v>2000</v>
      </c>
    </row>
    <row r="5794" spans="1:11" x14ac:dyDescent="0.25">
      <c r="A5794" t="s">
        <v>86</v>
      </c>
    </row>
    <row r="5795" spans="1:11" x14ac:dyDescent="0.25">
      <c r="A5795">
        <v>1073</v>
      </c>
      <c r="B5795">
        <v>1</v>
      </c>
      <c r="C5795">
        <v>0.987768853321072</v>
      </c>
      <c r="D5795">
        <v>0.41705702735309602</v>
      </c>
      <c r="E5795">
        <v>6</v>
      </c>
      <c r="F5795">
        <v>1.01722196789785</v>
      </c>
      <c r="G5795" t="s">
        <v>87</v>
      </c>
      <c r="H5795" t="s">
        <v>87</v>
      </c>
      <c r="I5795">
        <v>32</v>
      </c>
      <c r="J5795">
        <v>753</v>
      </c>
      <c r="K5795">
        <v>0.12297972043158099</v>
      </c>
    </row>
    <row r="5796" spans="1:11" x14ac:dyDescent="0.25">
      <c r="A5796" t="s">
        <v>85</v>
      </c>
    </row>
    <row r="5797" spans="1:11" x14ac:dyDescent="0.25">
      <c r="A5797">
        <v>36.1839828416174</v>
      </c>
      <c r="B5797">
        <v>46.903570902170998</v>
      </c>
      <c r="C5797">
        <v>2000</v>
      </c>
    </row>
    <row r="5798" spans="1:11" x14ac:dyDescent="0.25">
      <c r="A5798">
        <v>35.792801883440802</v>
      </c>
      <c r="B5798">
        <v>47.294751860347603</v>
      </c>
      <c r="C5798">
        <v>2000</v>
      </c>
    </row>
    <row r="5799" spans="1:11" x14ac:dyDescent="0.25">
      <c r="A5799">
        <v>35.792801883440802</v>
      </c>
      <c r="B5799">
        <v>48.168783909245199</v>
      </c>
      <c r="C5799">
        <v>2001</v>
      </c>
    </row>
    <row r="5800" spans="1:11" x14ac:dyDescent="0.25">
      <c r="A5800">
        <v>36.798537034120699</v>
      </c>
      <c r="B5800">
        <v>47.163048758565303</v>
      </c>
      <c r="C5800">
        <v>2001</v>
      </c>
    </row>
    <row r="5801" spans="1:11" x14ac:dyDescent="0.25">
      <c r="A5801">
        <v>37.223179814500703</v>
      </c>
      <c r="B5801">
        <v>46.738405978185298</v>
      </c>
      <c r="C5801">
        <v>2001</v>
      </c>
    </row>
    <row r="5802" spans="1:11" x14ac:dyDescent="0.25">
      <c r="A5802">
        <v>36.349147765603099</v>
      </c>
      <c r="B5802">
        <v>46.738405978185298</v>
      </c>
      <c r="C5802">
        <v>2000</v>
      </c>
    </row>
    <row r="5803" spans="1:11" x14ac:dyDescent="0.25">
      <c r="A5803" t="s">
        <v>86</v>
      </c>
    </row>
    <row r="5804" spans="1:11" x14ac:dyDescent="0.25">
      <c r="A5804">
        <v>924</v>
      </c>
      <c r="B5804">
        <v>1</v>
      </c>
      <c r="C5804">
        <v>1.07411641899457</v>
      </c>
      <c r="D5804">
        <v>0.33070946167959597</v>
      </c>
      <c r="E5804">
        <v>6</v>
      </c>
      <c r="F5804">
        <v>1.01722196789785</v>
      </c>
      <c r="G5804" t="s">
        <v>87</v>
      </c>
      <c r="H5804" t="s">
        <v>87</v>
      </c>
      <c r="I5804">
        <v>32</v>
      </c>
      <c r="J5804">
        <v>753</v>
      </c>
      <c r="K5804">
        <v>0.117599171048291</v>
      </c>
    </row>
    <row r="5805" spans="1:11" x14ac:dyDescent="0.25">
      <c r="A5805" t="s">
        <v>85</v>
      </c>
    </row>
    <row r="5806" spans="1:11" x14ac:dyDescent="0.25">
      <c r="A5806">
        <v>34.578445441207599</v>
      </c>
      <c r="B5806">
        <v>45.229641947678999</v>
      </c>
      <c r="C5806">
        <v>2000</v>
      </c>
    </row>
    <row r="5807" spans="1:11" x14ac:dyDescent="0.25">
      <c r="A5807">
        <v>34.153068705989902</v>
      </c>
      <c r="B5807">
        <v>45.655018682896603</v>
      </c>
      <c r="C5807">
        <v>2000</v>
      </c>
    </row>
    <row r="5808" spans="1:11" x14ac:dyDescent="0.25">
      <c r="A5808">
        <v>33.279036657092298</v>
      </c>
      <c r="B5808">
        <v>45.655018682896603</v>
      </c>
      <c r="C5808">
        <v>2001</v>
      </c>
    </row>
    <row r="5809" spans="1:11" x14ac:dyDescent="0.25">
      <c r="A5809">
        <v>34.372689929184297</v>
      </c>
      <c r="B5809">
        <v>44.561365410804598</v>
      </c>
      <c r="C5809">
        <v>2001</v>
      </c>
    </row>
    <row r="5810" spans="1:11" x14ac:dyDescent="0.25">
      <c r="A5810">
        <v>34.7094145881522</v>
      </c>
      <c r="B5810">
        <v>44.224640751836702</v>
      </c>
      <c r="C5810">
        <v>2001</v>
      </c>
    </row>
    <row r="5811" spans="1:11" x14ac:dyDescent="0.25">
      <c r="A5811">
        <v>34.7094145881522</v>
      </c>
      <c r="B5811">
        <v>45.098672800734398</v>
      </c>
      <c r="C5811">
        <v>2000</v>
      </c>
    </row>
    <row r="5812" spans="1:11" x14ac:dyDescent="0.25">
      <c r="A5812" t="s">
        <v>86</v>
      </c>
    </row>
    <row r="5813" spans="1:11" x14ac:dyDescent="0.25">
      <c r="A5813">
        <v>1091</v>
      </c>
      <c r="B5813">
        <v>1</v>
      </c>
      <c r="C5813">
        <v>1.1385916800597999</v>
      </c>
      <c r="D5813">
        <v>0.26623420061436298</v>
      </c>
      <c r="E5813">
        <v>6</v>
      </c>
      <c r="F5813">
        <v>1.01722196789785</v>
      </c>
      <c r="G5813" t="s">
        <v>87</v>
      </c>
      <c r="H5813" t="s">
        <v>87</v>
      </c>
      <c r="I5813">
        <v>32</v>
      </c>
      <c r="J5813">
        <v>753</v>
      </c>
      <c r="K5813">
        <v>0.123707222271514</v>
      </c>
    </row>
    <row r="5814" spans="1:11" x14ac:dyDescent="0.25">
      <c r="A5814" t="s">
        <v>85</v>
      </c>
    </row>
    <row r="5815" spans="1:11" x14ac:dyDescent="0.25">
      <c r="A5815">
        <v>0.65443726757666998</v>
      </c>
      <c r="B5815">
        <v>11.2545661698866</v>
      </c>
      <c r="C5815">
        <v>2000</v>
      </c>
    </row>
    <row r="5816" spans="1:11" x14ac:dyDescent="0.25">
      <c r="A5816">
        <v>0.203526730278281</v>
      </c>
      <c r="B5816">
        <v>11.705476707184999</v>
      </c>
      <c r="C5816">
        <v>2000</v>
      </c>
    </row>
    <row r="5817" spans="1:11" x14ac:dyDescent="0.25">
      <c r="A5817">
        <v>0.203526730278284</v>
      </c>
      <c r="B5817">
        <v>12.579508756082699</v>
      </c>
      <c r="C5817">
        <v>2001</v>
      </c>
    </row>
    <row r="5818" spans="1:11" x14ac:dyDescent="0.25">
      <c r="A5818">
        <v>1.3628279889256301</v>
      </c>
      <c r="B5818">
        <v>11.4202074974353</v>
      </c>
      <c r="C5818">
        <v>2001</v>
      </c>
    </row>
    <row r="5819" spans="1:11" x14ac:dyDescent="0.25">
      <c r="A5819">
        <v>1.63390466133816</v>
      </c>
      <c r="B5819">
        <v>11.1491308250228</v>
      </c>
      <c r="C5819">
        <v>2001</v>
      </c>
    </row>
    <row r="5820" spans="1:11" x14ac:dyDescent="0.25">
      <c r="A5820">
        <v>0.75987261244053195</v>
      </c>
      <c r="B5820">
        <v>11.1491308250228</v>
      </c>
      <c r="C5820">
        <v>2000</v>
      </c>
    </row>
    <row r="5821" spans="1:11" x14ac:dyDescent="0.25">
      <c r="A5821" t="s">
        <v>86</v>
      </c>
    </row>
    <row r="5822" spans="1:11" x14ac:dyDescent="0.25">
      <c r="A5822">
        <v>74</v>
      </c>
      <c r="B5822">
        <v>1</v>
      </c>
      <c r="C5822">
        <v>1.1244953372965201</v>
      </c>
      <c r="D5822">
        <v>0.28033054337765201</v>
      </c>
      <c r="E5822">
        <v>6</v>
      </c>
      <c r="F5822">
        <v>1.01722196789785</v>
      </c>
      <c r="G5822" t="s">
        <v>87</v>
      </c>
      <c r="H5822" t="s">
        <v>87</v>
      </c>
      <c r="I5822">
        <v>32</v>
      </c>
      <c r="J5822">
        <v>753</v>
      </c>
      <c r="K5822">
        <v>0</v>
      </c>
    </row>
    <row r="5823" spans="1:11" x14ac:dyDescent="0.25">
      <c r="A5823" t="s">
        <v>85</v>
      </c>
    </row>
    <row r="5824" spans="1:11" x14ac:dyDescent="0.25">
      <c r="A5824">
        <v>17.766774996970401</v>
      </c>
      <c r="B5824">
        <v>28.378068901801701</v>
      </c>
      <c r="C5824">
        <v>2000</v>
      </c>
    </row>
    <row r="5825" spans="1:11" x14ac:dyDescent="0.25">
      <c r="A5825">
        <v>17.3214469609327</v>
      </c>
      <c r="B5825">
        <v>28.823396937839401</v>
      </c>
      <c r="C5825">
        <v>2000</v>
      </c>
    </row>
    <row r="5826" spans="1:11" x14ac:dyDescent="0.25">
      <c r="A5826">
        <v>16.447414912035001</v>
      </c>
      <c r="B5826">
        <v>28.823396937839401</v>
      </c>
      <c r="C5826">
        <v>2001</v>
      </c>
    </row>
    <row r="5827" spans="1:11" x14ac:dyDescent="0.25">
      <c r="A5827">
        <v>17.592363432827401</v>
      </c>
      <c r="B5827">
        <v>27.6784484170471</v>
      </c>
      <c r="C5827">
        <v>2001</v>
      </c>
    </row>
    <row r="5828" spans="1:11" x14ac:dyDescent="0.25">
      <c r="A5828">
        <v>17.877792843094898</v>
      </c>
      <c r="B5828">
        <v>27.3930190067795</v>
      </c>
      <c r="C5828">
        <v>2001</v>
      </c>
    </row>
    <row r="5829" spans="1:11" x14ac:dyDescent="0.25">
      <c r="A5829">
        <v>17.877792843094898</v>
      </c>
      <c r="B5829">
        <v>28.2670510556772</v>
      </c>
      <c r="C5829">
        <v>2000</v>
      </c>
    </row>
    <row r="5830" spans="1:11" x14ac:dyDescent="0.25">
      <c r="A5830" t="s">
        <v>86</v>
      </c>
    </row>
    <row r="5831" spans="1:11" x14ac:dyDescent="0.25">
      <c r="A5831">
        <v>1060</v>
      </c>
      <c r="B5831">
        <v>1</v>
      </c>
      <c r="C5831">
        <v>1.1832669773026201</v>
      </c>
      <c r="D5831">
        <v>0.20479081261090201</v>
      </c>
      <c r="E5831">
        <v>6</v>
      </c>
      <c r="F5831">
        <v>1.01722196789785</v>
      </c>
      <c r="G5831" t="s">
        <v>87</v>
      </c>
      <c r="H5831" t="s">
        <v>87</v>
      </c>
      <c r="I5831">
        <v>589</v>
      </c>
      <c r="J5831">
        <v>591</v>
      </c>
      <c r="K5831">
        <v>0.121949590810518</v>
      </c>
    </row>
    <row r="5832" spans="1:11" x14ac:dyDescent="0.25">
      <c r="A5832" t="s">
        <v>85</v>
      </c>
    </row>
    <row r="5833" spans="1:11" x14ac:dyDescent="0.25">
      <c r="A5833">
        <v>144.24321497942401</v>
      </c>
      <c r="B5833">
        <v>93.745961840611898</v>
      </c>
      <c r="C5833">
        <v>2000</v>
      </c>
    </row>
    <row r="5834" spans="1:11" x14ac:dyDescent="0.25">
      <c r="A5834">
        <v>143.40651887582001</v>
      </c>
      <c r="B5834">
        <v>94.582657944216706</v>
      </c>
      <c r="C5834">
        <v>2000</v>
      </c>
    </row>
    <row r="5835" spans="1:11" x14ac:dyDescent="0.25">
      <c r="A5835">
        <v>144.28055092471701</v>
      </c>
      <c r="B5835">
        <v>94.582657944216706</v>
      </c>
      <c r="C5835">
        <v>2001</v>
      </c>
    </row>
    <row r="5836" spans="1:11" x14ac:dyDescent="0.25">
      <c r="A5836">
        <v>145.117247028322</v>
      </c>
      <c r="B5836">
        <v>93.745961840611898</v>
      </c>
      <c r="C5836">
        <v>2001</v>
      </c>
    </row>
    <row r="5837" spans="1:11" x14ac:dyDescent="0.25">
      <c r="A5837">
        <v>145.26205600064401</v>
      </c>
      <c r="B5837">
        <v>93.601152868290001</v>
      </c>
      <c r="C5837">
        <v>2001</v>
      </c>
    </row>
    <row r="5838" spans="1:11" x14ac:dyDescent="0.25">
      <c r="A5838">
        <v>144.38802395174599</v>
      </c>
      <c r="B5838">
        <v>93.601152868290001</v>
      </c>
      <c r="C5838">
        <v>2000</v>
      </c>
    </row>
    <row r="5839" spans="1:11" x14ac:dyDescent="0.25">
      <c r="A5839" t="s">
        <v>86</v>
      </c>
    </row>
    <row r="5840" spans="1:11" x14ac:dyDescent="0.25">
      <c r="A5840">
        <v>73</v>
      </c>
      <c r="B5840">
        <v>1</v>
      </c>
      <c r="C5840">
        <v>0.53164423277656803</v>
      </c>
      <c r="D5840">
        <v>0.85558166725044804</v>
      </c>
      <c r="E5840">
        <v>6</v>
      </c>
      <c r="F5840">
        <v>1.01722196789785</v>
      </c>
      <c r="G5840" t="s">
        <v>87</v>
      </c>
      <c r="H5840" t="s">
        <v>87</v>
      </c>
      <c r="I5840">
        <v>796</v>
      </c>
      <c r="J5840">
        <v>813</v>
      </c>
      <c r="K5840">
        <v>0</v>
      </c>
    </row>
    <row r="5841" spans="1:11" x14ac:dyDescent="0.25">
      <c r="A5841" t="s">
        <v>85</v>
      </c>
    </row>
    <row r="5842" spans="1:11" x14ac:dyDescent="0.25">
      <c r="A5842">
        <v>38.213375865032297</v>
      </c>
      <c r="B5842">
        <v>14.8428089833077</v>
      </c>
      <c r="C5842">
        <v>2000</v>
      </c>
    </row>
    <row r="5843" spans="1:11" x14ac:dyDescent="0.25">
      <c r="A5843">
        <v>38.004929834513398</v>
      </c>
      <c r="B5843">
        <v>15.0512550138265</v>
      </c>
      <c r="C5843">
        <v>2000</v>
      </c>
    </row>
    <row r="5844" spans="1:11" x14ac:dyDescent="0.25">
      <c r="A5844">
        <v>38.004929834513398</v>
      </c>
      <c r="B5844">
        <v>15.9252870627242</v>
      </c>
      <c r="C5844">
        <v>2001</v>
      </c>
    </row>
    <row r="5845" spans="1:11" x14ac:dyDescent="0.25">
      <c r="A5845">
        <v>38.5483422883446</v>
      </c>
      <c r="B5845">
        <v>15.3818746088929</v>
      </c>
      <c r="C5845">
        <v>2001</v>
      </c>
    </row>
    <row r="5846" spans="1:11" x14ac:dyDescent="0.25">
      <c r="A5846">
        <v>39.422862699908897</v>
      </c>
      <c r="B5846">
        <v>14.507354197328601</v>
      </c>
      <c r="C5846">
        <v>2001</v>
      </c>
    </row>
    <row r="5847" spans="1:11" x14ac:dyDescent="0.25">
      <c r="A5847">
        <v>38.548830651011301</v>
      </c>
      <c r="B5847">
        <v>14.507354197328601</v>
      </c>
      <c r="C5847">
        <v>2000</v>
      </c>
    </row>
    <row r="5848" spans="1:11" x14ac:dyDescent="0.25">
      <c r="A5848" t="s">
        <v>86</v>
      </c>
    </row>
    <row r="5849" spans="1:11" x14ac:dyDescent="0.25">
      <c r="A5849">
        <v>143</v>
      </c>
      <c r="B5849">
        <v>1</v>
      </c>
      <c r="C5849">
        <v>0.98284550872263698</v>
      </c>
      <c r="D5849">
        <v>0.40214435281734101</v>
      </c>
      <c r="E5849">
        <v>6</v>
      </c>
      <c r="F5849">
        <v>1.01722196789785</v>
      </c>
      <c r="G5849" t="s">
        <v>87</v>
      </c>
      <c r="H5849" t="s">
        <v>87</v>
      </c>
      <c r="I5849">
        <v>743</v>
      </c>
      <c r="J5849">
        <v>116</v>
      </c>
      <c r="K5849">
        <v>0</v>
      </c>
    </row>
    <row r="5850" spans="1:11" x14ac:dyDescent="0.25">
      <c r="A5850" t="s">
        <v>85</v>
      </c>
    </row>
    <row r="5851" spans="1:11" x14ac:dyDescent="0.25">
      <c r="A5851">
        <v>13.349156192666401</v>
      </c>
      <c r="B5851">
        <v>51.532394024800297</v>
      </c>
      <c r="C5851">
        <v>2000</v>
      </c>
    </row>
    <row r="5852" spans="1:11" x14ac:dyDescent="0.25">
      <c r="A5852">
        <v>12.6541794685899</v>
      </c>
      <c r="B5852">
        <v>52.227370748876901</v>
      </c>
      <c r="C5852">
        <v>2000</v>
      </c>
    </row>
    <row r="5853" spans="1:11" x14ac:dyDescent="0.25">
      <c r="A5853">
        <v>12.6541794685899</v>
      </c>
      <c r="B5853">
        <v>53.101402797774497</v>
      </c>
      <c r="C5853">
        <v>2001</v>
      </c>
    </row>
    <row r="5854" spans="1:11" x14ac:dyDescent="0.25">
      <c r="A5854">
        <v>13.349156192666401</v>
      </c>
      <c r="B5854">
        <v>52.406426073698</v>
      </c>
      <c r="C5854">
        <v>2001</v>
      </c>
    </row>
    <row r="5855" spans="1:11" x14ac:dyDescent="0.25">
      <c r="A5855">
        <v>13.6335151915594</v>
      </c>
      <c r="B5855">
        <v>52.122067074805003</v>
      </c>
      <c r="C5855">
        <v>2001</v>
      </c>
    </row>
    <row r="5856" spans="1:11" x14ac:dyDescent="0.25">
      <c r="A5856">
        <v>13.6335151915594</v>
      </c>
      <c r="B5856">
        <v>51.248035025907299</v>
      </c>
      <c r="C5856">
        <v>2000</v>
      </c>
    </row>
    <row r="5857" spans="1:11" x14ac:dyDescent="0.25">
      <c r="A5857" t="s">
        <v>86</v>
      </c>
    </row>
    <row r="5858" spans="1:11" x14ac:dyDescent="0.25">
      <c r="A5858">
        <v>1115</v>
      </c>
      <c r="B5858">
        <v>1</v>
      </c>
      <c r="C5858">
        <v>0.84247118207969196</v>
      </c>
      <c r="D5858">
        <v>0.52559033189361104</v>
      </c>
      <c r="E5858">
        <v>6</v>
      </c>
      <c r="F5858">
        <v>1.01722196789785</v>
      </c>
      <c r="G5858" t="s">
        <v>84</v>
      </c>
      <c r="H5858" t="s">
        <v>87</v>
      </c>
      <c r="I5858">
        <v>611</v>
      </c>
      <c r="J5858">
        <v>733</v>
      </c>
      <c r="K5858">
        <v>0.12417311997009001</v>
      </c>
    </row>
    <row r="5859" spans="1:11" x14ac:dyDescent="0.25">
      <c r="A5859" t="s">
        <v>85</v>
      </c>
    </row>
    <row r="5860" spans="1:11" x14ac:dyDescent="0.25">
      <c r="A5860">
        <v>135.029085182735</v>
      </c>
      <c r="B5860">
        <v>81.6681015148733</v>
      </c>
      <c r="C5860">
        <v>2000</v>
      </c>
    </row>
    <row r="5861" spans="1:11" x14ac:dyDescent="0.25">
      <c r="A5861">
        <v>134.567928349868</v>
      </c>
      <c r="B5861">
        <v>82.129258347739906</v>
      </c>
      <c r="C5861">
        <v>2000</v>
      </c>
    </row>
    <row r="5862" spans="1:11" x14ac:dyDescent="0.25">
      <c r="A5862">
        <v>135.00494437431701</v>
      </c>
      <c r="B5862">
        <v>82.566274372188701</v>
      </c>
      <c r="C5862">
        <v>2001</v>
      </c>
    </row>
    <row r="5863" spans="1:11" x14ac:dyDescent="0.25">
      <c r="A5863">
        <v>135.73522171305601</v>
      </c>
      <c r="B5863">
        <v>81.835997033449701</v>
      </c>
      <c r="C5863">
        <v>2001</v>
      </c>
    </row>
    <row r="5864" spans="1:11" x14ac:dyDescent="0.25">
      <c r="A5864">
        <v>136.190817960152</v>
      </c>
      <c r="B5864">
        <v>81.380400786353505</v>
      </c>
      <c r="C5864">
        <v>2001</v>
      </c>
    </row>
    <row r="5865" spans="1:11" x14ac:dyDescent="0.25">
      <c r="A5865">
        <v>135.31678591125501</v>
      </c>
      <c r="B5865">
        <v>81.380400786353405</v>
      </c>
      <c r="C5865">
        <v>2000</v>
      </c>
    </row>
    <row r="5866" spans="1:11" x14ac:dyDescent="0.25">
      <c r="A5866" t="s">
        <v>86</v>
      </c>
    </row>
    <row r="5867" spans="1:11" x14ac:dyDescent="0.25">
      <c r="A5867">
        <v>1067</v>
      </c>
      <c r="B5867">
        <v>1</v>
      </c>
      <c r="C5867">
        <v>0.89470884225620795</v>
      </c>
      <c r="D5867">
        <v>0.47226347202753499</v>
      </c>
      <c r="E5867">
        <v>6</v>
      </c>
      <c r="F5867">
        <v>1.01722196789785</v>
      </c>
      <c r="G5867" t="s">
        <v>87</v>
      </c>
      <c r="H5867" t="s">
        <v>87</v>
      </c>
      <c r="I5867">
        <v>117</v>
      </c>
      <c r="J5867">
        <v>427</v>
      </c>
      <c r="K5867">
        <v>0.12322624704732001</v>
      </c>
    </row>
    <row r="5868" spans="1:11" x14ac:dyDescent="0.25">
      <c r="A5868" t="s">
        <v>85</v>
      </c>
    </row>
    <row r="5869" spans="1:11" x14ac:dyDescent="0.25">
      <c r="A5869">
        <v>56.916989975579099</v>
      </c>
      <c r="B5869">
        <v>106.365569858516</v>
      </c>
      <c r="C5869">
        <v>2000</v>
      </c>
    </row>
    <row r="5870" spans="1:11" x14ac:dyDescent="0.25">
      <c r="A5870">
        <v>56.284335286032203</v>
      </c>
      <c r="B5870">
        <v>106.99822454806301</v>
      </c>
      <c r="C5870">
        <v>2000</v>
      </c>
    </row>
    <row r="5871" spans="1:11" x14ac:dyDescent="0.25">
      <c r="A5871">
        <v>57.1583673349298</v>
      </c>
      <c r="B5871">
        <v>106.99822454806301</v>
      </c>
      <c r="C5871">
        <v>2001</v>
      </c>
    </row>
    <row r="5872" spans="1:11" x14ac:dyDescent="0.25">
      <c r="A5872">
        <v>57.791022024476803</v>
      </c>
      <c r="B5872">
        <v>106.365569858516</v>
      </c>
      <c r="C5872">
        <v>2001</v>
      </c>
    </row>
    <row r="5873" spans="1:11" x14ac:dyDescent="0.25">
      <c r="A5873">
        <v>58.124962728054101</v>
      </c>
      <c r="B5873">
        <v>106.031629154939</v>
      </c>
      <c r="C5873">
        <v>2001</v>
      </c>
    </row>
    <row r="5874" spans="1:11" x14ac:dyDescent="0.25">
      <c r="A5874">
        <v>57.250930679156497</v>
      </c>
      <c r="B5874">
        <v>106.031629154939</v>
      </c>
      <c r="C5874">
        <v>2000</v>
      </c>
    </row>
    <row r="5875" spans="1:11" x14ac:dyDescent="0.25">
      <c r="A5875" t="s">
        <v>86</v>
      </c>
    </row>
    <row r="5876" spans="1:11" x14ac:dyDescent="0.25">
      <c r="A5876">
        <v>1145</v>
      </c>
      <c r="B5876">
        <v>1</v>
      </c>
      <c r="C5876">
        <v>0.88298235422409599</v>
      </c>
      <c r="D5876">
        <v>0.45288239190325003</v>
      </c>
      <c r="E5876">
        <v>6</v>
      </c>
      <c r="F5876">
        <v>1.01722196789785</v>
      </c>
      <c r="G5876" t="s">
        <v>87</v>
      </c>
      <c r="H5876" t="s">
        <v>87</v>
      </c>
      <c r="I5876">
        <v>812</v>
      </c>
      <c r="J5876">
        <v>351</v>
      </c>
      <c r="K5876">
        <v>0.124845976961483</v>
      </c>
    </row>
    <row r="5877" spans="1:11" x14ac:dyDescent="0.25">
      <c r="A5877" t="s">
        <v>85</v>
      </c>
    </row>
    <row r="5878" spans="1:11" x14ac:dyDescent="0.25">
      <c r="A5878">
        <v>49.062599982663798</v>
      </c>
      <c r="B5878">
        <v>60.661218750555499</v>
      </c>
      <c r="C5878">
        <v>2000</v>
      </c>
    </row>
    <row r="5879" spans="1:11" x14ac:dyDescent="0.25">
      <c r="A5879">
        <v>48.727096833618297</v>
      </c>
      <c r="B5879">
        <v>60.996721899600999</v>
      </c>
      <c r="C5879">
        <v>2000</v>
      </c>
    </row>
    <row r="5880" spans="1:11" x14ac:dyDescent="0.25">
      <c r="A5880">
        <v>47.853064784720701</v>
      </c>
      <c r="B5880">
        <v>60.996721899600999</v>
      </c>
      <c r="C5880">
        <v>2001</v>
      </c>
    </row>
    <row r="5881" spans="1:11" x14ac:dyDescent="0.25">
      <c r="A5881">
        <v>48.766287256355</v>
      </c>
      <c r="B5881">
        <v>60.0834994279667</v>
      </c>
      <c r="C5881">
        <v>2001</v>
      </c>
    </row>
    <row r="5882" spans="1:11" x14ac:dyDescent="0.25">
      <c r="A5882">
        <v>49.234679829904202</v>
      </c>
      <c r="B5882">
        <v>59.615106854417498</v>
      </c>
      <c r="C5882">
        <v>2001</v>
      </c>
    </row>
    <row r="5883" spans="1:11" x14ac:dyDescent="0.25">
      <c r="A5883">
        <v>49.234679829904202</v>
      </c>
      <c r="B5883">
        <v>60.489138903315201</v>
      </c>
      <c r="C5883">
        <v>2000</v>
      </c>
    </row>
    <row r="5884" spans="1:11" x14ac:dyDescent="0.25">
      <c r="A5884" t="s">
        <v>86</v>
      </c>
    </row>
    <row r="5885" spans="1:11" x14ac:dyDescent="0.25">
      <c r="A5885">
        <v>637</v>
      </c>
      <c r="B5885">
        <v>1</v>
      </c>
      <c r="C5885">
        <v>0.43874559804346802</v>
      </c>
      <c r="D5885">
        <v>0.89071605397535303</v>
      </c>
      <c r="E5885">
        <v>6</v>
      </c>
      <c r="F5885">
        <v>1.01722196789785</v>
      </c>
      <c r="G5885" t="s">
        <v>87</v>
      </c>
      <c r="H5885" t="s">
        <v>87</v>
      </c>
      <c r="I5885">
        <v>594</v>
      </c>
      <c r="J5885">
        <v>778</v>
      </c>
      <c r="K5885">
        <v>0</v>
      </c>
    </row>
    <row r="5886" spans="1:11" x14ac:dyDescent="0.25">
      <c r="A5886" t="s">
        <v>85</v>
      </c>
    </row>
    <row r="5887" spans="1:11" x14ac:dyDescent="0.25">
      <c r="A5887">
        <v>145.43641627320801</v>
      </c>
      <c r="B5887">
        <v>74.753990008372298</v>
      </c>
      <c r="C5887">
        <v>2000</v>
      </c>
    </row>
    <row r="5888" spans="1:11" x14ac:dyDescent="0.25">
      <c r="A5888">
        <v>145.126176285616</v>
      </c>
      <c r="B5888">
        <v>75.064229995964595</v>
      </c>
      <c r="C5888">
        <v>2000</v>
      </c>
    </row>
    <row r="5889" spans="1:11" x14ac:dyDescent="0.25">
      <c r="A5889">
        <v>145.126176285616</v>
      </c>
      <c r="B5889">
        <v>74.190197947066906</v>
      </c>
      <c r="C5889">
        <v>2001</v>
      </c>
    </row>
    <row r="5890" spans="1:11" x14ac:dyDescent="0.25">
      <c r="A5890">
        <v>145.43641627320801</v>
      </c>
      <c r="B5890">
        <v>73.879957959474595</v>
      </c>
      <c r="C5890">
        <v>2001</v>
      </c>
    </row>
    <row r="5891" spans="1:11" x14ac:dyDescent="0.25">
      <c r="A5891">
        <v>146.066247635086</v>
      </c>
      <c r="B5891">
        <v>73.250126597596903</v>
      </c>
      <c r="C5891">
        <v>2001</v>
      </c>
    </row>
    <row r="5892" spans="1:11" x14ac:dyDescent="0.25">
      <c r="A5892">
        <v>146.066247635086</v>
      </c>
      <c r="B5892">
        <v>74.124158646494607</v>
      </c>
      <c r="C5892">
        <v>2000</v>
      </c>
    </row>
    <row r="5893" spans="1:11" x14ac:dyDescent="0.25">
      <c r="A5893" t="s">
        <v>86</v>
      </c>
    </row>
    <row r="5894" spans="1:11" x14ac:dyDescent="0.25">
      <c r="A5894">
        <v>1023</v>
      </c>
      <c r="B5894">
        <v>1</v>
      </c>
      <c r="C5894">
        <v>1.2274384221421999</v>
      </c>
      <c r="D5894">
        <v>0.102023229876622</v>
      </c>
      <c r="E5894">
        <v>6</v>
      </c>
      <c r="F5894">
        <v>1.01722196789785</v>
      </c>
      <c r="G5894" t="s">
        <v>87</v>
      </c>
      <c r="H5894" t="s">
        <v>87</v>
      </c>
      <c r="I5894">
        <v>594</v>
      </c>
      <c r="J5894">
        <v>778</v>
      </c>
      <c r="K5894">
        <v>0.12140552605247699</v>
      </c>
    </row>
    <row r="5895" spans="1:11" x14ac:dyDescent="0.25">
      <c r="A5895" t="s">
        <v>85</v>
      </c>
    </row>
    <row r="5896" spans="1:11" x14ac:dyDescent="0.25">
      <c r="A5896">
        <v>127.787351027498</v>
      </c>
      <c r="B5896">
        <v>55.989544674274697</v>
      </c>
      <c r="C5896">
        <v>2000</v>
      </c>
    </row>
    <row r="5897" spans="1:11" x14ac:dyDescent="0.25">
      <c r="A5897">
        <v>126.919420995712</v>
      </c>
      <c r="B5897">
        <v>56.857474706060401</v>
      </c>
      <c r="C5897">
        <v>2000</v>
      </c>
    </row>
    <row r="5898" spans="1:11" x14ac:dyDescent="0.25">
      <c r="A5898">
        <v>126.919420995712</v>
      </c>
      <c r="B5898">
        <v>55.983442657162698</v>
      </c>
      <c r="C5898">
        <v>2001</v>
      </c>
    </row>
    <row r="5899" spans="1:11" x14ac:dyDescent="0.25">
      <c r="A5899">
        <v>127.787351027498</v>
      </c>
      <c r="B5899">
        <v>55.1155126253771</v>
      </c>
      <c r="C5899">
        <v>2001</v>
      </c>
    </row>
    <row r="5900" spans="1:11" x14ac:dyDescent="0.25">
      <c r="A5900">
        <v>127.85949234518201</v>
      </c>
      <c r="B5900">
        <v>55.043371307692802</v>
      </c>
      <c r="C5900">
        <v>2001</v>
      </c>
    </row>
    <row r="5901" spans="1:11" x14ac:dyDescent="0.25">
      <c r="A5901">
        <v>127.85949234518201</v>
      </c>
      <c r="B5901">
        <v>55.917403356590398</v>
      </c>
      <c r="C5901">
        <v>2000</v>
      </c>
    </row>
    <row r="5902" spans="1:11" x14ac:dyDescent="0.25">
      <c r="A5902" t="s">
        <v>86</v>
      </c>
    </row>
    <row r="5903" spans="1:11" x14ac:dyDescent="0.25">
      <c r="A5903">
        <v>1029</v>
      </c>
      <c r="B5903">
        <v>1</v>
      </c>
      <c r="C5903">
        <v>0.71730172617074595</v>
      </c>
      <c r="D5903">
        <v>0.61202578033171995</v>
      </c>
      <c r="E5903">
        <v>6</v>
      </c>
      <c r="F5903">
        <v>1.01722196789785</v>
      </c>
      <c r="G5903" t="s">
        <v>87</v>
      </c>
      <c r="H5903" t="s">
        <v>87</v>
      </c>
      <c r="I5903">
        <v>518</v>
      </c>
      <c r="J5903">
        <v>819</v>
      </c>
      <c r="K5903">
        <v>0.12083958515882</v>
      </c>
    </row>
    <row r="5904" spans="1:11" x14ac:dyDescent="0.25">
      <c r="A5904" t="s">
        <v>85</v>
      </c>
    </row>
    <row r="5905" spans="1:11" x14ac:dyDescent="0.25">
      <c r="A5905">
        <v>128.78236987338499</v>
      </c>
      <c r="B5905">
        <v>32.093250366428002</v>
      </c>
      <c r="C5905">
        <v>2000</v>
      </c>
    </row>
    <row r="5906" spans="1:11" x14ac:dyDescent="0.25">
      <c r="A5906">
        <v>128.275160958653</v>
      </c>
      <c r="B5906">
        <v>32.600459281160198</v>
      </c>
      <c r="C5906">
        <v>2000</v>
      </c>
    </row>
    <row r="5907" spans="1:11" x14ac:dyDescent="0.25">
      <c r="A5907">
        <v>128.275160958653</v>
      </c>
      <c r="B5907">
        <v>31.726427232262498</v>
      </c>
      <c r="C5907">
        <v>2001</v>
      </c>
    </row>
    <row r="5908" spans="1:11" x14ac:dyDescent="0.25">
      <c r="A5908">
        <v>128.78236987338499</v>
      </c>
      <c r="B5908">
        <v>31.219218317530299</v>
      </c>
      <c r="C5908">
        <v>2001</v>
      </c>
    </row>
    <row r="5909" spans="1:11" x14ac:dyDescent="0.25">
      <c r="A5909">
        <v>129.21513745291901</v>
      </c>
      <c r="B5909">
        <v>30.786450737996802</v>
      </c>
      <c r="C5909">
        <v>2001</v>
      </c>
    </row>
    <row r="5910" spans="1:11" x14ac:dyDescent="0.25">
      <c r="A5910">
        <v>129.21513745291901</v>
      </c>
      <c r="B5910">
        <v>31.660482786894399</v>
      </c>
      <c r="C5910">
        <v>2000</v>
      </c>
    </row>
    <row r="5911" spans="1:11" x14ac:dyDescent="0.25">
      <c r="A5911" t="s">
        <v>86</v>
      </c>
    </row>
    <row r="5912" spans="1:11" x14ac:dyDescent="0.25">
      <c r="A5912">
        <v>555</v>
      </c>
      <c r="B5912">
        <v>1</v>
      </c>
      <c r="C5912">
        <v>0.98630346008118897</v>
      </c>
      <c r="D5912">
        <v>0.34302404642127698</v>
      </c>
      <c r="E5912">
        <v>6</v>
      </c>
      <c r="F5912">
        <v>1.01722196789785</v>
      </c>
      <c r="G5912" t="s">
        <v>87</v>
      </c>
      <c r="H5912" t="s">
        <v>87</v>
      </c>
      <c r="I5912">
        <v>518</v>
      </c>
      <c r="J5912">
        <v>819</v>
      </c>
      <c r="K5912">
        <v>0</v>
      </c>
    </row>
    <row r="5913" spans="1:11" x14ac:dyDescent="0.25">
      <c r="A5913" t="s">
        <v>85</v>
      </c>
    </row>
    <row r="5914" spans="1:11" x14ac:dyDescent="0.25">
      <c r="A5914">
        <v>127.708445576358</v>
      </c>
      <c r="B5914">
        <v>30.6389001690033</v>
      </c>
      <c r="C5914">
        <v>2000</v>
      </c>
    </row>
    <row r="5915" spans="1:11" x14ac:dyDescent="0.25">
      <c r="A5915">
        <v>127.011023711427</v>
      </c>
      <c r="B5915">
        <v>31.336322033934401</v>
      </c>
      <c r="C5915">
        <v>2000</v>
      </c>
    </row>
    <row r="5916" spans="1:11" x14ac:dyDescent="0.25">
      <c r="A5916">
        <v>127.885055760325</v>
      </c>
      <c r="B5916">
        <v>31.336322033934401</v>
      </c>
      <c r="C5916">
        <v>2001</v>
      </c>
    </row>
    <row r="5917" spans="1:11" x14ac:dyDescent="0.25">
      <c r="A5917">
        <v>128.58247762525599</v>
      </c>
      <c r="B5917">
        <v>30.6389001690033</v>
      </c>
      <c r="C5917">
        <v>2001</v>
      </c>
    </row>
    <row r="5918" spans="1:11" x14ac:dyDescent="0.25">
      <c r="A5918">
        <v>128.82503225459101</v>
      </c>
      <c r="B5918">
        <v>30.396345539668701</v>
      </c>
      <c r="C5918">
        <v>2001</v>
      </c>
    </row>
    <row r="5919" spans="1:11" x14ac:dyDescent="0.25">
      <c r="A5919">
        <v>127.95100020569301</v>
      </c>
      <c r="B5919">
        <v>30.396345539668701</v>
      </c>
      <c r="C5919">
        <v>2000</v>
      </c>
    </row>
    <row r="5920" spans="1:11" x14ac:dyDescent="0.25">
      <c r="A5920" t="s">
        <v>86</v>
      </c>
    </row>
    <row r="5921" spans="1:11" x14ac:dyDescent="0.25">
      <c r="A5921">
        <v>26</v>
      </c>
      <c r="B5921">
        <v>0</v>
      </c>
      <c r="C5921">
        <v>0.67386632006453895</v>
      </c>
      <c r="D5921">
        <v>0.65461018267214899</v>
      </c>
      <c r="E5921">
        <v>6</v>
      </c>
      <c r="F5921">
        <v>1.01722196789785</v>
      </c>
      <c r="G5921" t="s">
        <v>83</v>
      </c>
      <c r="H5921" t="s">
        <v>84</v>
      </c>
      <c r="I5921">
        <v>0</v>
      </c>
      <c r="J5921">
        <v>40</v>
      </c>
      <c r="K5921">
        <v>0</v>
      </c>
    </row>
    <row r="5922" spans="1:11" x14ac:dyDescent="0.25">
      <c r="A5922" t="s">
        <v>85</v>
      </c>
    </row>
    <row r="5923" spans="1:11" x14ac:dyDescent="0.25">
      <c r="A5923">
        <v>9.1410692645947798</v>
      </c>
      <c r="B5923">
        <v>0.58733307681035496</v>
      </c>
      <c r="C5923">
        <v>2000</v>
      </c>
    </row>
    <row r="5924" spans="1:11" x14ac:dyDescent="0.25">
      <c r="A5924">
        <v>8.5537361877844305</v>
      </c>
      <c r="B5924">
        <v>0</v>
      </c>
      <c r="C5924">
        <v>2000</v>
      </c>
    </row>
    <row r="5925" spans="1:11" x14ac:dyDescent="0.25">
      <c r="A5925">
        <v>9.4277682366820592</v>
      </c>
      <c r="B5925">
        <v>0</v>
      </c>
      <c r="C5925">
        <v>2001</v>
      </c>
    </row>
    <row r="5926" spans="1:11" x14ac:dyDescent="0.25">
      <c r="A5926">
        <v>9.7934260489334299</v>
      </c>
      <c r="B5926">
        <v>0.36565781225136201</v>
      </c>
      <c r="C5926">
        <v>2001</v>
      </c>
    </row>
    <row r="5927" spans="1:11" x14ac:dyDescent="0.25">
      <c r="A5927">
        <v>10.1486349681898</v>
      </c>
      <c r="B5927">
        <v>0.72086673150768799</v>
      </c>
      <c r="C5927">
        <v>2001</v>
      </c>
    </row>
    <row r="5928" spans="1:11" x14ac:dyDescent="0.25">
      <c r="A5928">
        <v>9.7116189437409393</v>
      </c>
      <c r="B5928">
        <v>1.1578827559565099</v>
      </c>
      <c r="C5928">
        <v>2000</v>
      </c>
    </row>
    <row r="5929" spans="1:11" x14ac:dyDescent="0.25">
      <c r="A5929" t="s">
        <v>86</v>
      </c>
    </row>
    <row r="5930" spans="1:11" x14ac:dyDescent="0.25">
      <c r="A5930">
        <v>1086</v>
      </c>
      <c r="B5930">
        <v>1</v>
      </c>
      <c r="C5930">
        <v>0.38992433506701502</v>
      </c>
      <c r="D5930">
        <v>0.92971673904469299</v>
      </c>
      <c r="E5930">
        <v>6</v>
      </c>
      <c r="F5930">
        <v>1.01722196789785</v>
      </c>
      <c r="G5930" t="s">
        <v>87</v>
      </c>
      <c r="H5930" t="s">
        <v>87</v>
      </c>
      <c r="I5930">
        <v>119</v>
      </c>
      <c r="J5930">
        <v>841</v>
      </c>
      <c r="K5930">
        <v>0.12322624704732001</v>
      </c>
    </row>
    <row r="5931" spans="1:11" x14ac:dyDescent="0.25">
      <c r="A5931" t="s">
        <v>85</v>
      </c>
    </row>
    <row r="5932" spans="1:11" x14ac:dyDescent="0.25">
      <c r="A5932">
        <v>21.770005555250702</v>
      </c>
      <c r="B5932">
        <v>69.611980375178504</v>
      </c>
      <c r="C5932">
        <v>2000</v>
      </c>
    </row>
    <row r="5933" spans="1:11" x14ac:dyDescent="0.25">
      <c r="A5933">
        <v>21.494287413775101</v>
      </c>
      <c r="B5933">
        <v>69.887698516654098</v>
      </c>
      <c r="C5933">
        <v>2000</v>
      </c>
    </row>
    <row r="5934" spans="1:11" x14ac:dyDescent="0.25">
      <c r="A5934">
        <v>21.494287413775101</v>
      </c>
      <c r="B5934">
        <v>69.013666467756494</v>
      </c>
      <c r="C5934">
        <v>2001</v>
      </c>
    </row>
    <row r="5935" spans="1:11" x14ac:dyDescent="0.25">
      <c r="A5935">
        <v>21.770005555250702</v>
      </c>
      <c r="B5935">
        <v>68.7379483262809</v>
      </c>
      <c r="C5935">
        <v>2001</v>
      </c>
    </row>
    <row r="5936" spans="1:11" x14ac:dyDescent="0.25">
      <c r="A5936">
        <v>22.427414566011802</v>
      </c>
      <c r="B5936">
        <v>68.080539315519701</v>
      </c>
      <c r="C5936">
        <v>2001</v>
      </c>
    </row>
    <row r="5937" spans="1:11" x14ac:dyDescent="0.25">
      <c r="A5937">
        <v>22.427414566011802</v>
      </c>
      <c r="B5937">
        <v>68.954571364417404</v>
      </c>
      <c r="C5937">
        <v>2000</v>
      </c>
    </row>
    <row r="5938" spans="1:11" x14ac:dyDescent="0.25">
      <c r="A5938" t="s">
        <v>86</v>
      </c>
    </row>
    <row r="5939" spans="1:11" x14ac:dyDescent="0.25">
      <c r="A5939">
        <v>1143</v>
      </c>
      <c r="B5939">
        <v>1</v>
      </c>
      <c r="C5939">
        <v>0.67128322862157597</v>
      </c>
      <c r="D5939">
        <v>0.64835784549013198</v>
      </c>
      <c r="E5939">
        <v>6</v>
      </c>
      <c r="F5939">
        <v>1.01722196789785</v>
      </c>
      <c r="G5939" t="s">
        <v>87</v>
      </c>
      <c r="H5939" t="s">
        <v>87</v>
      </c>
      <c r="I5939">
        <v>119</v>
      </c>
      <c r="J5939">
        <v>841</v>
      </c>
      <c r="K5939">
        <v>0.12440073496922301</v>
      </c>
    </row>
    <row r="5940" spans="1:11" x14ac:dyDescent="0.25">
      <c r="A5940" t="s">
        <v>85</v>
      </c>
    </row>
    <row r="5941" spans="1:11" x14ac:dyDescent="0.25">
      <c r="A5941">
        <v>27.472692566212601</v>
      </c>
      <c r="B5941">
        <v>74.916765822981304</v>
      </c>
      <c r="C5941">
        <v>2000</v>
      </c>
    </row>
    <row r="5942" spans="1:11" x14ac:dyDescent="0.25">
      <c r="A5942">
        <v>26.998023643157499</v>
      </c>
      <c r="B5942">
        <v>75.391434746036396</v>
      </c>
      <c r="C5942">
        <v>2000</v>
      </c>
    </row>
    <row r="5943" spans="1:11" x14ac:dyDescent="0.25">
      <c r="A5943">
        <v>26.998023643157499</v>
      </c>
      <c r="B5943">
        <v>74.517402697138806</v>
      </c>
      <c r="C5943">
        <v>2001</v>
      </c>
    </row>
    <row r="5944" spans="1:11" x14ac:dyDescent="0.25">
      <c r="A5944">
        <v>27.472692566212601</v>
      </c>
      <c r="B5944">
        <v>74.0427337740837</v>
      </c>
      <c r="C5944">
        <v>2001</v>
      </c>
    </row>
    <row r="5945" spans="1:11" x14ac:dyDescent="0.25">
      <c r="A5945">
        <v>27.9311507953941</v>
      </c>
      <c r="B5945">
        <v>73.584275544902098</v>
      </c>
      <c r="C5945">
        <v>2001</v>
      </c>
    </row>
    <row r="5946" spans="1:11" x14ac:dyDescent="0.25">
      <c r="A5946">
        <v>27.9311507953941</v>
      </c>
      <c r="B5946">
        <v>74.458307593799702</v>
      </c>
      <c r="C5946">
        <v>2000</v>
      </c>
    </row>
    <row r="5947" spans="1:11" x14ac:dyDescent="0.25">
      <c r="A5947" t="s">
        <v>86</v>
      </c>
    </row>
    <row r="5948" spans="1:11" x14ac:dyDescent="0.25">
      <c r="A5948">
        <v>913</v>
      </c>
      <c r="B5948">
        <v>1</v>
      </c>
      <c r="C5948">
        <v>1.08560597917623</v>
      </c>
      <c r="D5948">
        <v>0.234035094935479</v>
      </c>
      <c r="E5948">
        <v>6</v>
      </c>
      <c r="F5948">
        <v>1.01722196789785</v>
      </c>
      <c r="G5948" t="s">
        <v>87</v>
      </c>
      <c r="H5948" t="s">
        <v>87</v>
      </c>
      <c r="I5948">
        <v>119</v>
      </c>
      <c r="J5948">
        <v>841</v>
      </c>
      <c r="K5948">
        <v>0.11722927267913701</v>
      </c>
    </row>
    <row r="5949" spans="1:11" x14ac:dyDescent="0.25">
      <c r="A5949" t="s">
        <v>85</v>
      </c>
    </row>
    <row r="5950" spans="1:11" x14ac:dyDescent="0.25">
      <c r="A5950">
        <v>28.889999696011301</v>
      </c>
      <c r="B5950">
        <v>75.748132099745902</v>
      </c>
      <c r="C5950">
        <v>2000</v>
      </c>
    </row>
    <row r="5951" spans="1:11" x14ac:dyDescent="0.25">
      <c r="A5951">
        <v>28.122360346439098</v>
      </c>
      <c r="B5951">
        <v>76.515771449317995</v>
      </c>
      <c r="C5951">
        <v>2000</v>
      </c>
    </row>
    <row r="5952" spans="1:11" x14ac:dyDescent="0.25">
      <c r="A5952">
        <v>28.996392395336699</v>
      </c>
      <c r="B5952">
        <v>76.515771449317995</v>
      </c>
      <c r="C5952">
        <v>2001</v>
      </c>
    </row>
    <row r="5953" spans="1:11" x14ac:dyDescent="0.25">
      <c r="A5953">
        <v>29.764031744908898</v>
      </c>
      <c r="B5953">
        <v>75.748132099745902</v>
      </c>
      <c r="C5953">
        <v>2001</v>
      </c>
    </row>
    <row r="5954" spans="1:11" x14ac:dyDescent="0.25">
      <c r="A5954">
        <v>29.929519547573399</v>
      </c>
      <c r="B5954">
        <v>75.582644297081302</v>
      </c>
      <c r="C5954">
        <v>2001</v>
      </c>
    </row>
    <row r="5955" spans="1:11" x14ac:dyDescent="0.25">
      <c r="A5955">
        <v>29.055487498675799</v>
      </c>
      <c r="B5955">
        <v>75.582644297081302</v>
      </c>
      <c r="C5955">
        <v>2000</v>
      </c>
    </row>
    <row r="5956" spans="1:11" x14ac:dyDescent="0.25">
      <c r="A5956" t="s">
        <v>86</v>
      </c>
    </row>
    <row r="5957" spans="1:11" x14ac:dyDescent="0.25">
      <c r="A5957">
        <v>927</v>
      </c>
      <c r="B5957">
        <v>1</v>
      </c>
      <c r="C5957">
        <v>0.582349723300155</v>
      </c>
      <c r="D5957">
        <v>0.73409148304580196</v>
      </c>
      <c r="E5957">
        <v>6</v>
      </c>
      <c r="F5957">
        <v>1.01722196789785</v>
      </c>
      <c r="G5957" t="s">
        <v>87</v>
      </c>
      <c r="H5957" t="s">
        <v>87</v>
      </c>
      <c r="I5957">
        <v>760</v>
      </c>
      <c r="J5957">
        <v>661</v>
      </c>
      <c r="K5957">
        <v>0.117599171048291</v>
      </c>
    </row>
    <row r="5958" spans="1:11" x14ac:dyDescent="0.25">
      <c r="A5958" t="s">
        <v>85</v>
      </c>
    </row>
    <row r="5959" spans="1:11" x14ac:dyDescent="0.25">
      <c r="A5959">
        <v>79.5710819329</v>
      </c>
      <c r="B5959">
        <v>33.664932579102803</v>
      </c>
      <c r="C5959">
        <v>2000</v>
      </c>
    </row>
    <row r="5960" spans="1:11" x14ac:dyDescent="0.25">
      <c r="A5960">
        <v>79.159298494532393</v>
      </c>
      <c r="B5960">
        <v>34.076716017470503</v>
      </c>
      <c r="C5960">
        <v>2000</v>
      </c>
    </row>
    <row r="5961" spans="1:11" x14ac:dyDescent="0.25">
      <c r="A5961">
        <v>79.159298494532393</v>
      </c>
      <c r="B5961">
        <v>33.202683968572799</v>
      </c>
      <c r="C5961">
        <v>2001</v>
      </c>
    </row>
    <row r="5962" spans="1:11" x14ac:dyDescent="0.25">
      <c r="A5962">
        <v>79.5710819329</v>
      </c>
      <c r="B5962">
        <v>32.790900530205199</v>
      </c>
      <c r="C5962">
        <v>2001</v>
      </c>
    </row>
    <row r="5963" spans="1:11" x14ac:dyDescent="0.25">
      <c r="A5963">
        <v>80.090162998573007</v>
      </c>
      <c r="B5963">
        <v>32.2718194645322</v>
      </c>
      <c r="C5963">
        <v>2001</v>
      </c>
    </row>
    <row r="5964" spans="1:11" x14ac:dyDescent="0.25">
      <c r="A5964">
        <v>80.090162998573007</v>
      </c>
      <c r="B5964">
        <v>33.145851513429903</v>
      </c>
      <c r="C5964">
        <v>2000</v>
      </c>
    </row>
    <row r="5965" spans="1:11" x14ac:dyDescent="0.25">
      <c r="A5965" t="s">
        <v>86</v>
      </c>
    </row>
    <row r="5966" spans="1:11" x14ac:dyDescent="0.25">
      <c r="A5966">
        <v>720</v>
      </c>
      <c r="B5966">
        <v>1</v>
      </c>
      <c r="C5966">
        <v>1.06486116862061</v>
      </c>
      <c r="D5966">
        <v>0.25158003772534698</v>
      </c>
      <c r="E5966">
        <v>6</v>
      </c>
      <c r="F5966">
        <v>1.01722196789785</v>
      </c>
      <c r="G5966" t="s">
        <v>87</v>
      </c>
      <c r="H5966" t="s">
        <v>87</v>
      </c>
      <c r="I5966">
        <v>760</v>
      </c>
      <c r="J5966">
        <v>661</v>
      </c>
      <c r="K5966">
        <v>0</v>
      </c>
    </row>
    <row r="5967" spans="1:11" x14ac:dyDescent="0.25">
      <c r="A5967" t="s">
        <v>85</v>
      </c>
    </row>
    <row r="5968" spans="1:11" x14ac:dyDescent="0.25">
      <c r="A5968">
        <v>93.232503511128797</v>
      </c>
      <c r="B5968">
        <v>46.643979927359197</v>
      </c>
      <c r="C5968">
        <v>2000</v>
      </c>
    </row>
    <row r="5969" spans="1:11" x14ac:dyDescent="0.25">
      <c r="A5969">
        <v>92.479532957774893</v>
      </c>
      <c r="B5969">
        <v>47.396950480713002</v>
      </c>
      <c r="C5969">
        <v>2000</v>
      </c>
    </row>
    <row r="5970" spans="1:11" x14ac:dyDescent="0.25">
      <c r="A5970">
        <v>93.353565006672596</v>
      </c>
      <c r="B5970">
        <v>47.396950480713002</v>
      </c>
      <c r="C5970">
        <v>2001</v>
      </c>
    </row>
    <row r="5971" spans="1:11" x14ac:dyDescent="0.25">
      <c r="A5971">
        <v>94.106535560026401</v>
      </c>
      <c r="B5971">
        <v>46.643979927359098</v>
      </c>
      <c r="C5971">
        <v>2001</v>
      </c>
    </row>
    <row r="5972" spans="1:11" x14ac:dyDescent="0.25">
      <c r="A5972">
        <v>94.284429510713196</v>
      </c>
      <c r="B5972">
        <v>46.466085976672403</v>
      </c>
      <c r="C5972">
        <v>2001</v>
      </c>
    </row>
    <row r="5973" spans="1:11" x14ac:dyDescent="0.25">
      <c r="A5973">
        <v>93.410397461815606</v>
      </c>
      <c r="B5973">
        <v>46.466085976672403</v>
      </c>
      <c r="C5973">
        <v>2000</v>
      </c>
    </row>
    <row r="5974" spans="1:11" x14ac:dyDescent="0.25">
      <c r="A5974" t="s">
        <v>86</v>
      </c>
    </row>
    <row r="5975" spans="1:11" x14ac:dyDescent="0.25">
      <c r="A5975">
        <v>148</v>
      </c>
      <c r="B5975">
        <v>1</v>
      </c>
      <c r="C5975">
        <v>0.80381167245641905</v>
      </c>
      <c r="D5975">
        <v>0.509358016481258</v>
      </c>
      <c r="E5975">
        <v>6</v>
      </c>
      <c r="F5975">
        <v>1.01722196789785</v>
      </c>
      <c r="G5975" t="s">
        <v>87</v>
      </c>
      <c r="H5975" t="s">
        <v>87</v>
      </c>
      <c r="I5975">
        <v>737</v>
      </c>
      <c r="J5975">
        <v>183</v>
      </c>
      <c r="K5975">
        <v>0</v>
      </c>
    </row>
    <row r="5976" spans="1:11" x14ac:dyDescent="0.25">
      <c r="A5976" t="s">
        <v>85</v>
      </c>
    </row>
    <row r="5977" spans="1:11" x14ac:dyDescent="0.25">
      <c r="A5977">
        <v>20.203001338521499</v>
      </c>
      <c r="B5977">
        <v>96.835255104145304</v>
      </c>
      <c r="C5977">
        <v>2000</v>
      </c>
    </row>
    <row r="5978" spans="1:11" x14ac:dyDescent="0.25">
      <c r="A5978">
        <v>19.902124986938301</v>
      </c>
      <c r="B5978">
        <v>97.136131455728503</v>
      </c>
      <c r="C5978">
        <v>2000</v>
      </c>
    </row>
    <row r="5979" spans="1:11" x14ac:dyDescent="0.25">
      <c r="A5979">
        <v>19.902124986938301</v>
      </c>
      <c r="B5979">
        <v>98.010163504626107</v>
      </c>
      <c r="C5979">
        <v>2001</v>
      </c>
    </row>
    <row r="5980" spans="1:11" x14ac:dyDescent="0.25">
      <c r="A5980">
        <v>20.738010004136701</v>
      </c>
      <c r="B5980">
        <v>97.174278487427699</v>
      </c>
      <c r="C5980">
        <v>2001</v>
      </c>
    </row>
    <row r="5981" spans="1:11" x14ac:dyDescent="0.25">
      <c r="A5981">
        <v>21.267692203283499</v>
      </c>
      <c r="B5981">
        <v>96.644596288280894</v>
      </c>
      <c r="C5981">
        <v>2001</v>
      </c>
    </row>
    <row r="5982" spans="1:11" x14ac:dyDescent="0.25">
      <c r="A5982">
        <v>20.393660154385898</v>
      </c>
      <c r="B5982">
        <v>96.644596288280894</v>
      </c>
      <c r="C5982">
        <v>2000</v>
      </c>
    </row>
    <row r="5983" spans="1:11" x14ac:dyDescent="0.25">
      <c r="A5983" t="s">
        <v>86</v>
      </c>
    </row>
    <row r="5984" spans="1:11" x14ac:dyDescent="0.25">
      <c r="A5984">
        <v>909</v>
      </c>
      <c r="B5984">
        <v>1</v>
      </c>
      <c r="C5984">
        <v>0.37970599627690399</v>
      </c>
      <c r="D5984">
        <v>0.933463692660773</v>
      </c>
      <c r="E5984">
        <v>6</v>
      </c>
      <c r="F5984">
        <v>1.01722196789785</v>
      </c>
      <c r="G5984" t="s">
        <v>87</v>
      </c>
      <c r="H5984" t="s">
        <v>87</v>
      </c>
      <c r="I5984">
        <v>737</v>
      </c>
      <c r="J5984">
        <v>183</v>
      </c>
      <c r="K5984">
        <v>0.11685087107927999</v>
      </c>
    </row>
    <row r="5985" spans="1:11" x14ac:dyDescent="0.25">
      <c r="A5985" t="s">
        <v>85</v>
      </c>
    </row>
    <row r="5986" spans="1:11" x14ac:dyDescent="0.25">
      <c r="A5986">
        <v>43.012626011713202</v>
      </c>
      <c r="B5986">
        <v>119.96237546173001</v>
      </c>
      <c r="C5986">
        <v>2000</v>
      </c>
    </row>
    <row r="5987" spans="1:11" x14ac:dyDescent="0.25">
      <c r="A5987">
        <v>42.870497502326302</v>
      </c>
      <c r="B5987">
        <v>120.104503971116</v>
      </c>
      <c r="C5987">
        <v>2000</v>
      </c>
    </row>
    <row r="5988" spans="1:11" x14ac:dyDescent="0.25">
      <c r="A5988">
        <v>42.870497502326302</v>
      </c>
      <c r="B5988">
        <v>120.978536020014</v>
      </c>
      <c r="C5988">
        <v>2001</v>
      </c>
    </row>
    <row r="5989" spans="1:11" x14ac:dyDescent="0.25">
      <c r="A5989">
        <v>43.265354362588504</v>
      </c>
      <c r="B5989">
        <v>120.58367915975199</v>
      </c>
      <c r="C5989">
        <v>2001</v>
      </c>
    </row>
    <row r="5990" spans="1:11" x14ac:dyDescent="0.25">
      <c r="A5990">
        <v>44.2360647186715</v>
      </c>
      <c r="B5990">
        <v>119.61296880366901</v>
      </c>
      <c r="C5990">
        <v>2001</v>
      </c>
    </row>
    <row r="5991" spans="1:11" x14ac:dyDescent="0.25">
      <c r="A5991">
        <v>43.362032669773903</v>
      </c>
      <c r="B5991">
        <v>119.61296880366901</v>
      </c>
      <c r="C5991">
        <v>2000</v>
      </c>
    </row>
    <row r="5992" spans="1:11" x14ac:dyDescent="0.25">
      <c r="A5992" t="s">
        <v>86</v>
      </c>
    </row>
    <row r="5993" spans="1:11" x14ac:dyDescent="0.25">
      <c r="A5993">
        <v>228</v>
      </c>
      <c r="B5993">
        <v>1</v>
      </c>
      <c r="C5993">
        <v>0.74171858090461695</v>
      </c>
      <c r="D5993">
        <v>0.57145110803305998</v>
      </c>
      <c r="E5993">
        <v>6</v>
      </c>
      <c r="F5993">
        <v>1.01722196789785</v>
      </c>
      <c r="G5993" t="s">
        <v>87</v>
      </c>
      <c r="H5993" t="s">
        <v>87</v>
      </c>
      <c r="I5993">
        <v>737</v>
      </c>
      <c r="J5993">
        <v>183</v>
      </c>
      <c r="K5993">
        <v>0</v>
      </c>
    </row>
    <row r="5994" spans="1:11" x14ac:dyDescent="0.25">
      <c r="A5994" t="s">
        <v>85</v>
      </c>
    </row>
    <row r="5995" spans="1:11" x14ac:dyDescent="0.25">
      <c r="A5995">
        <v>45.529250106968902</v>
      </c>
      <c r="B5995">
        <v>122.207988250675</v>
      </c>
      <c r="C5995">
        <v>2000</v>
      </c>
    </row>
    <row r="5996" spans="1:11" x14ac:dyDescent="0.25">
      <c r="A5996">
        <v>45.251615944426703</v>
      </c>
      <c r="B5996">
        <v>122.485622413217</v>
      </c>
      <c r="C5996">
        <v>2000</v>
      </c>
    </row>
    <row r="5997" spans="1:11" x14ac:dyDescent="0.25">
      <c r="A5997">
        <v>44.377583895529099</v>
      </c>
      <c r="B5997">
        <v>122.485622413217</v>
      </c>
      <c r="C5997">
        <v>2001</v>
      </c>
    </row>
    <row r="5998" spans="1:11" x14ac:dyDescent="0.25">
      <c r="A5998">
        <v>45.148898209566298</v>
      </c>
      <c r="B5998">
        <v>121.71430809918</v>
      </c>
      <c r="C5998">
        <v>2001</v>
      </c>
    </row>
    <row r="5999" spans="1:11" x14ac:dyDescent="0.25">
      <c r="A5999">
        <v>45.743151111874297</v>
      </c>
      <c r="B5999">
        <v>121.120055196872</v>
      </c>
      <c r="C5999">
        <v>2001</v>
      </c>
    </row>
    <row r="6000" spans="1:11" x14ac:dyDescent="0.25">
      <c r="A6000">
        <v>45.743151111874297</v>
      </c>
      <c r="B6000">
        <v>121.99408724576899</v>
      </c>
      <c r="C6000">
        <v>2000</v>
      </c>
    </row>
    <row r="6001" spans="1:11" x14ac:dyDescent="0.25">
      <c r="A6001" t="s">
        <v>86</v>
      </c>
    </row>
    <row r="6002" spans="1:11" x14ac:dyDescent="0.25">
      <c r="A6002">
        <v>231</v>
      </c>
      <c r="B6002">
        <v>1</v>
      </c>
      <c r="C6002">
        <v>0.16248222554904099</v>
      </c>
      <c r="D6002">
        <v>1.1506874633886399</v>
      </c>
      <c r="E6002">
        <v>6</v>
      </c>
      <c r="F6002">
        <v>1.01722196789785</v>
      </c>
      <c r="G6002" t="s">
        <v>87</v>
      </c>
      <c r="H6002" t="s">
        <v>87</v>
      </c>
      <c r="I6002">
        <v>737</v>
      </c>
      <c r="J6002">
        <v>183</v>
      </c>
      <c r="K6002">
        <v>0</v>
      </c>
    </row>
    <row r="6003" spans="1:11" x14ac:dyDescent="0.25">
      <c r="A6003" t="s">
        <v>85</v>
      </c>
    </row>
    <row r="6004" spans="1:11" x14ac:dyDescent="0.25">
      <c r="A6004">
        <v>26.276238918470099</v>
      </c>
      <c r="B6004">
        <v>103.38860729491699</v>
      </c>
      <c r="C6004">
        <v>2000</v>
      </c>
    </row>
    <row r="6005" spans="1:11" x14ac:dyDescent="0.25">
      <c r="A6005">
        <v>26.2154198722986</v>
      </c>
      <c r="B6005">
        <v>103.44942634108899</v>
      </c>
      <c r="C6005">
        <v>2000</v>
      </c>
    </row>
    <row r="6006" spans="1:11" x14ac:dyDescent="0.25">
      <c r="A6006">
        <v>26.215419872298501</v>
      </c>
      <c r="B6006">
        <v>104.323458389986</v>
      </c>
      <c r="C6006">
        <v>2001</v>
      </c>
    </row>
    <row r="6007" spans="1:11" x14ac:dyDescent="0.25">
      <c r="A6007">
        <v>26.384385393142999</v>
      </c>
      <c r="B6007">
        <v>104.154492869142</v>
      </c>
      <c r="C6007">
        <v>2001</v>
      </c>
    </row>
    <row r="6008" spans="1:11" x14ac:dyDescent="0.25">
      <c r="A6008">
        <v>27.580987088643798</v>
      </c>
      <c r="B6008">
        <v>102.957891173641</v>
      </c>
      <c r="C6008">
        <v>2001</v>
      </c>
    </row>
    <row r="6009" spans="1:11" x14ac:dyDescent="0.25">
      <c r="A6009">
        <v>26.706955039746202</v>
      </c>
      <c r="B6009">
        <v>102.957891173641</v>
      </c>
      <c r="C6009">
        <v>2000</v>
      </c>
    </row>
    <row r="6010" spans="1:11" x14ac:dyDescent="0.25">
      <c r="A6010" t="s">
        <v>86</v>
      </c>
    </row>
    <row r="6011" spans="1:11" x14ac:dyDescent="0.25">
      <c r="A6011">
        <v>237</v>
      </c>
      <c r="B6011">
        <v>1</v>
      </c>
      <c r="C6011">
        <v>0.92352829751857302</v>
      </c>
      <c r="D6011">
        <v>0.38964139141910398</v>
      </c>
      <c r="E6011">
        <v>6</v>
      </c>
      <c r="F6011">
        <v>1.01722196789785</v>
      </c>
      <c r="G6011" t="s">
        <v>87</v>
      </c>
      <c r="H6011" t="s">
        <v>87</v>
      </c>
      <c r="I6011">
        <v>737</v>
      </c>
      <c r="J6011">
        <v>183</v>
      </c>
      <c r="K6011">
        <v>0</v>
      </c>
    </row>
    <row r="6012" spans="1:11" x14ac:dyDescent="0.25">
      <c r="A6012" t="s">
        <v>85</v>
      </c>
    </row>
    <row r="6013" spans="1:11" x14ac:dyDescent="0.25">
      <c r="A6013">
        <v>24.952441000676401</v>
      </c>
      <c r="B6013">
        <v>101.49507202852</v>
      </c>
      <c r="C6013">
        <v>2000</v>
      </c>
    </row>
    <row r="6014" spans="1:11" x14ac:dyDescent="0.25">
      <c r="A6014">
        <v>24.606753280203201</v>
      </c>
      <c r="B6014">
        <v>101.84075974899299</v>
      </c>
      <c r="C6014">
        <v>2000</v>
      </c>
    </row>
    <row r="6015" spans="1:11" x14ac:dyDescent="0.25">
      <c r="A6015">
        <v>24.606753280203201</v>
      </c>
      <c r="B6015">
        <v>102.714791797891</v>
      </c>
      <c r="C6015">
        <v>2001</v>
      </c>
    </row>
    <row r="6016" spans="1:11" x14ac:dyDescent="0.25">
      <c r="A6016">
        <v>25.567131803315998</v>
      </c>
      <c r="B6016">
        <v>101.754413274778</v>
      </c>
      <c r="C6016">
        <v>2001</v>
      </c>
    </row>
    <row r="6017" spans="1:11" x14ac:dyDescent="0.25">
      <c r="A6017">
        <v>25.972320496548502</v>
      </c>
      <c r="B6017">
        <v>101.349224581546</v>
      </c>
      <c r="C6017">
        <v>2001</v>
      </c>
    </row>
    <row r="6018" spans="1:11" x14ac:dyDescent="0.25">
      <c r="A6018">
        <v>25.098288447650798</v>
      </c>
      <c r="B6018">
        <v>101.349224581546</v>
      </c>
      <c r="C6018">
        <v>2000</v>
      </c>
    </row>
    <row r="6019" spans="1:11" x14ac:dyDescent="0.25">
      <c r="A6019" t="s">
        <v>86</v>
      </c>
    </row>
    <row r="6020" spans="1:11" x14ac:dyDescent="0.25">
      <c r="A6020">
        <v>1059</v>
      </c>
      <c r="B6020">
        <v>1</v>
      </c>
      <c r="C6020">
        <v>0.37925099141251201</v>
      </c>
      <c r="D6020">
        <v>0.92500775068376795</v>
      </c>
      <c r="E6020">
        <v>6</v>
      </c>
      <c r="F6020">
        <v>1.01722196789785</v>
      </c>
      <c r="G6020" t="s">
        <v>87</v>
      </c>
      <c r="H6020" t="s">
        <v>87</v>
      </c>
      <c r="I6020">
        <v>832</v>
      </c>
      <c r="J6020">
        <v>763</v>
      </c>
      <c r="K6020">
        <v>0.121680115082949</v>
      </c>
    </row>
    <row r="6021" spans="1:11" x14ac:dyDescent="0.25">
      <c r="A6021" t="s">
        <v>85</v>
      </c>
    </row>
    <row r="6022" spans="1:11" x14ac:dyDescent="0.25">
      <c r="A6022">
        <v>145.39142781310201</v>
      </c>
      <c r="B6022">
        <v>59.678877952062201</v>
      </c>
      <c r="C6022">
        <v>2000</v>
      </c>
    </row>
    <row r="6023" spans="1:11" x14ac:dyDescent="0.25">
      <c r="A6023">
        <v>144.99618180328801</v>
      </c>
      <c r="B6023">
        <v>60.074123961876602</v>
      </c>
      <c r="C6023">
        <v>2000</v>
      </c>
    </row>
    <row r="6024" spans="1:11" x14ac:dyDescent="0.25">
      <c r="A6024">
        <v>144.99618180328801</v>
      </c>
      <c r="B6024">
        <v>59.200091912978898</v>
      </c>
      <c r="C6024">
        <v>2001</v>
      </c>
    </row>
    <row r="6025" spans="1:11" x14ac:dyDescent="0.25">
      <c r="A6025">
        <v>145.13727768907299</v>
      </c>
      <c r="B6025">
        <v>59.058996027194297</v>
      </c>
      <c r="C6025">
        <v>2001</v>
      </c>
    </row>
    <row r="6026" spans="1:11" x14ac:dyDescent="0.25">
      <c r="A6026">
        <v>145.48141597979699</v>
      </c>
      <c r="B6026">
        <v>58.714857736469597</v>
      </c>
      <c r="C6026">
        <v>2001</v>
      </c>
    </row>
    <row r="6027" spans="1:11" x14ac:dyDescent="0.25">
      <c r="A6027">
        <v>146.35544802869501</v>
      </c>
      <c r="B6027">
        <v>58.714857736469597</v>
      </c>
      <c r="C6027">
        <v>2000</v>
      </c>
    </row>
    <row r="6028" spans="1:11" x14ac:dyDescent="0.25">
      <c r="A6028" t="s">
        <v>86</v>
      </c>
    </row>
    <row r="6029" spans="1:11" x14ac:dyDescent="0.25">
      <c r="A6029">
        <v>1081</v>
      </c>
      <c r="B6029">
        <v>1</v>
      </c>
      <c r="C6029">
        <v>0.82507062517325003</v>
      </c>
      <c r="D6029">
        <v>0.47885499218350702</v>
      </c>
      <c r="E6029">
        <v>6</v>
      </c>
      <c r="F6029">
        <v>1.01722196789785</v>
      </c>
      <c r="G6029" t="s">
        <v>87</v>
      </c>
      <c r="H6029" t="s">
        <v>87</v>
      </c>
      <c r="I6029">
        <v>721</v>
      </c>
      <c r="J6029">
        <v>673</v>
      </c>
      <c r="K6029">
        <v>0.122728925384179</v>
      </c>
    </row>
    <row r="6030" spans="1:11" x14ac:dyDescent="0.25">
      <c r="A6030" t="s">
        <v>85</v>
      </c>
    </row>
    <row r="6031" spans="1:11" x14ac:dyDescent="0.25">
      <c r="A6031">
        <v>69.728126940647499</v>
      </c>
      <c r="B6031">
        <v>61.568416928205899</v>
      </c>
      <c r="C6031">
        <v>2000</v>
      </c>
    </row>
    <row r="6032" spans="1:11" x14ac:dyDescent="0.25">
      <c r="A6032">
        <v>69.144713906629704</v>
      </c>
      <c r="B6032">
        <v>62.151829962223701</v>
      </c>
      <c r="C6032">
        <v>2000</v>
      </c>
    </row>
    <row r="6033" spans="1:11" x14ac:dyDescent="0.25">
      <c r="A6033">
        <v>68.2706818577321</v>
      </c>
      <c r="B6033">
        <v>62.151829962223701</v>
      </c>
      <c r="C6033">
        <v>2001</v>
      </c>
    </row>
    <row r="6034" spans="1:11" x14ac:dyDescent="0.25">
      <c r="A6034">
        <v>68.854094891749895</v>
      </c>
      <c r="B6034">
        <v>61.568416928205899</v>
      </c>
      <c r="C6034">
        <v>2001</v>
      </c>
    </row>
    <row r="6035" spans="1:11" x14ac:dyDescent="0.25">
      <c r="A6035">
        <v>69.192696503927905</v>
      </c>
      <c r="B6035">
        <v>61.229815316027903</v>
      </c>
      <c r="C6035">
        <v>2001</v>
      </c>
    </row>
    <row r="6036" spans="1:11" x14ac:dyDescent="0.25">
      <c r="A6036">
        <v>70.066728552825495</v>
      </c>
      <c r="B6036">
        <v>61.229815316027903</v>
      </c>
      <c r="C6036">
        <v>2000</v>
      </c>
    </row>
    <row r="6037" spans="1:11" x14ac:dyDescent="0.25">
      <c r="A6037" t="s">
        <v>86</v>
      </c>
    </row>
    <row r="6038" spans="1:11" x14ac:dyDescent="0.25">
      <c r="A6038">
        <v>871</v>
      </c>
      <c r="B6038">
        <v>1</v>
      </c>
      <c r="C6038">
        <v>0.31892921995190798</v>
      </c>
      <c r="D6038">
        <v>0.98499639740484901</v>
      </c>
      <c r="E6038">
        <v>6</v>
      </c>
      <c r="F6038">
        <v>1.01722196789785</v>
      </c>
      <c r="G6038" t="s">
        <v>87</v>
      </c>
      <c r="H6038" t="s">
        <v>87</v>
      </c>
      <c r="I6038">
        <v>721</v>
      </c>
      <c r="J6038">
        <v>673</v>
      </c>
      <c r="K6038">
        <v>0.115162323415006</v>
      </c>
    </row>
    <row r="6039" spans="1:11" x14ac:dyDescent="0.25">
      <c r="A6039" t="s">
        <v>85</v>
      </c>
    </row>
    <row r="6040" spans="1:11" x14ac:dyDescent="0.25">
      <c r="A6040">
        <v>83.578524020769805</v>
      </c>
      <c r="B6040">
        <v>76.134606048070793</v>
      </c>
      <c r="C6040">
        <v>2000</v>
      </c>
    </row>
    <row r="6041" spans="1:11" x14ac:dyDescent="0.25">
      <c r="A6041">
        <v>83.353007006623301</v>
      </c>
      <c r="B6041">
        <v>76.360123062217298</v>
      </c>
      <c r="C6041">
        <v>2000</v>
      </c>
    </row>
    <row r="6042" spans="1:11" x14ac:dyDescent="0.25">
      <c r="A6042">
        <v>83.353007006623301</v>
      </c>
      <c r="B6042">
        <v>77.234155111114902</v>
      </c>
      <c r="C6042">
        <v>2001</v>
      </c>
    </row>
    <row r="6043" spans="1:11" x14ac:dyDescent="0.25">
      <c r="A6043">
        <v>83.578524020769805</v>
      </c>
      <c r="B6043">
        <v>77.008638096968397</v>
      </c>
      <c r="C6043">
        <v>2001</v>
      </c>
    </row>
    <row r="6044" spans="1:11" x14ac:dyDescent="0.25">
      <c r="A6044">
        <v>84.275021652819106</v>
      </c>
      <c r="B6044">
        <v>76.312140464919096</v>
      </c>
      <c r="C6044">
        <v>2001</v>
      </c>
    </row>
    <row r="6045" spans="1:11" x14ac:dyDescent="0.25">
      <c r="A6045">
        <v>84.275021652819106</v>
      </c>
      <c r="B6045">
        <v>75.438108416021507</v>
      </c>
      <c r="C6045">
        <v>2000</v>
      </c>
    </row>
    <row r="6046" spans="1:11" x14ac:dyDescent="0.25">
      <c r="A6046" t="s">
        <v>86</v>
      </c>
    </row>
    <row r="6047" spans="1:11" x14ac:dyDescent="0.25">
      <c r="A6047">
        <v>974</v>
      </c>
      <c r="B6047">
        <v>1</v>
      </c>
      <c r="C6047">
        <v>0.320443855857377</v>
      </c>
      <c r="D6047">
        <v>0.98348176149937705</v>
      </c>
      <c r="E6047">
        <v>6</v>
      </c>
      <c r="F6047">
        <v>1.01722196789785</v>
      </c>
      <c r="G6047" t="s">
        <v>87</v>
      </c>
      <c r="H6047" t="s">
        <v>87</v>
      </c>
      <c r="I6047">
        <v>721</v>
      </c>
      <c r="J6047">
        <v>673</v>
      </c>
      <c r="K6047">
        <v>0.11931529568040899</v>
      </c>
    </row>
    <row r="6048" spans="1:11" x14ac:dyDescent="0.25">
      <c r="A6048" t="s">
        <v>85</v>
      </c>
    </row>
    <row r="6049" spans="1:11" x14ac:dyDescent="0.25">
      <c r="A6049">
        <v>56.787994735766503</v>
      </c>
      <c r="B6049">
        <v>49.341934744427903</v>
      </c>
      <c r="C6049">
        <v>2000</v>
      </c>
    </row>
    <row r="6050" spans="1:11" x14ac:dyDescent="0.25">
      <c r="A6050">
        <v>56.561406712300197</v>
      </c>
      <c r="B6050">
        <v>49.568522767894201</v>
      </c>
      <c r="C6050">
        <v>2000</v>
      </c>
    </row>
    <row r="6051" spans="1:11" x14ac:dyDescent="0.25">
      <c r="A6051">
        <v>55.687374663402601</v>
      </c>
      <c r="B6051">
        <v>49.568522767894201</v>
      </c>
      <c r="C6051">
        <v>2001</v>
      </c>
    </row>
    <row r="6052" spans="1:11" x14ac:dyDescent="0.25">
      <c r="A6052">
        <v>55.913962686868899</v>
      </c>
      <c r="B6052">
        <v>49.341934744427903</v>
      </c>
      <c r="C6052">
        <v>2001</v>
      </c>
    </row>
    <row r="6053" spans="1:11" x14ac:dyDescent="0.25">
      <c r="A6053">
        <v>56.609389309598399</v>
      </c>
      <c r="B6053">
        <v>48.646508121698403</v>
      </c>
      <c r="C6053">
        <v>2001</v>
      </c>
    </row>
    <row r="6054" spans="1:11" x14ac:dyDescent="0.25">
      <c r="A6054">
        <v>57.483421358496102</v>
      </c>
      <c r="B6054">
        <v>48.646508121698403</v>
      </c>
      <c r="C6054">
        <v>2000</v>
      </c>
    </row>
    <row r="6055" spans="1:11" x14ac:dyDescent="0.25">
      <c r="A6055" t="s">
        <v>86</v>
      </c>
    </row>
    <row r="6056" spans="1:11" x14ac:dyDescent="0.25">
      <c r="A6056">
        <v>465</v>
      </c>
      <c r="B6056">
        <v>1</v>
      </c>
      <c r="C6056">
        <v>1.1366576994750399</v>
      </c>
      <c r="D6056">
        <v>0.16520902786738401</v>
      </c>
      <c r="E6056">
        <v>6</v>
      </c>
      <c r="F6056">
        <v>1.01722196789785</v>
      </c>
      <c r="G6056" t="s">
        <v>87</v>
      </c>
      <c r="H6056" t="s">
        <v>87</v>
      </c>
      <c r="I6056">
        <v>430</v>
      </c>
      <c r="J6056">
        <v>841</v>
      </c>
      <c r="K6056">
        <v>0</v>
      </c>
    </row>
    <row r="6057" spans="1:11" x14ac:dyDescent="0.25">
      <c r="A6057" t="s">
        <v>85</v>
      </c>
    </row>
    <row r="6058" spans="1:11" x14ac:dyDescent="0.25">
      <c r="A6058">
        <v>73.297783964452194</v>
      </c>
      <c r="B6058">
        <v>120.05858161069401</v>
      </c>
      <c r="C6058">
        <v>2000</v>
      </c>
    </row>
    <row r="6059" spans="1:11" x14ac:dyDescent="0.25">
      <c r="A6059">
        <v>72.494045597265497</v>
      </c>
      <c r="B6059">
        <v>120.862319977881</v>
      </c>
      <c r="C6059">
        <v>2000</v>
      </c>
    </row>
    <row r="6060" spans="1:11" x14ac:dyDescent="0.25">
      <c r="A6060">
        <v>72.494045597265497</v>
      </c>
      <c r="B6060">
        <v>119.988287928983</v>
      </c>
      <c r="C6060">
        <v>2001</v>
      </c>
    </row>
    <row r="6061" spans="1:11" x14ac:dyDescent="0.25">
      <c r="A6061">
        <v>73.297783964452194</v>
      </c>
      <c r="B6061">
        <v>119.184549561797</v>
      </c>
      <c r="C6061">
        <v>2001</v>
      </c>
    </row>
    <row r="6062" spans="1:11" x14ac:dyDescent="0.25">
      <c r="A6062">
        <v>73.414604388370506</v>
      </c>
      <c r="B6062">
        <v>119.067729137878</v>
      </c>
      <c r="C6062">
        <v>2001</v>
      </c>
    </row>
    <row r="6063" spans="1:11" x14ac:dyDescent="0.25">
      <c r="A6063">
        <v>73.414604388370407</v>
      </c>
      <c r="B6063">
        <v>119.94176118677601</v>
      </c>
      <c r="C6063">
        <v>2000</v>
      </c>
    </row>
    <row r="6064" spans="1:11" x14ac:dyDescent="0.25">
      <c r="A6064" t="s">
        <v>86</v>
      </c>
    </row>
    <row r="6065" spans="1:11" x14ac:dyDescent="0.25">
      <c r="A6065">
        <v>1114</v>
      </c>
      <c r="B6065">
        <v>1</v>
      </c>
      <c r="C6065">
        <v>0.33407577656979698</v>
      </c>
      <c r="D6065">
        <v>0.95259921800147396</v>
      </c>
      <c r="E6065">
        <v>6</v>
      </c>
      <c r="F6065">
        <v>1.01722196789785</v>
      </c>
      <c r="G6065" t="s">
        <v>87</v>
      </c>
      <c r="H6065" t="s">
        <v>87</v>
      </c>
      <c r="I6065">
        <v>103</v>
      </c>
      <c r="J6065">
        <v>105</v>
      </c>
      <c r="K6065">
        <v>0.123942026493586</v>
      </c>
    </row>
    <row r="6066" spans="1:11" x14ac:dyDescent="0.25">
      <c r="A6066" t="s">
        <v>85</v>
      </c>
    </row>
    <row r="6067" spans="1:11" x14ac:dyDescent="0.25">
      <c r="A6067">
        <v>20.270083598628499</v>
      </c>
      <c r="B6067">
        <v>90.721282932610706</v>
      </c>
      <c r="C6067">
        <v>2000</v>
      </c>
    </row>
    <row r="6068" spans="1:11" x14ac:dyDescent="0.25">
      <c r="A6068">
        <v>20.147324374479901</v>
      </c>
      <c r="B6068">
        <v>90.844042156759301</v>
      </c>
      <c r="C6068">
        <v>2000</v>
      </c>
    </row>
    <row r="6069" spans="1:11" x14ac:dyDescent="0.25">
      <c r="A6069">
        <v>20.147324374479901</v>
      </c>
      <c r="B6069">
        <v>91.718074205656904</v>
      </c>
      <c r="C6069">
        <v>2001</v>
      </c>
    </row>
    <row r="6070" spans="1:11" x14ac:dyDescent="0.25">
      <c r="A6070">
        <v>20.4970196444166</v>
      </c>
      <c r="B6070">
        <v>91.368378935720301</v>
      </c>
      <c r="C6070">
        <v>2001</v>
      </c>
    </row>
    <row r="6071" spans="1:11" x14ac:dyDescent="0.25">
      <c r="A6071">
        <v>21.494157012773201</v>
      </c>
      <c r="B6071">
        <v>90.371241567363597</v>
      </c>
      <c r="C6071">
        <v>2001</v>
      </c>
    </row>
    <row r="6072" spans="1:11" x14ac:dyDescent="0.25">
      <c r="A6072">
        <v>20.6201249638756</v>
      </c>
      <c r="B6072">
        <v>90.371241567363597</v>
      </c>
      <c r="C6072">
        <v>2000</v>
      </c>
    </row>
    <row r="6073" spans="1:11" x14ac:dyDescent="0.25">
      <c r="A6073" t="s">
        <v>86</v>
      </c>
    </row>
    <row r="6074" spans="1:11" x14ac:dyDescent="0.25">
      <c r="A6074">
        <v>952</v>
      </c>
      <c r="B6074">
        <v>1</v>
      </c>
      <c r="C6074">
        <v>0.13069202661902701</v>
      </c>
      <c r="D6074">
        <v>1.1456907733955699</v>
      </c>
      <c r="E6074">
        <v>6</v>
      </c>
      <c r="F6074">
        <v>1.01722196789785</v>
      </c>
      <c r="G6074" t="s">
        <v>87</v>
      </c>
      <c r="H6074" t="s">
        <v>87</v>
      </c>
      <c r="I6074">
        <v>835</v>
      </c>
      <c r="J6074">
        <v>792</v>
      </c>
      <c r="K6074">
        <v>0.117959963458315</v>
      </c>
    </row>
    <row r="6075" spans="1:11" x14ac:dyDescent="0.25">
      <c r="A6075" t="s">
        <v>85</v>
      </c>
    </row>
    <row r="6076" spans="1:11" x14ac:dyDescent="0.25">
      <c r="A6076">
        <v>24.423908511839802</v>
      </c>
      <c r="B6076">
        <v>48.399700591983503</v>
      </c>
      <c r="C6076">
        <v>2000</v>
      </c>
    </row>
    <row r="6077" spans="1:11" x14ac:dyDescent="0.25">
      <c r="A6077">
        <v>24.331495293570399</v>
      </c>
      <c r="B6077">
        <v>48.492113810252903</v>
      </c>
      <c r="C6077">
        <v>2000</v>
      </c>
    </row>
    <row r="6078" spans="1:11" x14ac:dyDescent="0.25">
      <c r="A6078">
        <v>24.331495293570399</v>
      </c>
      <c r="B6078">
        <v>47.618081761355199</v>
      </c>
      <c r="C6078">
        <v>2001</v>
      </c>
    </row>
    <row r="6079" spans="1:11" x14ac:dyDescent="0.25">
      <c r="A6079">
        <v>24.423908511839802</v>
      </c>
      <c r="B6079">
        <v>47.525668543085899</v>
      </c>
      <c r="C6079">
        <v>2001</v>
      </c>
    </row>
    <row r="6080" spans="1:11" x14ac:dyDescent="0.25">
      <c r="A6080">
        <v>25.2340342268506</v>
      </c>
      <c r="B6080">
        <v>46.715542828075002</v>
      </c>
      <c r="C6080">
        <v>2001</v>
      </c>
    </row>
    <row r="6081" spans="1:11" x14ac:dyDescent="0.25">
      <c r="A6081">
        <v>25.2340342268506</v>
      </c>
      <c r="B6081">
        <v>47.589574876972698</v>
      </c>
      <c r="C6081">
        <v>2000</v>
      </c>
    </row>
    <row r="6082" spans="1:11" x14ac:dyDescent="0.25">
      <c r="A6082" t="s">
        <v>86</v>
      </c>
    </row>
    <row r="6083" spans="1:11" x14ac:dyDescent="0.25">
      <c r="A6083">
        <v>480</v>
      </c>
      <c r="B6083">
        <v>1</v>
      </c>
      <c r="C6083">
        <v>0.63974144914361697</v>
      </c>
      <c r="D6083">
        <v>0.62575649918401799</v>
      </c>
      <c r="E6083">
        <v>6</v>
      </c>
      <c r="F6083">
        <v>1.01722196789785</v>
      </c>
      <c r="G6083" t="s">
        <v>87</v>
      </c>
      <c r="H6083" t="s">
        <v>87</v>
      </c>
      <c r="I6083">
        <v>438</v>
      </c>
      <c r="J6083">
        <v>437</v>
      </c>
      <c r="K6083">
        <v>0</v>
      </c>
    </row>
    <row r="6084" spans="1:11" x14ac:dyDescent="0.25">
      <c r="A6084" t="s">
        <v>85</v>
      </c>
    </row>
    <row r="6085" spans="1:11" x14ac:dyDescent="0.25">
      <c r="A6085">
        <v>67.111065227598999</v>
      </c>
      <c r="B6085">
        <v>102.571287042262</v>
      </c>
      <c r="C6085">
        <v>2000</v>
      </c>
    </row>
    <row r="6086" spans="1:11" x14ac:dyDescent="0.25">
      <c r="A6086">
        <v>66.658699710703402</v>
      </c>
      <c r="B6086">
        <v>103.023652559157</v>
      </c>
      <c r="C6086">
        <v>2000</v>
      </c>
    </row>
    <row r="6087" spans="1:11" x14ac:dyDescent="0.25">
      <c r="A6087">
        <v>67.532731759601006</v>
      </c>
      <c r="B6087">
        <v>103.023652559157</v>
      </c>
      <c r="C6087">
        <v>2001</v>
      </c>
    </row>
    <row r="6088" spans="1:11" x14ac:dyDescent="0.25">
      <c r="A6088">
        <v>67.985097276496603</v>
      </c>
      <c r="B6088">
        <v>102.571287042262</v>
      </c>
      <c r="C6088">
        <v>2001</v>
      </c>
    </row>
    <row r="6089" spans="1:11" x14ac:dyDescent="0.25">
      <c r="A6089">
        <v>68.427573940441206</v>
      </c>
      <c r="B6089">
        <v>102.128810378317</v>
      </c>
      <c r="C6089">
        <v>2001</v>
      </c>
    </row>
    <row r="6090" spans="1:11" x14ac:dyDescent="0.25">
      <c r="A6090">
        <v>67.553541891543503</v>
      </c>
      <c r="B6090">
        <v>102.128810378317</v>
      </c>
      <c r="C6090">
        <v>2000</v>
      </c>
    </row>
    <row r="6091" spans="1:11" x14ac:dyDescent="0.25">
      <c r="A6091" t="s">
        <v>86</v>
      </c>
    </row>
    <row r="6092" spans="1:11" x14ac:dyDescent="0.25">
      <c r="A6092">
        <v>1149</v>
      </c>
      <c r="B6092">
        <v>1</v>
      </c>
      <c r="C6092">
        <v>0.90680976223216803</v>
      </c>
      <c r="D6092">
        <v>0.35868818609546699</v>
      </c>
      <c r="E6092">
        <v>6</v>
      </c>
      <c r="F6092">
        <v>1.01722196789785</v>
      </c>
      <c r="G6092" t="s">
        <v>87</v>
      </c>
      <c r="H6092" t="s">
        <v>87</v>
      </c>
      <c r="I6092">
        <v>438</v>
      </c>
      <c r="J6092">
        <v>437</v>
      </c>
      <c r="K6092">
        <v>0.124845976961483</v>
      </c>
    </row>
    <row r="6093" spans="1:11" x14ac:dyDescent="0.25">
      <c r="A6093" t="s">
        <v>85</v>
      </c>
    </row>
    <row r="6094" spans="1:11" x14ac:dyDescent="0.25">
      <c r="A6094">
        <v>74.238081152204998</v>
      </c>
      <c r="B6094">
        <v>109.320611336418</v>
      </c>
      <c r="C6094">
        <v>2000</v>
      </c>
    </row>
    <row r="6095" spans="1:11" x14ac:dyDescent="0.25">
      <c r="A6095">
        <v>73.596869820084507</v>
      </c>
      <c r="B6095">
        <v>109.96182266853801</v>
      </c>
      <c r="C6095">
        <v>2000</v>
      </c>
    </row>
    <row r="6096" spans="1:11" x14ac:dyDescent="0.25">
      <c r="A6096">
        <v>74.470901868982097</v>
      </c>
      <c r="B6096">
        <v>109.96182266853801</v>
      </c>
      <c r="C6096">
        <v>2001</v>
      </c>
    </row>
    <row r="6097" spans="1:11" x14ac:dyDescent="0.25">
      <c r="A6097">
        <v>75.112113201102602</v>
      </c>
      <c r="B6097">
        <v>109.320611336418</v>
      </c>
      <c r="C6097">
        <v>2001</v>
      </c>
    </row>
    <row r="6098" spans="1:11" x14ac:dyDescent="0.25">
      <c r="A6098">
        <v>75.365744049822197</v>
      </c>
      <c r="B6098">
        <v>109.066980487698</v>
      </c>
      <c r="C6098">
        <v>2001</v>
      </c>
    </row>
    <row r="6099" spans="1:11" x14ac:dyDescent="0.25">
      <c r="A6099">
        <v>74.491712000924593</v>
      </c>
      <c r="B6099">
        <v>109.066980487698</v>
      </c>
      <c r="C6099">
        <v>2000</v>
      </c>
    </row>
    <row r="6100" spans="1:11" x14ac:dyDescent="0.25">
      <c r="A6100" t="s">
        <v>86</v>
      </c>
    </row>
    <row r="6101" spans="1:11" x14ac:dyDescent="0.25">
      <c r="A6101">
        <v>463</v>
      </c>
      <c r="B6101">
        <v>1</v>
      </c>
      <c r="C6101">
        <v>0.20727122050125499</v>
      </c>
      <c r="D6101">
        <v>1.05822672782637</v>
      </c>
      <c r="E6101">
        <v>8</v>
      </c>
      <c r="F6101">
        <v>1.01722196789785</v>
      </c>
      <c r="G6101" t="s">
        <v>87</v>
      </c>
      <c r="H6101" t="s">
        <v>87</v>
      </c>
      <c r="I6101">
        <v>438</v>
      </c>
      <c r="J6101">
        <v>437</v>
      </c>
      <c r="K6101">
        <v>0</v>
      </c>
    </row>
    <row r="6102" spans="1:11" x14ac:dyDescent="0.25">
      <c r="A6102" t="s">
        <v>85</v>
      </c>
    </row>
    <row r="6103" spans="1:11" x14ac:dyDescent="0.25">
      <c r="A6103">
        <v>65.097406230992505</v>
      </c>
      <c r="B6103">
        <v>101.16758708561601</v>
      </c>
      <c r="C6103">
        <v>2000</v>
      </c>
    </row>
    <row r="6104" spans="1:11" x14ac:dyDescent="0.25">
      <c r="A6104">
        <v>64.950020234077201</v>
      </c>
      <c r="B6104">
        <v>101.314973082531</v>
      </c>
      <c r="C6104">
        <v>2000</v>
      </c>
    </row>
    <row r="6105" spans="1:11" x14ac:dyDescent="0.25">
      <c r="A6105">
        <v>64.950020234077201</v>
      </c>
      <c r="B6105">
        <v>100.440941033633</v>
      </c>
      <c r="C6105">
        <v>2001</v>
      </c>
    </row>
    <row r="6106" spans="1:11" x14ac:dyDescent="0.25">
      <c r="A6106">
        <v>65.095760008284401</v>
      </c>
      <c r="B6106">
        <v>100.29520125942599</v>
      </c>
      <c r="C6106">
        <v>2001</v>
      </c>
    </row>
    <row r="6107" spans="1:11" x14ac:dyDescent="0.25">
      <c r="A6107">
        <v>65.823046600326506</v>
      </c>
      <c r="B6107">
        <v>99.567914667384102</v>
      </c>
      <c r="C6107">
        <v>2001</v>
      </c>
    </row>
    <row r="6108" spans="1:11" x14ac:dyDescent="0.25">
      <c r="A6108">
        <v>65.844862414917301</v>
      </c>
      <c r="B6108">
        <v>99.546098852793307</v>
      </c>
      <c r="C6108">
        <v>2001</v>
      </c>
    </row>
    <row r="6109" spans="1:11" x14ac:dyDescent="0.25">
      <c r="A6109">
        <v>65.844862414917401</v>
      </c>
      <c r="B6109">
        <v>100.420130901691</v>
      </c>
      <c r="C6109">
        <v>2000</v>
      </c>
    </row>
    <row r="6110" spans="1:11" x14ac:dyDescent="0.25">
      <c r="A6110">
        <v>65.832907983992499</v>
      </c>
      <c r="B6110">
        <v>100.432085332616</v>
      </c>
      <c r="C6110">
        <v>2000</v>
      </c>
    </row>
    <row r="6111" spans="1:11" x14ac:dyDescent="0.25">
      <c r="A6111" t="s">
        <v>86</v>
      </c>
    </row>
    <row r="6112" spans="1:11" x14ac:dyDescent="0.25">
      <c r="A6112">
        <v>1001</v>
      </c>
      <c r="B6112">
        <v>1</v>
      </c>
      <c r="C6112">
        <v>0.188393943389492</v>
      </c>
      <c r="D6112">
        <v>1.0743556188236201</v>
      </c>
      <c r="E6112">
        <v>6</v>
      </c>
      <c r="F6112">
        <v>1.01722196789785</v>
      </c>
      <c r="G6112" t="s">
        <v>87</v>
      </c>
      <c r="H6112" t="s">
        <v>87</v>
      </c>
      <c r="I6112">
        <v>114</v>
      </c>
      <c r="J6112">
        <v>196</v>
      </c>
      <c r="K6112">
        <v>0.119945352050412</v>
      </c>
    </row>
    <row r="6113" spans="1:11" x14ac:dyDescent="0.25">
      <c r="A6113" t="s">
        <v>85</v>
      </c>
    </row>
    <row r="6114" spans="1:11" x14ac:dyDescent="0.25">
      <c r="A6114">
        <v>15.6981092839242</v>
      </c>
      <c r="B6114">
        <v>82.736064085117903</v>
      </c>
      <c r="C6114">
        <v>2000</v>
      </c>
    </row>
    <row r="6115" spans="1:11" x14ac:dyDescent="0.25">
      <c r="A6115">
        <v>15.630094570392201</v>
      </c>
      <c r="B6115">
        <v>82.804078798649897</v>
      </c>
      <c r="C6115">
        <v>2000</v>
      </c>
    </row>
    <row r="6116" spans="1:11" x14ac:dyDescent="0.25">
      <c r="A6116">
        <v>14.7560625214946</v>
      </c>
      <c r="B6116">
        <v>82.804078798649897</v>
      </c>
      <c r="C6116">
        <v>2001</v>
      </c>
    </row>
    <row r="6117" spans="1:11" x14ac:dyDescent="0.25">
      <c r="A6117">
        <v>14.9544770777729</v>
      </c>
      <c r="B6117">
        <v>82.605664242371503</v>
      </c>
      <c r="C6117">
        <v>2001</v>
      </c>
    </row>
    <row r="6118" spans="1:11" x14ac:dyDescent="0.25">
      <c r="A6118">
        <v>16.085977324324599</v>
      </c>
      <c r="B6118">
        <v>81.474163995819794</v>
      </c>
      <c r="C6118">
        <v>2001</v>
      </c>
    </row>
    <row r="6119" spans="1:11" x14ac:dyDescent="0.25">
      <c r="A6119">
        <v>16.085977324324599</v>
      </c>
      <c r="B6119">
        <v>82.348196044717497</v>
      </c>
      <c r="C6119">
        <v>2000</v>
      </c>
    </row>
    <row r="6120" spans="1:11" x14ac:dyDescent="0.25">
      <c r="A6120" t="s">
        <v>86</v>
      </c>
    </row>
    <row r="6121" spans="1:11" x14ac:dyDescent="0.25">
      <c r="A6121">
        <v>141</v>
      </c>
      <c r="B6121">
        <v>1</v>
      </c>
      <c r="C6121">
        <v>6.3080628432771804E-2</v>
      </c>
      <c r="D6121">
        <v>1.1996689337803399</v>
      </c>
      <c r="E6121">
        <v>6</v>
      </c>
      <c r="F6121">
        <v>1.01722196789785</v>
      </c>
      <c r="G6121" t="s">
        <v>87</v>
      </c>
      <c r="H6121" t="s">
        <v>87</v>
      </c>
      <c r="I6121">
        <v>114</v>
      </c>
      <c r="J6121">
        <v>196</v>
      </c>
      <c r="K6121">
        <v>0</v>
      </c>
    </row>
    <row r="6122" spans="1:11" x14ac:dyDescent="0.25">
      <c r="A6122" t="s">
        <v>85</v>
      </c>
    </row>
    <row r="6123" spans="1:11" x14ac:dyDescent="0.25">
      <c r="A6123">
        <v>21.411987933894601</v>
      </c>
      <c r="B6123">
        <v>88.540424934942195</v>
      </c>
      <c r="C6123">
        <v>2000</v>
      </c>
    </row>
    <row r="6124" spans="1:11" x14ac:dyDescent="0.25">
      <c r="A6124">
        <v>21.3892143202896</v>
      </c>
      <c r="B6124">
        <v>88.563198548547206</v>
      </c>
      <c r="C6124">
        <v>2000</v>
      </c>
    </row>
    <row r="6125" spans="1:11" x14ac:dyDescent="0.25">
      <c r="A6125">
        <v>21.389214320289501</v>
      </c>
      <c r="B6125">
        <v>89.437230597444795</v>
      </c>
      <c r="C6125">
        <v>2001</v>
      </c>
    </row>
    <row r="6126" spans="1:11" x14ac:dyDescent="0.25">
      <c r="A6126">
        <v>21.455650186937198</v>
      </c>
      <c r="B6126">
        <v>89.370794730797101</v>
      </c>
      <c r="C6126">
        <v>2001</v>
      </c>
    </row>
    <row r="6127" spans="1:11" x14ac:dyDescent="0.25">
      <c r="A6127">
        <v>22.7191291231196</v>
      </c>
      <c r="B6127">
        <v>88.107315794614806</v>
      </c>
      <c r="C6127">
        <v>2001</v>
      </c>
    </row>
    <row r="6128" spans="1:11" x14ac:dyDescent="0.25">
      <c r="A6128">
        <v>21.845097074222</v>
      </c>
      <c r="B6128">
        <v>88.107315794614806</v>
      </c>
      <c r="C6128">
        <v>2000</v>
      </c>
    </row>
    <row r="6129" spans="1:11" x14ac:dyDescent="0.25">
      <c r="A6129" t="s">
        <v>86</v>
      </c>
    </row>
    <row r="6130" spans="1:11" x14ac:dyDescent="0.25">
      <c r="A6130">
        <v>971</v>
      </c>
      <c r="B6130">
        <v>1</v>
      </c>
      <c r="C6130">
        <v>1.0067399236344301</v>
      </c>
      <c r="D6130">
        <v>0.25600963857868902</v>
      </c>
      <c r="E6130">
        <v>6</v>
      </c>
      <c r="F6130">
        <v>1.01722196789785</v>
      </c>
      <c r="G6130" t="s">
        <v>87</v>
      </c>
      <c r="H6130" t="s">
        <v>87</v>
      </c>
      <c r="I6130">
        <v>114</v>
      </c>
      <c r="J6130">
        <v>196</v>
      </c>
      <c r="K6130">
        <v>0.11931529568040899</v>
      </c>
    </row>
    <row r="6131" spans="1:11" x14ac:dyDescent="0.25">
      <c r="A6131" t="s">
        <v>85</v>
      </c>
    </row>
    <row r="6132" spans="1:11" x14ac:dyDescent="0.25">
      <c r="A6132">
        <v>36.366283944101703</v>
      </c>
      <c r="B6132">
        <v>102.813353853615</v>
      </c>
      <c r="C6132">
        <v>2000</v>
      </c>
    </row>
    <row r="6133" spans="1:11" x14ac:dyDescent="0.25">
      <c r="A6133">
        <v>36.002826784729798</v>
      </c>
      <c r="B6133">
        <v>103.176811012987</v>
      </c>
      <c r="C6133">
        <v>2000</v>
      </c>
    </row>
    <row r="6134" spans="1:11" x14ac:dyDescent="0.25">
      <c r="A6134">
        <v>35.128794735832102</v>
      </c>
      <c r="B6134">
        <v>103.176811012987</v>
      </c>
      <c r="C6134">
        <v>2001</v>
      </c>
    </row>
    <row r="6135" spans="1:11" x14ac:dyDescent="0.25">
      <c r="A6135">
        <v>36.189082830246399</v>
      </c>
      <c r="B6135">
        <v>102.116522918573</v>
      </c>
      <c r="C6135">
        <v>2001</v>
      </c>
    </row>
    <row r="6136" spans="1:11" x14ac:dyDescent="0.25">
      <c r="A6136">
        <v>36.458709538662198</v>
      </c>
      <c r="B6136">
        <v>101.846896210157</v>
      </c>
      <c r="C6136">
        <v>2001</v>
      </c>
    </row>
    <row r="6137" spans="1:11" x14ac:dyDescent="0.25">
      <c r="A6137">
        <v>36.458709538662198</v>
      </c>
      <c r="B6137">
        <v>102.720928259055</v>
      </c>
      <c r="C6137">
        <v>2000</v>
      </c>
    </row>
    <row r="6138" spans="1:11" x14ac:dyDescent="0.25">
      <c r="A6138" t="s">
        <v>86</v>
      </c>
    </row>
    <row r="6139" spans="1:11" x14ac:dyDescent="0.25">
      <c r="A6139">
        <v>1002</v>
      </c>
      <c r="B6139">
        <v>1</v>
      </c>
      <c r="C6139">
        <v>0.79535620792415795</v>
      </c>
      <c r="D6139">
        <v>0.46739335428895901</v>
      </c>
      <c r="E6139">
        <v>6</v>
      </c>
      <c r="F6139">
        <v>1.01722196789785</v>
      </c>
      <c r="G6139" t="s">
        <v>87</v>
      </c>
      <c r="H6139" t="s">
        <v>87</v>
      </c>
      <c r="I6139">
        <v>114</v>
      </c>
      <c r="J6139">
        <v>196</v>
      </c>
      <c r="K6139">
        <v>0.12024993113152201</v>
      </c>
    </row>
    <row r="6140" spans="1:11" x14ac:dyDescent="0.25">
      <c r="A6140" t="s">
        <v>85</v>
      </c>
    </row>
    <row r="6141" spans="1:11" x14ac:dyDescent="0.25">
      <c r="A6141">
        <v>14.897207102699401</v>
      </c>
      <c r="B6141">
        <v>81.496906153157795</v>
      </c>
      <c r="C6141">
        <v>2000</v>
      </c>
    </row>
    <row r="6142" spans="1:11" x14ac:dyDescent="0.25">
      <c r="A6142">
        <v>14.6100645137998</v>
      </c>
      <c r="B6142">
        <v>81.784048742057394</v>
      </c>
      <c r="C6142">
        <v>2000</v>
      </c>
    </row>
    <row r="6143" spans="1:11" x14ac:dyDescent="0.25">
      <c r="A6143">
        <v>14.6100645137998</v>
      </c>
      <c r="B6143">
        <v>82.658080790954997</v>
      </c>
      <c r="C6143">
        <v>2001</v>
      </c>
    </row>
    <row r="6144" spans="1:11" x14ac:dyDescent="0.25">
      <c r="A6144">
        <v>15.447725461064101</v>
      </c>
      <c r="B6144">
        <v>81.820419843690701</v>
      </c>
      <c r="C6144">
        <v>2001</v>
      </c>
    </row>
    <row r="6145" spans="1:11" x14ac:dyDescent="0.25">
      <c r="A6145">
        <v>15.939979316629801</v>
      </c>
      <c r="B6145">
        <v>81.328165988124994</v>
      </c>
      <c r="C6145">
        <v>2001</v>
      </c>
    </row>
    <row r="6146" spans="1:11" x14ac:dyDescent="0.25">
      <c r="A6146">
        <v>15.0659472677322</v>
      </c>
      <c r="B6146">
        <v>81.328165988124994</v>
      </c>
      <c r="C6146">
        <v>2000</v>
      </c>
    </row>
    <row r="6147" spans="1:11" x14ac:dyDescent="0.25">
      <c r="A6147" t="s">
        <v>86</v>
      </c>
    </row>
    <row r="6148" spans="1:11" x14ac:dyDescent="0.25">
      <c r="A6148">
        <v>1044</v>
      </c>
      <c r="B6148">
        <v>1</v>
      </c>
      <c r="C6148">
        <v>0.32699018339645702</v>
      </c>
      <c r="D6148">
        <v>0.933805312624436</v>
      </c>
      <c r="E6148">
        <v>6</v>
      </c>
      <c r="F6148">
        <v>1.01722196789785</v>
      </c>
      <c r="G6148" t="s">
        <v>87</v>
      </c>
      <c r="H6148" t="s">
        <v>87</v>
      </c>
      <c r="I6148">
        <v>756</v>
      </c>
      <c r="J6148">
        <v>582</v>
      </c>
      <c r="K6148">
        <v>0.121949590810518</v>
      </c>
    </row>
    <row r="6149" spans="1:11" x14ac:dyDescent="0.25">
      <c r="A6149" t="s">
        <v>85</v>
      </c>
    </row>
    <row r="6150" spans="1:11" x14ac:dyDescent="0.25">
      <c r="A6150">
        <v>87.550836636950294</v>
      </c>
      <c r="B6150">
        <v>45.7320933559594</v>
      </c>
      <c r="C6150">
        <v>2000</v>
      </c>
    </row>
    <row r="6151" spans="1:11" x14ac:dyDescent="0.25">
      <c r="A6151">
        <v>87.319619660889202</v>
      </c>
      <c r="B6151">
        <v>45.963310332020399</v>
      </c>
      <c r="C6151">
        <v>2000</v>
      </c>
    </row>
    <row r="6152" spans="1:11" x14ac:dyDescent="0.25">
      <c r="A6152">
        <v>88.193651709786806</v>
      </c>
      <c r="B6152">
        <v>45.963310332020399</v>
      </c>
      <c r="C6152">
        <v>2001</v>
      </c>
    </row>
    <row r="6153" spans="1:11" x14ac:dyDescent="0.25">
      <c r="A6153">
        <v>88.424868685847898</v>
      </c>
      <c r="B6153">
        <v>45.7320933559594</v>
      </c>
      <c r="C6153">
        <v>2001</v>
      </c>
    </row>
    <row r="6154" spans="1:11" x14ac:dyDescent="0.25">
      <c r="A6154">
        <v>89.085168754712697</v>
      </c>
      <c r="B6154">
        <v>45.0717932870946</v>
      </c>
      <c r="C6154">
        <v>2001</v>
      </c>
    </row>
    <row r="6155" spans="1:11" x14ac:dyDescent="0.25">
      <c r="A6155">
        <v>88.211136705814994</v>
      </c>
      <c r="B6155">
        <v>45.0717932870946</v>
      </c>
      <c r="C6155">
        <v>2000</v>
      </c>
    </row>
    <row r="6156" spans="1:11" x14ac:dyDescent="0.25">
      <c r="A6156" t="s">
        <v>86</v>
      </c>
    </row>
    <row r="6157" spans="1:11" x14ac:dyDescent="0.25">
      <c r="A6157">
        <v>704</v>
      </c>
      <c r="B6157">
        <v>1</v>
      </c>
      <c r="C6157">
        <v>0.582054580115138</v>
      </c>
      <c r="D6157">
        <v>0.67874091590575603</v>
      </c>
      <c r="E6157">
        <v>6</v>
      </c>
      <c r="F6157">
        <v>1.01722196789785</v>
      </c>
      <c r="G6157" t="s">
        <v>87</v>
      </c>
      <c r="H6157" t="s">
        <v>87</v>
      </c>
      <c r="I6157">
        <v>756</v>
      </c>
      <c r="J6157">
        <v>582</v>
      </c>
      <c r="K6157">
        <v>0</v>
      </c>
    </row>
    <row r="6158" spans="1:11" x14ac:dyDescent="0.25">
      <c r="A6158" t="s">
        <v>85</v>
      </c>
    </row>
    <row r="6159" spans="1:11" x14ac:dyDescent="0.25">
      <c r="A6159">
        <v>50.602064084076297</v>
      </c>
      <c r="B6159">
        <v>8.4226052739673598</v>
      </c>
      <c r="C6159">
        <v>2000</v>
      </c>
    </row>
    <row r="6160" spans="1:11" x14ac:dyDescent="0.25">
      <c r="A6160">
        <v>50.1904893434562</v>
      </c>
      <c r="B6160">
        <v>8.8341800145874601</v>
      </c>
      <c r="C6160">
        <v>2000</v>
      </c>
    </row>
    <row r="6161" spans="1:11" x14ac:dyDescent="0.25">
      <c r="A6161">
        <v>50.1904893434562</v>
      </c>
      <c r="B6161">
        <v>7.9601479656898197</v>
      </c>
      <c r="C6161">
        <v>2001</v>
      </c>
    </row>
    <row r="6162" spans="1:11" x14ac:dyDescent="0.25">
      <c r="A6162">
        <v>50.602064084076297</v>
      </c>
      <c r="B6162">
        <v>7.5485732250697204</v>
      </c>
      <c r="C6162">
        <v>2001</v>
      </c>
    </row>
    <row r="6163" spans="1:11" x14ac:dyDescent="0.25">
      <c r="A6163">
        <v>51.082006388382098</v>
      </c>
      <c r="B6163">
        <v>7.0686309207639901</v>
      </c>
      <c r="C6163">
        <v>2001</v>
      </c>
    </row>
    <row r="6164" spans="1:11" x14ac:dyDescent="0.25">
      <c r="A6164">
        <v>51.082006388382098</v>
      </c>
      <c r="B6164">
        <v>7.9426629696616304</v>
      </c>
      <c r="C6164">
        <v>2000</v>
      </c>
    </row>
    <row r="6165" spans="1:11" x14ac:dyDescent="0.25">
      <c r="A6165" t="s">
        <v>86</v>
      </c>
    </row>
    <row r="6166" spans="1:11" x14ac:dyDescent="0.25">
      <c r="A6166">
        <v>1110</v>
      </c>
      <c r="B6166">
        <v>1</v>
      </c>
      <c r="C6166">
        <v>1.1753580059305899</v>
      </c>
      <c r="D6166">
        <v>8.5437490090299703E-2</v>
      </c>
      <c r="E6166">
        <v>6</v>
      </c>
      <c r="F6166">
        <v>1.01722196789785</v>
      </c>
      <c r="G6166" t="s">
        <v>87</v>
      </c>
      <c r="H6166" t="s">
        <v>87</v>
      </c>
      <c r="I6166">
        <v>756</v>
      </c>
      <c r="J6166">
        <v>582</v>
      </c>
      <c r="K6166">
        <v>0.123707222271514</v>
      </c>
    </row>
    <row r="6167" spans="1:11" x14ac:dyDescent="0.25">
      <c r="A6167" t="s">
        <v>85</v>
      </c>
    </row>
    <row r="6168" spans="1:11" x14ac:dyDescent="0.25">
      <c r="A6168">
        <v>52.501563065453198</v>
      </c>
      <c r="B6168">
        <v>9.4830465039536094</v>
      </c>
      <c r="C6168">
        <v>2000</v>
      </c>
    </row>
    <row r="6169" spans="1:11" x14ac:dyDescent="0.25">
      <c r="A6169">
        <v>51.670459449137802</v>
      </c>
      <c r="B6169">
        <v>10.314150120269</v>
      </c>
      <c r="C6169">
        <v>2000</v>
      </c>
    </row>
    <row r="6170" spans="1:11" x14ac:dyDescent="0.25">
      <c r="A6170">
        <v>51.670459449137802</v>
      </c>
      <c r="B6170">
        <v>9.4401180713713693</v>
      </c>
      <c r="C6170">
        <v>2001</v>
      </c>
    </row>
    <row r="6171" spans="1:11" x14ac:dyDescent="0.25">
      <c r="A6171">
        <v>52.501563065453198</v>
      </c>
      <c r="B6171">
        <v>8.6090144550559398</v>
      </c>
      <c r="C6171">
        <v>2001</v>
      </c>
    </row>
    <row r="6172" spans="1:11" x14ac:dyDescent="0.25">
      <c r="A6172">
        <v>52.5619764940636</v>
      </c>
      <c r="B6172">
        <v>8.5486010264455299</v>
      </c>
      <c r="C6172">
        <v>2001</v>
      </c>
    </row>
    <row r="6173" spans="1:11" x14ac:dyDescent="0.25">
      <c r="A6173">
        <v>52.5619764940636</v>
      </c>
      <c r="B6173">
        <v>9.4226330753431995</v>
      </c>
      <c r="C6173">
        <v>2000</v>
      </c>
    </row>
    <row r="6174" spans="1:11" x14ac:dyDescent="0.25">
      <c r="A6174" t="s">
        <v>86</v>
      </c>
    </row>
    <row r="6175" spans="1:11" x14ac:dyDescent="0.25">
      <c r="A6175">
        <v>388</v>
      </c>
      <c r="B6175">
        <v>1</v>
      </c>
      <c r="C6175">
        <v>1.22921731549521</v>
      </c>
      <c r="D6175">
        <v>3.1578180525667E-2</v>
      </c>
      <c r="E6175">
        <v>6</v>
      </c>
      <c r="F6175">
        <v>1.01722196789785</v>
      </c>
      <c r="G6175" t="s">
        <v>87</v>
      </c>
      <c r="H6175" t="s">
        <v>87</v>
      </c>
      <c r="I6175">
        <v>756</v>
      </c>
      <c r="J6175">
        <v>582</v>
      </c>
      <c r="K6175">
        <v>0</v>
      </c>
    </row>
    <row r="6176" spans="1:11" x14ac:dyDescent="0.25">
      <c r="A6176" t="s">
        <v>85</v>
      </c>
    </row>
    <row r="6177" spans="1:11" x14ac:dyDescent="0.25">
      <c r="A6177">
        <v>94.223292250755804</v>
      </c>
      <c r="B6177">
        <v>51.128607123209903</v>
      </c>
      <c r="C6177">
        <v>2000</v>
      </c>
    </row>
    <row r="6178" spans="1:11" x14ac:dyDescent="0.25">
      <c r="A6178">
        <v>93.354104351417206</v>
      </c>
      <c r="B6178">
        <v>51.997795022548402</v>
      </c>
      <c r="C6178">
        <v>2000</v>
      </c>
    </row>
    <row r="6179" spans="1:11" x14ac:dyDescent="0.25">
      <c r="A6179">
        <v>93.354104351417206</v>
      </c>
      <c r="B6179">
        <v>51.123762973650798</v>
      </c>
      <c r="C6179">
        <v>2001</v>
      </c>
    </row>
    <row r="6180" spans="1:11" x14ac:dyDescent="0.25">
      <c r="A6180">
        <v>94.223292250755804</v>
      </c>
      <c r="B6180">
        <v>50.2545750743122</v>
      </c>
      <c r="C6180">
        <v>2001</v>
      </c>
    </row>
    <row r="6181" spans="1:11" x14ac:dyDescent="0.25">
      <c r="A6181">
        <v>94.245621396342997</v>
      </c>
      <c r="B6181">
        <v>50.2322459287249</v>
      </c>
      <c r="C6181">
        <v>2001</v>
      </c>
    </row>
    <row r="6182" spans="1:11" x14ac:dyDescent="0.25">
      <c r="A6182">
        <v>94.245621396343097</v>
      </c>
      <c r="B6182">
        <v>51.106277977622597</v>
      </c>
      <c r="C6182">
        <v>2000</v>
      </c>
    </row>
    <row r="6183" spans="1:11" x14ac:dyDescent="0.25">
      <c r="A6183" t="s">
        <v>86</v>
      </c>
    </row>
    <row r="6184" spans="1:11" x14ac:dyDescent="0.25">
      <c r="A6184">
        <v>968</v>
      </c>
      <c r="B6184">
        <v>1</v>
      </c>
      <c r="C6184">
        <v>1.2111389351901301</v>
      </c>
      <c r="D6184">
        <v>4.3279298130578098E-2</v>
      </c>
      <c r="E6184">
        <v>6</v>
      </c>
      <c r="F6184">
        <v>1.01722196789785</v>
      </c>
      <c r="G6184" t="s">
        <v>87</v>
      </c>
      <c r="H6184" t="s">
        <v>87</v>
      </c>
      <c r="I6184">
        <v>587</v>
      </c>
      <c r="J6184">
        <v>676</v>
      </c>
      <c r="K6184">
        <v>0.11931529568040899</v>
      </c>
    </row>
    <row r="6185" spans="1:11" x14ac:dyDescent="0.25">
      <c r="A6185" t="s">
        <v>85</v>
      </c>
    </row>
    <row r="6186" spans="1:11" x14ac:dyDescent="0.25">
      <c r="A6186">
        <v>49.380240437751702</v>
      </c>
      <c r="B6186">
        <v>34.869883710448903</v>
      </c>
      <c r="C6186">
        <v>2000</v>
      </c>
    </row>
    <row r="6187" spans="1:11" x14ac:dyDescent="0.25">
      <c r="A6187">
        <v>48.523835883719698</v>
      </c>
      <c r="B6187">
        <v>35.7262882644809</v>
      </c>
      <c r="C6187">
        <v>2000</v>
      </c>
    </row>
    <row r="6188" spans="1:11" x14ac:dyDescent="0.25">
      <c r="A6188">
        <v>48.523835883719698</v>
      </c>
      <c r="B6188">
        <v>34.852256215583303</v>
      </c>
      <c r="C6188">
        <v>2001</v>
      </c>
    </row>
    <row r="6189" spans="1:11" x14ac:dyDescent="0.25">
      <c r="A6189">
        <v>49.380240437751802</v>
      </c>
      <c r="B6189">
        <v>33.995851661551299</v>
      </c>
      <c r="C6189">
        <v>2001</v>
      </c>
    </row>
    <row r="6190" spans="1:11" x14ac:dyDescent="0.25">
      <c r="A6190">
        <v>49.410843522944901</v>
      </c>
      <c r="B6190">
        <v>33.965248576358199</v>
      </c>
      <c r="C6190">
        <v>2001</v>
      </c>
    </row>
    <row r="6191" spans="1:11" x14ac:dyDescent="0.25">
      <c r="A6191">
        <v>49.410843522944802</v>
      </c>
      <c r="B6191">
        <v>34.839280625255803</v>
      </c>
      <c r="C6191">
        <v>2000</v>
      </c>
    </row>
    <row r="6192" spans="1:11" x14ac:dyDescent="0.25">
      <c r="A6192" t="s">
        <v>86</v>
      </c>
    </row>
    <row r="6193" spans="1:11" x14ac:dyDescent="0.25">
      <c r="A6193">
        <v>1024</v>
      </c>
      <c r="B6193">
        <v>1</v>
      </c>
      <c r="C6193">
        <v>1.18899929443872</v>
      </c>
      <c r="D6193">
        <v>6.5418938881986605E-2</v>
      </c>
      <c r="E6193">
        <v>6</v>
      </c>
      <c r="F6193">
        <v>1.01722196789785</v>
      </c>
      <c r="G6193" t="s">
        <v>87</v>
      </c>
      <c r="H6193" t="s">
        <v>87</v>
      </c>
      <c r="I6193">
        <v>587</v>
      </c>
      <c r="J6193">
        <v>676</v>
      </c>
      <c r="K6193">
        <v>0.12083958515882</v>
      </c>
    </row>
    <row r="6194" spans="1:11" x14ac:dyDescent="0.25">
      <c r="A6194" t="s">
        <v>85</v>
      </c>
    </row>
    <row r="6195" spans="1:11" x14ac:dyDescent="0.25">
      <c r="A6195">
        <v>43.986420288218902</v>
      </c>
      <c r="B6195">
        <v>29.507373741132898</v>
      </c>
      <c r="C6195">
        <v>2000</v>
      </c>
    </row>
    <row r="6196" spans="1:11" x14ac:dyDescent="0.25">
      <c r="A6196">
        <v>43.145670824295301</v>
      </c>
      <c r="B6196">
        <v>30.348123205056499</v>
      </c>
      <c r="C6196">
        <v>2000</v>
      </c>
    </row>
    <row r="6197" spans="1:11" x14ac:dyDescent="0.25">
      <c r="A6197">
        <v>44.019702873192898</v>
      </c>
      <c r="B6197">
        <v>30.348123205056499</v>
      </c>
      <c r="C6197">
        <v>2001</v>
      </c>
    </row>
    <row r="6198" spans="1:11" x14ac:dyDescent="0.25">
      <c r="A6198">
        <v>44.860452337116598</v>
      </c>
      <c r="B6198">
        <v>29.507373741132898</v>
      </c>
      <c r="C6198">
        <v>2001</v>
      </c>
    </row>
    <row r="6199" spans="1:11" x14ac:dyDescent="0.25">
      <c r="A6199">
        <v>44.906710512418101</v>
      </c>
      <c r="B6199">
        <v>29.461115565831399</v>
      </c>
      <c r="C6199">
        <v>2001</v>
      </c>
    </row>
    <row r="6200" spans="1:11" x14ac:dyDescent="0.25">
      <c r="A6200">
        <v>44.032678463520398</v>
      </c>
      <c r="B6200">
        <v>29.461115565831399</v>
      </c>
      <c r="C6200">
        <v>2000</v>
      </c>
    </row>
    <row r="6201" spans="1:11" x14ac:dyDescent="0.25">
      <c r="A6201" t="s">
        <v>86</v>
      </c>
    </row>
    <row r="6202" spans="1:11" x14ac:dyDescent="0.25">
      <c r="A6202">
        <v>989</v>
      </c>
      <c r="B6202">
        <v>1</v>
      </c>
      <c r="C6202">
        <v>0.30338151094682803</v>
      </c>
      <c r="D6202">
        <v>0.95103672237387804</v>
      </c>
      <c r="E6202">
        <v>6</v>
      </c>
      <c r="F6202">
        <v>1.01722196789785</v>
      </c>
      <c r="G6202" t="s">
        <v>87</v>
      </c>
      <c r="H6202" t="s">
        <v>87</v>
      </c>
      <c r="I6202">
        <v>587</v>
      </c>
      <c r="J6202">
        <v>676</v>
      </c>
      <c r="K6202">
        <v>0.119945352050412</v>
      </c>
    </row>
    <row r="6203" spans="1:11" x14ac:dyDescent="0.25">
      <c r="A6203" t="s">
        <v>85</v>
      </c>
    </row>
    <row r="6204" spans="1:11" x14ac:dyDescent="0.25">
      <c r="A6204">
        <v>50.526473931756598</v>
      </c>
      <c r="B6204">
        <v>37.299880065163599</v>
      </c>
      <c r="C6204">
        <v>2000</v>
      </c>
    </row>
    <row r="6205" spans="1:11" x14ac:dyDescent="0.25">
      <c r="A6205">
        <v>50.311950808079501</v>
      </c>
      <c r="B6205">
        <v>37.514403188840703</v>
      </c>
      <c r="C6205">
        <v>2000</v>
      </c>
    </row>
    <row r="6206" spans="1:11" x14ac:dyDescent="0.25">
      <c r="A6206">
        <v>51.185982856977098</v>
      </c>
      <c r="B6206">
        <v>37.514403188840703</v>
      </c>
      <c r="C6206">
        <v>2001</v>
      </c>
    </row>
    <row r="6207" spans="1:11" x14ac:dyDescent="0.25">
      <c r="A6207">
        <v>51.400505980654302</v>
      </c>
      <c r="B6207">
        <v>37.299880065163599</v>
      </c>
      <c r="C6207">
        <v>2001</v>
      </c>
    </row>
    <row r="6208" spans="1:11" x14ac:dyDescent="0.25">
      <c r="A6208">
        <v>52.072990496202301</v>
      </c>
      <c r="B6208">
        <v>36.627395549615599</v>
      </c>
      <c r="C6208">
        <v>2001</v>
      </c>
    </row>
    <row r="6209" spans="1:11" x14ac:dyDescent="0.25">
      <c r="A6209">
        <v>51.198958447304598</v>
      </c>
      <c r="B6209">
        <v>36.627395549615599</v>
      </c>
      <c r="C6209">
        <v>2000</v>
      </c>
    </row>
    <row r="6210" spans="1:11" x14ac:dyDescent="0.25">
      <c r="A6210" t="s">
        <v>86</v>
      </c>
    </row>
    <row r="6211" spans="1:11" x14ac:dyDescent="0.25">
      <c r="A6211">
        <v>940</v>
      </c>
      <c r="B6211">
        <v>1</v>
      </c>
      <c r="C6211">
        <v>0.54968891206649995</v>
      </c>
      <c r="D6211">
        <v>0.70344614727979105</v>
      </c>
      <c r="E6211">
        <v>6</v>
      </c>
      <c r="F6211">
        <v>1.01722196789785</v>
      </c>
      <c r="G6211" t="s">
        <v>87</v>
      </c>
      <c r="H6211" t="s">
        <v>87</v>
      </c>
      <c r="I6211">
        <v>827</v>
      </c>
      <c r="J6211">
        <v>853</v>
      </c>
      <c r="K6211">
        <v>0.117959963458315</v>
      </c>
    </row>
    <row r="6212" spans="1:11" x14ac:dyDescent="0.25">
      <c r="A6212" t="s">
        <v>85</v>
      </c>
    </row>
    <row r="6213" spans="1:11" x14ac:dyDescent="0.25">
      <c r="A6213">
        <v>88.081681809425504</v>
      </c>
      <c r="B6213">
        <v>90.813551457038002</v>
      </c>
      <c r="C6213">
        <v>2000</v>
      </c>
    </row>
    <row r="6214" spans="1:11" x14ac:dyDescent="0.25">
      <c r="A6214">
        <v>87.884690556146893</v>
      </c>
      <c r="B6214">
        <v>91.010542710316599</v>
      </c>
      <c r="C6214">
        <v>2000</v>
      </c>
    </row>
    <row r="6215" spans="1:11" x14ac:dyDescent="0.25">
      <c r="A6215">
        <v>87.010658507249303</v>
      </c>
      <c r="B6215">
        <v>91.010542710316599</v>
      </c>
      <c r="C6215">
        <v>2001</v>
      </c>
    </row>
    <row r="6216" spans="1:11" x14ac:dyDescent="0.25">
      <c r="A6216">
        <v>87.591044768501206</v>
      </c>
      <c r="B6216">
        <v>90.430156449064597</v>
      </c>
      <c r="C6216">
        <v>2001</v>
      </c>
    </row>
    <row r="6217" spans="1:11" x14ac:dyDescent="0.25">
      <c r="A6217">
        <v>88.333774829904399</v>
      </c>
      <c r="B6217">
        <v>89.687426387661404</v>
      </c>
      <c r="C6217">
        <v>2001</v>
      </c>
    </row>
    <row r="6218" spans="1:11" x14ac:dyDescent="0.25">
      <c r="A6218">
        <v>88.333774829904499</v>
      </c>
      <c r="B6218">
        <v>90.561458436559107</v>
      </c>
      <c r="C6218">
        <v>2000</v>
      </c>
    </row>
    <row r="6219" spans="1:11" x14ac:dyDescent="0.25">
      <c r="A6219" t="s">
        <v>86</v>
      </c>
    </row>
    <row r="6220" spans="1:11" x14ac:dyDescent="0.25">
      <c r="A6220">
        <v>1131</v>
      </c>
      <c r="B6220">
        <v>1</v>
      </c>
      <c r="C6220">
        <v>0.812359761273726</v>
      </c>
      <c r="D6220">
        <v>0.44077529807256599</v>
      </c>
      <c r="E6220">
        <v>6</v>
      </c>
      <c r="F6220">
        <v>1.01722196789785</v>
      </c>
      <c r="G6220" t="s">
        <v>87</v>
      </c>
      <c r="H6220" t="s">
        <v>87</v>
      </c>
      <c r="I6220">
        <v>827</v>
      </c>
      <c r="J6220">
        <v>853</v>
      </c>
      <c r="K6220">
        <v>0.12417311997009001</v>
      </c>
    </row>
    <row r="6221" spans="1:11" x14ac:dyDescent="0.25">
      <c r="A6221" t="s">
        <v>85</v>
      </c>
    </row>
    <row r="6222" spans="1:11" x14ac:dyDescent="0.25">
      <c r="A6222">
        <v>85.364041108563697</v>
      </c>
      <c r="B6222">
        <v>87.907644780096902</v>
      </c>
      <c r="C6222">
        <v>2000</v>
      </c>
    </row>
    <row r="6223" spans="1:11" x14ac:dyDescent="0.25">
      <c r="A6223">
        <v>85.072916867245397</v>
      </c>
      <c r="B6223">
        <v>88.198769021415202</v>
      </c>
      <c r="C6223">
        <v>2000</v>
      </c>
    </row>
    <row r="6224" spans="1:11" x14ac:dyDescent="0.25">
      <c r="A6224">
        <v>85.072916867245397</v>
      </c>
      <c r="B6224">
        <v>89.072801070312806</v>
      </c>
      <c r="C6224">
        <v>2001</v>
      </c>
    </row>
    <row r="6225" spans="1:11" x14ac:dyDescent="0.25">
      <c r="A6225">
        <v>85.930642817846604</v>
      </c>
      <c r="B6225">
        <v>88.2150751197115</v>
      </c>
      <c r="C6225">
        <v>2001</v>
      </c>
    </row>
    <row r="6226" spans="1:11" x14ac:dyDescent="0.25">
      <c r="A6226">
        <v>86.396033189900606</v>
      </c>
      <c r="B6226">
        <v>87.749684747657597</v>
      </c>
      <c r="C6226">
        <v>2001</v>
      </c>
    </row>
    <row r="6227" spans="1:11" x14ac:dyDescent="0.25">
      <c r="A6227">
        <v>85.522001141003003</v>
      </c>
      <c r="B6227">
        <v>87.749684747657597</v>
      </c>
      <c r="C6227">
        <v>2000</v>
      </c>
    </row>
    <row r="6228" spans="1:11" x14ac:dyDescent="0.25">
      <c r="A6228" t="s">
        <v>86</v>
      </c>
    </row>
    <row r="6229" spans="1:11" x14ac:dyDescent="0.25">
      <c r="A6229">
        <v>400</v>
      </c>
      <c r="B6229">
        <v>1</v>
      </c>
      <c r="C6229">
        <v>2.5859034279733399E-2</v>
      </c>
      <c r="D6229">
        <v>1.22727602506656</v>
      </c>
      <c r="E6229">
        <v>6</v>
      </c>
      <c r="F6229">
        <v>1.01722196789785</v>
      </c>
      <c r="G6229" t="s">
        <v>87</v>
      </c>
      <c r="H6229" t="s">
        <v>87</v>
      </c>
      <c r="I6229">
        <v>827</v>
      </c>
      <c r="J6229">
        <v>853</v>
      </c>
      <c r="K6229">
        <v>0</v>
      </c>
    </row>
    <row r="6230" spans="1:11" x14ac:dyDescent="0.25">
      <c r="A6230" t="s">
        <v>85</v>
      </c>
    </row>
    <row r="6231" spans="1:11" x14ac:dyDescent="0.25">
      <c r="A6231">
        <v>89.715424733221397</v>
      </c>
      <c r="B6231">
        <v>92.822742754868102</v>
      </c>
      <c r="C6231">
        <v>2000</v>
      </c>
    </row>
    <row r="6232" spans="1:11" x14ac:dyDescent="0.25">
      <c r="A6232">
        <v>89.706157666959896</v>
      </c>
      <c r="B6232">
        <v>92.832009821129603</v>
      </c>
      <c r="C6232">
        <v>2000</v>
      </c>
    </row>
    <row r="6233" spans="1:11" x14ac:dyDescent="0.25">
      <c r="A6233">
        <v>89.706157666959896</v>
      </c>
      <c r="B6233">
        <v>93.706041870027207</v>
      </c>
      <c r="C6233">
        <v>2001</v>
      </c>
    </row>
    <row r="6234" spans="1:11" x14ac:dyDescent="0.25">
      <c r="A6234">
        <v>89.733460797686604</v>
      </c>
      <c r="B6234">
        <v>93.678738739300499</v>
      </c>
      <c r="C6234">
        <v>2001</v>
      </c>
    </row>
    <row r="6235" spans="1:11" x14ac:dyDescent="0.25">
      <c r="A6235">
        <v>91.029273989615007</v>
      </c>
      <c r="B6235">
        <v>92.382925547371997</v>
      </c>
      <c r="C6235">
        <v>2001</v>
      </c>
    </row>
    <row r="6236" spans="1:11" x14ac:dyDescent="0.25">
      <c r="A6236">
        <v>90.155241940717403</v>
      </c>
      <c r="B6236">
        <v>92.382925547371997</v>
      </c>
      <c r="C6236">
        <v>2000</v>
      </c>
    </row>
    <row r="6237" spans="1:11" x14ac:dyDescent="0.25">
      <c r="A6237" t="s">
        <v>86</v>
      </c>
    </row>
    <row r="6238" spans="1:11" x14ac:dyDescent="0.25">
      <c r="A6238">
        <v>160</v>
      </c>
      <c r="B6238">
        <v>1</v>
      </c>
      <c r="C6238">
        <v>0.27794605249480098</v>
      </c>
      <c r="D6238">
        <v>0.96469299276947096</v>
      </c>
      <c r="E6238">
        <v>6</v>
      </c>
      <c r="F6238">
        <v>1.01722196789785</v>
      </c>
      <c r="G6238" t="s">
        <v>84</v>
      </c>
      <c r="H6238" t="s">
        <v>87</v>
      </c>
      <c r="I6238">
        <v>859</v>
      </c>
      <c r="J6238">
        <v>835</v>
      </c>
      <c r="K6238">
        <v>0</v>
      </c>
    </row>
    <row r="6239" spans="1:11" x14ac:dyDescent="0.25">
      <c r="A6239" t="s">
        <v>85</v>
      </c>
    </row>
    <row r="6240" spans="1:11" x14ac:dyDescent="0.25">
      <c r="A6240">
        <v>27.088336605476901</v>
      </c>
      <c r="B6240">
        <v>52.2739701362147</v>
      </c>
      <c r="C6240">
        <v>2000</v>
      </c>
    </row>
    <row r="6241" spans="1:11" x14ac:dyDescent="0.25">
      <c r="A6241">
        <v>26.9406736292555</v>
      </c>
      <c r="B6241">
        <v>52.421633112436197</v>
      </c>
      <c r="C6241">
        <v>2000</v>
      </c>
    </row>
    <row r="6242" spans="1:11" x14ac:dyDescent="0.25">
      <c r="A6242">
        <v>26.503657604806701</v>
      </c>
      <c r="B6242">
        <v>51.984617087987402</v>
      </c>
      <c r="C6242">
        <v>2001</v>
      </c>
    </row>
    <row r="6243" spans="1:11" x14ac:dyDescent="0.25">
      <c r="A6243">
        <v>26.749069705631499</v>
      </c>
      <c r="B6243">
        <v>51.739204987162601</v>
      </c>
      <c r="C6243">
        <v>2001</v>
      </c>
    </row>
    <row r="6244" spans="1:11" x14ac:dyDescent="0.25">
      <c r="A6244">
        <v>27.6008441125046</v>
      </c>
      <c r="B6244">
        <v>50.887430580289397</v>
      </c>
      <c r="C6244">
        <v>2001</v>
      </c>
    </row>
    <row r="6245" spans="1:11" x14ac:dyDescent="0.25">
      <c r="A6245">
        <v>27.6008441125046</v>
      </c>
      <c r="B6245">
        <v>51.761462629187101</v>
      </c>
      <c r="C6245">
        <v>2000</v>
      </c>
    </row>
    <row r="6246" spans="1:11" x14ac:dyDescent="0.25">
      <c r="A6246" t="s">
        <v>86</v>
      </c>
    </row>
    <row r="6247" spans="1:11" x14ac:dyDescent="0.25">
      <c r="A6247">
        <v>867</v>
      </c>
      <c r="B6247">
        <v>1</v>
      </c>
      <c r="C6247">
        <v>0.65682797910122304</v>
      </c>
      <c r="D6247">
        <v>0.58519379593181498</v>
      </c>
      <c r="E6247">
        <v>6</v>
      </c>
      <c r="F6247">
        <v>1.01722196789785</v>
      </c>
      <c r="G6247" t="s">
        <v>87</v>
      </c>
      <c r="H6247" t="s">
        <v>87</v>
      </c>
      <c r="I6247">
        <v>829</v>
      </c>
      <c r="J6247">
        <v>730</v>
      </c>
      <c r="K6247">
        <v>0.115162323415006</v>
      </c>
    </row>
    <row r="6248" spans="1:11" x14ac:dyDescent="0.25">
      <c r="A6248" t="s">
        <v>85</v>
      </c>
    </row>
    <row r="6249" spans="1:11" x14ac:dyDescent="0.25">
      <c r="A6249">
        <v>105.618458628011</v>
      </c>
      <c r="B6249">
        <v>51.926280190677197</v>
      </c>
      <c r="C6249">
        <v>2000</v>
      </c>
    </row>
    <row r="6250" spans="1:11" x14ac:dyDescent="0.25">
      <c r="A6250">
        <v>105.154011109916</v>
      </c>
      <c r="B6250">
        <v>52.390727708772701</v>
      </c>
      <c r="C6250">
        <v>2000</v>
      </c>
    </row>
    <row r="6251" spans="1:11" x14ac:dyDescent="0.25">
      <c r="A6251">
        <v>105.154011109916</v>
      </c>
      <c r="B6251">
        <v>53.264759757670298</v>
      </c>
      <c r="C6251">
        <v>2001</v>
      </c>
    </row>
    <row r="6252" spans="1:11" x14ac:dyDescent="0.25">
      <c r="A6252">
        <v>105.618458628011</v>
      </c>
      <c r="B6252">
        <v>52.800312239574801</v>
      </c>
      <c r="C6252">
        <v>2001</v>
      </c>
    </row>
    <row r="6253" spans="1:11" x14ac:dyDescent="0.25">
      <c r="A6253">
        <v>106.032253129423</v>
      </c>
      <c r="B6253">
        <v>52.3865177381631</v>
      </c>
      <c r="C6253">
        <v>2001</v>
      </c>
    </row>
    <row r="6254" spans="1:11" x14ac:dyDescent="0.25">
      <c r="A6254">
        <v>106.032253129423</v>
      </c>
      <c r="B6254">
        <v>51.512485689265503</v>
      </c>
      <c r="C6254">
        <v>2000</v>
      </c>
    </row>
    <row r="6255" spans="1:11" x14ac:dyDescent="0.25">
      <c r="A6255" t="s">
        <v>86</v>
      </c>
    </row>
    <row r="6256" spans="1:11" x14ac:dyDescent="0.25">
      <c r="A6256">
        <v>1083</v>
      </c>
      <c r="B6256">
        <v>1</v>
      </c>
      <c r="C6256">
        <v>6.8726264647885699E-2</v>
      </c>
      <c r="D6256">
        <v>1.1646507472340399</v>
      </c>
      <c r="E6256">
        <v>6</v>
      </c>
      <c r="F6256">
        <v>1.01722196789785</v>
      </c>
      <c r="G6256" t="s">
        <v>87</v>
      </c>
      <c r="H6256" t="s">
        <v>87</v>
      </c>
      <c r="I6256">
        <v>279</v>
      </c>
      <c r="J6256">
        <v>812</v>
      </c>
      <c r="K6256">
        <v>0.12322624704732001</v>
      </c>
    </row>
    <row r="6257" spans="1:11" x14ac:dyDescent="0.25">
      <c r="A6257" t="s">
        <v>85</v>
      </c>
    </row>
    <row r="6258" spans="1:11" x14ac:dyDescent="0.25">
      <c r="A6258">
        <v>72.955005485338503</v>
      </c>
      <c r="B6258">
        <v>87.697024646735898</v>
      </c>
      <c r="C6258">
        <v>2000</v>
      </c>
    </row>
    <row r="6259" spans="1:11" x14ac:dyDescent="0.25">
      <c r="A6259">
        <v>72.882057259735703</v>
      </c>
      <c r="B6259">
        <v>87.769972872338698</v>
      </c>
      <c r="C6259">
        <v>2000</v>
      </c>
    </row>
    <row r="6260" spans="1:11" x14ac:dyDescent="0.25">
      <c r="A6260">
        <v>72.882057259735603</v>
      </c>
      <c r="B6260">
        <v>86.895940823440995</v>
      </c>
      <c r="C6260">
        <v>2001</v>
      </c>
    </row>
    <row r="6261" spans="1:11" x14ac:dyDescent="0.25">
      <c r="A6261">
        <v>72.906302649689195</v>
      </c>
      <c r="B6261">
        <v>86.871695433487503</v>
      </c>
      <c r="C6261">
        <v>2001</v>
      </c>
    </row>
    <row r="6262" spans="1:11" x14ac:dyDescent="0.25">
      <c r="A6262">
        <v>73.317170484148207</v>
      </c>
      <c r="B6262">
        <v>86.460827599028505</v>
      </c>
      <c r="C6262">
        <v>2001</v>
      </c>
    </row>
    <row r="6263" spans="1:11" x14ac:dyDescent="0.25">
      <c r="A6263">
        <v>74.191202533045796</v>
      </c>
      <c r="B6263">
        <v>86.460827599028505</v>
      </c>
      <c r="C6263">
        <v>2000</v>
      </c>
    </row>
    <row r="6264" spans="1:11" x14ac:dyDescent="0.25">
      <c r="A6264" t="s">
        <v>86</v>
      </c>
    </row>
    <row r="6265" spans="1:11" x14ac:dyDescent="0.25">
      <c r="A6265">
        <v>1058</v>
      </c>
      <c r="B6265">
        <v>1</v>
      </c>
      <c r="C6265">
        <v>1.0763885292570099</v>
      </c>
      <c r="D6265">
        <v>0.15533207855039399</v>
      </c>
      <c r="E6265">
        <v>6</v>
      </c>
      <c r="F6265">
        <v>1.01722196789785</v>
      </c>
      <c r="G6265" t="s">
        <v>87</v>
      </c>
      <c r="H6265" t="s">
        <v>87</v>
      </c>
      <c r="I6265">
        <v>270</v>
      </c>
      <c r="J6265">
        <v>724</v>
      </c>
      <c r="K6265">
        <v>0.122473809508668</v>
      </c>
    </row>
    <row r="6266" spans="1:11" x14ac:dyDescent="0.25">
      <c r="A6266" t="s">
        <v>85</v>
      </c>
    </row>
    <row r="6267" spans="1:11" x14ac:dyDescent="0.25">
      <c r="A6267">
        <v>118.38783192601799</v>
      </c>
      <c r="B6267">
        <v>111.561362855449</v>
      </c>
      <c r="C6267">
        <v>2000</v>
      </c>
    </row>
    <row r="6268" spans="1:11" x14ac:dyDescent="0.25">
      <c r="A6268">
        <v>118.008614304945</v>
      </c>
      <c r="B6268">
        <v>111.940580476522</v>
      </c>
      <c r="C6268">
        <v>2000</v>
      </c>
    </row>
    <row r="6269" spans="1:11" x14ac:dyDescent="0.25">
      <c r="A6269">
        <v>118.008614304945</v>
      </c>
      <c r="B6269">
        <v>112.81461252542</v>
      </c>
      <c r="C6269">
        <v>2001</v>
      </c>
    </row>
    <row r="6270" spans="1:11" x14ac:dyDescent="0.25">
      <c r="A6270">
        <v>119.15163994033</v>
      </c>
      <c r="B6270">
        <v>111.671586890035</v>
      </c>
      <c r="C6270">
        <v>2001</v>
      </c>
    </row>
    <row r="6271" spans="1:11" x14ac:dyDescent="0.25">
      <c r="A6271">
        <v>119.31658832370201</v>
      </c>
      <c r="B6271">
        <v>111.50663850666299</v>
      </c>
      <c r="C6271">
        <v>2001</v>
      </c>
    </row>
    <row r="6272" spans="1:11" x14ac:dyDescent="0.25">
      <c r="A6272">
        <v>118.44255627480401</v>
      </c>
      <c r="B6272">
        <v>111.50663850666299</v>
      </c>
      <c r="C6272">
        <v>2000</v>
      </c>
    </row>
    <row r="6273" spans="1:11" x14ac:dyDescent="0.25">
      <c r="A6273" t="s">
        <v>86</v>
      </c>
    </row>
    <row r="6274" spans="1:11" x14ac:dyDescent="0.25">
      <c r="A6274">
        <v>977</v>
      </c>
      <c r="B6274">
        <v>1</v>
      </c>
      <c r="C6274">
        <v>0.52603764825080601</v>
      </c>
      <c r="D6274">
        <v>0.70030077407206204</v>
      </c>
      <c r="E6274">
        <v>6</v>
      </c>
      <c r="F6274">
        <v>1.01722196789785</v>
      </c>
      <c r="G6274" t="s">
        <v>84</v>
      </c>
      <c r="H6274" t="s">
        <v>87</v>
      </c>
      <c r="I6274">
        <v>978</v>
      </c>
      <c r="J6274">
        <v>102</v>
      </c>
      <c r="K6274">
        <v>0.11931529568040899</v>
      </c>
    </row>
    <row r="6275" spans="1:11" x14ac:dyDescent="0.25">
      <c r="A6275" t="s">
        <v>85</v>
      </c>
    </row>
    <row r="6276" spans="1:11" x14ac:dyDescent="0.25">
      <c r="A6276">
        <v>35.920377788449599</v>
      </c>
      <c r="B6276">
        <v>70.446165414373098</v>
      </c>
      <c r="C6276">
        <v>2000</v>
      </c>
    </row>
    <row r="6277" spans="1:11" x14ac:dyDescent="0.25">
      <c r="A6277">
        <v>35.454684027212203</v>
      </c>
      <c r="B6277">
        <v>70.911859175610502</v>
      </c>
      <c r="C6277">
        <v>2000</v>
      </c>
    </row>
    <row r="6278" spans="1:11" x14ac:dyDescent="0.25">
      <c r="A6278">
        <v>35.017668002763401</v>
      </c>
      <c r="B6278">
        <v>70.474843151161707</v>
      </c>
      <c r="C6278">
        <v>2001</v>
      </c>
    </row>
    <row r="6279" spans="1:11" x14ac:dyDescent="0.25">
      <c r="A6279">
        <v>35.2959038180012</v>
      </c>
      <c r="B6279">
        <v>70.1966073359239</v>
      </c>
      <c r="C6279">
        <v>2001</v>
      </c>
    </row>
    <row r="6280" spans="1:11" x14ac:dyDescent="0.25">
      <c r="A6280">
        <v>35.666312204993098</v>
      </c>
      <c r="B6280">
        <v>69.826198948932003</v>
      </c>
      <c r="C6280">
        <v>2001</v>
      </c>
    </row>
    <row r="6281" spans="1:11" x14ac:dyDescent="0.25">
      <c r="A6281">
        <v>36.540344253890702</v>
      </c>
      <c r="B6281">
        <v>69.826198948932003</v>
      </c>
      <c r="C6281">
        <v>2000</v>
      </c>
    </row>
    <row r="6282" spans="1:11" x14ac:dyDescent="0.25">
      <c r="A6282" t="s">
        <v>86</v>
      </c>
    </row>
    <row r="6283" spans="1:11" x14ac:dyDescent="0.25">
      <c r="A6283">
        <v>558</v>
      </c>
      <c r="B6283">
        <v>1</v>
      </c>
      <c r="C6283">
        <v>1.15127465459936</v>
      </c>
      <c r="D6283">
        <v>7.3492743944498798E-2</v>
      </c>
      <c r="E6283">
        <v>6</v>
      </c>
      <c r="F6283">
        <v>1.01722196789785</v>
      </c>
      <c r="G6283" t="s">
        <v>87</v>
      </c>
      <c r="H6283" t="s">
        <v>87</v>
      </c>
      <c r="I6283">
        <v>507</v>
      </c>
      <c r="J6283">
        <v>731</v>
      </c>
      <c r="K6283">
        <v>0</v>
      </c>
    </row>
    <row r="6284" spans="1:11" x14ac:dyDescent="0.25">
      <c r="A6284" t="s">
        <v>85</v>
      </c>
    </row>
    <row r="6285" spans="1:11" x14ac:dyDescent="0.25">
      <c r="A6285">
        <v>126.86813082633</v>
      </c>
      <c r="B6285">
        <v>4.3979587011871697</v>
      </c>
      <c r="C6285">
        <v>2000</v>
      </c>
    </row>
    <row r="6286" spans="1:11" x14ac:dyDescent="0.25">
      <c r="A6286">
        <v>126.054056711054</v>
      </c>
      <c r="B6286">
        <v>5.2120328164625898</v>
      </c>
      <c r="C6286">
        <v>2000</v>
      </c>
    </row>
    <row r="6287" spans="1:11" x14ac:dyDescent="0.25">
      <c r="A6287">
        <v>126.054056711054</v>
      </c>
      <c r="B6287">
        <v>4.3380007675649601</v>
      </c>
      <c r="C6287">
        <v>2001</v>
      </c>
    </row>
    <row r="6288" spans="1:11" x14ac:dyDescent="0.25">
      <c r="A6288">
        <v>126.86813082633</v>
      </c>
      <c r="B6288">
        <v>3.5239266522895698</v>
      </c>
      <c r="C6288">
        <v>2001</v>
      </c>
    </row>
    <row r="6289" spans="1:11" x14ac:dyDescent="0.25">
      <c r="A6289">
        <v>126.920098043941</v>
      </c>
      <c r="B6289">
        <v>3.4719594346784102</v>
      </c>
      <c r="C6289">
        <v>2001</v>
      </c>
    </row>
    <row r="6290" spans="1:11" x14ac:dyDescent="0.25">
      <c r="A6290">
        <v>126.920098043941</v>
      </c>
      <c r="B6290">
        <v>4.3459914835760101</v>
      </c>
      <c r="C6290">
        <v>2000</v>
      </c>
    </row>
    <row r="6291" spans="1:11" x14ac:dyDescent="0.25">
      <c r="A6291" t="s">
        <v>86</v>
      </c>
    </row>
    <row r="6292" spans="1:11" x14ac:dyDescent="0.25">
      <c r="A6292">
        <v>302</v>
      </c>
      <c r="B6292">
        <v>1</v>
      </c>
      <c r="C6292">
        <v>0.84380896585736698</v>
      </c>
      <c r="D6292">
        <v>0.37032117727108399</v>
      </c>
      <c r="E6292">
        <v>8</v>
      </c>
      <c r="F6292">
        <v>1.01722196789785</v>
      </c>
      <c r="G6292" t="s">
        <v>87</v>
      </c>
      <c r="H6292" t="s">
        <v>87</v>
      </c>
      <c r="I6292">
        <v>596</v>
      </c>
      <c r="J6292">
        <v>856</v>
      </c>
      <c r="K6292">
        <v>0</v>
      </c>
    </row>
    <row r="6293" spans="1:11" x14ac:dyDescent="0.25">
      <c r="A6293" t="s">
        <v>85</v>
      </c>
    </row>
    <row r="6294" spans="1:11" x14ac:dyDescent="0.25">
      <c r="A6294">
        <v>130.82849312318299</v>
      </c>
      <c r="B6294">
        <v>100.23037009990099</v>
      </c>
      <c r="C6294">
        <v>2000</v>
      </c>
    </row>
    <row r="6295" spans="1:11" x14ac:dyDescent="0.25">
      <c r="A6295">
        <v>130.00354386400599</v>
      </c>
      <c r="B6295">
        <v>101.055319359077</v>
      </c>
      <c r="C6295">
        <v>2000</v>
      </c>
    </row>
    <row r="6296" spans="1:11" x14ac:dyDescent="0.25">
      <c r="A6296">
        <v>130.00354386400599</v>
      </c>
      <c r="B6296">
        <v>100.18128731018</v>
      </c>
      <c r="C6296">
        <v>2001</v>
      </c>
    </row>
    <row r="6297" spans="1:11" x14ac:dyDescent="0.25">
      <c r="A6297">
        <v>130.37192068839701</v>
      </c>
      <c r="B6297">
        <v>99.812910485788507</v>
      </c>
      <c r="C6297">
        <v>2001</v>
      </c>
    </row>
    <row r="6298" spans="1:11" x14ac:dyDescent="0.25">
      <c r="A6298">
        <v>130.385281298656</v>
      </c>
      <c r="B6298">
        <v>99.799549875530005</v>
      </c>
      <c r="C6298">
        <v>2001</v>
      </c>
    </row>
    <row r="6299" spans="1:11" x14ac:dyDescent="0.25">
      <c r="A6299">
        <v>130.42504749700601</v>
      </c>
      <c r="B6299">
        <v>99.7597836771793</v>
      </c>
      <c r="C6299">
        <v>2001</v>
      </c>
    </row>
    <row r="6300" spans="1:11" x14ac:dyDescent="0.25">
      <c r="A6300">
        <v>131.29907954590399</v>
      </c>
      <c r="B6300">
        <v>99.7597836771793</v>
      </c>
      <c r="C6300">
        <v>2000</v>
      </c>
    </row>
    <row r="6301" spans="1:11" x14ac:dyDescent="0.25">
      <c r="A6301">
        <v>130.858413098613</v>
      </c>
      <c r="B6301">
        <v>100.20045012447</v>
      </c>
      <c r="C6301">
        <v>2000</v>
      </c>
    </row>
    <row r="6302" spans="1:11" x14ac:dyDescent="0.25">
      <c r="A6302" t="s">
        <v>86</v>
      </c>
    </row>
    <row r="6303" spans="1:11" x14ac:dyDescent="0.25">
      <c r="A6303">
        <v>1022</v>
      </c>
      <c r="B6303">
        <v>1</v>
      </c>
      <c r="C6303">
        <v>0.57067698896347696</v>
      </c>
      <c r="D6303">
        <v>0.64345315416495197</v>
      </c>
      <c r="E6303">
        <v>6</v>
      </c>
      <c r="F6303">
        <v>1.01722196789785</v>
      </c>
      <c r="G6303" t="s">
        <v>87</v>
      </c>
      <c r="H6303" t="s">
        <v>87</v>
      </c>
      <c r="I6303">
        <v>596</v>
      </c>
      <c r="J6303">
        <v>856</v>
      </c>
      <c r="K6303">
        <v>0.121125394062888</v>
      </c>
    </row>
    <row r="6304" spans="1:11" x14ac:dyDescent="0.25">
      <c r="A6304" t="s">
        <v>85</v>
      </c>
    </row>
    <row r="6305" spans="1:11" x14ac:dyDescent="0.25">
      <c r="A6305">
        <v>108.887261057724</v>
      </c>
      <c r="B6305">
        <v>78.721156564847405</v>
      </c>
      <c r="C6305">
        <v>2000</v>
      </c>
    </row>
    <row r="6306" spans="1:11" x14ac:dyDescent="0.25">
      <c r="A6306">
        <v>108.27832106375</v>
      </c>
      <c r="B6306">
        <v>79.330096558821396</v>
      </c>
      <c r="C6306">
        <v>2000</v>
      </c>
    </row>
    <row r="6307" spans="1:11" x14ac:dyDescent="0.25">
      <c r="A6307">
        <v>109.152353112648</v>
      </c>
      <c r="B6307">
        <v>79.330096558821396</v>
      </c>
      <c r="C6307">
        <v>2001</v>
      </c>
    </row>
    <row r="6308" spans="1:11" x14ac:dyDescent="0.25">
      <c r="A6308">
        <v>109.35047225620001</v>
      </c>
      <c r="B6308">
        <v>79.131977415269006</v>
      </c>
      <c r="C6308">
        <v>2001</v>
      </c>
    </row>
    <row r="6309" spans="1:11" x14ac:dyDescent="0.25">
      <c r="A6309">
        <v>109.573856745648</v>
      </c>
      <c r="B6309">
        <v>78.908592925821097</v>
      </c>
      <c r="C6309">
        <v>2001</v>
      </c>
    </row>
    <row r="6310" spans="1:11" x14ac:dyDescent="0.25">
      <c r="A6310">
        <v>109.573856745648</v>
      </c>
      <c r="B6310">
        <v>78.034560876923507</v>
      </c>
      <c r="C6310">
        <v>2000</v>
      </c>
    </row>
    <row r="6311" spans="1:11" x14ac:dyDescent="0.25">
      <c r="A6311" t="s">
        <v>86</v>
      </c>
    </row>
    <row r="6312" spans="1:11" x14ac:dyDescent="0.25">
      <c r="A6312">
        <v>997</v>
      </c>
      <c r="B6312">
        <v>1</v>
      </c>
      <c r="C6312">
        <v>0.80012652324241895</v>
      </c>
      <c r="D6312">
        <v>0.41400361988600998</v>
      </c>
      <c r="E6312">
        <v>6</v>
      </c>
      <c r="F6312">
        <v>1.01722196789785</v>
      </c>
      <c r="G6312" t="s">
        <v>87</v>
      </c>
      <c r="H6312" t="s">
        <v>87</v>
      </c>
      <c r="I6312">
        <v>596</v>
      </c>
      <c r="J6312">
        <v>856</v>
      </c>
      <c r="K6312">
        <v>0.120547941094079</v>
      </c>
    </row>
    <row r="6313" spans="1:11" x14ac:dyDescent="0.25">
      <c r="A6313" t="s">
        <v>85</v>
      </c>
    </row>
    <row r="6314" spans="1:11" x14ac:dyDescent="0.25">
      <c r="A6314">
        <v>137.49595520341899</v>
      </c>
      <c r="B6314">
        <v>106.84018317278201</v>
      </c>
      <c r="C6314">
        <v>2000</v>
      </c>
    </row>
    <row r="6315" spans="1:11" x14ac:dyDescent="0.25">
      <c r="A6315">
        <v>136.642181440565</v>
      </c>
      <c r="B6315">
        <v>107.693956935636</v>
      </c>
      <c r="C6315">
        <v>2000</v>
      </c>
    </row>
    <row r="6316" spans="1:11" x14ac:dyDescent="0.25">
      <c r="A6316">
        <v>137.51621348946199</v>
      </c>
      <c r="B6316">
        <v>107.693956935636</v>
      </c>
      <c r="C6316">
        <v>2001</v>
      </c>
    </row>
    <row r="6317" spans="1:11" x14ac:dyDescent="0.25">
      <c r="A6317">
        <v>137.79398950739201</v>
      </c>
      <c r="B6317">
        <v>107.416180917706</v>
      </c>
      <c r="C6317">
        <v>2001</v>
      </c>
    </row>
    <row r="6318" spans="1:11" x14ac:dyDescent="0.25">
      <c r="A6318">
        <v>137.937717122462</v>
      </c>
      <c r="B6318">
        <v>107.272453302635</v>
      </c>
      <c r="C6318">
        <v>2001</v>
      </c>
    </row>
    <row r="6319" spans="1:11" x14ac:dyDescent="0.25">
      <c r="A6319">
        <v>137.937717122462</v>
      </c>
      <c r="B6319">
        <v>106.39842125373799</v>
      </c>
      <c r="C6319">
        <v>2000</v>
      </c>
    </row>
    <row r="6320" spans="1:11" x14ac:dyDescent="0.25">
      <c r="A6320" t="s">
        <v>86</v>
      </c>
    </row>
    <row r="6321" spans="1:11" x14ac:dyDescent="0.25">
      <c r="A6321">
        <v>932</v>
      </c>
      <c r="B6321">
        <v>1</v>
      </c>
      <c r="C6321">
        <v>0.33029527011106602</v>
      </c>
      <c r="D6321">
        <v>0.87397851967985896</v>
      </c>
      <c r="E6321">
        <v>6</v>
      </c>
      <c r="F6321">
        <v>1.01722196789785</v>
      </c>
      <c r="G6321" t="s">
        <v>87</v>
      </c>
      <c r="H6321" t="s">
        <v>87</v>
      </c>
      <c r="I6321">
        <v>105</v>
      </c>
      <c r="J6321">
        <v>114</v>
      </c>
      <c r="K6321">
        <v>0.11865465261041699</v>
      </c>
    </row>
    <row r="6322" spans="1:11" x14ac:dyDescent="0.25">
      <c r="A6322" t="s">
        <v>85</v>
      </c>
    </row>
    <row r="6323" spans="1:11" x14ac:dyDescent="0.25">
      <c r="A6323">
        <v>13.529001263073701</v>
      </c>
      <c r="B6323">
        <v>82.573289700737007</v>
      </c>
      <c r="C6323">
        <v>2000</v>
      </c>
    </row>
    <row r="6324" spans="1:11" x14ac:dyDescent="0.25">
      <c r="A6324">
        <v>13.175587180161299</v>
      </c>
      <c r="B6324">
        <v>82.926703783649401</v>
      </c>
      <c r="C6324">
        <v>2000</v>
      </c>
    </row>
    <row r="6325" spans="1:11" x14ac:dyDescent="0.25">
      <c r="A6325">
        <v>14.0496192290589</v>
      </c>
      <c r="B6325">
        <v>82.926703783649401</v>
      </c>
      <c r="C6325">
        <v>2001</v>
      </c>
    </row>
    <row r="6326" spans="1:11" x14ac:dyDescent="0.25">
      <c r="A6326">
        <v>14.1633131967253</v>
      </c>
      <c r="B6326">
        <v>82.813009815982994</v>
      </c>
      <c r="C6326">
        <v>2001</v>
      </c>
    </row>
    <row r="6327" spans="1:11" x14ac:dyDescent="0.25">
      <c r="A6327">
        <v>14.4641533677765</v>
      </c>
      <c r="B6327">
        <v>82.512169644931802</v>
      </c>
      <c r="C6327">
        <v>2001</v>
      </c>
    </row>
    <row r="6328" spans="1:11" x14ac:dyDescent="0.25">
      <c r="A6328">
        <v>14.4641533677765</v>
      </c>
      <c r="B6328">
        <v>81.638137596034198</v>
      </c>
      <c r="C6328">
        <v>2000</v>
      </c>
    </row>
    <row r="6329" spans="1:11" x14ac:dyDescent="0.25">
      <c r="A6329" t="s">
        <v>86</v>
      </c>
    </row>
    <row r="6330" spans="1:11" x14ac:dyDescent="0.25">
      <c r="A6330">
        <v>1112</v>
      </c>
      <c r="B6330">
        <v>1</v>
      </c>
      <c r="C6330">
        <v>0.98060408663422305</v>
      </c>
      <c r="D6330">
        <v>0.22366970315670201</v>
      </c>
      <c r="E6330">
        <v>6</v>
      </c>
      <c r="F6330">
        <v>1.01722196789785</v>
      </c>
      <c r="G6330" t="s">
        <v>87</v>
      </c>
      <c r="H6330" t="s">
        <v>87</v>
      </c>
      <c r="I6330">
        <v>105</v>
      </c>
      <c r="J6330">
        <v>114</v>
      </c>
      <c r="K6330">
        <v>0.123468647787635</v>
      </c>
    </row>
    <row r="6331" spans="1:11" x14ac:dyDescent="0.25">
      <c r="A6331" t="s">
        <v>85</v>
      </c>
    </row>
    <row r="6332" spans="1:11" x14ac:dyDescent="0.25">
      <c r="A6332">
        <v>17.918834076349601</v>
      </c>
      <c r="B6332">
        <v>85.571468955522207</v>
      </c>
      <c r="C6332">
        <v>2000</v>
      </c>
    </row>
    <row r="6333" spans="1:11" x14ac:dyDescent="0.25">
      <c r="A6333">
        <v>16.869593214191902</v>
      </c>
      <c r="B6333">
        <v>86.620709817679895</v>
      </c>
      <c r="C6333">
        <v>2000</v>
      </c>
    </row>
    <row r="6334" spans="1:11" x14ac:dyDescent="0.25">
      <c r="A6334">
        <v>17.743625263089498</v>
      </c>
      <c r="B6334">
        <v>86.620709817679895</v>
      </c>
      <c r="C6334">
        <v>2001</v>
      </c>
    </row>
    <row r="6335" spans="1:11" x14ac:dyDescent="0.25">
      <c r="A6335">
        <v>18.0811679995684</v>
      </c>
      <c r="B6335">
        <v>86.283167081201</v>
      </c>
      <c r="C6335">
        <v>2001</v>
      </c>
    </row>
    <row r="6336" spans="1:11" x14ac:dyDescent="0.25">
      <c r="A6336">
        <v>18.158159401807101</v>
      </c>
      <c r="B6336">
        <v>86.206175678962396</v>
      </c>
      <c r="C6336">
        <v>2001</v>
      </c>
    </row>
    <row r="6337" spans="1:11" x14ac:dyDescent="0.25">
      <c r="A6337">
        <v>18.158159401807101</v>
      </c>
      <c r="B6337">
        <v>85.332143630064706</v>
      </c>
      <c r="C6337">
        <v>2000</v>
      </c>
    </row>
    <row r="6338" spans="1:11" x14ac:dyDescent="0.25">
      <c r="A6338" t="s">
        <v>86</v>
      </c>
    </row>
    <row r="6339" spans="1:11" x14ac:dyDescent="0.25">
      <c r="A6339">
        <v>1034</v>
      </c>
      <c r="B6339">
        <v>1</v>
      </c>
      <c r="C6339">
        <v>0.57868245356961301</v>
      </c>
      <c r="D6339">
        <v>0.624869044604623</v>
      </c>
      <c r="E6339">
        <v>6</v>
      </c>
      <c r="F6339">
        <v>1.01722196789785</v>
      </c>
      <c r="G6339" t="s">
        <v>87</v>
      </c>
      <c r="H6339" t="s">
        <v>87</v>
      </c>
      <c r="I6339">
        <v>108</v>
      </c>
      <c r="J6339">
        <v>103</v>
      </c>
      <c r="K6339">
        <v>0.122473809508668</v>
      </c>
    </row>
    <row r="6340" spans="1:11" x14ac:dyDescent="0.25">
      <c r="A6340" t="s">
        <v>85</v>
      </c>
    </row>
    <row r="6341" spans="1:11" x14ac:dyDescent="0.25">
      <c r="A6341">
        <v>21.4790476469691</v>
      </c>
      <c r="B6341">
        <v>93.059463706835501</v>
      </c>
      <c r="C6341">
        <v>2000</v>
      </c>
    </row>
    <row r="6342" spans="1:11" x14ac:dyDescent="0.25">
      <c r="A6342">
        <v>21.0698573598964</v>
      </c>
      <c r="B6342">
        <v>93.468653993908205</v>
      </c>
      <c r="C6342">
        <v>2000</v>
      </c>
    </row>
    <row r="6343" spans="1:11" x14ac:dyDescent="0.25">
      <c r="A6343">
        <v>21.0698573598964</v>
      </c>
      <c r="B6343">
        <v>94.342686042805894</v>
      </c>
      <c r="C6343">
        <v>2001</v>
      </c>
    </row>
    <row r="6344" spans="1:11" x14ac:dyDescent="0.25">
      <c r="A6344">
        <v>21.4790476469691</v>
      </c>
      <c r="B6344">
        <v>93.933495755733105</v>
      </c>
      <c r="C6344">
        <v>2001</v>
      </c>
    </row>
    <row r="6345" spans="1:11" x14ac:dyDescent="0.25">
      <c r="A6345">
        <v>21.920896785762601</v>
      </c>
      <c r="B6345">
        <v>93.491646616939704</v>
      </c>
      <c r="C6345">
        <v>2001</v>
      </c>
    </row>
    <row r="6346" spans="1:11" x14ac:dyDescent="0.25">
      <c r="A6346">
        <v>21.920896785762601</v>
      </c>
      <c r="B6346">
        <v>92.617614568042001</v>
      </c>
      <c r="C6346">
        <v>2000</v>
      </c>
    </row>
    <row r="6347" spans="1:11" x14ac:dyDescent="0.25">
      <c r="A6347" t="s">
        <v>86</v>
      </c>
    </row>
    <row r="6348" spans="1:11" x14ac:dyDescent="0.25">
      <c r="A6348">
        <v>895</v>
      </c>
      <c r="B6348">
        <v>1</v>
      </c>
      <c r="C6348">
        <v>0.97495170033789003</v>
      </c>
      <c r="D6348">
        <v>0.225064500425255</v>
      </c>
      <c r="E6348">
        <v>6</v>
      </c>
      <c r="F6348">
        <v>1.01722196789785</v>
      </c>
      <c r="G6348" t="s">
        <v>87</v>
      </c>
      <c r="H6348" t="s">
        <v>87</v>
      </c>
      <c r="I6348">
        <v>800</v>
      </c>
      <c r="J6348">
        <v>799</v>
      </c>
      <c r="K6348">
        <v>0.11685087107927999</v>
      </c>
    </row>
    <row r="6349" spans="1:11" x14ac:dyDescent="0.25">
      <c r="A6349" t="s">
        <v>85</v>
      </c>
    </row>
    <row r="6350" spans="1:11" x14ac:dyDescent="0.25">
      <c r="A6350">
        <v>66.461424706620903</v>
      </c>
      <c r="B6350">
        <v>93.420246296398901</v>
      </c>
      <c r="C6350">
        <v>2000</v>
      </c>
    </row>
    <row r="6351" spans="1:11" x14ac:dyDescent="0.25">
      <c r="A6351">
        <v>65.416976611333098</v>
      </c>
      <c r="B6351">
        <v>94.464694391686805</v>
      </c>
      <c r="C6351">
        <v>2000</v>
      </c>
    </row>
    <row r="6352" spans="1:11" x14ac:dyDescent="0.25">
      <c r="A6352">
        <v>66.291008660230702</v>
      </c>
      <c r="B6352">
        <v>94.464694391686805</v>
      </c>
      <c r="C6352">
        <v>2001</v>
      </c>
    </row>
    <row r="6353" spans="1:11" x14ac:dyDescent="0.25">
      <c r="A6353">
        <v>66.625350482219403</v>
      </c>
      <c r="B6353">
        <v>94.130352569698104</v>
      </c>
      <c r="C6353">
        <v>2001</v>
      </c>
    </row>
    <row r="6354" spans="1:11" x14ac:dyDescent="0.25">
      <c r="A6354">
        <v>66.702532228875199</v>
      </c>
      <c r="B6354">
        <v>94.053170823042294</v>
      </c>
      <c r="C6354">
        <v>2001</v>
      </c>
    </row>
    <row r="6355" spans="1:11" x14ac:dyDescent="0.25">
      <c r="A6355">
        <v>66.702532228875199</v>
      </c>
      <c r="B6355">
        <v>93.179138774144704</v>
      </c>
      <c r="C6355">
        <v>2000</v>
      </c>
    </row>
    <row r="6356" spans="1:11" x14ac:dyDescent="0.25">
      <c r="A6356" t="s">
        <v>86</v>
      </c>
    </row>
    <row r="6357" spans="1:11" x14ac:dyDescent="0.25">
      <c r="A6357">
        <v>923</v>
      </c>
      <c r="B6357">
        <v>1</v>
      </c>
      <c r="C6357">
        <v>0.586234773699573</v>
      </c>
      <c r="D6357">
        <v>0.61378142706357197</v>
      </c>
      <c r="E6357">
        <v>6</v>
      </c>
      <c r="F6357">
        <v>1.01722196789785</v>
      </c>
      <c r="G6357" t="s">
        <v>87</v>
      </c>
      <c r="H6357" t="s">
        <v>87</v>
      </c>
      <c r="I6357">
        <v>800</v>
      </c>
      <c r="J6357">
        <v>799</v>
      </c>
      <c r="K6357">
        <v>0.117599171048291</v>
      </c>
    </row>
    <row r="6358" spans="1:11" x14ac:dyDescent="0.25">
      <c r="A6358" t="s">
        <v>85</v>
      </c>
    </row>
    <row r="6359" spans="1:11" x14ac:dyDescent="0.25">
      <c r="A6359">
        <v>70.332173860340802</v>
      </c>
      <c r="B6359">
        <v>98.123846253892594</v>
      </c>
      <c r="C6359">
        <v>2000</v>
      </c>
    </row>
    <row r="6360" spans="1:11" x14ac:dyDescent="0.25">
      <c r="A6360">
        <v>69.704151166939795</v>
      </c>
      <c r="B6360">
        <v>98.751868947293602</v>
      </c>
      <c r="C6360">
        <v>2000</v>
      </c>
    </row>
    <row r="6361" spans="1:11" x14ac:dyDescent="0.25">
      <c r="A6361">
        <v>70.578183215837498</v>
      </c>
      <c r="B6361">
        <v>98.751868947293602</v>
      </c>
      <c r="C6361">
        <v>2001</v>
      </c>
    </row>
    <row r="6362" spans="1:11" x14ac:dyDescent="0.25">
      <c r="A6362">
        <v>70.779221690137206</v>
      </c>
      <c r="B6362">
        <v>98.550830472993894</v>
      </c>
      <c r="C6362">
        <v>2001</v>
      </c>
    </row>
    <row r="6363" spans="1:11" x14ac:dyDescent="0.25">
      <c r="A6363">
        <v>70.989706784481996</v>
      </c>
      <c r="B6363">
        <v>98.340345378649005</v>
      </c>
      <c r="C6363">
        <v>2001</v>
      </c>
    </row>
    <row r="6364" spans="1:11" x14ac:dyDescent="0.25">
      <c r="A6364">
        <v>70.989706784481996</v>
      </c>
      <c r="B6364">
        <v>97.466313329751401</v>
      </c>
      <c r="C6364">
        <v>2000</v>
      </c>
    </row>
    <row r="6365" spans="1:11" x14ac:dyDescent="0.25">
      <c r="A6365" t="s">
        <v>86</v>
      </c>
    </row>
    <row r="6366" spans="1:11" x14ac:dyDescent="0.25">
      <c r="A6366">
        <v>884</v>
      </c>
      <c r="B6366">
        <v>1</v>
      </c>
      <c r="C6366">
        <v>0.61352923744405496</v>
      </c>
      <c r="D6366">
        <v>0.58020826826817296</v>
      </c>
      <c r="E6366">
        <v>6</v>
      </c>
      <c r="F6366">
        <v>1.01722196789785</v>
      </c>
      <c r="G6366" t="s">
        <v>87</v>
      </c>
      <c r="H6366" t="s">
        <v>87</v>
      </c>
      <c r="I6366">
        <v>501</v>
      </c>
      <c r="J6366">
        <v>832</v>
      </c>
      <c r="K6366">
        <v>0.115643722583405</v>
      </c>
    </row>
    <row r="6367" spans="1:11" x14ac:dyDescent="0.25">
      <c r="A6367" t="s">
        <v>85</v>
      </c>
    </row>
    <row r="6368" spans="1:11" x14ac:dyDescent="0.25">
      <c r="A6368">
        <v>114.785249682931</v>
      </c>
      <c r="B6368">
        <v>30.258912711112</v>
      </c>
      <c r="C6368">
        <v>2000</v>
      </c>
    </row>
    <row r="6369" spans="1:11" x14ac:dyDescent="0.25">
      <c r="A6369">
        <v>114.57602625693001</v>
      </c>
      <c r="B6369">
        <v>30.468136137112701</v>
      </c>
      <c r="C6369">
        <v>2000</v>
      </c>
    </row>
    <row r="6370" spans="1:11" x14ac:dyDescent="0.25">
      <c r="A6370">
        <v>114.57602625693001</v>
      </c>
      <c r="B6370">
        <v>31.342168186010301</v>
      </c>
      <c r="C6370">
        <v>2001</v>
      </c>
    </row>
    <row r="6371" spans="1:11" x14ac:dyDescent="0.25">
      <c r="A6371">
        <v>115.234464199435</v>
      </c>
      <c r="B6371">
        <v>30.683730243505199</v>
      </c>
      <c r="C6371">
        <v>2001</v>
      </c>
    </row>
    <row r="6372" spans="1:11" x14ac:dyDescent="0.25">
      <c r="A6372">
        <v>115.857142166625</v>
      </c>
      <c r="B6372">
        <v>30.061052276315699</v>
      </c>
      <c r="C6372">
        <v>2001</v>
      </c>
    </row>
    <row r="6373" spans="1:11" x14ac:dyDescent="0.25">
      <c r="A6373">
        <v>114.98311011772699</v>
      </c>
      <c r="B6373">
        <v>30.061052276315699</v>
      </c>
      <c r="C6373">
        <v>2000</v>
      </c>
    </row>
    <row r="6374" spans="1:11" x14ac:dyDescent="0.25">
      <c r="A6374" t="s">
        <v>86</v>
      </c>
    </row>
    <row r="6375" spans="1:11" x14ac:dyDescent="0.25">
      <c r="A6375">
        <v>929</v>
      </c>
      <c r="B6375">
        <v>1</v>
      </c>
      <c r="C6375">
        <v>0.78573610742900302</v>
      </c>
      <c r="D6375">
        <v>0.40683127993730001</v>
      </c>
      <c r="E6375">
        <v>6</v>
      </c>
      <c r="F6375">
        <v>1.01722196789785</v>
      </c>
      <c r="G6375" t="s">
        <v>87</v>
      </c>
      <c r="H6375" t="s">
        <v>87</v>
      </c>
      <c r="I6375">
        <v>758</v>
      </c>
      <c r="J6375">
        <v>740</v>
      </c>
      <c r="K6375">
        <v>0.117599171048291</v>
      </c>
    </row>
    <row r="6376" spans="1:11" x14ac:dyDescent="0.25">
      <c r="A6376" t="s">
        <v>85</v>
      </c>
    </row>
    <row r="6377" spans="1:11" x14ac:dyDescent="0.25">
      <c r="A6377">
        <v>45.672332845625199</v>
      </c>
      <c r="B6377">
        <v>116.894021945332</v>
      </c>
      <c r="C6377">
        <v>2000</v>
      </c>
    </row>
    <row r="6378" spans="1:11" x14ac:dyDescent="0.25">
      <c r="A6378">
        <v>45.404666318272</v>
      </c>
      <c r="B6378">
        <v>117.161688472685</v>
      </c>
      <c r="C6378">
        <v>2000</v>
      </c>
    </row>
    <row r="6379" spans="1:11" x14ac:dyDescent="0.25">
      <c r="A6379">
        <v>44.530634269374303</v>
      </c>
      <c r="B6379">
        <v>117.161688472685</v>
      </c>
      <c r="C6379">
        <v>2001</v>
      </c>
    </row>
    <row r="6380" spans="1:11" x14ac:dyDescent="0.25">
      <c r="A6380">
        <v>45.374166401593399</v>
      </c>
      <c r="B6380">
        <v>116.318156340466</v>
      </c>
      <c r="C6380">
        <v>2001</v>
      </c>
    </row>
    <row r="6381" spans="1:11" x14ac:dyDescent="0.25">
      <c r="A6381">
        <v>45.810922780451797</v>
      </c>
      <c r="B6381">
        <v>115.881399961608</v>
      </c>
      <c r="C6381">
        <v>2001</v>
      </c>
    </row>
    <row r="6382" spans="1:11" x14ac:dyDescent="0.25">
      <c r="A6382">
        <v>45.810922780451797</v>
      </c>
      <c r="B6382">
        <v>116.755432010505</v>
      </c>
      <c r="C6382">
        <v>2000</v>
      </c>
    </row>
    <row r="6383" spans="1:11" x14ac:dyDescent="0.25">
      <c r="A6383" t="s">
        <v>86</v>
      </c>
    </row>
    <row r="6384" spans="1:11" x14ac:dyDescent="0.25">
      <c r="A6384">
        <v>633</v>
      </c>
      <c r="B6384">
        <v>1</v>
      </c>
      <c r="C6384">
        <v>1.1682932886181701</v>
      </c>
      <c r="D6384">
        <v>2.27988767314855E-2</v>
      </c>
      <c r="E6384">
        <v>6</v>
      </c>
      <c r="F6384">
        <v>1.01722196789785</v>
      </c>
      <c r="G6384" t="s">
        <v>87</v>
      </c>
      <c r="H6384" t="s">
        <v>87</v>
      </c>
      <c r="I6384">
        <v>589</v>
      </c>
      <c r="J6384">
        <v>595</v>
      </c>
      <c r="K6384">
        <v>0</v>
      </c>
    </row>
    <row r="6385" spans="1:11" x14ac:dyDescent="0.25">
      <c r="A6385" t="s">
        <v>85</v>
      </c>
    </row>
    <row r="6386" spans="1:11" x14ac:dyDescent="0.25">
      <c r="A6386">
        <v>130.18430769032699</v>
      </c>
      <c r="B6386">
        <v>78.850928476936303</v>
      </c>
      <c r="C6386">
        <v>2000</v>
      </c>
    </row>
    <row r="6387" spans="1:11" x14ac:dyDescent="0.25">
      <c r="A6387">
        <v>128.92954854943301</v>
      </c>
      <c r="B6387">
        <v>80.105687617830199</v>
      </c>
      <c r="C6387">
        <v>2000</v>
      </c>
    </row>
    <row r="6388" spans="1:11" x14ac:dyDescent="0.25">
      <c r="A6388">
        <v>128.92954854943301</v>
      </c>
      <c r="B6388">
        <v>79.231655568932595</v>
      </c>
      <c r="C6388">
        <v>2001</v>
      </c>
    </row>
    <row r="6389" spans="1:11" x14ac:dyDescent="0.25">
      <c r="A6389">
        <v>129.32700562213299</v>
      </c>
      <c r="B6389">
        <v>78.834198496233199</v>
      </c>
      <c r="C6389">
        <v>2001</v>
      </c>
    </row>
    <row r="6390" spans="1:11" x14ac:dyDescent="0.25">
      <c r="A6390">
        <v>129.33476187212099</v>
      </c>
      <c r="B6390">
        <v>78.826442246244596</v>
      </c>
      <c r="C6390">
        <v>2001</v>
      </c>
    </row>
    <row r="6391" spans="1:11" x14ac:dyDescent="0.25">
      <c r="A6391">
        <v>130.20879392101901</v>
      </c>
      <c r="B6391">
        <v>78.826442246244397</v>
      </c>
      <c r="C6391">
        <v>2000</v>
      </c>
    </row>
    <row r="6392" spans="1:11" x14ac:dyDescent="0.25">
      <c r="A6392" t="s">
        <v>86</v>
      </c>
    </row>
    <row r="6393" spans="1:11" x14ac:dyDescent="0.25">
      <c r="A6393">
        <v>941</v>
      </c>
      <c r="B6393">
        <v>1</v>
      </c>
      <c r="C6393">
        <v>0.81127778911022497</v>
      </c>
      <c r="D6393">
        <v>0.37789531168783302</v>
      </c>
      <c r="E6393">
        <v>6</v>
      </c>
      <c r="F6393">
        <v>1.01722196789785</v>
      </c>
      <c r="G6393" t="s">
        <v>87</v>
      </c>
      <c r="H6393" t="s">
        <v>87</v>
      </c>
      <c r="I6393">
        <v>736</v>
      </c>
      <c r="J6393">
        <v>662</v>
      </c>
      <c r="K6393">
        <v>0.118311737100288</v>
      </c>
    </row>
    <row r="6394" spans="1:11" x14ac:dyDescent="0.25">
      <c r="A6394" t="s">
        <v>85</v>
      </c>
    </row>
    <row r="6395" spans="1:11" x14ac:dyDescent="0.25">
      <c r="A6395">
        <v>95.798905839575298</v>
      </c>
      <c r="B6395">
        <v>56.246935171655799</v>
      </c>
      <c r="C6395">
        <v>2000</v>
      </c>
    </row>
    <row r="6396" spans="1:11" x14ac:dyDescent="0.25">
      <c r="A6396">
        <v>95.2252458134694</v>
      </c>
      <c r="B6396">
        <v>56.820595197761698</v>
      </c>
      <c r="C6396">
        <v>2000</v>
      </c>
    </row>
    <row r="6397" spans="1:11" x14ac:dyDescent="0.25">
      <c r="A6397">
        <v>94.351213764571796</v>
      </c>
      <c r="B6397">
        <v>56.820595197761698</v>
      </c>
      <c r="C6397">
        <v>2001</v>
      </c>
    </row>
    <row r="6398" spans="1:11" x14ac:dyDescent="0.25">
      <c r="A6398">
        <v>94.924873790677594</v>
      </c>
      <c r="B6398">
        <v>56.246935171655799</v>
      </c>
      <c r="C6398">
        <v>2001</v>
      </c>
    </row>
    <row r="6399" spans="1:11" x14ac:dyDescent="0.25">
      <c r="A6399">
        <v>95.192086128150706</v>
      </c>
      <c r="B6399">
        <v>55.979722834182802</v>
      </c>
      <c r="C6399">
        <v>2001</v>
      </c>
    </row>
    <row r="6400" spans="1:11" x14ac:dyDescent="0.25">
      <c r="A6400">
        <v>96.066118177048295</v>
      </c>
      <c r="B6400">
        <v>55.979722834182802</v>
      </c>
      <c r="C6400">
        <v>2000</v>
      </c>
    </row>
    <row r="6401" spans="1:11" x14ac:dyDescent="0.25">
      <c r="A6401" t="s">
        <v>86</v>
      </c>
    </row>
    <row r="6402" spans="1:11" x14ac:dyDescent="0.25">
      <c r="A6402">
        <v>474</v>
      </c>
      <c r="B6402">
        <v>1</v>
      </c>
      <c r="C6402">
        <v>1.01014632742161</v>
      </c>
      <c r="D6402">
        <v>0.17876513364330299</v>
      </c>
      <c r="E6402">
        <v>6</v>
      </c>
      <c r="F6402">
        <v>1.01722196789785</v>
      </c>
      <c r="G6402" t="s">
        <v>87</v>
      </c>
      <c r="H6402" t="s">
        <v>87</v>
      </c>
      <c r="I6402">
        <v>435</v>
      </c>
      <c r="J6402">
        <v>807</v>
      </c>
      <c r="K6402">
        <v>0</v>
      </c>
    </row>
    <row r="6403" spans="1:11" x14ac:dyDescent="0.25">
      <c r="A6403" t="s">
        <v>85</v>
      </c>
    </row>
    <row r="6404" spans="1:11" x14ac:dyDescent="0.25">
      <c r="A6404">
        <v>59.124702366209497</v>
      </c>
      <c r="B6404">
        <v>120.95840390388</v>
      </c>
      <c r="C6404">
        <v>2000</v>
      </c>
    </row>
    <row r="6405" spans="1:11" x14ac:dyDescent="0.25">
      <c r="A6405">
        <v>58.781727193744203</v>
      </c>
      <c r="B6405">
        <v>121.301379076346</v>
      </c>
      <c r="C6405">
        <v>2000</v>
      </c>
    </row>
    <row r="6406" spans="1:11" x14ac:dyDescent="0.25">
      <c r="A6406">
        <v>57.9076951448465</v>
      </c>
      <c r="B6406">
        <v>121.301379076346</v>
      </c>
      <c r="C6406">
        <v>2001</v>
      </c>
    </row>
    <row r="6407" spans="1:11" x14ac:dyDescent="0.25">
      <c r="A6407">
        <v>58.9932826086022</v>
      </c>
      <c r="B6407">
        <v>120.21579161259</v>
      </c>
      <c r="C6407">
        <v>2001</v>
      </c>
    </row>
    <row r="6408" spans="1:11" x14ac:dyDescent="0.25">
      <c r="A6408">
        <v>59.1853985256448</v>
      </c>
      <c r="B6408">
        <v>120.023675695547</v>
      </c>
      <c r="C6408">
        <v>2001</v>
      </c>
    </row>
    <row r="6409" spans="1:11" x14ac:dyDescent="0.25">
      <c r="A6409">
        <v>59.1853985256448</v>
      </c>
      <c r="B6409">
        <v>120.897707744445</v>
      </c>
      <c r="C6409">
        <v>2000</v>
      </c>
    </row>
    <row r="6410" spans="1:11" x14ac:dyDescent="0.25">
      <c r="A6410" t="s">
        <v>86</v>
      </c>
    </row>
    <row r="6411" spans="1:11" x14ac:dyDescent="0.25">
      <c r="A6411">
        <v>1020</v>
      </c>
      <c r="B6411">
        <v>1</v>
      </c>
      <c r="C6411">
        <v>0.25614691218136398</v>
      </c>
      <c r="D6411">
        <v>0.92961598173496196</v>
      </c>
      <c r="E6411">
        <v>6</v>
      </c>
      <c r="F6411">
        <v>1.01722196789785</v>
      </c>
      <c r="G6411" t="s">
        <v>87</v>
      </c>
      <c r="H6411" t="s">
        <v>87</v>
      </c>
      <c r="I6411">
        <v>360</v>
      </c>
      <c r="J6411">
        <v>343</v>
      </c>
      <c r="K6411">
        <v>0.12140552605247699</v>
      </c>
    </row>
    <row r="6412" spans="1:11" x14ac:dyDescent="0.25">
      <c r="A6412" t="s">
        <v>85</v>
      </c>
    </row>
    <row r="6413" spans="1:11" x14ac:dyDescent="0.25">
      <c r="A6413">
        <v>61.248392165846397</v>
      </c>
      <c r="B6413">
        <v>68.485482931745494</v>
      </c>
      <c r="C6413">
        <v>2000</v>
      </c>
    </row>
    <row r="6414" spans="1:11" x14ac:dyDescent="0.25">
      <c r="A6414">
        <v>60.972865330982998</v>
      </c>
      <c r="B6414">
        <v>68.761009766609007</v>
      </c>
      <c r="C6414">
        <v>2000</v>
      </c>
    </row>
    <row r="6415" spans="1:11" x14ac:dyDescent="0.25">
      <c r="A6415">
        <v>61.846897379880602</v>
      </c>
      <c r="B6415">
        <v>68.761009766609007</v>
      </c>
      <c r="C6415">
        <v>2001</v>
      </c>
    </row>
    <row r="6416" spans="1:11" x14ac:dyDescent="0.25">
      <c r="A6416">
        <v>61.933616982183999</v>
      </c>
      <c r="B6416">
        <v>68.674290164305503</v>
      </c>
      <c r="C6416">
        <v>2001</v>
      </c>
    </row>
    <row r="6417" spans="1:11" x14ac:dyDescent="0.25">
      <c r="A6417">
        <v>62.2483423385994</v>
      </c>
      <c r="B6417">
        <v>68.359564807890195</v>
      </c>
      <c r="C6417">
        <v>2001</v>
      </c>
    </row>
    <row r="6418" spans="1:11" x14ac:dyDescent="0.25">
      <c r="A6418">
        <v>62.2483423385994</v>
      </c>
      <c r="B6418">
        <v>67.485532758992505</v>
      </c>
      <c r="C6418">
        <v>2000</v>
      </c>
    </row>
    <row r="6419" spans="1:11" x14ac:dyDescent="0.25">
      <c r="A6419" t="s">
        <v>86</v>
      </c>
    </row>
    <row r="6420" spans="1:11" x14ac:dyDescent="0.25">
      <c r="A6420">
        <v>717</v>
      </c>
      <c r="B6420">
        <v>1</v>
      </c>
      <c r="C6420">
        <v>0.93645165726732005</v>
      </c>
      <c r="D6420">
        <v>0.23946132058406999</v>
      </c>
      <c r="E6420">
        <v>6</v>
      </c>
      <c r="F6420">
        <v>1.01722196789785</v>
      </c>
      <c r="G6420" t="s">
        <v>87</v>
      </c>
      <c r="H6420" t="s">
        <v>87</v>
      </c>
      <c r="I6420">
        <v>810</v>
      </c>
      <c r="J6420">
        <v>508</v>
      </c>
      <c r="K6420">
        <v>0</v>
      </c>
    </row>
    <row r="6421" spans="1:11" x14ac:dyDescent="0.25">
      <c r="A6421" t="s">
        <v>85</v>
      </c>
    </row>
    <row r="6422" spans="1:11" x14ac:dyDescent="0.25">
      <c r="A6422">
        <v>92.291922269990593</v>
      </c>
      <c r="B6422">
        <v>1.7629272270685701</v>
      </c>
      <c r="C6422">
        <v>2000</v>
      </c>
    </row>
    <row r="6423" spans="1:11" x14ac:dyDescent="0.25">
      <c r="A6423">
        <v>91.629750952883498</v>
      </c>
      <c r="B6423">
        <v>2.4250985441756798</v>
      </c>
      <c r="C6423">
        <v>2000</v>
      </c>
    </row>
    <row r="6424" spans="1:11" x14ac:dyDescent="0.25">
      <c r="A6424">
        <v>91.629750952883498</v>
      </c>
      <c r="B6424">
        <v>1.55106649527804</v>
      </c>
      <c r="C6424">
        <v>2001</v>
      </c>
    </row>
    <row r="6425" spans="1:11" x14ac:dyDescent="0.25">
      <c r="A6425">
        <v>92.291922269990593</v>
      </c>
      <c r="B6425">
        <v>0.88889517817094399</v>
      </c>
      <c r="C6425">
        <v>2001</v>
      </c>
    </row>
    <row r="6426" spans="1:11" x14ac:dyDescent="0.25">
      <c r="A6426">
        <v>92.461246993607503</v>
      </c>
      <c r="B6426">
        <v>0.71957045455406399</v>
      </c>
      <c r="C6426">
        <v>2001</v>
      </c>
    </row>
    <row r="6427" spans="1:11" x14ac:dyDescent="0.25">
      <c r="A6427">
        <v>92.461246993607503</v>
      </c>
      <c r="B6427">
        <v>1.5936025034516901</v>
      </c>
      <c r="C6427">
        <v>2000</v>
      </c>
    </row>
    <row r="6428" spans="1:11" x14ac:dyDescent="0.25">
      <c r="A6428" t="s">
        <v>86</v>
      </c>
    </row>
    <row r="6429" spans="1:11" x14ac:dyDescent="0.25">
      <c r="A6429">
        <v>877</v>
      </c>
      <c r="B6429">
        <v>1</v>
      </c>
      <c r="C6429">
        <v>0.46464926517732202</v>
      </c>
      <c r="D6429">
        <v>0.71126371267406796</v>
      </c>
      <c r="E6429">
        <v>6</v>
      </c>
      <c r="F6429">
        <v>1.01722196789785</v>
      </c>
      <c r="G6429" t="s">
        <v>87</v>
      </c>
      <c r="H6429" t="s">
        <v>87</v>
      </c>
      <c r="I6429">
        <v>810</v>
      </c>
      <c r="J6429">
        <v>508</v>
      </c>
      <c r="K6429">
        <v>0.116069536161876</v>
      </c>
    </row>
    <row r="6430" spans="1:11" x14ac:dyDescent="0.25">
      <c r="A6430" t="s">
        <v>85</v>
      </c>
    </row>
    <row r="6431" spans="1:11" x14ac:dyDescent="0.25">
      <c r="A6431">
        <v>97.805289282838402</v>
      </c>
      <c r="B6431">
        <v>7.9435235815701599</v>
      </c>
      <c r="C6431">
        <v>2000</v>
      </c>
    </row>
    <row r="6432" spans="1:11" x14ac:dyDescent="0.25">
      <c r="A6432">
        <v>97.476732636558197</v>
      </c>
      <c r="B6432">
        <v>8.2720802278504006</v>
      </c>
      <c r="C6432">
        <v>2000</v>
      </c>
    </row>
    <row r="6433" spans="1:11" x14ac:dyDescent="0.25">
      <c r="A6433">
        <v>97.476732636558197</v>
      </c>
      <c r="B6433">
        <v>7.3980481789527603</v>
      </c>
      <c r="C6433">
        <v>2001</v>
      </c>
    </row>
    <row r="6434" spans="1:11" x14ac:dyDescent="0.25">
      <c r="A6434">
        <v>97.805289282838402</v>
      </c>
      <c r="B6434">
        <v>7.0694915326725303</v>
      </c>
      <c r="C6434">
        <v>2001</v>
      </c>
    </row>
    <row r="6435" spans="1:11" x14ac:dyDescent="0.25">
      <c r="A6435">
        <v>98.308228677282202</v>
      </c>
      <c r="B6435">
        <v>6.5665521382287801</v>
      </c>
      <c r="C6435">
        <v>2001</v>
      </c>
    </row>
    <row r="6436" spans="1:11" x14ac:dyDescent="0.25">
      <c r="A6436">
        <v>98.308228677282202</v>
      </c>
      <c r="B6436">
        <v>7.4405841871264098</v>
      </c>
      <c r="C6436">
        <v>2000</v>
      </c>
    </row>
    <row r="6437" spans="1:11" x14ac:dyDescent="0.25">
      <c r="A6437" t="s">
        <v>86</v>
      </c>
    </row>
    <row r="6438" spans="1:11" x14ac:dyDescent="0.25">
      <c r="A6438">
        <v>394</v>
      </c>
      <c r="B6438">
        <v>1</v>
      </c>
      <c r="C6438">
        <v>0.13867435984923299</v>
      </c>
      <c r="D6438">
        <v>1.0359013445963901</v>
      </c>
      <c r="E6438">
        <v>6</v>
      </c>
      <c r="F6438">
        <v>1.01722196789785</v>
      </c>
      <c r="G6438" t="s">
        <v>87</v>
      </c>
      <c r="H6438" t="s">
        <v>87</v>
      </c>
      <c r="I6438">
        <v>352</v>
      </c>
      <c r="J6438">
        <v>800</v>
      </c>
      <c r="K6438">
        <v>0</v>
      </c>
    </row>
    <row r="6439" spans="1:11" x14ac:dyDescent="0.25">
      <c r="A6439" t="s">
        <v>85</v>
      </c>
    </row>
    <row r="6440" spans="1:11" x14ac:dyDescent="0.25">
      <c r="A6440">
        <v>62.790061200274899</v>
      </c>
      <c r="B6440">
        <v>92.531923827153307</v>
      </c>
      <c r="C6440">
        <v>2000</v>
      </c>
    </row>
    <row r="6441" spans="1:11" x14ac:dyDescent="0.25">
      <c r="A6441">
        <v>62.743599202355597</v>
      </c>
      <c r="B6441">
        <v>92.578385825072601</v>
      </c>
      <c r="C6441">
        <v>2000</v>
      </c>
    </row>
    <row r="6442" spans="1:11" x14ac:dyDescent="0.25">
      <c r="A6442">
        <v>61.869567153457901</v>
      </c>
      <c r="B6442">
        <v>92.578385825072601</v>
      </c>
      <c r="C6442">
        <v>2001</v>
      </c>
    </row>
    <row r="6443" spans="1:11" x14ac:dyDescent="0.25">
      <c r="A6443">
        <v>62.0192203159908</v>
      </c>
      <c r="B6443">
        <v>92.428732662539701</v>
      </c>
      <c r="C6443">
        <v>2001</v>
      </c>
    </row>
    <row r="6444" spans="1:11" x14ac:dyDescent="0.25">
      <c r="A6444">
        <v>63.137133623537203</v>
      </c>
      <c r="B6444">
        <v>91.310819354993299</v>
      </c>
      <c r="C6444">
        <v>2001</v>
      </c>
    </row>
    <row r="6445" spans="1:11" x14ac:dyDescent="0.25">
      <c r="A6445">
        <v>63.137133623537203</v>
      </c>
      <c r="B6445">
        <v>92.184851403890903</v>
      </c>
      <c r="C6445">
        <v>2000</v>
      </c>
    </row>
    <row r="6446" spans="1:11" x14ac:dyDescent="0.25">
      <c r="A6446" t="s">
        <v>86</v>
      </c>
    </row>
    <row r="6447" spans="1:11" x14ac:dyDescent="0.25">
      <c r="A6447">
        <v>993</v>
      </c>
      <c r="B6447">
        <v>1</v>
      </c>
      <c r="C6447">
        <v>0.25728889421316797</v>
      </c>
      <c r="D6447">
        <v>0.90902099005499104</v>
      </c>
      <c r="E6447">
        <v>6</v>
      </c>
      <c r="F6447">
        <v>1.01722196789785</v>
      </c>
      <c r="G6447" t="s">
        <v>87</v>
      </c>
      <c r="H6447" t="s">
        <v>87</v>
      </c>
      <c r="I6447">
        <v>733</v>
      </c>
      <c r="J6447">
        <v>586</v>
      </c>
      <c r="K6447">
        <v>0.12024993113152201</v>
      </c>
    </row>
    <row r="6448" spans="1:11" x14ac:dyDescent="0.25">
      <c r="A6448" t="s">
        <v>85</v>
      </c>
    </row>
    <row r="6449" spans="1:11" x14ac:dyDescent="0.25">
      <c r="A6449">
        <v>126.687482551535</v>
      </c>
      <c r="B6449">
        <v>72.387235982989594</v>
      </c>
      <c r="C6449">
        <v>2000</v>
      </c>
    </row>
    <row r="6450" spans="1:11" x14ac:dyDescent="0.25">
      <c r="A6450">
        <v>126.505551829713</v>
      </c>
      <c r="B6450">
        <v>72.569166704811707</v>
      </c>
      <c r="C6450">
        <v>2000</v>
      </c>
    </row>
    <row r="6451" spans="1:11" x14ac:dyDescent="0.25">
      <c r="A6451">
        <v>127.37958387861001</v>
      </c>
      <c r="B6451">
        <v>72.569166704811707</v>
      </c>
      <c r="C6451">
        <v>2001</v>
      </c>
    </row>
    <row r="6452" spans="1:11" x14ac:dyDescent="0.25">
      <c r="A6452">
        <v>127.561514600433</v>
      </c>
      <c r="B6452">
        <v>72.387235982989594</v>
      </c>
      <c r="C6452">
        <v>2001</v>
      </c>
    </row>
    <row r="6453" spans="1:11" x14ac:dyDescent="0.25">
      <c r="A6453">
        <v>128.20428950674099</v>
      </c>
      <c r="B6453">
        <v>71.744461076680807</v>
      </c>
      <c r="C6453">
        <v>2001</v>
      </c>
    </row>
    <row r="6454" spans="1:11" x14ac:dyDescent="0.25">
      <c r="A6454">
        <v>127.330257457844</v>
      </c>
      <c r="B6454">
        <v>71.744461076680807</v>
      </c>
      <c r="C6454">
        <v>2000</v>
      </c>
    </row>
    <row r="6455" spans="1:11" x14ac:dyDescent="0.25">
      <c r="A6455" t="s">
        <v>86</v>
      </c>
    </row>
    <row r="6456" spans="1:11" x14ac:dyDescent="0.25">
      <c r="A6456">
        <v>1084</v>
      </c>
      <c r="B6456">
        <v>1</v>
      </c>
      <c r="C6456">
        <v>0.15705435353921601</v>
      </c>
      <c r="D6456">
        <v>1.0043274610736701</v>
      </c>
      <c r="E6456">
        <v>6</v>
      </c>
      <c r="F6456">
        <v>1.01722196789785</v>
      </c>
      <c r="G6456" t="s">
        <v>87</v>
      </c>
      <c r="H6456" t="s">
        <v>87</v>
      </c>
      <c r="I6456">
        <v>195</v>
      </c>
      <c r="J6456">
        <v>101</v>
      </c>
      <c r="K6456">
        <v>0.122728925384179</v>
      </c>
    </row>
    <row r="6457" spans="1:11" x14ac:dyDescent="0.25">
      <c r="A6457" t="s">
        <v>85</v>
      </c>
    </row>
    <row r="6458" spans="1:11" x14ac:dyDescent="0.25">
      <c r="A6458">
        <v>10.3174842592876</v>
      </c>
      <c r="B6458">
        <v>89.902866794225801</v>
      </c>
      <c r="C6458">
        <v>2000</v>
      </c>
    </row>
    <row r="6459" spans="1:11" x14ac:dyDescent="0.25">
      <c r="A6459">
        <v>10.206430060885101</v>
      </c>
      <c r="B6459">
        <v>90.0139209926283</v>
      </c>
      <c r="C6459">
        <v>2000</v>
      </c>
    </row>
    <row r="6460" spans="1:11" x14ac:dyDescent="0.25">
      <c r="A6460">
        <v>10.206430060885101</v>
      </c>
      <c r="B6460">
        <v>90.887953041525904</v>
      </c>
      <c r="C6460">
        <v>2001</v>
      </c>
    </row>
    <row r="6461" spans="1:11" x14ac:dyDescent="0.25">
      <c r="A6461">
        <v>10.3174842592876</v>
      </c>
      <c r="B6461">
        <v>90.776898843123405</v>
      </c>
      <c r="C6461">
        <v>2001</v>
      </c>
    </row>
    <row r="6462" spans="1:11" x14ac:dyDescent="0.25">
      <c r="A6462">
        <v>11.027651017544599</v>
      </c>
      <c r="B6462">
        <v>90.066732084866402</v>
      </c>
      <c r="C6462">
        <v>2001</v>
      </c>
    </row>
    <row r="6463" spans="1:11" x14ac:dyDescent="0.25">
      <c r="A6463">
        <v>11.027651017544599</v>
      </c>
      <c r="B6463">
        <v>89.192700035968798</v>
      </c>
      <c r="C6463">
        <v>2000</v>
      </c>
    </row>
    <row r="6464" spans="1:11" x14ac:dyDescent="0.25">
      <c r="A6464" t="s">
        <v>86</v>
      </c>
    </row>
    <row r="6465" spans="1:11" x14ac:dyDescent="0.25">
      <c r="A6465">
        <v>1027</v>
      </c>
      <c r="B6465">
        <v>1</v>
      </c>
      <c r="C6465">
        <v>0.66393808659389097</v>
      </c>
      <c r="D6465">
        <v>0.49503597405140498</v>
      </c>
      <c r="E6465">
        <v>6</v>
      </c>
      <c r="F6465">
        <v>1.01722196789785</v>
      </c>
      <c r="G6465" t="s">
        <v>87</v>
      </c>
      <c r="H6465" t="s">
        <v>87</v>
      </c>
      <c r="I6465">
        <v>434</v>
      </c>
      <c r="J6465">
        <v>438</v>
      </c>
      <c r="K6465">
        <v>0.121125394062888</v>
      </c>
    </row>
    <row r="6466" spans="1:11" x14ac:dyDescent="0.25">
      <c r="A6466" t="s">
        <v>85</v>
      </c>
    </row>
    <row r="6467" spans="1:11" x14ac:dyDescent="0.25">
      <c r="A6467">
        <v>84.5598610628209</v>
      </c>
      <c r="B6467">
        <v>121.624900499641</v>
      </c>
      <c r="C6467">
        <v>2000</v>
      </c>
    </row>
    <row r="6468" spans="1:11" x14ac:dyDescent="0.25">
      <c r="A6468">
        <v>84.090385939502298</v>
      </c>
      <c r="B6468">
        <v>122.09437562295901</v>
      </c>
      <c r="C6468">
        <v>2000</v>
      </c>
    </row>
    <row r="6469" spans="1:11" x14ac:dyDescent="0.25">
      <c r="A6469">
        <v>84.090385939502298</v>
      </c>
      <c r="B6469">
        <v>121.220343574062</v>
      </c>
      <c r="C6469">
        <v>2001</v>
      </c>
    </row>
    <row r="6470" spans="1:11" x14ac:dyDescent="0.25">
      <c r="A6470">
        <v>84.5598610628209</v>
      </c>
      <c r="B6470">
        <v>120.750868450743</v>
      </c>
      <c r="C6470">
        <v>2001</v>
      </c>
    </row>
    <row r="6471" spans="1:11" x14ac:dyDescent="0.25">
      <c r="A6471">
        <v>84.909904357003896</v>
      </c>
      <c r="B6471">
        <v>120.40082515656</v>
      </c>
      <c r="C6471">
        <v>2001</v>
      </c>
    </row>
    <row r="6472" spans="1:11" x14ac:dyDescent="0.25">
      <c r="A6472">
        <v>84.909904357003896</v>
      </c>
      <c r="B6472">
        <v>121.27485720545801</v>
      </c>
      <c r="C6472">
        <v>2000</v>
      </c>
    </row>
    <row r="6473" spans="1:11" x14ac:dyDescent="0.25">
      <c r="A6473" t="s">
        <v>86</v>
      </c>
    </row>
    <row r="6474" spans="1:11" x14ac:dyDescent="0.25">
      <c r="A6474">
        <v>1097</v>
      </c>
      <c r="B6474">
        <v>1</v>
      </c>
      <c r="C6474">
        <v>0.728398085890124</v>
      </c>
      <c r="D6474">
        <v>0.42188363176330401</v>
      </c>
      <c r="E6474">
        <v>6</v>
      </c>
      <c r="F6474">
        <v>1.01722196789785</v>
      </c>
      <c r="G6474" t="s">
        <v>87</v>
      </c>
      <c r="H6474" t="s">
        <v>87</v>
      </c>
      <c r="I6474">
        <v>350</v>
      </c>
      <c r="J6474">
        <v>743</v>
      </c>
      <c r="K6474">
        <v>0.123707222271514</v>
      </c>
    </row>
    <row r="6475" spans="1:11" x14ac:dyDescent="0.25">
      <c r="A6475" t="s">
        <v>85</v>
      </c>
    </row>
    <row r="6476" spans="1:11" x14ac:dyDescent="0.25">
      <c r="A6476">
        <v>69.2565880902674</v>
      </c>
      <c r="B6476">
        <v>109.74697771243</v>
      </c>
      <c r="C6476">
        <v>2000</v>
      </c>
    </row>
    <row r="6477" spans="1:11" x14ac:dyDescent="0.25">
      <c r="A6477">
        <v>68.464799233928701</v>
      </c>
      <c r="B6477">
        <v>110.53876656876901</v>
      </c>
      <c r="C6477">
        <v>2000</v>
      </c>
    </row>
    <row r="6478" spans="1:11" x14ac:dyDescent="0.25">
      <c r="A6478">
        <v>68.464799233928701</v>
      </c>
      <c r="B6478">
        <v>109.664734519871</v>
      </c>
      <c r="C6478">
        <v>2001</v>
      </c>
    </row>
    <row r="6479" spans="1:11" x14ac:dyDescent="0.25">
      <c r="A6479">
        <v>68.703120829462407</v>
      </c>
      <c r="B6479">
        <v>109.426412924337</v>
      </c>
      <c r="C6479">
        <v>2001</v>
      </c>
    </row>
    <row r="6480" spans="1:11" x14ac:dyDescent="0.25">
      <c r="A6480">
        <v>68.841155212307498</v>
      </c>
      <c r="B6480">
        <v>109.28837854149199</v>
      </c>
      <c r="C6480">
        <v>2001</v>
      </c>
    </row>
    <row r="6481" spans="1:11" x14ac:dyDescent="0.25">
      <c r="A6481">
        <v>69.715187261205102</v>
      </c>
      <c r="B6481">
        <v>109.28837854149199</v>
      </c>
      <c r="C6481">
        <v>2000</v>
      </c>
    </row>
    <row r="6482" spans="1:11" x14ac:dyDescent="0.25">
      <c r="A6482" t="s">
        <v>86</v>
      </c>
    </row>
    <row r="6483" spans="1:11" x14ac:dyDescent="0.25">
      <c r="A6483">
        <v>888</v>
      </c>
      <c r="B6483">
        <v>1</v>
      </c>
      <c r="C6483">
        <v>0.29145340951340898</v>
      </c>
      <c r="D6483">
        <v>0.85673449880312103</v>
      </c>
      <c r="E6483">
        <v>6</v>
      </c>
      <c r="F6483">
        <v>1.01722196789785</v>
      </c>
      <c r="G6483" t="s">
        <v>87</v>
      </c>
      <c r="H6483" t="s">
        <v>87</v>
      </c>
      <c r="I6483">
        <v>188</v>
      </c>
      <c r="J6483">
        <v>775</v>
      </c>
      <c r="K6483">
        <v>0.115643722583405</v>
      </c>
    </row>
    <row r="6484" spans="1:11" x14ac:dyDescent="0.25">
      <c r="A6484" t="s">
        <v>85</v>
      </c>
    </row>
    <row r="6485" spans="1:11" x14ac:dyDescent="0.25">
      <c r="A6485">
        <v>56.000187572548597</v>
      </c>
      <c r="B6485">
        <v>109.09612201345</v>
      </c>
      <c r="C6485">
        <v>2000</v>
      </c>
    </row>
    <row r="6486" spans="1:11" x14ac:dyDescent="0.25">
      <c r="A6486">
        <v>55.794098890281703</v>
      </c>
      <c r="B6486">
        <v>109.30221069571699</v>
      </c>
      <c r="C6486">
        <v>2000</v>
      </c>
    </row>
    <row r="6487" spans="1:11" x14ac:dyDescent="0.25">
      <c r="A6487">
        <v>54.920066841384099</v>
      </c>
      <c r="B6487">
        <v>109.30221069571699</v>
      </c>
      <c r="C6487">
        <v>2001</v>
      </c>
    </row>
    <row r="6488" spans="1:11" x14ac:dyDescent="0.25">
      <c r="A6488">
        <v>55.126155523650901</v>
      </c>
      <c r="B6488">
        <v>109.09612201345</v>
      </c>
      <c r="C6488">
        <v>2001</v>
      </c>
    </row>
    <row r="6489" spans="1:11" x14ac:dyDescent="0.25">
      <c r="A6489">
        <v>55.731958297431099</v>
      </c>
      <c r="B6489">
        <v>108.49031923967</v>
      </c>
      <c r="C6489">
        <v>2001</v>
      </c>
    </row>
    <row r="6490" spans="1:11" x14ac:dyDescent="0.25">
      <c r="A6490">
        <v>56.605990346328703</v>
      </c>
      <c r="B6490">
        <v>108.49031923967</v>
      </c>
      <c r="C6490">
        <v>2000</v>
      </c>
    </row>
    <row r="6491" spans="1:11" x14ac:dyDescent="0.25">
      <c r="A6491" t="s">
        <v>86</v>
      </c>
    </row>
    <row r="6492" spans="1:11" x14ac:dyDescent="0.25">
      <c r="A6492">
        <v>957</v>
      </c>
      <c r="B6492">
        <v>1</v>
      </c>
      <c r="C6492">
        <v>0.302201942487137</v>
      </c>
      <c r="D6492">
        <v>0.84598596582939201</v>
      </c>
      <c r="E6492">
        <v>6</v>
      </c>
      <c r="F6492">
        <v>1.01722196789785</v>
      </c>
      <c r="G6492" t="s">
        <v>87</v>
      </c>
      <c r="H6492" t="s">
        <v>87</v>
      </c>
      <c r="I6492">
        <v>188</v>
      </c>
      <c r="J6492">
        <v>775</v>
      </c>
      <c r="K6492">
        <v>0.11963401938905099</v>
      </c>
    </row>
    <row r="6493" spans="1:11" x14ac:dyDescent="0.25">
      <c r="A6493" t="s">
        <v>85</v>
      </c>
    </row>
    <row r="6494" spans="1:11" x14ac:dyDescent="0.25">
      <c r="A6494">
        <v>60.284458885567403</v>
      </c>
      <c r="B6494">
        <v>113.365192605362</v>
      </c>
      <c r="C6494">
        <v>2000</v>
      </c>
    </row>
    <row r="6495" spans="1:11" x14ac:dyDescent="0.25">
      <c r="A6495">
        <v>60.070769842746998</v>
      </c>
      <c r="B6495">
        <v>113.578881648182</v>
      </c>
      <c r="C6495">
        <v>2000</v>
      </c>
    </row>
    <row r="6496" spans="1:11" x14ac:dyDescent="0.25">
      <c r="A6496">
        <v>60.070769842746998</v>
      </c>
      <c r="B6496">
        <v>114.45291369708001</v>
      </c>
      <c r="C6496">
        <v>2001</v>
      </c>
    </row>
    <row r="6497" spans="1:11" x14ac:dyDescent="0.25">
      <c r="A6497">
        <v>60.284458885567403</v>
      </c>
      <c r="B6497">
        <v>114.239224654259</v>
      </c>
      <c r="C6497">
        <v>2001</v>
      </c>
    </row>
    <row r="6498" spans="1:11" x14ac:dyDescent="0.25">
      <c r="A6498">
        <v>60.882661298793998</v>
      </c>
      <c r="B6498">
        <v>113.641022241033</v>
      </c>
      <c r="C6498">
        <v>2001</v>
      </c>
    </row>
    <row r="6499" spans="1:11" x14ac:dyDescent="0.25">
      <c r="A6499">
        <v>60.882661298793998</v>
      </c>
      <c r="B6499">
        <v>112.766990192135</v>
      </c>
      <c r="C6499">
        <v>2000</v>
      </c>
    </row>
    <row r="6500" spans="1:11" x14ac:dyDescent="0.25">
      <c r="A6500" t="s">
        <v>86</v>
      </c>
    </row>
    <row r="6501" spans="1:11" x14ac:dyDescent="0.25">
      <c r="A6501">
        <v>236</v>
      </c>
      <c r="B6501">
        <v>1</v>
      </c>
      <c r="C6501">
        <v>1.09649079793593</v>
      </c>
      <c r="D6501">
        <v>4.94403771323704E-2</v>
      </c>
      <c r="E6501">
        <v>6</v>
      </c>
      <c r="F6501">
        <v>1.01722196789785</v>
      </c>
      <c r="G6501" t="s">
        <v>87</v>
      </c>
      <c r="H6501" t="s">
        <v>87</v>
      </c>
      <c r="I6501">
        <v>194</v>
      </c>
      <c r="J6501">
        <v>786</v>
      </c>
      <c r="K6501">
        <v>0</v>
      </c>
    </row>
    <row r="6502" spans="1:11" x14ac:dyDescent="0.25">
      <c r="A6502" t="s">
        <v>85</v>
      </c>
    </row>
    <row r="6503" spans="1:11" x14ac:dyDescent="0.25">
      <c r="A6503">
        <v>49.645662295932702</v>
      </c>
      <c r="B6503">
        <v>146.11399180960501</v>
      </c>
      <c r="C6503">
        <v>2000</v>
      </c>
    </row>
    <row r="6504" spans="1:11" x14ac:dyDescent="0.25">
      <c r="A6504">
        <v>48.870326217203498</v>
      </c>
      <c r="B6504">
        <v>146.88932788833401</v>
      </c>
      <c r="C6504">
        <v>2000</v>
      </c>
    </row>
    <row r="6505" spans="1:11" x14ac:dyDescent="0.25">
      <c r="A6505">
        <v>48.870326217203498</v>
      </c>
      <c r="B6505">
        <v>147.763359937232</v>
      </c>
      <c r="C6505">
        <v>2001</v>
      </c>
    </row>
    <row r="6506" spans="1:11" x14ac:dyDescent="0.25">
      <c r="A6506">
        <v>49.645662295932702</v>
      </c>
      <c r="B6506">
        <v>146.988023858503</v>
      </c>
      <c r="C6506">
        <v>2001</v>
      </c>
    </row>
    <row r="6507" spans="1:11" x14ac:dyDescent="0.25">
      <c r="A6507">
        <v>49.680621921867399</v>
      </c>
      <c r="B6507">
        <v>146.95306423256801</v>
      </c>
      <c r="C6507">
        <v>2001</v>
      </c>
    </row>
    <row r="6508" spans="1:11" x14ac:dyDescent="0.25">
      <c r="A6508">
        <v>49.680621921867498</v>
      </c>
      <c r="B6508">
        <v>146.07903218367099</v>
      </c>
      <c r="C6508">
        <v>2000</v>
      </c>
    </row>
    <row r="6509" spans="1:11" x14ac:dyDescent="0.25">
      <c r="A6509" t="s">
        <v>86</v>
      </c>
    </row>
    <row r="6510" spans="1:11" x14ac:dyDescent="0.25">
      <c r="A6510">
        <v>222</v>
      </c>
      <c r="B6510">
        <v>1</v>
      </c>
      <c r="C6510">
        <v>3.3763774503313498E-2</v>
      </c>
      <c r="D6510">
        <v>1.11216740056499</v>
      </c>
      <c r="E6510">
        <v>6</v>
      </c>
      <c r="F6510">
        <v>1.01722196789785</v>
      </c>
      <c r="G6510" t="s">
        <v>87</v>
      </c>
      <c r="H6510" t="s">
        <v>87</v>
      </c>
      <c r="I6510">
        <v>194</v>
      </c>
      <c r="J6510">
        <v>786</v>
      </c>
      <c r="K6510">
        <v>0</v>
      </c>
    </row>
    <row r="6511" spans="1:11" x14ac:dyDescent="0.25">
      <c r="A6511" t="s">
        <v>85</v>
      </c>
    </row>
    <row r="6512" spans="1:11" x14ac:dyDescent="0.25">
      <c r="A6512">
        <v>33.922891811897401</v>
      </c>
      <c r="B6512">
        <v>131.894144295209</v>
      </c>
      <c r="C6512">
        <v>2000</v>
      </c>
    </row>
    <row r="6513" spans="1:11" x14ac:dyDescent="0.25">
      <c r="A6513">
        <v>33.899017217987698</v>
      </c>
      <c r="B6513">
        <v>131.918018889119</v>
      </c>
      <c r="C6513">
        <v>2000</v>
      </c>
    </row>
    <row r="6514" spans="1:11" x14ac:dyDescent="0.25">
      <c r="A6514">
        <v>33.899017217987598</v>
      </c>
      <c r="B6514">
        <v>132.79205093801599</v>
      </c>
      <c r="C6514">
        <v>2001</v>
      </c>
    </row>
    <row r="6515" spans="1:11" x14ac:dyDescent="0.25">
      <c r="A6515">
        <v>33.922891811897401</v>
      </c>
      <c r="B6515">
        <v>132.768176344106</v>
      </c>
      <c r="C6515">
        <v>2001</v>
      </c>
    </row>
    <row r="6516" spans="1:11" x14ac:dyDescent="0.25">
      <c r="A6516">
        <v>34.709312922651499</v>
      </c>
      <c r="B6516">
        <v>131.981755233352</v>
      </c>
      <c r="C6516">
        <v>2001</v>
      </c>
    </row>
    <row r="6517" spans="1:11" x14ac:dyDescent="0.25">
      <c r="A6517">
        <v>34.709312922651499</v>
      </c>
      <c r="B6517">
        <v>131.10772318445501</v>
      </c>
      <c r="C6517">
        <v>2000</v>
      </c>
    </row>
    <row r="6518" spans="1:11" x14ac:dyDescent="0.25">
      <c r="A6518" t="s">
        <v>86</v>
      </c>
    </row>
    <row r="6519" spans="1:11" x14ac:dyDescent="0.25">
      <c r="A6519">
        <v>1147</v>
      </c>
      <c r="B6519">
        <v>1</v>
      </c>
      <c r="C6519">
        <v>0.46872132575346398</v>
      </c>
      <c r="D6519">
        <v>0.67574878600514099</v>
      </c>
      <c r="E6519">
        <v>6</v>
      </c>
      <c r="F6519">
        <v>1.01722196789785</v>
      </c>
      <c r="G6519" t="s">
        <v>87</v>
      </c>
      <c r="H6519" t="s">
        <v>87</v>
      </c>
      <c r="I6519">
        <v>433</v>
      </c>
      <c r="J6519">
        <v>835</v>
      </c>
      <c r="K6519">
        <v>0.12440073496922301</v>
      </c>
    </row>
    <row r="6520" spans="1:11" x14ac:dyDescent="0.25">
      <c r="A6520" t="s">
        <v>85</v>
      </c>
    </row>
    <row r="6521" spans="1:11" x14ac:dyDescent="0.25">
      <c r="A6521">
        <v>76.436619477093103</v>
      </c>
      <c r="B6521">
        <v>101.552891091701</v>
      </c>
      <c r="C6521">
        <v>2000</v>
      </c>
    </row>
    <row r="6522" spans="1:11" x14ac:dyDescent="0.25">
      <c r="A6522">
        <v>76.105183449166105</v>
      </c>
      <c r="B6522">
        <v>101.884327119628</v>
      </c>
      <c r="C6522">
        <v>2000</v>
      </c>
    </row>
    <row r="6523" spans="1:11" x14ac:dyDescent="0.25">
      <c r="A6523">
        <v>76.979215498063695</v>
      </c>
      <c r="B6523">
        <v>101.884327119628</v>
      </c>
      <c r="C6523">
        <v>2001</v>
      </c>
    </row>
    <row r="6524" spans="1:11" x14ac:dyDescent="0.25">
      <c r="A6524">
        <v>77.310651525990707</v>
      </c>
      <c r="B6524">
        <v>101.552891091701</v>
      </c>
      <c r="C6524">
        <v>2001</v>
      </c>
    </row>
    <row r="6525" spans="1:11" x14ac:dyDescent="0.25">
      <c r="A6525">
        <v>77.788478074953503</v>
      </c>
      <c r="B6525">
        <v>101.07506454273801</v>
      </c>
      <c r="C6525">
        <v>2001</v>
      </c>
    </row>
    <row r="6526" spans="1:11" x14ac:dyDescent="0.25">
      <c r="A6526">
        <v>76.914446026055899</v>
      </c>
      <c r="B6526">
        <v>101.07506454273801</v>
      </c>
      <c r="C6526">
        <v>2000</v>
      </c>
    </row>
    <row r="6527" spans="1:11" x14ac:dyDescent="0.25">
      <c r="A6527" t="s">
        <v>86</v>
      </c>
    </row>
    <row r="6528" spans="1:11" x14ac:dyDescent="0.25">
      <c r="A6528">
        <v>1133</v>
      </c>
      <c r="B6528">
        <v>1</v>
      </c>
      <c r="C6528">
        <v>1.10928424331679</v>
      </c>
      <c r="D6528">
        <v>3.05360832321355E-2</v>
      </c>
      <c r="E6528">
        <v>6</v>
      </c>
      <c r="F6528">
        <v>1.01722196789785</v>
      </c>
      <c r="G6528" t="s">
        <v>87</v>
      </c>
      <c r="H6528" t="s">
        <v>87</v>
      </c>
      <c r="I6528">
        <v>809</v>
      </c>
      <c r="J6528">
        <v>353</v>
      </c>
      <c r="K6528">
        <v>0.124625009531664</v>
      </c>
    </row>
    <row r="6529" spans="1:11" x14ac:dyDescent="0.25">
      <c r="A6529" t="s">
        <v>85</v>
      </c>
    </row>
    <row r="6530" spans="1:11" x14ac:dyDescent="0.25">
      <c r="A6530">
        <v>66.867687339832898</v>
      </c>
      <c r="B6530">
        <v>83.183022576460601</v>
      </c>
      <c r="C6530">
        <v>2000</v>
      </c>
    </row>
    <row r="6531" spans="1:11" x14ac:dyDescent="0.25">
      <c r="A6531">
        <v>66.083304929120203</v>
      </c>
      <c r="B6531">
        <v>83.967404987173296</v>
      </c>
      <c r="C6531">
        <v>2000</v>
      </c>
    </row>
    <row r="6532" spans="1:11" x14ac:dyDescent="0.25">
      <c r="A6532">
        <v>66.083304929120203</v>
      </c>
      <c r="B6532">
        <v>83.093372938275607</v>
      </c>
      <c r="C6532">
        <v>2001</v>
      </c>
    </row>
    <row r="6533" spans="1:11" x14ac:dyDescent="0.25">
      <c r="A6533">
        <v>66.867687339832898</v>
      </c>
      <c r="B6533">
        <v>82.308990527562898</v>
      </c>
      <c r="C6533">
        <v>2001</v>
      </c>
    </row>
    <row r="6534" spans="1:11" x14ac:dyDescent="0.25">
      <c r="A6534">
        <v>66.889279611357196</v>
      </c>
      <c r="B6534">
        <v>82.2873982560386</v>
      </c>
      <c r="C6534">
        <v>2001</v>
      </c>
    </row>
    <row r="6535" spans="1:11" x14ac:dyDescent="0.25">
      <c r="A6535">
        <v>66.889279611357196</v>
      </c>
      <c r="B6535">
        <v>83.161430304936303</v>
      </c>
      <c r="C6535">
        <v>2000</v>
      </c>
    </row>
    <row r="6536" spans="1:11" x14ac:dyDescent="0.25">
      <c r="A6536" t="s">
        <v>86</v>
      </c>
    </row>
    <row r="6537" spans="1:11" x14ac:dyDescent="0.25">
      <c r="A6537">
        <v>628</v>
      </c>
      <c r="B6537">
        <v>1</v>
      </c>
      <c r="C6537">
        <v>0.427415850150346</v>
      </c>
      <c r="D6537">
        <v>0.70888763469734795</v>
      </c>
      <c r="E6537">
        <v>6</v>
      </c>
      <c r="F6537">
        <v>1.01722196789785</v>
      </c>
      <c r="G6537" t="s">
        <v>87</v>
      </c>
      <c r="H6537" t="s">
        <v>87</v>
      </c>
      <c r="I6537">
        <v>849</v>
      </c>
      <c r="J6537">
        <v>585</v>
      </c>
      <c r="K6537">
        <v>0</v>
      </c>
    </row>
    <row r="6538" spans="1:11" x14ac:dyDescent="0.25">
      <c r="A6538" t="s">
        <v>85</v>
      </c>
    </row>
    <row r="6539" spans="1:11" x14ac:dyDescent="0.25">
      <c r="A6539">
        <v>128.492511274988</v>
      </c>
      <c r="B6539">
        <v>93.064779020884998</v>
      </c>
      <c r="C6539">
        <v>2000</v>
      </c>
    </row>
    <row r="6540" spans="1:11" x14ac:dyDescent="0.25">
      <c r="A6540">
        <v>128.19028262896001</v>
      </c>
      <c r="B6540">
        <v>93.367007666912897</v>
      </c>
      <c r="C6540">
        <v>2000</v>
      </c>
    </row>
    <row r="6541" spans="1:11" x14ac:dyDescent="0.25">
      <c r="A6541">
        <v>128.19028262896001</v>
      </c>
      <c r="B6541">
        <v>94.241039715810601</v>
      </c>
      <c r="C6541">
        <v>2001</v>
      </c>
    </row>
    <row r="6542" spans="1:11" x14ac:dyDescent="0.25">
      <c r="A6542">
        <v>128.492511274988</v>
      </c>
      <c r="B6542">
        <v>93.938811069782602</v>
      </c>
      <c r="C6542">
        <v>2001</v>
      </c>
    </row>
    <row r="6543" spans="1:11" x14ac:dyDescent="0.25">
      <c r="A6543">
        <v>128.99377052858199</v>
      </c>
      <c r="B6543">
        <v>93.4375518161889</v>
      </c>
      <c r="C6543">
        <v>2001</v>
      </c>
    </row>
    <row r="6544" spans="1:11" x14ac:dyDescent="0.25">
      <c r="A6544">
        <v>128.99377052858199</v>
      </c>
      <c r="B6544">
        <v>92.563519767291197</v>
      </c>
      <c r="C6544">
        <v>2000</v>
      </c>
    </row>
    <row r="6545" spans="1:11" x14ac:dyDescent="0.25">
      <c r="A6545" t="s">
        <v>86</v>
      </c>
    </row>
    <row r="6546" spans="1:11" x14ac:dyDescent="0.25">
      <c r="A6546">
        <v>584</v>
      </c>
      <c r="B6546">
        <v>0</v>
      </c>
      <c r="C6546">
        <v>0.65461018267214399</v>
      </c>
      <c r="D6546">
        <v>0.46500231088822402</v>
      </c>
      <c r="E6546">
        <v>6</v>
      </c>
      <c r="F6546">
        <v>1.01722196789785</v>
      </c>
      <c r="G6546" t="s">
        <v>84</v>
      </c>
      <c r="H6546" t="s">
        <v>83</v>
      </c>
      <c r="I6546">
        <v>583</v>
      </c>
      <c r="J6546">
        <v>0</v>
      </c>
      <c r="K6546">
        <v>0</v>
      </c>
    </row>
    <row r="6547" spans="1:11" x14ac:dyDescent="0.25">
      <c r="A6547" t="s">
        <v>85</v>
      </c>
    </row>
    <row r="6548" spans="1:11" x14ac:dyDescent="0.25">
      <c r="A6548">
        <v>149.76194540689801</v>
      </c>
      <c r="B6548">
        <v>54.3605271692388</v>
      </c>
      <c r="C6548">
        <v>2000</v>
      </c>
    </row>
    <row r="6549" spans="1:11" x14ac:dyDescent="0.25">
      <c r="A6549">
        <v>149.42682242572701</v>
      </c>
      <c r="B6549">
        <v>54.025404188067398</v>
      </c>
      <c r="C6549">
        <v>2000</v>
      </c>
    </row>
    <row r="6550" spans="1:11" x14ac:dyDescent="0.25">
      <c r="A6550">
        <v>148.989806401278</v>
      </c>
      <c r="B6550">
        <v>54.4624202125163</v>
      </c>
      <c r="C6550">
        <v>2001</v>
      </c>
    </row>
    <row r="6551" spans="1:11" x14ac:dyDescent="0.25">
      <c r="A6551">
        <v>149.58044201850899</v>
      </c>
      <c r="B6551">
        <v>55.0530558297474</v>
      </c>
      <c r="C6551">
        <v>2001</v>
      </c>
    </row>
    <row r="6552" spans="1:11" x14ac:dyDescent="0.25">
      <c r="A6552">
        <v>150</v>
      </c>
      <c r="B6552">
        <v>55.472613811238404</v>
      </c>
      <c r="C6552">
        <v>2001</v>
      </c>
    </row>
    <row r="6553" spans="1:11" x14ac:dyDescent="0.25">
      <c r="A6553">
        <v>150</v>
      </c>
      <c r="B6553">
        <v>54.5985817623407</v>
      </c>
      <c r="C6553">
        <v>2000</v>
      </c>
    </row>
    <row r="6554" spans="1:11" x14ac:dyDescent="0.25">
      <c r="A6554" t="s">
        <v>86</v>
      </c>
    </row>
    <row r="6555" spans="1:11" x14ac:dyDescent="0.25">
      <c r="A6555">
        <v>318</v>
      </c>
      <c r="B6555">
        <v>1</v>
      </c>
      <c r="C6555">
        <v>0.87224381466325296</v>
      </c>
      <c r="D6555">
        <v>0.23947151156041699</v>
      </c>
      <c r="E6555">
        <v>6</v>
      </c>
      <c r="F6555">
        <v>1.01722196789785</v>
      </c>
      <c r="G6555" t="s">
        <v>87</v>
      </c>
      <c r="H6555" t="s">
        <v>87</v>
      </c>
      <c r="I6555">
        <v>280</v>
      </c>
      <c r="J6555">
        <v>756</v>
      </c>
      <c r="K6555">
        <v>0</v>
      </c>
    </row>
    <row r="6556" spans="1:11" x14ac:dyDescent="0.25">
      <c r="A6556" t="s">
        <v>85</v>
      </c>
    </row>
    <row r="6557" spans="1:11" x14ac:dyDescent="0.25">
      <c r="A6557">
        <v>148.53747191612501</v>
      </c>
      <c r="B6557">
        <v>107.331553629949</v>
      </c>
      <c r="C6557">
        <v>2000</v>
      </c>
    </row>
    <row r="6558" spans="1:11" x14ac:dyDescent="0.25">
      <c r="A6558">
        <v>148.263582015998</v>
      </c>
      <c r="B6558">
        <v>107.605443530076</v>
      </c>
      <c r="C6558">
        <v>2000</v>
      </c>
    </row>
    <row r="6559" spans="1:11" x14ac:dyDescent="0.25">
      <c r="A6559">
        <v>148.263582015998</v>
      </c>
      <c r="B6559">
        <v>108.47947557897299</v>
      </c>
      <c r="C6559">
        <v>2001</v>
      </c>
    </row>
    <row r="6560" spans="1:11" x14ac:dyDescent="0.25">
      <c r="A6560">
        <v>149.22323114826401</v>
      </c>
      <c r="B6560">
        <v>107.519826446707</v>
      </c>
      <c r="C6560">
        <v>2001</v>
      </c>
    </row>
    <row r="6561" spans="1:11" x14ac:dyDescent="0.25">
      <c r="A6561">
        <v>149.48669948636899</v>
      </c>
      <c r="B6561">
        <v>107.256358108603</v>
      </c>
      <c r="C6561">
        <v>2001</v>
      </c>
    </row>
    <row r="6562" spans="1:11" x14ac:dyDescent="0.25">
      <c r="A6562">
        <v>148.612667437471</v>
      </c>
      <c r="B6562">
        <v>107.256358108603</v>
      </c>
      <c r="C6562">
        <v>2000</v>
      </c>
    </row>
    <row r="6563" spans="1:11" x14ac:dyDescent="0.25">
      <c r="A6563" t="s">
        <v>86</v>
      </c>
    </row>
    <row r="6564" spans="1:11" x14ac:dyDescent="0.25">
      <c r="A6564">
        <v>384</v>
      </c>
      <c r="B6564">
        <v>1</v>
      </c>
      <c r="C6564">
        <v>1.0998547091387401</v>
      </c>
      <c r="D6564">
        <v>1.13600080133267E-2</v>
      </c>
      <c r="E6564">
        <v>6</v>
      </c>
      <c r="F6564">
        <v>1.01722196789785</v>
      </c>
      <c r="G6564" t="s">
        <v>87</v>
      </c>
      <c r="H6564" t="s">
        <v>87</v>
      </c>
      <c r="I6564">
        <v>799</v>
      </c>
      <c r="J6564">
        <v>433</v>
      </c>
      <c r="K6564">
        <v>0</v>
      </c>
    </row>
    <row r="6565" spans="1:11" x14ac:dyDescent="0.25">
      <c r="A6565" t="s">
        <v>85</v>
      </c>
    </row>
    <row r="6566" spans="1:11" x14ac:dyDescent="0.25">
      <c r="A6566">
        <v>70.867836224049896</v>
      </c>
      <c r="B6566">
        <v>96.654110095115399</v>
      </c>
      <c r="C6566">
        <v>2000</v>
      </c>
    </row>
    <row r="6567" spans="1:11" x14ac:dyDescent="0.25">
      <c r="A6567">
        <v>70.522669886947895</v>
      </c>
      <c r="B6567">
        <v>96.9992764322174</v>
      </c>
      <c r="C6567">
        <v>2000</v>
      </c>
    </row>
    <row r="6568" spans="1:11" x14ac:dyDescent="0.25">
      <c r="A6568">
        <v>70.522669886947895</v>
      </c>
      <c r="B6568">
        <v>97.873308481115004</v>
      </c>
      <c r="C6568">
        <v>2001</v>
      </c>
    </row>
    <row r="6569" spans="1:11" x14ac:dyDescent="0.25">
      <c r="A6569">
        <v>71.732932996149799</v>
      </c>
      <c r="B6569">
        <v>96.663045371913</v>
      </c>
      <c r="C6569">
        <v>2001</v>
      </c>
    </row>
    <row r="6570" spans="1:11" x14ac:dyDescent="0.25">
      <c r="A6570">
        <v>71.745433373249199</v>
      </c>
      <c r="B6570">
        <v>96.6505449948136</v>
      </c>
      <c r="C6570">
        <v>2001</v>
      </c>
    </row>
    <row r="6571" spans="1:11" x14ac:dyDescent="0.25">
      <c r="A6571">
        <v>70.871401324351595</v>
      </c>
      <c r="B6571">
        <v>96.6505449948136</v>
      </c>
      <c r="C6571">
        <v>2000</v>
      </c>
    </row>
    <row r="6572" spans="1:11" x14ac:dyDescent="0.25">
      <c r="A6572" t="s">
        <v>86</v>
      </c>
    </row>
    <row r="6573" spans="1:11" x14ac:dyDescent="0.25">
      <c r="A6573">
        <v>896</v>
      </c>
      <c r="B6573">
        <v>1</v>
      </c>
      <c r="C6573">
        <v>0.43488629673430501</v>
      </c>
      <c r="D6573">
        <v>0.67419280996819397</v>
      </c>
      <c r="E6573">
        <v>6</v>
      </c>
      <c r="F6573">
        <v>1.01722196789785</v>
      </c>
      <c r="G6573" t="s">
        <v>87</v>
      </c>
      <c r="H6573" t="s">
        <v>87</v>
      </c>
      <c r="I6573">
        <v>801</v>
      </c>
      <c r="J6573">
        <v>269</v>
      </c>
      <c r="K6573">
        <v>0.116465549931603</v>
      </c>
    </row>
    <row r="6574" spans="1:11" x14ac:dyDescent="0.25">
      <c r="A6574" t="s">
        <v>85</v>
      </c>
    </row>
    <row r="6575" spans="1:11" x14ac:dyDescent="0.25">
      <c r="A6575">
        <v>144.46910635356301</v>
      </c>
      <c r="B6575">
        <v>122.184914628596</v>
      </c>
      <c r="C6575">
        <v>2000</v>
      </c>
    </row>
    <row r="6576" spans="1:11" x14ac:dyDescent="0.25">
      <c r="A6576">
        <v>144.16159530409701</v>
      </c>
      <c r="B6576">
        <v>122.49242567806201</v>
      </c>
      <c r="C6576">
        <v>2000</v>
      </c>
    </row>
    <row r="6577" spans="1:11" x14ac:dyDescent="0.25">
      <c r="A6577">
        <v>143.28756325520001</v>
      </c>
      <c r="B6577">
        <v>122.492425678061</v>
      </c>
      <c r="C6577">
        <v>2001</v>
      </c>
    </row>
    <row r="6578" spans="1:11" x14ac:dyDescent="0.25">
      <c r="A6578">
        <v>143.59507430466601</v>
      </c>
      <c r="B6578">
        <v>122.184914628596</v>
      </c>
      <c r="C6578">
        <v>2001</v>
      </c>
    </row>
    <row r="6579" spans="1:11" x14ac:dyDescent="0.25">
      <c r="A6579">
        <v>144.07180061242099</v>
      </c>
      <c r="B6579">
        <v>121.70818832083999</v>
      </c>
      <c r="C6579">
        <v>2001</v>
      </c>
    </row>
    <row r="6580" spans="1:11" x14ac:dyDescent="0.25">
      <c r="A6580">
        <v>144.945832661319</v>
      </c>
      <c r="B6580">
        <v>121.70818832083999</v>
      </c>
      <c r="C6580">
        <v>2000</v>
      </c>
    </row>
    <row r="6581" spans="1:11" x14ac:dyDescent="0.25">
      <c r="A6581" t="s">
        <v>86</v>
      </c>
    </row>
    <row r="6582" spans="1:11" x14ac:dyDescent="0.25">
      <c r="A6582">
        <v>313</v>
      </c>
      <c r="B6582">
        <v>1</v>
      </c>
      <c r="C6582">
        <v>0.69361723878455805</v>
      </c>
      <c r="D6582">
        <v>0.41546186791794099</v>
      </c>
      <c r="E6582">
        <v>6</v>
      </c>
      <c r="F6582">
        <v>1.01722196789785</v>
      </c>
      <c r="G6582" t="s">
        <v>87</v>
      </c>
      <c r="H6582" t="s">
        <v>87</v>
      </c>
      <c r="I6582">
        <v>801</v>
      </c>
      <c r="J6582">
        <v>269</v>
      </c>
      <c r="K6582">
        <v>0</v>
      </c>
    </row>
    <row r="6583" spans="1:11" x14ac:dyDescent="0.25">
      <c r="A6583" t="s">
        <v>85</v>
      </c>
    </row>
    <row r="6584" spans="1:11" x14ac:dyDescent="0.25">
      <c r="A6584">
        <v>148.76211836922101</v>
      </c>
      <c r="B6584">
        <v>126.112025837001</v>
      </c>
      <c r="C6584">
        <v>2000</v>
      </c>
    </row>
    <row r="6585" spans="1:11" x14ac:dyDescent="0.25">
      <c r="A6585">
        <v>148.27165691612899</v>
      </c>
      <c r="B6585">
        <v>126.60248729009299</v>
      </c>
      <c r="C6585">
        <v>2000</v>
      </c>
    </row>
    <row r="6586" spans="1:11" x14ac:dyDescent="0.25">
      <c r="A6586">
        <v>147.397624867231</v>
      </c>
      <c r="B6586">
        <v>126.60248729009299</v>
      </c>
      <c r="C6586">
        <v>2001</v>
      </c>
    </row>
    <row r="6587" spans="1:11" x14ac:dyDescent="0.25">
      <c r="A6587">
        <v>147.888086320323</v>
      </c>
      <c r="B6587">
        <v>126.112025837001</v>
      </c>
      <c r="C6587">
        <v>2001</v>
      </c>
    </row>
    <row r="6588" spans="1:11" x14ac:dyDescent="0.25">
      <c r="A6588">
        <v>148.181862224453</v>
      </c>
      <c r="B6588">
        <v>125.818249932871</v>
      </c>
      <c r="C6588">
        <v>2001</v>
      </c>
    </row>
    <row r="6589" spans="1:11" x14ac:dyDescent="0.25">
      <c r="A6589">
        <v>149.05589427334999</v>
      </c>
      <c r="B6589">
        <v>125.818249932871</v>
      </c>
      <c r="C6589">
        <v>2000</v>
      </c>
    </row>
    <row r="6590" spans="1:11" x14ac:dyDescent="0.25">
      <c r="A6590" t="s">
        <v>86</v>
      </c>
    </row>
    <row r="6591" spans="1:11" x14ac:dyDescent="0.25">
      <c r="A6591">
        <v>640</v>
      </c>
      <c r="B6591">
        <v>1</v>
      </c>
      <c r="C6591">
        <v>0.137590329734124</v>
      </c>
      <c r="D6591">
        <v>0.97115953764145502</v>
      </c>
      <c r="E6591">
        <v>6</v>
      </c>
      <c r="F6591">
        <v>1.01722196789785</v>
      </c>
      <c r="G6591" t="s">
        <v>87</v>
      </c>
      <c r="H6591" t="s">
        <v>87</v>
      </c>
      <c r="I6591">
        <v>581</v>
      </c>
      <c r="J6591">
        <v>592</v>
      </c>
      <c r="K6591">
        <v>0</v>
      </c>
    </row>
    <row r="6592" spans="1:11" x14ac:dyDescent="0.25">
      <c r="A6592" t="s">
        <v>85</v>
      </c>
    </row>
    <row r="6593" spans="1:11" x14ac:dyDescent="0.25">
      <c r="A6593">
        <v>144.99002726282501</v>
      </c>
      <c r="B6593">
        <v>99.040890340703399</v>
      </c>
      <c r="C6593">
        <v>2000</v>
      </c>
    </row>
    <row r="6594" spans="1:11" x14ac:dyDescent="0.25">
      <c r="A6594">
        <v>144.89273620764399</v>
      </c>
      <c r="B6594">
        <v>99.138181395884104</v>
      </c>
      <c r="C6594">
        <v>2000</v>
      </c>
    </row>
    <row r="6595" spans="1:11" x14ac:dyDescent="0.25">
      <c r="A6595">
        <v>144.89273620764399</v>
      </c>
      <c r="B6595">
        <v>98.2641493469865</v>
      </c>
      <c r="C6595">
        <v>2001</v>
      </c>
    </row>
    <row r="6596" spans="1:11" x14ac:dyDescent="0.25">
      <c r="A6596">
        <v>144.99002726282501</v>
      </c>
      <c r="B6596">
        <v>98.166858291805795</v>
      </c>
      <c r="C6596">
        <v>2001</v>
      </c>
    </row>
    <row r="6597" spans="1:11" x14ac:dyDescent="0.25">
      <c r="A6597">
        <v>145.676740757505</v>
      </c>
      <c r="B6597">
        <v>97.480144797125504</v>
      </c>
      <c r="C6597">
        <v>2001</v>
      </c>
    </row>
    <row r="6598" spans="1:11" x14ac:dyDescent="0.25">
      <c r="A6598">
        <v>145.676740757505</v>
      </c>
      <c r="B6598">
        <v>98.354176846023194</v>
      </c>
      <c r="C6598">
        <v>2000</v>
      </c>
    </row>
    <row r="6599" spans="1:11" x14ac:dyDescent="0.25">
      <c r="A6599" t="s">
        <v>86</v>
      </c>
    </row>
    <row r="6600" spans="1:11" x14ac:dyDescent="0.25">
      <c r="A6600">
        <v>392</v>
      </c>
      <c r="B6600">
        <v>1</v>
      </c>
      <c r="C6600">
        <v>0.96148148522945598</v>
      </c>
      <c r="D6600">
        <v>0.14606629146429401</v>
      </c>
      <c r="E6600">
        <v>6</v>
      </c>
      <c r="F6600">
        <v>1.01722196789785</v>
      </c>
      <c r="G6600" t="s">
        <v>87</v>
      </c>
      <c r="H6600" t="s">
        <v>87</v>
      </c>
      <c r="I6600">
        <v>802</v>
      </c>
      <c r="J6600">
        <v>350</v>
      </c>
      <c r="K6600">
        <v>0</v>
      </c>
    </row>
    <row r="6601" spans="1:11" x14ac:dyDescent="0.25">
      <c r="A6601" t="s">
        <v>85</v>
      </c>
    </row>
    <row r="6602" spans="1:11" x14ac:dyDescent="0.25">
      <c r="A6602">
        <v>51.795442438123501</v>
      </c>
      <c r="B6602">
        <v>94.075978703357706</v>
      </c>
      <c r="C6602">
        <v>2000</v>
      </c>
    </row>
    <row r="6603" spans="1:11" x14ac:dyDescent="0.25">
      <c r="A6603">
        <v>51.115572359932401</v>
      </c>
      <c r="B6603">
        <v>94.755848781548806</v>
      </c>
      <c r="C6603">
        <v>2000</v>
      </c>
    </row>
    <row r="6604" spans="1:11" x14ac:dyDescent="0.25">
      <c r="A6604">
        <v>51.115572359932401</v>
      </c>
      <c r="B6604">
        <v>93.881816732651103</v>
      </c>
      <c r="C6604">
        <v>2001</v>
      </c>
    </row>
    <row r="6605" spans="1:11" x14ac:dyDescent="0.25">
      <c r="A6605">
        <v>51.795442438123501</v>
      </c>
      <c r="B6605">
        <v>93.201946654460002</v>
      </c>
      <c r="C6605">
        <v>2001</v>
      </c>
    </row>
    <row r="6606" spans="1:11" x14ac:dyDescent="0.25">
      <c r="A6606">
        <v>51.8987269033206</v>
      </c>
      <c r="B6606">
        <v>93.098662189262896</v>
      </c>
      <c r="C6606">
        <v>2001</v>
      </c>
    </row>
    <row r="6607" spans="1:11" x14ac:dyDescent="0.25">
      <c r="A6607">
        <v>51.8987269033207</v>
      </c>
      <c r="B6607">
        <v>93.9726942381605</v>
      </c>
      <c r="C6607">
        <v>2000</v>
      </c>
    </row>
    <row r="6608" spans="1:11" x14ac:dyDescent="0.25">
      <c r="A6608" t="s">
        <v>86</v>
      </c>
    </row>
    <row r="6609" spans="1:11" x14ac:dyDescent="0.25">
      <c r="A6609">
        <v>1054</v>
      </c>
      <c r="B6609">
        <v>1</v>
      </c>
      <c r="C6609">
        <v>0.98705729597980596</v>
      </c>
      <c r="D6609">
        <v>0.120490480713944</v>
      </c>
      <c r="E6609">
        <v>6</v>
      </c>
      <c r="F6609">
        <v>1.01722196789785</v>
      </c>
      <c r="G6609" t="s">
        <v>87</v>
      </c>
      <c r="H6609" t="s">
        <v>87</v>
      </c>
      <c r="I6609">
        <v>802</v>
      </c>
      <c r="J6609">
        <v>350</v>
      </c>
      <c r="K6609">
        <v>0.122473809508668</v>
      </c>
    </row>
    <row r="6610" spans="1:11" x14ac:dyDescent="0.25">
      <c r="A6610" t="s">
        <v>85</v>
      </c>
    </row>
    <row r="6611" spans="1:11" x14ac:dyDescent="0.25">
      <c r="A6611">
        <v>66.239263415913598</v>
      </c>
      <c r="B6611">
        <v>108.483630022716</v>
      </c>
      <c r="C6611">
        <v>2000</v>
      </c>
    </row>
    <row r="6612" spans="1:11" x14ac:dyDescent="0.25">
      <c r="A6612">
        <v>65.541308508506603</v>
      </c>
      <c r="B6612">
        <v>109.18158493012299</v>
      </c>
      <c r="C6612">
        <v>2000</v>
      </c>
    </row>
    <row r="6613" spans="1:11" x14ac:dyDescent="0.25">
      <c r="A6613">
        <v>65.541308508506603</v>
      </c>
      <c r="B6613">
        <v>108.30755288122501</v>
      </c>
      <c r="C6613">
        <v>2001</v>
      </c>
    </row>
    <row r="6614" spans="1:11" x14ac:dyDescent="0.25">
      <c r="A6614">
        <v>66.239263415913598</v>
      </c>
      <c r="B6614">
        <v>107.609597973818</v>
      </c>
      <c r="C6614">
        <v>2001</v>
      </c>
    </row>
    <row r="6615" spans="1:11" x14ac:dyDescent="0.25">
      <c r="A6615">
        <v>66.324463051894895</v>
      </c>
      <c r="B6615">
        <v>107.524398337837</v>
      </c>
      <c r="C6615">
        <v>2001</v>
      </c>
    </row>
    <row r="6616" spans="1:11" x14ac:dyDescent="0.25">
      <c r="A6616">
        <v>66.324463051894895</v>
      </c>
      <c r="B6616">
        <v>108.398430386735</v>
      </c>
      <c r="C6616">
        <v>2000</v>
      </c>
    </row>
    <row r="6617" spans="1:11" x14ac:dyDescent="0.25">
      <c r="A6617" t="s">
        <v>86</v>
      </c>
    </row>
    <row r="6618" spans="1:11" x14ac:dyDescent="0.25">
      <c r="A6618">
        <v>393</v>
      </c>
      <c r="B6618">
        <v>1</v>
      </c>
      <c r="C6618">
        <v>0.56114913409032896</v>
      </c>
      <c r="D6618">
        <v>0.54464050986603496</v>
      </c>
      <c r="E6618">
        <v>6</v>
      </c>
      <c r="F6618">
        <v>1.01722196789785</v>
      </c>
      <c r="G6618" t="s">
        <v>87</v>
      </c>
      <c r="H6618" t="s">
        <v>87</v>
      </c>
      <c r="I6618">
        <v>853</v>
      </c>
      <c r="J6618">
        <v>341</v>
      </c>
      <c r="K6618">
        <v>0</v>
      </c>
    </row>
    <row r="6619" spans="1:11" x14ac:dyDescent="0.25">
      <c r="A6619" t="s">
        <v>85</v>
      </c>
    </row>
    <row r="6620" spans="1:11" x14ac:dyDescent="0.25">
      <c r="A6620">
        <v>77.973462635182102</v>
      </c>
      <c r="B6620">
        <v>79.407561525892305</v>
      </c>
      <c r="C6620">
        <v>2000</v>
      </c>
    </row>
    <row r="6621" spans="1:11" x14ac:dyDescent="0.25">
      <c r="A6621">
        <v>77.576670277209899</v>
      </c>
      <c r="B6621">
        <v>79.804353883864493</v>
      </c>
      <c r="C6621">
        <v>2000</v>
      </c>
    </row>
    <row r="6622" spans="1:11" x14ac:dyDescent="0.25">
      <c r="A6622">
        <v>78.450702326107503</v>
      </c>
      <c r="B6622">
        <v>79.804353883864493</v>
      </c>
      <c r="C6622">
        <v>2001</v>
      </c>
    </row>
    <row r="6623" spans="1:11" x14ac:dyDescent="0.25">
      <c r="A6623">
        <v>78.847494684079706</v>
      </c>
      <c r="B6623">
        <v>79.407561525892305</v>
      </c>
      <c r="C6623">
        <v>2001</v>
      </c>
    </row>
    <row r="6624" spans="1:11" x14ac:dyDescent="0.25">
      <c r="A6624">
        <v>79.232613681914899</v>
      </c>
      <c r="B6624">
        <v>79.022442528057098</v>
      </c>
      <c r="C6624">
        <v>2001</v>
      </c>
    </row>
    <row r="6625" spans="1:11" x14ac:dyDescent="0.25">
      <c r="A6625">
        <v>78.358581633017295</v>
      </c>
      <c r="B6625">
        <v>79.022442528057098</v>
      </c>
      <c r="C6625">
        <v>2000</v>
      </c>
    </row>
    <row r="6626" spans="1:11" x14ac:dyDescent="0.25">
      <c r="A6626" t="s">
        <v>86</v>
      </c>
    </row>
    <row r="6627" spans="1:11" x14ac:dyDescent="0.25">
      <c r="A6627">
        <v>945</v>
      </c>
      <c r="B6627">
        <v>1</v>
      </c>
      <c r="C6627">
        <v>0.66465616352575596</v>
      </c>
      <c r="D6627">
        <v>0.44078376036948402</v>
      </c>
      <c r="E6627">
        <v>6</v>
      </c>
      <c r="F6627">
        <v>1.01722196789785</v>
      </c>
      <c r="G6627" t="s">
        <v>87</v>
      </c>
      <c r="H6627" t="s">
        <v>87</v>
      </c>
      <c r="I6627">
        <v>829</v>
      </c>
      <c r="J6627">
        <v>664</v>
      </c>
      <c r="K6627">
        <v>0.11865465261041699</v>
      </c>
    </row>
    <row r="6628" spans="1:11" x14ac:dyDescent="0.25">
      <c r="A6628" t="s">
        <v>85</v>
      </c>
    </row>
    <row r="6629" spans="1:11" x14ac:dyDescent="0.25">
      <c r="A6629">
        <v>63.578353234836001</v>
      </c>
      <c r="B6629">
        <v>9.8751040729202195</v>
      </c>
      <c r="C6629">
        <v>2000</v>
      </c>
    </row>
    <row r="6630" spans="1:11" x14ac:dyDescent="0.25">
      <c r="A6630">
        <v>63.108370354449498</v>
      </c>
      <c r="B6630">
        <v>10.3450869533067</v>
      </c>
      <c r="C6630">
        <v>2000</v>
      </c>
    </row>
    <row r="6631" spans="1:11" x14ac:dyDescent="0.25">
      <c r="A6631">
        <v>63.108370354449498</v>
      </c>
      <c r="B6631">
        <v>11.219119002204399</v>
      </c>
      <c r="C6631">
        <v>2001</v>
      </c>
    </row>
    <row r="6632" spans="1:11" x14ac:dyDescent="0.25">
      <c r="A6632">
        <v>63.578353234836001</v>
      </c>
      <c r="B6632">
        <v>10.7491361218179</v>
      </c>
      <c r="C6632">
        <v>2001</v>
      </c>
    </row>
    <row r="6633" spans="1:11" x14ac:dyDescent="0.25">
      <c r="A6633">
        <v>63.890034420830197</v>
      </c>
      <c r="B6633">
        <v>10.4374549358237</v>
      </c>
      <c r="C6633">
        <v>2001</v>
      </c>
    </row>
    <row r="6634" spans="1:11" x14ac:dyDescent="0.25">
      <c r="A6634">
        <v>63.890034420830197</v>
      </c>
      <c r="B6634">
        <v>9.56342288692605</v>
      </c>
      <c r="C6634">
        <v>2000</v>
      </c>
    </row>
    <row r="6635" spans="1:11" x14ac:dyDescent="0.25">
      <c r="A6635" t="s">
        <v>86</v>
      </c>
    </row>
    <row r="6636" spans="1:11" x14ac:dyDescent="0.25">
      <c r="A6636">
        <v>711</v>
      </c>
      <c r="B6636">
        <v>1</v>
      </c>
      <c r="C6636">
        <v>0.87425303395808396</v>
      </c>
      <c r="D6636">
        <v>0.21241814096032399</v>
      </c>
      <c r="E6636">
        <v>6</v>
      </c>
      <c r="F6636">
        <v>1.01722196789785</v>
      </c>
      <c r="G6636" t="s">
        <v>87</v>
      </c>
      <c r="H6636" t="s">
        <v>87</v>
      </c>
      <c r="I6636">
        <v>661</v>
      </c>
      <c r="J6636">
        <v>677</v>
      </c>
      <c r="K6636">
        <v>0</v>
      </c>
    </row>
    <row r="6637" spans="1:11" x14ac:dyDescent="0.25">
      <c r="A6637" t="s">
        <v>85</v>
      </c>
    </row>
    <row r="6638" spans="1:11" x14ac:dyDescent="0.25">
      <c r="A6638">
        <v>77.959651191243395</v>
      </c>
      <c r="B6638">
        <v>29.7789592085309</v>
      </c>
      <c r="C6638">
        <v>2000</v>
      </c>
    </row>
    <row r="6639" spans="1:11" x14ac:dyDescent="0.25">
      <c r="A6639">
        <v>77.341460942458696</v>
      </c>
      <c r="B6639">
        <v>30.3971494573155</v>
      </c>
      <c r="C6639">
        <v>2000</v>
      </c>
    </row>
    <row r="6640" spans="1:11" x14ac:dyDescent="0.25">
      <c r="A6640">
        <v>78.2154929913563</v>
      </c>
      <c r="B6640">
        <v>30.3971494573155</v>
      </c>
      <c r="C6640">
        <v>2001</v>
      </c>
    </row>
    <row r="6641" spans="1:11" x14ac:dyDescent="0.25">
      <c r="A6641">
        <v>78.833683240140999</v>
      </c>
      <c r="B6641">
        <v>29.7789592085308</v>
      </c>
      <c r="C6641">
        <v>2001</v>
      </c>
    </row>
    <row r="6642" spans="1:11" x14ac:dyDescent="0.25">
      <c r="A6642">
        <v>78.983885548061096</v>
      </c>
      <c r="B6642">
        <v>29.628756900610799</v>
      </c>
      <c r="C6642">
        <v>2001</v>
      </c>
    </row>
    <row r="6643" spans="1:11" x14ac:dyDescent="0.25">
      <c r="A6643">
        <v>78.109853499163407</v>
      </c>
      <c r="B6643">
        <v>29.628756900610799</v>
      </c>
      <c r="C6643">
        <v>2000</v>
      </c>
    </row>
    <row r="6644" spans="1:11" x14ac:dyDescent="0.25">
      <c r="A6644" t="s">
        <v>86</v>
      </c>
    </row>
    <row r="6645" spans="1:11" x14ac:dyDescent="0.25">
      <c r="A6645">
        <v>1109</v>
      </c>
      <c r="B6645">
        <v>1</v>
      </c>
      <c r="C6645">
        <v>0.24592962706249499</v>
      </c>
      <c r="D6645">
        <v>0.84074154785591304</v>
      </c>
      <c r="E6645">
        <v>6</v>
      </c>
      <c r="F6645">
        <v>1.01722196789785</v>
      </c>
      <c r="G6645" t="s">
        <v>87</v>
      </c>
      <c r="H6645" t="s">
        <v>87</v>
      </c>
      <c r="I6645">
        <v>661</v>
      </c>
      <c r="J6645">
        <v>677</v>
      </c>
      <c r="K6645">
        <v>0.123468647787635</v>
      </c>
    </row>
    <row r="6646" spans="1:11" x14ac:dyDescent="0.25">
      <c r="A6646" t="s">
        <v>85</v>
      </c>
    </row>
    <row r="6647" spans="1:11" x14ac:dyDescent="0.25">
      <c r="A6647">
        <v>96.7931873732214</v>
      </c>
      <c r="B6647">
        <v>49.501078874097097</v>
      </c>
      <c r="C6647">
        <v>2000</v>
      </c>
    </row>
    <row r="6648" spans="1:11" x14ac:dyDescent="0.25">
      <c r="A6648">
        <v>96.619288866230903</v>
      </c>
      <c r="B6648">
        <v>49.6749773810877</v>
      </c>
      <c r="C6648">
        <v>2000</v>
      </c>
    </row>
    <row r="6649" spans="1:11" x14ac:dyDescent="0.25">
      <c r="A6649">
        <v>96.619288866230903</v>
      </c>
      <c r="B6649">
        <v>48.800945332190103</v>
      </c>
      <c r="C6649">
        <v>2001</v>
      </c>
    </row>
    <row r="6650" spans="1:11" x14ac:dyDescent="0.25">
      <c r="A6650">
        <v>96.7931873732214</v>
      </c>
      <c r="B6650">
        <v>48.6270468251995</v>
      </c>
      <c r="C6650">
        <v>2001</v>
      </c>
    </row>
    <row r="6651" spans="1:11" x14ac:dyDescent="0.25">
      <c r="A6651">
        <v>97.3876814229356</v>
      </c>
      <c r="B6651">
        <v>48.0325527754853</v>
      </c>
      <c r="C6651">
        <v>2001</v>
      </c>
    </row>
    <row r="6652" spans="1:11" x14ac:dyDescent="0.25">
      <c r="A6652">
        <v>97.3876814229356</v>
      </c>
      <c r="B6652">
        <v>48.906584824383003</v>
      </c>
      <c r="C6652">
        <v>2000</v>
      </c>
    </row>
    <row r="6653" spans="1:11" x14ac:dyDescent="0.25">
      <c r="A6653" t="s">
        <v>86</v>
      </c>
    </row>
    <row r="6654" spans="1:11" x14ac:dyDescent="0.25">
      <c r="A6654">
        <v>716</v>
      </c>
      <c r="B6654">
        <v>1</v>
      </c>
      <c r="C6654">
        <v>0.26079748764445998</v>
      </c>
      <c r="D6654">
        <v>0.82587368727394805</v>
      </c>
      <c r="E6654">
        <v>6</v>
      </c>
      <c r="F6654">
        <v>1.01722196789785</v>
      </c>
      <c r="G6654" t="s">
        <v>87</v>
      </c>
      <c r="H6654" t="s">
        <v>87</v>
      </c>
      <c r="I6654">
        <v>661</v>
      </c>
      <c r="J6654">
        <v>677</v>
      </c>
      <c r="K6654">
        <v>0</v>
      </c>
    </row>
    <row r="6655" spans="1:11" x14ac:dyDescent="0.25">
      <c r="A6655" t="s">
        <v>85</v>
      </c>
    </row>
    <row r="6656" spans="1:11" x14ac:dyDescent="0.25">
      <c r="A6656">
        <v>80.258917850106101</v>
      </c>
      <c r="B6656">
        <v>32.945783020903299</v>
      </c>
      <c r="C6656">
        <v>2000</v>
      </c>
    </row>
    <row r="6657" spans="1:11" x14ac:dyDescent="0.25">
      <c r="A6657">
        <v>80.074506178076206</v>
      </c>
      <c r="B6657">
        <v>33.130194692933102</v>
      </c>
      <c r="C6657">
        <v>2000</v>
      </c>
    </row>
    <row r="6658" spans="1:11" x14ac:dyDescent="0.25">
      <c r="A6658">
        <v>80.948538226973895</v>
      </c>
      <c r="B6658">
        <v>33.130194692933102</v>
      </c>
      <c r="C6658">
        <v>2001</v>
      </c>
    </row>
    <row r="6659" spans="1:11" x14ac:dyDescent="0.25">
      <c r="A6659">
        <v>81.132949899003705</v>
      </c>
      <c r="B6659">
        <v>32.945783020903299</v>
      </c>
      <c r="C6659">
        <v>2001</v>
      </c>
    </row>
    <row r="6660" spans="1:11" x14ac:dyDescent="0.25">
      <c r="A6660">
        <v>81.716930783678606</v>
      </c>
      <c r="B6660">
        <v>32.361802136228299</v>
      </c>
      <c r="C6660">
        <v>2001</v>
      </c>
    </row>
    <row r="6661" spans="1:11" x14ac:dyDescent="0.25">
      <c r="A6661">
        <v>80.842898734781002</v>
      </c>
      <c r="B6661">
        <v>32.361802136228299</v>
      </c>
      <c r="C6661">
        <v>2000</v>
      </c>
    </row>
    <row r="6662" spans="1:11" x14ac:dyDescent="0.25">
      <c r="A6662" t="s">
        <v>86</v>
      </c>
    </row>
    <row r="6663" spans="1:11" x14ac:dyDescent="0.25">
      <c r="A6663">
        <v>1079</v>
      </c>
      <c r="B6663">
        <v>1</v>
      </c>
      <c r="C6663">
        <v>0.54266780686414495</v>
      </c>
      <c r="D6663">
        <v>0.54252651613998604</v>
      </c>
      <c r="E6663">
        <v>6</v>
      </c>
      <c r="F6663">
        <v>1.01722196789785</v>
      </c>
      <c r="G6663" t="s">
        <v>87</v>
      </c>
      <c r="H6663" t="s">
        <v>87</v>
      </c>
      <c r="I6663">
        <v>793</v>
      </c>
      <c r="J6663">
        <v>845</v>
      </c>
      <c r="K6663">
        <v>0.12297972043158099</v>
      </c>
    </row>
    <row r="6664" spans="1:11" x14ac:dyDescent="0.25">
      <c r="A6664" t="s">
        <v>85</v>
      </c>
    </row>
    <row r="6665" spans="1:11" x14ac:dyDescent="0.25">
      <c r="A6665">
        <v>37.904991199674903</v>
      </c>
      <c r="B6665">
        <v>148.35230935055401</v>
      </c>
      <c r="C6665">
        <v>2000</v>
      </c>
    </row>
    <row r="6666" spans="1:11" x14ac:dyDescent="0.25">
      <c r="A6666">
        <v>37.521267113509602</v>
      </c>
      <c r="B6666">
        <v>148.736033436719</v>
      </c>
      <c r="C6666">
        <v>2000</v>
      </c>
    </row>
    <row r="6667" spans="1:11" x14ac:dyDescent="0.25">
      <c r="A6667">
        <v>36.647235064611998</v>
      </c>
      <c r="B6667">
        <v>148.736033436719</v>
      </c>
      <c r="C6667">
        <v>2001</v>
      </c>
    </row>
    <row r="6668" spans="1:11" x14ac:dyDescent="0.25">
      <c r="A6668">
        <v>37.0309591507772</v>
      </c>
      <c r="B6668">
        <v>148.35230935055401</v>
      </c>
      <c r="C6668">
        <v>2001</v>
      </c>
    </row>
    <row r="6669" spans="1:11" x14ac:dyDescent="0.25">
      <c r="A6669">
        <v>37.414583329313302</v>
      </c>
      <c r="B6669">
        <v>147.96868517201801</v>
      </c>
      <c r="C6669">
        <v>2001</v>
      </c>
    </row>
    <row r="6670" spans="1:11" x14ac:dyDescent="0.25">
      <c r="A6670">
        <v>38.288615378210999</v>
      </c>
      <c r="B6670">
        <v>147.96868517201801</v>
      </c>
      <c r="C6670">
        <v>2000</v>
      </c>
    </row>
    <row r="6671" spans="1:11" x14ac:dyDescent="0.25">
      <c r="A6671" t="s">
        <v>86</v>
      </c>
    </row>
    <row r="6672" spans="1:11" x14ac:dyDescent="0.25">
      <c r="A6672">
        <v>66</v>
      </c>
      <c r="B6672">
        <v>1</v>
      </c>
      <c r="C6672">
        <v>1.0780585322756899</v>
      </c>
      <c r="D6672">
        <v>2.2604210974925799E-3</v>
      </c>
      <c r="E6672">
        <v>6</v>
      </c>
      <c r="F6672">
        <v>1.01722196789785</v>
      </c>
      <c r="G6672" t="s">
        <v>87</v>
      </c>
      <c r="H6672" t="s">
        <v>87</v>
      </c>
      <c r="I6672">
        <v>275</v>
      </c>
      <c r="J6672">
        <v>755</v>
      </c>
      <c r="K6672">
        <v>0</v>
      </c>
    </row>
    <row r="6673" spans="1:11" x14ac:dyDescent="0.25">
      <c r="A6673" t="s">
        <v>85</v>
      </c>
    </row>
    <row r="6674" spans="1:11" x14ac:dyDescent="0.25">
      <c r="A6674">
        <v>45.910682679703598</v>
      </c>
      <c r="B6674">
        <v>41.546124280550202</v>
      </c>
      <c r="C6674">
        <v>2000</v>
      </c>
    </row>
    <row r="6675" spans="1:11" x14ac:dyDescent="0.25">
      <c r="A6675">
        <v>45.584481808620097</v>
      </c>
      <c r="B6675">
        <v>41.872325151633703</v>
      </c>
      <c r="C6675">
        <v>2000</v>
      </c>
    </row>
    <row r="6676" spans="1:11" x14ac:dyDescent="0.25">
      <c r="A6676">
        <v>44.710449759722501</v>
      </c>
      <c r="B6676">
        <v>41.872325151633703</v>
      </c>
      <c r="C6676">
        <v>2001</v>
      </c>
    </row>
    <row r="6677" spans="1:11" x14ac:dyDescent="0.25">
      <c r="A6677">
        <v>45.9088538860154</v>
      </c>
      <c r="B6677">
        <v>40.673921025340803</v>
      </c>
      <c r="C6677">
        <v>2001</v>
      </c>
    </row>
    <row r="6678" spans="1:11" x14ac:dyDescent="0.25">
      <c r="A6678">
        <v>45.911366641945797</v>
      </c>
      <c r="B6678">
        <v>40.6714082694103</v>
      </c>
      <c r="C6678">
        <v>2001</v>
      </c>
    </row>
    <row r="6679" spans="1:11" x14ac:dyDescent="0.25">
      <c r="A6679">
        <v>45.911366641945797</v>
      </c>
      <c r="B6679">
        <v>41.545440318307897</v>
      </c>
      <c r="C6679">
        <v>2000</v>
      </c>
    </row>
    <row r="6680" spans="1:11" x14ac:dyDescent="0.25">
      <c r="A6680" t="s">
        <v>86</v>
      </c>
    </row>
    <row r="6681" spans="1:11" x14ac:dyDescent="0.25">
      <c r="A6681">
        <v>304</v>
      </c>
      <c r="B6681">
        <v>1</v>
      </c>
      <c r="C6681">
        <v>0.19806621707327601</v>
      </c>
      <c r="D6681">
        <v>0.87703251983709396</v>
      </c>
      <c r="E6681">
        <v>6</v>
      </c>
      <c r="F6681">
        <v>1.01722196789785</v>
      </c>
      <c r="G6681" t="s">
        <v>87</v>
      </c>
      <c r="H6681" t="s">
        <v>87</v>
      </c>
      <c r="I6681">
        <v>279</v>
      </c>
      <c r="J6681">
        <v>747</v>
      </c>
      <c r="K6681">
        <v>0</v>
      </c>
    </row>
    <row r="6682" spans="1:11" x14ac:dyDescent="0.25">
      <c r="A6682" t="s">
        <v>85</v>
      </c>
    </row>
    <row r="6683" spans="1:11" x14ac:dyDescent="0.25">
      <c r="A6683">
        <v>117.86948827531801</v>
      </c>
      <c r="B6683">
        <v>132.31627240162001</v>
      </c>
      <c r="C6683">
        <v>2000</v>
      </c>
    </row>
    <row r="6684" spans="1:11" x14ac:dyDescent="0.25">
      <c r="A6684">
        <v>117.648922532168</v>
      </c>
      <c r="B6684">
        <v>132.536838144771</v>
      </c>
      <c r="C6684">
        <v>2000</v>
      </c>
    </row>
    <row r="6685" spans="1:11" x14ac:dyDescent="0.25">
      <c r="A6685">
        <v>117.648922532168</v>
      </c>
      <c r="B6685">
        <v>131.66280609587301</v>
      </c>
      <c r="C6685">
        <v>2001</v>
      </c>
    </row>
    <row r="6686" spans="1:11" x14ac:dyDescent="0.25">
      <c r="A6686">
        <v>117.70846471945001</v>
      </c>
      <c r="B6686">
        <v>131.60326390859001</v>
      </c>
      <c r="C6686">
        <v>2001</v>
      </c>
    </row>
    <row r="6687" spans="1:11" x14ac:dyDescent="0.25">
      <c r="A6687">
        <v>117.972116115033</v>
      </c>
      <c r="B6687">
        <v>131.33961251300701</v>
      </c>
      <c r="C6687">
        <v>2001</v>
      </c>
    </row>
    <row r="6688" spans="1:11" x14ac:dyDescent="0.25">
      <c r="A6688">
        <v>118.84614816393101</v>
      </c>
      <c r="B6688">
        <v>131.33961251300701</v>
      </c>
      <c r="C6688">
        <v>2000</v>
      </c>
    </row>
    <row r="6689" spans="1:11" x14ac:dyDescent="0.25">
      <c r="A6689" t="s">
        <v>86</v>
      </c>
    </row>
    <row r="6690" spans="1:11" x14ac:dyDescent="0.25">
      <c r="A6690">
        <v>1139</v>
      </c>
      <c r="B6690">
        <v>1</v>
      </c>
      <c r="C6690">
        <v>0.99880373791060995</v>
      </c>
      <c r="D6690">
        <v>7.1065513523031101E-2</v>
      </c>
      <c r="E6690">
        <v>6</v>
      </c>
      <c r="F6690">
        <v>1.01722196789785</v>
      </c>
      <c r="G6690" t="s">
        <v>87</v>
      </c>
      <c r="H6690" t="s">
        <v>87</v>
      </c>
      <c r="I6690">
        <v>118</v>
      </c>
      <c r="J6690">
        <v>343</v>
      </c>
      <c r="K6690">
        <v>0.12440073496922301</v>
      </c>
    </row>
    <row r="6691" spans="1:11" x14ac:dyDescent="0.25">
      <c r="A6691" t="s">
        <v>85</v>
      </c>
    </row>
    <row r="6692" spans="1:11" x14ac:dyDescent="0.25">
      <c r="A6692">
        <v>1.6761351031498599</v>
      </c>
      <c r="B6692">
        <v>7.0718844648803296</v>
      </c>
      <c r="C6692">
        <v>2000</v>
      </c>
    </row>
    <row r="6693" spans="1:11" x14ac:dyDescent="0.25">
      <c r="A6693">
        <v>0.56188674669799399</v>
      </c>
      <c r="B6693">
        <v>8.1861328213321691</v>
      </c>
      <c r="C6693">
        <v>2000</v>
      </c>
    </row>
    <row r="6694" spans="1:11" x14ac:dyDescent="0.25">
      <c r="A6694">
        <v>0.56188674669800098</v>
      </c>
      <c r="B6694">
        <v>7.3121007724345297</v>
      </c>
      <c r="C6694">
        <v>2001</v>
      </c>
    </row>
    <row r="6695" spans="1:11" x14ac:dyDescent="0.25">
      <c r="A6695">
        <v>0.86016018254827298</v>
      </c>
      <c r="B6695">
        <v>7.0138273365842601</v>
      </c>
      <c r="C6695">
        <v>2001</v>
      </c>
    </row>
    <row r="6696" spans="1:11" x14ac:dyDescent="0.25">
      <c r="A6696">
        <v>0.88138252492087998</v>
      </c>
      <c r="B6696">
        <v>6.9926049942116499</v>
      </c>
      <c r="C6696">
        <v>2001</v>
      </c>
    </row>
    <row r="6697" spans="1:11" x14ac:dyDescent="0.25">
      <c r="A6697">
        <v>1.7554145738185301</v>
      </c>
      <c r="B6697">
        <v>6.9926049942116597</v>
      </c>
      <c r="C6697">
        <v>2000</v>
      </c>
    </row>
    <row r="6698" spans="1:11" x14ac:dyDescent="0.25">
      <c r="A6698" t="s">
        <v>86</v>
      </c>
    </row>
    <row r="6699" spans="1:11" x14ac:dyDescent="0.25">
      <c r="A6699">
        <v>1072</v>
      </c>
      <c r="B6699">
        <v>1</v>
      </c>
      <c r="C6699">
        <v>0.88507682210550698</v>
      </c>
      <c r="D6699">
        <v>0.184792429328134</v>
      </c>
      <c r="E6699">
        <v>6</v>
      </c>
      <c r="F6699">
        <v>1.01722196789785</v>
      </c>
      <c r="G6699" t="s">
        <v>87</v>
      </c>
      <c r="H6699" t="s">
        <v>87</v>
      </c>
      <c r="I6699">
        <v>118</v>
      </c>
      <c r="J6699">
        <v>343</v>
      </c>
      <c r="K6699">
        <v>0.122728925384179</v>
      </c>
    </row>
    <row r="6700" spans="1:11" x14ac:dyDescent="0.25">
      <c r="A6700" t="s">
        <v>85</v>
      </c>
    </row>
    <row r="6701" spans="1:11" x14ac:dyDescent="0.25">
      <c r="A6701">
        <v>31.630317341550199</v>
      </c>
      <c r="B6701">
        <v>37.279810305172298</v>
      </c>
      <c r="C6701">
        <v>2000</v>
      </c>
    </row>
    <row r="6702" spans="1:11" x14ac:dyDescent="0.25">
      <c r="A6702">
        <v>30.6429407860442</v>
      </c>
      <c r="B6702">
        <v>38.2671868606784</v>
      </c>
      <c r="C6702">
        <v>2000</v>
      </c>
    </row>
    <row r="6703" spans="1:11" x14ac:dyDescent="0.25">
      <c r="A6703">
        <v>31.5169728349418</v>
      </c>
      <c r="B6703">
        <v>38.267186860678301</v>
      </c>
      <c r="C6703">
        <v>2001</v>
      </c>
    </row>
    <row r="6704" spans="1:11" x14ac:dyDescent="0.25">
      <c r="A6704">
        <v>31.781283924999499</v>
      </c>
      <c r="B6704">
        <v>38.002875770620598</v>
      </c>
      <c r="C6704">
        <v>2001</v>
      </c>
    </row>
    <row r="6705" spans="1:11" x14ac:dyDescent="0.25">
      <c r="A6705">
        <v>31.836468613164701</v>
      </c>
      <c r="B6705">
        <v>37.947691082455499</v>
      </c>
      <c r="C6705">
        <v>2001</v>
      </c>
    </row>
    <row r="6706" spans="1:11" x14ac:dyDescent="0.25">
      <c r="A6706">
        <v>31.836468613164701</v>
      </c>
      <c r="B6706">
        <v>37.073659033557803</v>
      </c>
      <c r="C6706">
        <v>2000</v>
      </c>
    </row>
    <row r="6707" spans="1:11" x14ac:dyDescent="0.25">
      <c r="A6707" t="s">
        <v>86</v>
      </c>
    </row>
    <row r="6708" spans="1:11" x14ac:dyDescent="0.25">
      <c r="A6708">
        <v>77</v>
      </c>
      <c r="B6708">
        <v>1</v>
      </c>
      <c r="C6708">
        <v>0.512255365363536</v>
      </c>
      <c r="D6708">
        <v>0.55475213151851199</v>
      </c>
      <c r="E6708">
        <v>6</v>
      </c>
      <c r="F6708">
        <v>1.01722196789785</v>
      </c>
      <c r="G6708" t="s">
        <v>87</v>
      </c>
      <c r="H6708" t="s">
        <v>87</v>
      </c>
      <c r="I6708">
        <v>358</v>
      </c>
      <c r="J6708">
        <v>344</v>
      </c>
      <c r="K6708">
        <v>0</v>
      </c>
    </row>
    <row r="6709" spans="1:11" x14ac:dyDescent="0.25">
      <c r="A6709" t="s">
        <v>85</v>
      </c>
    </row>
    <row r="6710" spans="1:11" x14ac:dyDescent="0.25">
      <c r="A6710">
        <v>47.148777205566297</v>
      </c>
      <c r="B6710">
        <v>47.101347873043501</v>
      </c>
      <c r="C6710">
        <v>2000</v>
      </c>
    </row>
    <row r="6711" spans="1:11" x14ac:dyDescent="0.25">
      <c r="A6711">
        <v>46.786557963018602</v>
      </c>
      <c r="B6711">
        <v>47.463567115591303</v>
      </c>
      <c r="C6711">
        <v>2000</v>
      </c>
    </row>
    <row r="6712" spans="1:11" x14ac:dyDescent="0.25">
      <c r="A6712">
        <v>46.786557963018602</v>
      </c>
      <c r="B6712">
        <v>48.3375991644889</v>
      </c>
      <c r="C6712">
        <v>2001</v>
      </c>
    </row>
    <row r="6713" spans="1:11" x14ac:dyDescent="0.25">
      <c r="A6713">
        <v>47.148777205566297</v>
      </c>
      <c r="B6713">
        <v>47.975379921941197</v>
      </c>
      <c r="C6713">
        <v>2001</v>
      </c>
    </row>
    <row r="6714" spans="1:11" x14ac:dyDescent="0.25">
      <c r="A6714">
        <v>47.541046199640697</v>
      </c>
      <c r="B6714">
        <v>47.583110927866699</v>
      </c>
      <c r="C6714">
        <v>2001</v>
      </c>
    </row>
    <row r="6715" spans="1:11" x14ac:dyDescent="0.25">
      <c r="A6715">
        <v>47.541046199640697</v>
      </c>
      <c r="B6715">
        <v>46.709078878969102</v>
      </c>
      <c r="C6715">
        <v>2000</v>
      </c>
    </row>
    <row r="6716" spans="1:11" x14ac:dyDescent="0.25">
      <c r="A6716" t="s">
        <v>86</v>
      </c>
    </row>
    <row r="6717" spans="1:11" x14ac:dyDescent="0.25">
      <c r="A6717">
        <v>1128</v>
      </c>
      <c r="B6717">
        <v>1</v>
      </c>
      <c r="C6717">
        <v>0.47541938194727601</v>
      </c>
      <c r="D6717">
        <v>0.591499573625626</v>
      </c>
      <c r="E6717">
        <v>6</v>
      </c>
      <c r="F6717">
        <v>1.01722196789785</v>
      </c>
      <c r="G6717" t="s">
        <v>87</v>
      </c>
      <c r="H6717" t="s">
        <v>87</v>
      </c>
      <c r="I6717">
        <v>184</v>
      </c>
      <c r="J6717">
        <v>190</v>
      </c>
      <c r="K6717">
        <v>0.12440073496922301</v>
      </c>
    </row>
    <row r="6718" spans="1:11" x14ac:dyDescent="0.25">
      <c r="A6718" t="s">
        <v>85</v>
      </c>
    </row>
    <row r="6719" spans="1:11" x14ac:dyDescent="0.25">
      <c r="A6719">
        <v>6.55787985449179</v>
      </c>
      <c r="B6719">
        <v>113.74791396465901</v>
      </c>
      <c r="C6719">
        <v>2000</v>
      </c>
    </row>
    <row r="6720" spans="1:11" x14ac:dyDescent="0.25">
      <c r="A6720">
        <v>6.0269731241404001</v>
      </c>
      <c r="B6720">
        <v>114.27882069501101</v>
      </c>
      <c r="C6720">
        <v>2000</v>
      </c>
    </row>
    <row r="6721" spans="1:11" x14ac:dyDescent="0.25">
      <c r="A6721">
        <v>6.0269731241404099</v>
      </c>
      <c r="B6721">
        <v>113.404788646113</v>
      </c>
      <c r="C6721">
        <v>2001</v>
      </c>
    </row>
    <row r="6722" spans="1:11" x14ac:dyDescent="0.25">
      <c r="A6722">
        <v>6.16841093155388</v>
      </c>
      <c r="B6722">
        <v>113.26335083870001</v>
      </c>
      <c r="C6722">
        <v>2001</v>
      </c>
    </row>
    <row r="6723" spans="1:11" x14ac:dyDescent="0.25">
      <c r="A6723">
        <v>6.3443827281536498</v>
      </c>
      <c r="B6723">
        <v>113.0873790421</v>
      </c>
      <c r="C6723">
        <v>2001</v>
      </c>
    </row>
    <row r="6724" spans="1:11" x14ac:dyDescent="0.25">
      <c r="A6724">
        <v>7.2184147770512803</v>
      </c>
      <c r="B6724">
        <v>113.0873790421</v>
      </c>
      <c r="C6724">
        <v>2000</v>
      </c>
    </row>
    <row r="6725" spans="1:11" x14ac:dyDescent="0.25">
      <c r="A6725" t="s">
        <v>86</v>
      </c>
    </row>
    <row r="6726" spans="1:11" x14ac:dyDescent="0.25">
      <c r="A6726">
        <v>1043</v>
      </c>
      <c r="B6726">
        <v>1</v>
      </c>
      <c r="C6726">
        <v>0.44290611761074</v>
      </c>
      <c r="D6726">
        <v>0.62155254860643105</v>
      </c>
      <c r="E6726">
        <v>6</v>
      </c>
      <c r="F6726">
        <v>1.01722196789785</v>
      </c>
      <c r="G6726" t="s">
        <v>87</v>
      </c>
      <c r="H6726" t="s">
        <v>87</v>
      </c>
      <c r="I6726">
        <v>675</v>
      </c>
      <c r="J6726">
        <v>663</v>
      </c>
      <c r="K6726">
        <v>0.121680115082949</v>
      </c>
    </row>
    <row r="6727" spans="1:11" x14ac:dyDescent="0.25">
      <c r="A6727" t="s">
        <v>85</v>
      </c>
    </row>
    <row r="6728" spans="1:11" x14ac:dyDescent="0.25">
      <c r="A6728">
        <v>89.724822247415901</v>
      </c>
      <c r="B6728">
        <v>29.404027809908499</v>
      </c>
      <c r="C6728">
        <v>2000</v>
      </c>
    </row>
    <row r="6729" spans="1:11" x14ac:dyDescent="0.25">
      <c r="A6729">
        <v>89.593476482943402</v>
      </c>
      <c r="B6729">
        <v>29.535373574381001</v>
      </c>
      <c r="C6729">
        <v>2000</v>
      </c>
    </row>
    <row r="6730" spans="1:11" x14ac:dyDescent="0.25">
      <c r="A6730">
        <v>89.593476482943402</v>
      </c>
      <c r="B6730">
        <v>30.409405623278701</v>
      </c>
      <c r="C6730">
        <v>2001</v>
      </c>
    </row>
    <row r="6731" spans="1:11" x14ac:dyDescent="0.25">
      <c r="A6731">
        <v>90.088494556854002</v>
      </c>
      <c r="B6731">
        <v>29.914387549368101</v>
      </c>
      <c r="C6731">
        <v>2001</v>
      </c>
    </row>
    <row r="6732" spans="1:11" x14ac:dyDescent="0.25">
      <c r="A6732">
        <v>90.783178448567099</v>
      </c>
      <c r="B6732">
        <v>29.2197036576549</v>
      </c>
      <c r="C6732">
        <v>2001</v>
      </c>
    </row>
    <row r="6733" spans="1:11" x14ac:dyDescent="0.25">
      <c r="A6733">
        <v>89.909146399669496</v>
      </c>
      <c r="B6733">
        <v>29.2197036576549</v>
      </c>
      <c r="C6733">
        <v>2000</v>
      </c>
    </row>
    <row r="6734" spans="1:11" x14ac:dyDescent="0.25">
      <c r="A6734" t="s">
        <v>86</v>
      </c>
    </row>
    <row r="6735" spans="1:11" x14ac:dyDescent="0.25">
      <c r="A6735">
        <v>938</v>
      </c>
      <c r="B6735">
        <v>1</v>
      </c>
      <c r="C6735">
        <v>9.8871979159071102E-2</v>
      </c>
      <c r="D6735">
        <v>0.96558668705809902</v>
      </c>
      <c r="E6735">
        <v>6</v>
      </c>
      <c r="F6735">
        <v>1.01722196789785</v>
      </c>
      <c r="G6735" t="s">
        <v>87</v>
      </c>
      <c r="H6735" t="s">
        <v>87</v>
      </c>
      <c r="I6735">
        <v>675</v>
      </c>
      <c r="J6735">
        <v>663</v>
      </c>
      <c r="K6735">
        <v>0.117959963458315</v>
      </c>
    </row>
    <row r="6736" spans="1:11" x14ac:dyDescent="0.25">
      <c r="A6736" t="s">
        <v>85</v>
      </c>
    </row>
    <row r="6737" spans="1:11" x14ac:dyDescent="0.25">
      <c r="A6737">
        <v>103.382010014587</v>
      </c>
      <c r="B6737">
        <v>43.265265262205901</v>
      </c>
      <c r="C6737">
        <v>2000</v>
      </c>
    </row>
    <row r="6738" spans="1:11" x14ac:dyDescent="0.25">
      <c r="A6738">
        <v>103.352689092677</v>
      </c>
      <c r="B6738">
        <v>43.294586184115097</v>
      </c>
      <c r="C6738">
        <v>2000</v>
      </c>
    </row>
    <row r="6739" spans="1:11" x14ac:dyDescent="0.25">
      <c r="A6739">
        <v>103.352689092677</v>
      </c>
      <c r="B6739">
        <v>44.168618233012701</v>
      </c>
      <c r="C6739">
        <v>2001</v>
      </c>
    </row>
    <row r="6740" spans="1:11" x14ac:dyDescent="0.25">
      <c r="A6740">
        <v>103.463194264634</v>
      </c>
      <c r="B6740">
        <v>44.058113061056503</v>
      </c>
      <c r="C6740">
        <v>2001</v>
      </c>
    </row>
    <row r="6741" spans="1:11" x14ac:dyDescent="0.25">
      <c r="A6741">
        <v>104.54239105830101</v>
      </c>
      <c r="B6741">
        <v>42.978916267388897</v>
      </c>
      <c r="C6741">
        <v>2001</v>
      </c>
    </row>
    <row r="6742" spans="1:11" x14ac:dyDescent="0.25">
      <c r="A6742">
        <v>103.668359009404</v>
      </c>
      <c r="B6742">
        <v>42.978916267388897</v>
      </c>
      <c r="C6742">
        <v>2000</v>
      </c>
    </row>
    <row r="6743" spans="1:11" x14ac:dyDescent="0.25">
      <c r="A6743" t="s">
        <v>86</v>
      </c>
    </row>
    <row r="6744" spans="1:11" x14ac:dyDescent="0.25">
      <c r="A6744">
        <v>1062</v>
      </c>
      <c r="B6744">
        <v>1</v>
      </c>
      <c r="C6744">
        <v>0.97725966834884304</v>
      </c>
      <c r="D6744">
        <v>8.7198997868320305E-2</v>
      </c>
      <c r="E6744">
        <v>6</v>
      </c>
      <c r="F6744">
        <v>1.01722196789785</v>
      </c>
      <c r="G6744" t="s">
        <v>87</v>
      </c>
      <c r="H6744" t="s">
        <v>87</v>
      </c>
      <c r="I6744">
        <v>675</v>
      </c>
      <c r="J6744">
        <v>663</v>
      </c>
      <c r="K6744">
        <v>0.122473809508668</v>
      </c>
    </row>
    <row r="6745" spans="1:11" x14ac:dyDescent="0.25">
      <c r="A6745" t="s">
        <v>85</v>
      </c>
    </row>
    <row r="6746" spans="1:11" x14ac:dyDescent="0.25">
      <c r="A6746">
        <v>116.34792954643601</v>
      </c>
      <c r="B6746">
        <v>55.710205299971101</v>
      </c>
      <c r="C6746">
        <v>2000</v>
      </c>
    </row>
    <row r="6747" spans="1:11" x14ac:dyDescent="0.25">
      <c r="A6747">
        <v>116.058118877485</v>
      </c>
      <c r="B6747">
        <v>56.000015968922497</v>
      </c>
      <c r="C6747">
        <v>2000</v>
      </c>
    </row>
    <row r="6748" spans="1:11" x14ac:dyDescent="0.25">
      <c r="A6748">
        <v>115.184086828587</v>
      </c>
      <c r="B6748">
        <v>56.000015968922497</v>
      </c>
      <c r="C6748">
        <v>2001</v>
      </c>
    </row>
    <row r="6749" spans="1:11" x14ac:dyDescent="0.25">
      <c r="A6749">
        <v>116.276330036575</v>
      </c>
      <c r="B6749">
        <v>54.907772760934698</v>
      </c>
      <c r="C6749">
        <v>2001</v>
      </c>
    </row>
    <row r="6750" spans="1:11" x14ac:dyDescent="0.25">
      <c r="A6750">
        <v>116.37378879421099</v>
      </c>
      <c r="B6750">
        <v>54.810314003298799</v>
      </c>
      <c r="C6750">
        <v>2001</v>
      </c>
    </row>
    <row r="6751" spans="1:11" x14ac:dyDescent="0.25">
      <c r="A6751">
        <v>116.37378879421099</v>
      </c>
      <c r="B6751">
        <v>55.684346052196403</v>
      </c>
      <c r="C6751">
        <v>2000</v>
      </c>
    </row>
    <row r="6752" spans="1:11" x14ac:dyDescent="0.25">
      <c r="A6752" t="s">
        <v>86</v>
      </c>
    </row>
    <row r="6753" spans="1:11" x14ac:dyDescent="0.25">
      <c r="A6753">
        <v>630</v>
      </c>
      <c r="B6753">
        <v>1</v>
      </c>
      <c r="C6753">
        <v>0.82636983470640502</v>
      </c>
      <c r="D6753">
        <v>0.23808883151075799</v>
      </c>
      <c r="E6753">
        <v>6</v>
      </c>
      <c r="F6753">
        <v>1.01722196789785</v>
      </c>
      <c r="G6753" t="s">
        <v>87</v>
      </c>
      <c r="H6753" t="s">
        <v>87</v>
      </c>
      <c r="I6753">
        <v>675</v>
      </c>
      <c r="J6753">
        <v>663</v>
      </c>
      <c r="K6753">
        <v>0</v>
      </c>
    </row>
    <row r="6754" spans="1:11" x14ac:dyDescent="0.25">
      <c r="A6754" t="s">
        <v>85</v>
      </c>
    </row>
    <row r="6755" spans="1:11" x14ac:dyDescent="0.25">
      <c r="A6755">
        <v>114.270342332959</v>
      </c>
      <c r="B6755">
        <v>53.722112179091702</v>
      </c>
      <c r="C6755">
        <v>2000</v>
      </c>
    </row>
    <row r="6756" spans="1:11" x14ac:dyDescent="0.25">
      <c r="A6756">
        <v>114.025278710306</v>
      </c>
      <c r="B6756">
        <v>53.967175801743899</v>
      </c>
      <c r="C6756">
        <v>2000</v>
      </c>
    </row>
    <row r="6757" spans="1:11" x14ac:dyDescent="0.25">
      <c r="A6757">
        <v>114.025278710306</v>
      </c>
      <c r="B6757">
        <v>54.841207850641602</v>
      </c>
      <c r="C6757">
        <v>2001</v>
      </c>
    </row>
    <row r="6758" spans="1:11" x14ac:dyDescent="0.25">
      <c r="A6758">
        <v>114.948878515432</v>
      </c>
      <c r="B6758">
        <v>53.917608045515998</v>
      </c>
      <c r="C6758">
        <v>2001</v>
      </c>
    </row>
    <row r="6759" spans="1:11" x14ac:dyDescent="0.25">
      <c r="A6759">
        <v>115.21498067592999</v>
      </c>
      <c r="B6759">
        <v>53.651505885017798</v>
      </c>
      <c r="C6759">
        <v>2001</v>
      </c>
    </row>
    <row r="6760" spans="1:11" x14ac:dyDescent="0.25">
      <c r="A6760">
        <v>114.34094862703201</v>
      </c>
      <c r="B6760">
        <v>53.651505885017798</v>
      </c>
      <c r="C6760">
        <v>2000</v>
      </c>
    </row>
    <row r="6761" spans="1:11" x14ac:dyDescent="0.25">
      <c r="A6761" t="s">
        <v>86</v>
      </c>
    </row>
    <row r="6762" spans="1:11" x14ac:dyDescent="0.25">
      <c r="A6762">
        <v>981</v>
      </c>
      <c r="B6762">
        <v>1</v>
      </c>
      <c r="C6762">
        <v>0.83148448648449103</v>
      </c>
      <c r="D6762">
        <v>0.23297417973267201</v>
      </c>
      <c r="E6762">
        <v>6</v>
      </c>
      <c r="F6762">
        <v>1.01722196789785</v>
      </c>
      <c r="G6762" t="s">
        <v>87</v>
      </c>
      <c r="H6762" t="s">
        <v>87</v>
      </c>
      <c r="I6762">
        <v>675</v>
      </c>
      <c r="J6762">
        <v>663</v>
      </c>
      <c r="K6762">
        <v>0.11963401938905099</v>
      </c>
    </row>
    <row r="6763" spans="1:11" x14ac:dyDescent="0.25">
      <c r="A6763" t="s">
        <v>85</v>
      </c>
    </row>
    <row r="6764" spans="1:11" x14ac:dyDescent="0.25">
      <c r="A6764">
        <v>141.265397075864</v>
      </c>
      <c r="B6764">
        <v>80.714133376868205</v>
      </c>
      <c r="C6764">
        <v>2000</v>
      </c>
    </row>
    <row r="6765" spans="1:11" x14ac:dyDescent="0.25">
      <c r="A6765">
        <v>141.01881668064701</v>
      </c>
      <c r="B6765">
        <v>80.960713772084901</v>
      </c>
      <c r="C6765">
        <v>2000</v>
      </c>
    </row>
    <row r="6766" spans="1:11" x14ac:dyDescent="0.25">
      <c r="A6766">
        <v>140.14478463175001</v>
      </c>
      <c r="B6766">
        <v>80.960713772084901</v>
      </c>
      <c r="C6766">
        <v>2001</v>
      </c>
    </row>
    <row r="6767" spans="1:11" x14ac:dyDescent="0.25">
      <c r="A6767">
        <v>141.07410087422201</v>
      </c>
      <c r="B6767">
        <v>80.031397529612306</v>
      </c>
      <c r="C6767">
        <v>2001</v>
      </c>
    </row>
    <row r="6768" spans="1:11" x14ac:dyDescent="0.25">
      <c r="A6768">
        <v>141.334486597373</v>
      </c>
      <c r="B6768">
        <v>79.771011806461104</v>
      </c>
      <c r="C6768">
        <v>2001</v>
      </c>
    </row>
    <row r="6769" spans="1:11" x14ac:dyDescent="0.25">
      <c r="A6769">
        <v>141.334486597373</v>
      </c>
      <c r="B6769">
        <v>80.645043855358693</v>
      </c>
      <c r="C6769">
        <v>2000</v>
      </c>
    </row>
    <row r="6770" spans="1:11" x14ac:dyDescent="0.25">
      <c r="A6770" t="s">
        <v>86</v>
      </c>
    </row>
    <row r="6771" spans="1:11" x14ac:dyDescent="0.25">
      <c r="A6771">
        <v>627</v>
      </c>
      <c r="B6771">
        <v>1</v>
      </c>
      <c r="C6771">
        <v>0.52854097349010898</v>
      </c>
      <c r="D6771">
        <v>0.53591769272705403</v>
      </c>
      <c r="E6771">
        <v>6</v>
      </c>
      <c r="F6771">
        <v>1.01722196789785</v>
      </c>
      <c r="G6771" t="s">
        <v>87</v>
      </c>
      <c r="H6771" t="s">
        <v>87</v>
      </c>
      <c r="I6771">
        <v>675</v>
      </c>
      <c r="J6771">
        <v>663</v>
      </c>
      <c r="K6771">
        <v>0</v>
      </c>
    </row>
    <row r="6772" spans="1:11" x14ac:dyDescent="0.25">
      <c r="A6772" t="s">
        <v>85</v>
      </c>
    </row>
    <row r="6773" spans="1:11" x14ac:dyDescent="0.25">
      <c r="A6773">
        <v>132.94841751166999</v>
      </c>
      <c r="B6773">
        <v>72.576832285037298</v>
      </c>
      <c r="C6773">
        <v>2000</v>
      </c>
    </row>
    <row r="6774" spans="1:11" x14ac:dyDescent="0.25">
      <c r="A6774">
        <v>132.79167635263499</v>
      </c>
      <c r="B6774">
        <v>72.733573444072505</v>
      </c>
      <c r="C6774">
        <v>2000</v>
      </c>
    </row>
    <row r="6775" spans="1:11" x14ac:dyDescent="0.25">
      <c r="A6775">
        <v>132.79167635263499</v>
      </c>
      <c r="B6775">
        <v>73.607605492970094</v>
      </c>
      <c r="C6775">
        <v>2001</v>
      </c>
    </row>
    <row r="6776" spans="1:11" x14ac:dyDescent="0.25">
      <c r="A6776">
        <v>133.38240500657901</v>
      </c>
      <c r="B6776">
        <v>73.016876839025798</v>
      </c>
      <c r="C6776">
        <v>2001</v>
      </c>
    </row>
    <row r="6777" spans="1:11" x14ac:dyDescent="0.25">
      <c r="A6777">
        <v>133.981378318259</v>
      </c>
      <c r="B6777">
        <v>72.417903527346397</v>
      </c>
      <c r="C6777">
        <v>2001</v>
      </c>
    </row>
    <row r="6778" spans="1:11" x14ac:dyDescent="0.25">
      <c r="A6778">
        <v>133.10734626936099</v>
      </c>
      <c r="B6778">
        <v>72.417903527346397</v>
      </c>
      <c r="C6778">
        <v>2000</v>
      </c>
    </row>
    <row r="6779" spans="1:11" x14ac:dyDescent="0.25">
      <c r="A6779" t="s">
        <v>86</v>
      </c>
    </row>
    <row r="6780" spans="1:11" x14ac:dyDescent="0.25">
      <c r="A6780">
        <v>708</v>
      </c>
      <c r="B6780">
        <v>1</v>
      </c>
      <c r="C6780">
        <v>9.6981528366345798E-2</v>
      </c>
      <c r="D6780">
        <v>0.96746505355908896</v>
      </c>
      <c r="E6780">
        <v>6</v>
      </c>
      <c r="F6780">
        <v>1.01722196789785</v>
      </c>
      <c r="G6780" t="s">
        <v>87</v>
      </c>
      <c r="H6780" t="s">
        <v>87</v>
      </c>
      <c r="I6780">
        <v>782</v>
      </c>
      <c r="J6780">
        <v>30</v>
      </c>
      <c r="K6780">
        <v>0</v>
      </c>
    </row>
    <row r="6781" spans="1:11" x14ac:dyDescent="0.25">
      <c r="A6781" t="s">
        <v>85</v>
      </c>
    </row>
    <row r="6782" spans="1:11" x14ac:dyDescent="0.25">
      <c r="A6782">
        <v>55.935804645975601</v>
      </c>
      <c r="B6782">
        <v>19.3226740436269</v>
      </c>
      <c r="C6782">
        <v>2000</v>
      </c>
    </row>
    <row r="6783" spans="1:11" x14ac:dyDescent="0.25">
      <c r="A6783">
        <v>55.867228349617903</v>
      </c>
      <c r="B6783">
        <v>19.391250339984602</v>
      </c>
      <c r="C6783">
        <v>2000</v>
      </c>
    </row>
    <row r="6784" spans="1:11" x14ac:dyDescent="0.25">
      <c r="A6784">
        <v>56.7412603985155</v>
      </c>
      <c r="B6784">
        <v>19.391250339984499</v>
      </c>
      <c r="C6784">
        <v>2001</v>
      </c>
    </row>
    <row r="6785" spans="1:11" x14ac:dyDescent="0.25">
      <c r="A6785">
        <v>56.809836694873198</v>
      </c>
      <c r="B6785">
        <v>19.3226740436269</v>
      </c>
      <c r="C6785">
        <v>2001</v>
      </c>
    </row>
    <row r="6786" spans="1:11" x14ac:dyDescent="0.25">
      <c r="A6786">
        <v>57.493937794805902</v>
      </c>
      <c r="B6786">
        <v>18.6385729436942</v>
      </c>
      <c r="C6786">
        <v>2001</v>
      </c>
    </row>
    <row r="6787" spans="1:11" x14ac:dyDescent="0.25">
      <c r="A6787">
        <v>56.619905745908198</v>
      </c>
      <c r="B6787">
        <v>18.6385729436942</v>
      </c>
      <c r="C6787">
        <v>2000</v>
      </c>
    </row>
    <row r="6788" spans="1:11" x14ac:dyDescent="0.25">
      <c r="A6788" t="s">
        <v>86</v>
      </c>
    </row>
    <row r="6789" spans="1:11" x14ac:dyDescent="0.25">
      <c r="A6789">
        <v>990</v>
      </c>
      <c r="B6789">
        <v>1</v>
      </c>
      <c r="C6789">
        <v>0.65477580624090903</v>
      </c>
      <c r="D6789">
        <v>0.40967077568452498</v>
      </c>
      <c r="E6789">
        <v>6</v>
      </c>
      <c r="F6789">
        <v>1.01722196789785</v>
      </c>
      <c r="G6789" t="s">
        <v>87</v>
      </c>
      <c r="H6789" t="s">
        <v>87</v>
      </c>
      <c r="I6789">
        <v>782</v>
      </c>
      <c r="J6789">
        <v>30</v>
      </c>
      <c r="K6789">
        <v>0.12024993113152201</v>
      </c>
    </row>
    <row r="6790" spans="1:11" x14ac:dyDescent="0.25">
      <c r="A6790" t="s">
        <v>85</v>
      </c>
    </row>
    <row r="6791" spans="1:11" x14ac:dyDescent="0.25">
      <c r="A6791">
        <v>53.3375742902778</v>
      </c>
      <c r="B6791">
        <v>15.9356034551448</v>
      </c>
      <c r="C6791">
        <v>2000</v>
      </c>
    </row>
    <row r="6792" spans="1:11" x14ac:dyDescent="0.25">
      <c r="A6792">
        <v>52.874577877527898</v>
      </c>
      <c r="B6792">
        <v>16.3985998678946</v>
      </c>
      <c r="C6792">
        <v>2000</v>
      </c>
    </row>
    <row r="6793" spans="1:11" x14ac:dyDescent="0.25">
      <c r="A6793">
        <v>53.748609926425601</v>
      </c>
      <c r="B6793">
        <v>16.3985998678946</v>
      </c>
      <c r="C6793">
        <v>2001</v>
      </c>
    </row>
    <row r="6794" spans="1:11" x14ac:dyDescent="0.25">
      <c r="A6794">
        <v>54.211606339175397</v>
      </c>
      <c r="B6794">
        <v>15.9356034551448</v>
      </c>
      <c r="C6794">
        <v>2001</v>
      </c>
    </row>
    <row r="6795" spans="1:11" x14ac:dyDescent="0.25">
      <c r="A6795">
        <v>54.501287322715903</v>
      </c>
      <c r="B6795">
        <v>15.645922471604299</v>
      </c>
      <c r="C6795">
        <v>2001</v>
      </c>
    </row>
    <row r="6796" spans="1:11" x14ac:dyDescent="0.25">
      <c r="A6796">
        <v>53.627255273818299</v>
      </c>
      <c r="B6796">
        <v>15.645922471604299</v>
      </c>
      <c r="C6796">
        <v>2000</v>
      </c>
    </row>
    <row r="6797" spans="1:11" x14ac:dyDescent="0.25">
      <c r="A6797" t="s">
        <v>86</v>
      </c>
    </row>
    <row r="6798" spans="1:11" x14ac:dyDescent="0.25">
      <c r="A6798">
        <v>975</v>
      </c>
      <c r="B6798">
        <v>1</v>
      </c>
      <c r="C6798">
        <v>0.44771383825710498</v>
      </c>
      <c r="D6798">
        <v>0.61673274366832898</v>
      </c>
      <c r="E6798">
        <v>6</v>
      </c>
      <c r="F6798">
        <v>1.01722196789785</v>
      </c>
      <c r="G6798" t="s">
        <v>87</v>
      </c>
      <c r="H6798" t="s">
        <v>87</v>
      </c>
      <c r="I6798">
        <v>782</v>
      </c>
      <c r="J6798">
        <v>30</v>
      </c>
      <c r="K6798">
        <v>0.11963401938905099</v>
      </c>
    </row>
    <row r="6799" spans="1:11" x14ac:dyDescent="0.25">
      <c r="A6799" t="s">
        <v>85</v>
      </c>
    </row>
    <row r="6800" spans="1:11" x14ac:dyDescent="0.25">
      <c r="A6800">
        <v>58.5542712908114</v>
      </c>
      <c r="B6800">
        <v>21.445130299052799</v>
      </c>
      <c r="C6800">
        <v>2000</v>
      </c>
    </row>
    <row r="6801" spans="1:11" x14ac:dyDescent="0.25">
      <c r="A6801">
        <v>58.2376897997488</v>
      </c>
      <c r="B6801">
        <v>21.761711790115399</v>
      </c>
      <c r="C6801">
        <v>2000</v>
      </c>
    </row>
    <row r="6802" spans="1:11" x14ac:dyDescent="0.25">
      <c r="A6802">
        <v>59.111721848646397</v>
      </c>
      <c r="B6802">
        <v>21.761711790115399</v>
      </c>
      <c r="C6802">
        <v>2001</v>
      </c>
    </row>
    <row r="6803" spans="1:11" x14ac:dyDescent="0.25">
      <c r="A6803">
        <v>59.428303339709103</v>
      </c>
      <c r="B6803">
        <v>21.445130299052799</v>
      </c>
      <c r="C6803">
        <v>2001</v>
      </c>
    </row>
    <row r="6804" spans="1:11" x14ac:dyDescent="0.25">
      <c r="A6804">
        <v>59.864399244936699</v>
      </c>
      <c r="B6804">
        <v>21.0090343938251</v>
      </c>
      <c r="C6804">
        <v>2001</v>
      </c>
    </row>
    <row r="6805" spans="1:11" x14ac:dyDescent="0.25">
      <c r="A6805">
        <v>58.990367196039102</v>
      </c>
      <c r="B6805">
        <v>21.0090343938251</v>
      </c>
      <c r="C6805">
        <v>2000</v>
      </c>
    </row>
    <row r="6806" spans="1:11" x14ac:dyDescent="0.25">
      <c r="A6806" t="s">
        <v>86</v>
      </c>
    </row>
    <row r="6807" spans="1:11" x14ac:dyDescent="0.25">
      <c r="A6807">
        <v>876</v>
      </c>
      <c r="B6807">
        <v>1</v>
      </c>
      <c r="C6807">
        <v>0.10568309098135099</v>
      </c>
      <c r="D6807">
        <v>0.95621910545463595</v>
      </c>
      <c r="E6807">
        <v>6</v>
      </c>
      <c r="F6807">
        <v>1.01722196789785</v>
      </c>
      <c r="G6807" t="s">
        <v>87</v>
      </c>
      <c r="H6807" t="s">
        <v>87</v>
      </c>
      <c r="I6807">
        <v>665</v>
      </c>
      <c r="J6807">
        <v>766</v>
      </c>
      <c r="K6807">
        <v>0.115643722583405</v>
      </c>
    </row>
    <row r="6808" spans="1:11" x14ac:dyDescent="0.25">
      <c r="A6808" t="s">
        <v>85</v>
      </c>
    </row>
    <row r="6809" spans="1:11" x14ac:dyDescent="0.25">
      <c r="A6809">
        <v>88.284836791152102</v>
      </c>
      <c r="B6809">
        <v>25.433965410287499</v>
      </c>
      <c r="C6809">
        <v>2000</v>
      </c>
    </row>
    <row r="6810" spans="1:11" x14ac:dyDescent="0.25">
      <c r="A6810">
        <v>88.253600459198296</v>
      </c>
      <c r="B6810">
        <v>25.465201742241302</v>
      </c>
      <c r="C6810">
        <v>2000</v>
      </c>
    </row>
    <row r="6811" spans="1:11" x14ac:dyDescent="0.25">
      <c r="A6811">
        <v>88.253600459198296</v>
      </c>
      <c r="B6811">
        <v>26.339233791139002</v>
      </c>
      <c r="C6811">
        <v>2001</v>
      </c>
    </row>
    <row r="6812" spans="1:11" x14ac:dyDescent="0.25">
      <c r="A6812">
        <v>88.371822587823701</v>
      </c>
      <c r="B6812">
        <v>26.221011662513501</v>
      </c>
      <c r="C6812">
        <v>2001</v>
      </c>
    </row>
    <row r="6813" spans="1:11" x14ac:dyDescent="0.25">
      <c r="A6813">
        <v>89.441494727703898</v>
      </c>
      <c r="B6813">
        <v>25.1513395226334</v>
      </c>
      <c r="C6813">
        <v>2001</v>
      </c>
    </row>
    <row r="6814" spans="1:11" x14ac:dyDescent="0.25">
      <c r="A6814">
        <v>88.567462678806194</v>
      </c>
      <c r="B6814">
        <v>25.1513395226334</v>
      </c>
      <c r="C6814">
        <v>2000</v>
      </c>
    </row>
    <row r="6815" spans="1:11" x14ac:dyDescent="0.25">
      <c r="A6815" t="s">
        <v>86</v>
      </c>
    </row>
    <row r="6816" spans="1:11" x14ac:dyDescent="0.25">
      <c r="A6816">
        <v>718</v>
      </c>
      <c r="B6816">
        <v>1</v>
      </c>
      <c r="C6816">
        <v>0.75720007325941896</v>
      </c>
      <c r="D6816">
        <v>0.30470212317656797</v>
      </c>
      <c r="E6816">
        <v>6</v>
      </c>
      <c r="F6816">
        <v>1.01722196789785</v>
      </c>
      <c r="G6816" t="s">
        <v>87</v>
      </c>
      <c r="H6816" t="s">
        <v>87</v>
      </c>
      <c r="I6816">
        <v>665</v>
      </c>
      <c r="J6816">
        <v>766</v>
      </c>
      <c r="K6816">
        <v>0</v>
      </c>
    </row>
    <row r="6817" spans="1:11" x14ac:dyDescent="0.25">
      <c r="A6817" t="s">
        <v>85</v>
      </c>
    </row>
    <row r="6818" spans="1:11" x14ac:dyDescent="0.25">
      <c r="A6818">
        <v>84.313497364433502</v>
      </c>
      <c r="B6818">
        <v>21.077493403833301</v>
      </c>
      <c r="C6818">
        <v>2000</v>
      </c>
    </row>
    <row r="6819" spans="1:11" x14ac:dyDescent="0.25">
      <c r="A6819">
        <v>84.089694742611798</v>
      </c>
      <c r="B6819">
        <v>21.301296025654899</v>
      </c>
      <c r="C6819">
        <v>2000</v>
      </c>
    </row>
    <row r="6820" spans="1:11" x14ac:dyDescent="0.25">
      <c r="A6820">
        <v>83.215662693714194</v>
      </c>
      <c r="B6820">
        <v>21.301296025654899</v>
      </c>
      <c r="C6820">
        <v>2001</v>
      </c>
    </row>
    <row r="6821" spans="1:11" x14ac:dyDescent="0.25">
      <c r="A6821">
        <v>84.062702684925995</v>
      </c>
      <c r="B6821">
        <v>20.454256034443201</v>
      </c>
      <c r="C6821">
        <v>2001</v>
      </c>
    </row>
    <row r="6822" spans="1:11" x14ac:dyDescent="0.25">
      <c r="A6822">
        <v>84.403556962219795</v>
      </c>
      <c r="B6822">
        <v>20.113401757149301</v>
      </c>
      <c r="C6822">
        <v>2001</v>
      </c>
    </row>
    <row r="6823" spans="1:11" x14ac:dyDescent="0.25">
      <c r="A6823">
        <v>84.403556962219795</v>
      </c>
      <c r="B6823">
        <v>20.987433806047001</v>
      </c>
      <c r="C6823">
        <v>2000</v>
      </c>
    </row>
    <row r="6824" spans="1:11" x14ac:dyDescent="0.25">
      <c r="A6824" t="s">
        <v>86</v>
      </c>
    </row>
    <row r="6825" spans="1:11" x14ac:dyDescent="0.25">
      <c r="A6825">
        <v>155</v>
      </c>
      <c r="B6825">
        <v>1</v>
      </c>
      <c r="C6825">
        <v>0.80270253533192504</v>
      </c>
      <c r="D6825">
        <v>0.25845323383112601</v>
      </c>
      <c r="E6825">
        <v>6</v>
      </c>
      <c r="F6825">
        <v>1.01722196789785</v>
      </c>
      <c r="G6825" t="s">
        <v>87</v>
      </c>
      <c r="H6825" t="s">
        <v>87</v>
      </c>
      <c r="I6825">
        <v>120</v>
      </c>
      <c r="J6825">
        <v>807</v>
      </c>
      <c r="K6825">
        <v>0</v>
      </c>
    </row>
    <row r="6826" spans="1:11" x14ac:dyDescent="0.25">
      <c r="A6826" t="s">
        <v>85</v>
      </c>
    </row>
    <row r="6827" spans="1:11" x14ac:dyDescent="0.25">
      <c r="A6827">
        <v>24.8920185649018</v>
      </c>
      <c r="B6827">
        <v>86.756958142774707</v>
      </c>
      <c r="C6827">
        <v>2000</v>
      </c>
    </row>
    <row r="6828" spans="1:11" x14ac:dyDescent="0.25">
      <c r="A6828">
        <v>24.654999328616501</v>
      </c>
      <c r="B6828">
        <v>86.993977379059999</v>
      </c>
      <c r="C6828">
        <v>2000</v>
      </c>
    </row>
    <row r="6829" spans="1:11" x14ac:dyDescent="0.25">
      <c r="A6829">
        <v>24.654999328616501</v>
      </c>
      <c r="B6829">
        <v>87.868009427957602</v>
      </c>
      <c r="C6829">
        <v>2001</v>
      </c>
    </row>
    <row r="6830" spans="1:11" x14ac:dyDescent="0.25">
      <c r="A6830">
        <v>25.553172904348902</v>
      </c>
      <c r="B6830">
        <v>86.969835852225202</v>
      </c>
      <c r="C6830">
        <v>2001</v>
      </c>
    </row>
    <row r="6831" spans="1:11" x14ac:dyDescent="0.25">
      <c r="A6831">
        <v>25.842365793335802</v>
      </c>
      <c r="B6831">
        <v>86.680642963238398</v>
      </c>
      <c r="C6831">
        <v>2001</v>
      </c>
    </row>
    <row r="6832" spans="1:11" x14ac:dyDescent="0.25">
      <c r="A6832">
        <v>24.968333744438102</v>
      </c>
      <c r="B6832">
        <v>86.680642963238398</v>
      </c>
      <c r="C6832">
        <v>2000</v>
      </c>
    </row>
    <row r="6833" spans="1:11" x14ac:dyDescent="0.25">
      <c r="A6833" t="s">
        <v>86</v>
      </c>
    </row>
    <row r="6834" spans="1:11" x14ac:dyDescent="0.25">
      <c r="A6834">
        <v>931</v>
      </c>
      <c r="B6834">
        <v>1</v>
      </c>
      <c r="C6834">
        <v>0.68399343397658896</v>
      </c>
      <c r="D6834">
        <v>0.37716233518646203</v>
      </c>
      <c r="E6834">
        <v>6</v>
      </c>
      <c r="F6834">
        <v>1.01722196789785</v>
      </c>
      <c r="G6834" t="s">
        <v>87</v>
      </c>
      <c r="H6834" t="s">
        <v>87</v>
      </c>
      <c r="I6834">
        <v>120</v>
      </c>
      <c r="J6834">
        <v>807</v>
      </c>
      <c r="K6834">
        <v>0.118311737100288</v>
      </c>
    </row>
    <row r="6835" spans="1:11" x14ac:dyDescent="0.25">
      <c r="A6835" t="s">
        <v>85</v>
      </c>
    </row>
    <row r="6836" spans="1:11" x14ac:dyDescent="0.25">
      <c r="A6836">
        <v>27.334866707820499</v>
      </c>
      <c r="B6836">
        <v>89.269910313785701</v>
      </c>
      <c r="C6836">
        <v>2000</v>
      </c>
    </row>
    <row r="6837" spans="1:11" x14ac:dyDescent="0.25">
      <c r="A6837">
        <v>27.132899485581401</v>
      </c>
      <c r="B6837">
        <v>89.471877536024806</v>
      </c>
      <c r="C6837">
        <v>2000</v>
      </c>
    </row>
    <row r="6838" spans="1:11" x14ac:dyDescent="0.25">
      <c r="A6838">
        <v>26.258867436683801</v>
      </c>
      <c r="B6838">
        <v>89.471877536024806</v>
      </c>
      <c r="C6838">
        <v>2001</v>
      </c>
    </row>
    <row r="6839" spans="1:11" x14ac:dyDescent="0.25">
      <c r="A6839">
        <v>27.0242130053485</v>
      </c>
      <c r="B6839">
        <v>88.706531967360107</v>
      </c>
      <c r="C6839">
        <v>2001</v>
      </c>
    </row>
    <row r="6840" spans="1:11" x14ac:dyDescent="0.25">
      <c r="A6840">
        <v>27.446233901403001</v>
      </c>
      <c r="B6840">
        <v>88.284511071305602</v>
      </c>
      <c r="C6840">
        <v>2001</v>
      </c>
    </row>
    <row r="6841" spans="1:11" x14ac:dyDescent="0.25">
      <c r="A6841">
        <v>27.446233901403001</v>
      </c>
      <c r="B6841">
        <v>89.158543120203205</v>
      </c>
      <c r="C6841">
        <v>2000</v>
      </c>
    </row>
    <row r="6842" spans="1:11" x14ac:dyDescent="0.25">
      <c r="A6842" t="s">
        <v>86</v>
      </c>
    </row>
    <row r="6843" spans="1:11" x14ac:dyDescent="0.25">
      <c r="A6843">
        <v>860</v>
      </c>
      <c r="B6843">
        <v>1</v>
      </c>
      <c r="C6843">
        <v>0.16737835579568</v>
      </c>
      <c r="D6843">
        <v>0.88657570233364102</v>
      </c>
      <c r="E6843">
        <v>6</v>
      </c>
      <c r="F6843">
        <v>1.01722196789785</v>
      </c>
      <c r="G6843" t="s">
        <v>87</v>
      </c>
      <c r="H6843" t="s">
        <v>87</v>
      </c>
      <c r="I6843">
        <v>790</v>
      </c>
      <c r="J6843">
        <v>352</v>
      </c>
      <c r="K6843">
        <v>0.115643722583405</v>
      </c>
    </row>
    <row r="6844" spans="1:11" x14ac:dyDescent="0.25">
      <c r="A6844" t="s">
        <v>85</v>
      </c>
    </row>
    <row r="6845" spans="1:11" x14ac:dyDescent="0.25">
      <c r="A6845">
        <v>46.531588068567501</v>
      </c>
      <c r="B6845">
        <v>78.355409165930695</v>
      </c>
      <c r="C6845">
        <v>2000</v>
      </c>
    </row>
    <row r="6846" spans="1:11" x14ac:dyDescent="0.25">
      <c r="A6846">
        <v>46.343831219879497</v>
      </c>
      <c r="B6846">
        <v>78.543166014618805</v>
      </c>
      <c r="C6846">
        <v>2000</v>
      </c>
    </row>
    <row r="6847" spans="1:11" x14ac:dyDescent="0.25">
      <c r="A6847">
        <v>47.217863268777101</v>
      </c>
      <c r="B6847">
        <v>78.543166014618805</v>
      </c>
      <c r="C6847">
        <v>2001</v>
      </c>
    </row>
    <row r="6848" spans="1:11" x14ac:dyDescent="0.25">
      <c r="A6848">
        <v>47.266815160903001</v>
      </c>
      <c r="B6848">
        <v>78.494214122492906</v>
      </c>
      <c r="C6848">
        <v>2001</v>
      </c>
    </row>
    <row r="6849" spans="1:11" x14ac:dyDescent="0.25">
      <c r="A6849">
        <v>47.526105305890603</v>
      </c>
      <c r="B6849">
        <v>78.234923977505304</v>
      </c>
      <c r="C6849">
        <v>2001</v>
      </c>
    </row>
    <row r="6850" spans="1:11" x14ac:dyDescent="0.25">
      <c r="A6850">
        <v>47.526105305890603</v>
      </c>
      <c r="B6850">
        <v>77.3608919286076</v>
      </c>
      <c r="C6850">
        <v>2000</v>
      </c>
    </row>
    <row r="6851" spans="1:11" x14ac:dyDescent="0.25">
      <c r="A6851" t="s">
        <v>86</v>
      </c>
    </row>
    <row r="6852" spans="1:11" x14ac:dyDescent="0.25">
      <c r="A6852">
        <v>1092</v>
      </c>
      <c r="B6852">
        <v>1</v>
      </c>
      <c r="C6852">
        <v>0.28415164910531099</v>
      </c>
      <c r="D6852">
        <v>0.76980240902400299</v>
      </c>
      <c r="E6852">
        <v>6</v>
      </c>
      <c r="F6852">
        <v>1.01722196789785</v>
      </c>
      <c r="G6852" t="s">
        <v>87</v>
      </c>
      <c r="H6852" t="s">
        <v>87</v>
      </c>
      <c r="I6852">
        <v>790</v>
      </c>
      <c r="J6852">
        <v>352</v>
      </c>
      <c r="K6852">
        <v>0.123942026493586</v>
      </c>
    </row>
    <row r="6853" spans="1:11" x14ac:dyDescent="0.25">
      <c r="A6853" t="s">
        <v>85</v>
      </c>
    </row>
    <row r="6854" spans="1:11" x14ac:dyDescent="0.25">
      <c r="A6854">
        <v>0.98594042312538199</v>
      </c>
      <c r="B6854">
        <v>32.547780388477499</v>
      </c>
      <c r="C6854">
        <v>2000</v>
      </c>
    </row>
    <row r="6855" spans="1:11" x14ac:dyDescent="0.25">
      <c r="A6855">
        <v>0.66719300843178797</v>
      </c>
      <c r="B6855">
        <v>32.866527803171103</v>
      </c>
      <c r="C6855">
        <v>2000</v>
      </c>
    </row>
    <row r="6856" spans="1:11" x14ac:dyDescent="0.25">
      <c r="A6856">
        <v>0.66719300843178797</v>
      </c>
      <c r="B6856">
        <v>31.992495754273499</v>
      </c>
      <c r="C6856">
        <v>2001</v>
      </c>
    </row>
    <row r="6857" spans="1:11" x14ac:dyDescent="0.25">
      <c r="A6857">
        <v>0.75029670967360595</v>
      </c>
      <c r="B6857">
        <v>31.909392053031699</v>
      </c>
      <c r="C6857">
        <v>2001</v>
      </c>
    </row>
    <row r="6858" spans="1:11" x14ac:dyDescent="0.25">
      <c r="A6858">
        <v>0.97543504554528204</v>
      </c>
      <c r="B6858">
        <v>31.684253717160001</v>
      </c>
      <c r="C6858">
        <v>2001</v>
      </c>
    </row>
    <row r="6859" spans="1:11" x14ac:dyDescent="0.25">
      <c r="A6859">
        <v>1.8494670944429299</v>
      </c>
      <c r="B6859">
        <v>31.684253717160001</v>
      </c>
      <c r="C6859">
        <v>2000</v>
      </c>
    </row>
    <row r="6860" spans="1:11" x14ac:dyDescent="0.25">
      <c r="A6860" t="s">
        <v>86</v>
      </c>
    </row>
    <row r="6861" spans="1:11" x14ac:dyDescent="0.25">
      <c r="A6861">
        <v>1013</v>
      </c>
      <c r="B6861">
        <v>1</v>
      </c>
      <c r="C6861">
        <v>0.88400808668654196</v>
      </c>
      <c r="D6861">
        <v>0.16994597144276499</v>
      </c>
      <c r="E6861">
        <v>6</v>
      </c>
      <c r="F6861">
        <v>1.01722196789785</v>
      </c>
      <c r="G6861" t="s">
        <v>87</v>
      </c>
      <c r="H6861" t="s">
        <v>87</v>
      </c>
      <c r="I6861">
        <v>790</v>
      </c>
      <c r="J6861">
        <v>352</v>
      </c>
      <c r="K6861">
        <v>0.121125394062888</v>
      </c>
    </row>
    <row r="6862" spans="1:11" x14ac:dyDescent="0.25">
      <c r="A6862" t="s">
        <v>85</v>
      </c>
    </row>
    <row r="6863" spans="1:11" x14ac:dyDescent="0.25">
      <c r="A6863">
        <v>113.50166504502801</v>
      </c>
      <c r="B6863">
        <v>143.717725816289</v>
      </c>
      <c r="C6863">
        <v>2000</v>
      </c>
    </row>
    <row r="6864" spans="1:11" x14ac:dyDescent="0.25">
      <c r="A6864">
        <v>112.510028033289</v>
      </c>
      <c r="B6864">
        <v>144.70936282802799</v>
      </c>
      <c r="C6864">
        <v>2000</v>
      </c>
    </row>
    <row r="6865" spans="1:11" x14ac:dyDescent="0.25">
      <c r="A6865">
        <v>112.510028033289</v>
      </c>
      <c r="B6865">
        <v>143.835330779131</v>
      </c>
      <c r="C6865">
        <v>2001</v>
      </c>
    </row>
    <row r="6866" spans="1:11" x14ac:dyDescent="0.25">
      <c r="A6866">
        <v>112.76856724699</v>
      </c>
      <c r="B6866">
        <v>143.57679156543</v>
      </c>
      <c r="C6866">
        <v>2001</v>
      </c>
    </row>
    <row r="6867" spans="1:11" x14ac:dyDescent="0.25">
      <c r="A6867">
        <v>112.818270070403</v>
      </c>
      <c r="B6867">
        <v>143.52708874201701</v>
      </c>
      <c r="C6867">
        <v>2001</v>
      </c>
    </row>
    <row r="6868" spans="1:11" x14ac:dyDescent="0.25">
      <c r="A6868">
        <v>113.6923021193</v>
      </c>
      <c r="B6868">
        <v>143.52708874201701</v>
      </c>
      <c r="C6868">
        <v>2000</v>
      </c>
    </row>
    <row r="6869" spans="1:11" x14ac:dyDescent="0.25">
      <c r="A6869" t="s">
        <v>86</v>
      </c>
    </row>
    <row r="6870" spans="1:11" x14ac:dyDescent="0.25">
      <c r="A6870">
        <v>956</v>
      </c>
      <c r="B6870">
        <v>1</v>
      </c>
      <c r="C6870">
        <v>7.8459799434547506E-2</v>
      </c>
      <c r="D6870">
        <v>0.97549425869475204</v>
      </c>
      <c r="E6870">
        <v>6</v>
      </c>
      <c r="F6870">
        <v>1.01722196789785</v>
      </c>
      <c r="G6870" t="s">
        <v>87</v>
      </c>
      <c r="H6870" t="s">
        <v>87</v>
      </c>
      <c r="I6870">
        <v>790</v>
      </c>
      <c r="J6870">
        <v>352</v>
      </c>
      <c r="K6870">
        <v>0.11931529568040899</v>
      </c>
    </row>
    <row r="6871" spans="1:11" x14ac:dyDescent="0.25">
      <c r="A6871" t="s">
        <v>85</v>
      </c>
    </row>
    <row r="6872" spans="1:11" x14ac:dyDescent="0.25">
      <c r="A6872">
        <v>89.075192087517195</v>
      </c>
      <c r="B6872">
        <v>121.098502155278</v>
      </c>
      <c r="C6872">
        <v>2000</v>
      </c>
    </row>
    <row r="6873" spans="1:11" x14ac:dyDescent="0.25">
      <c r="A6873">
        <v>88.987179724027897</v>
      </c>
      <c r="B6873">
        <v>121.186514518767</v>
      </c>
      <c r="C6873">
        <v>2000</v>
      </c>
    </row>
    <row r="6874" spans="1:11" x14ac:dyDescent="0.25">
      <c r="A6874">
        <v>88.987179724027996</v>
      </c>
      <c r="B6874">
        <v>120.31248246987001</v>
      </c>
      <c r="C6874">
        <v>2001</v>
      </c>
    </row>
    <row r="6875" spans="1:11" x14ac:dyDescent="0.25">
      <c r="A6875">
        <v>89.010126273000097</v>
      </c>
      <c r="B6875">
        <v>120.289535920898</v>
      </c>
      <c r="C6875">
        <v>2001</v>
      </c>
    </row>
    <row r="6876" spans="1:11" x14ac:dyDescent="0.25">
      <c r="A6876">
        <v>89.295421761141498</v>
      </c>
      <c r="B6876">
        <v>120.00424043275601</v>
      </c>
      <c r="C6876">
        <v>2001</v>
      </c>
    </row>
    <row r="6877" spans="1:11" x14ac:dyDescent="0.25">
      <c r="A6877">
        <v>90.169453810039101</v>
      </c>
      <c r="B6877">
        <v>120.00424043275601</v>
      </c>
      <c r="C6877">
        <v>2000</v>
      </c>
    </row>
    <row r="6878" spans="1:11" x14ac:dyDescent="0.25">
      <c r="A6878" t="s">
        <v>86</v>
      </c>
    </row>
    <row r="6879" spans="1:11" x14ac:dyDescent="0.25">
      <c r="A6879">
        <v>479</v>
      </c>
      <c r="B6879">
        <v>1</v>
      </c>
      <c r="C6879">
        <v>0.39201104858677699</v>
      </c>
      <c r="D6879">
        <v>0.66194300954252205</v>
      </c>
      <c r="E6879">
        <v>6</v>
      </c>
      <c r="F6879">
        <v>1.01722196789785</v>
      </c>
      <c r="G6879" t="s">
        <v>87</v>
      </c>
      <c r="H6879" t="s">
        <v>87</v>
      </c>
      <c r="I6879">
        <v>790</v>
      </c>
      <c r="J6879">
        <v>352</v>
      </c>
      <c r="K6879">
        <v>0</v>
      </c>
    </row>
    <row r="6880" spans="1:11" x14ac:dyDescent="0.25">
      <c r="A6880" t="s">
        <v>85</v>
      </c>
    </row>
    <row r="6881" spans="1:11" x14ac:dyDescent="0.25">
      <c r="A6881">
        <v>76.578755714815401</v>
      </c>
      <c r="B6881">
        <v>107.898612887927</v>
      </c>
      <c r="C6881">
        <v>2000</v>
      </c>
    </row>
    <row r="6882" spans="1:11" x14ac:dyDescent="0.25">
      <c r="A6882">
        <v>76.139016904001593</v>
      </c>
      <c r="B6882">
        <v>108.33835169874099</v>
      </c>
      <c r="C6882">
        <v>2000</v>
      </c>
    </row>
    <row r="6883" spans="1:11" x14ac:dyDescent="0.25">
      <c r="A6883">
        <v>76.139016904001593</v>
      </c>
      <c r="B6883">
        <v>107.46431964984301</v>
      </c>
      <c r="C6883">
        <v>2001</v>
      </c>
    </row>
    <row r="6884" spans="1:11" x14ac:dyDescent="0.25">
      <c r="A6884">
        <v>76.2536654346993</v>
      </c>
      <c r="B6884">
        <v>107.349671119146</v>
      </c>
      <c r="C6884">
        <v>2001</v>
      </c>
    </row>
    <row r="6885" spans="1:11" x14ac:dyDescent="0.25">
      <c r="A6885">
        <v>76.447258941115095</v>
      </c>
      <c r="B6885">
        <v>107.15607761273</v>
      </c>
      <c r="C6885">
        <v>2001</v>
      </c>
    </row>
    <row r="6886" spans="1:11" x14ac:dyDescent="0.25">
      <c r="A6886">
        <v>77.321290990012699</v>
      </c>
      <c r="B6886">
        <v>107.15607761273</v>
      </c>
      <c r="C6886">
        <v>2000</v>
      </c>
    </row>
    <row r="6887" spans="1:11" x14ac:dyDescent="0.25">
      <c r="A6887" t="s">
        <v>86</v>
      </c>
    </row>
    <row r="6888" spans="1:11" x14ac:dyDescent="0.25">
      <c r="A6888">
        <v>1146</v>
      </c>
      <c r="B6888">
        <v>1</v>
      </c>
      <c r="C6888">
        <v>0.642982031423603</v>
      </c>
      <c r="D6888">
        <v>0.41097202670569599</v>
      </c>
      <c r="E6888">
        <v>6</v>
      </c>
      <c r="F6888">
        <v>1.01722196789785</v>
      </c>
      <c r="G6888" t="s">
        <v>87</v>
      </c>
      <c r="H6888" t="s">
        <v>87</v>
      </c>
      <c r="I6888">
        <v>790</v>
      </c>
      <c r="J6888">
        <v>352</v>
      </c>
      <c r="K6888">
        <v>0.12417311997009001</v>
      </c>
    </row>
    <row r="6889" spans="1:11" x14ac:dyDescent="0.25">
      <c r="A6889" t="s">
        <v>85</v>
      </c>
    </row>
    <row r="6890" spans="1:11" x14ac:dyDescent="0.25">
      <c r="A6890">
        <v>94.5332037245674</v>
      </c>
      <c r="B6890">
        <v>125.290006963667</v>
      </c>
      <c r="C6890">
        <v>2000</v>
      </c>
    </row>
    <row r="6891" spans="1:11" x14ac:dyDescent="0.25">
      <c r="A6891">
        <v>93.811937946747605</v>
      </c>
      <c r="B6891">
        <v>126.01127274148701</v>
      </c>
      <c r="C6891">
        <v>2000</v>
      </c>
    </row>
    <row r="6892" spans="1:11" x14ac:dyDescent="0.25">
      <c r="A6892">
        <v>94.685969995645195</v>
      </c>
      <c r="B6892">
        <v>126.01127274148701</v>
      </c>
      <c r="C6892">
        <v>2001</v>
      </c>
    </row>
    <row r="6893" spans="1:11" x14ac:dyDescent="0.25">
      <c r="A6893">
        <v>94.874018127026901</v>
      </c>
      <c r="B6893">
        <v>125.823224610105</v>
      </c>
      <c r="C6893">
        <v>2001</v>
      </c>
    </row>
    <row r="6894" spans="1:11" x14ac:dyDescent="0.25">
      <c r="A6894">
        <v>94.994212032758696</v>
      </c>
      <c r="B6894">
        <v>125.70303070437301</v>
      </c>
      <c r="C6894">
        <v>2001</v>
      </c>
    </row>
    <row r="6895" spans="1:11" x14ac:dyDescent="0.25">
      <c r="A6895">
        <v>94.994212032758696</v>
      </c>
      <c r="B6895">
        <v>124.828998655476</v>
      </c>
      <c r="C6895">
        <v>2000</v>
      </c>
    </row>
    <row r="6896" spans="1:11" x14ac:dyDescent="0.25">
      <c r="A6896" t="s">
        <v>86</v>
      </c>
    </row>
    <row r="6897" spans="1:11" x14ac:dyDescent="0.25">
      <c r="A6897">
        <v>1098</v>
      </c>
      <c r="B6897">
        <v>1</v>
      </c>
      <c r="C6897">
        <v>0.70025034602624103</v>
      </c>
      <c r="D6897">
        <v>0.35370371210305901</v>
      </c>
      <c r="E6897">
        <v>6</v>
      </c>
      <c r="F6897">
        <v>1.01722196789785</v>
      </c>
      <c r="G6897" t="s">
        <v>87</v>
      </c>
      <c r="H6897" t="s">
        <v>87</v>
      </c>
      <c r="I6897">
        <v>790</v>
      </c>
      <c r="J6897">
        <v>352</v>
      </c>
      <c r="K6897">
        <v>0.123942026493586</v>
      </c>
    </row>
    <row r="6898" spans="1:11" x14ac:dyDescent="0.25">
      <c r="A6898" t="s">
        <v>85</v>
      </c>
    </row>
    <row r="6899" spans="1:11" x14ac:dyDescent="0.25">
      <c r="A6899">
        <v>81.735636261684604</v>
      </c>
      <c r="B6899">
        <v>112.36395791511799</v>
      </c>
      <c r="C6899">
        <v>2000</v>
      </c>
    </row>
    <row r="6900" spans="1:11" x14ac:dyDescent="0.25">
      <c r="A6900">
        <v>80.950129691031407</v>
      </c>
      <c r="B6900">
        <v>113.14946448577101</v>
      </c>
      <c r="C6900">
        <v>2000</v>
      </c>
    </row>
    <row r="6901" spans="1:11" x14ac:dyDescent="0.25">
      <c r="A6901">
        <v>81.824161739929096</v>
      </c>
      <c r="B6901">
        <v>113.14946448577101</v>
      </c>
      <c r="C6901">
        <v>2001</v>
      </c>
    </row>
    <row r="6902" spans="1:11" x14ac:dyDescent="0.25">
      <c r="A6902">
        <v>82.028958705682697</v>
      </c>
      <c r="B6902">
        <v>112.94466752001701</v>
      </c>
      <c r="C6902">
        <v>2001</v>
      </c>
    </row>
    <row r="6903" spans="1:11" x14ac:dyDescent="0.25">
      <c r="A6903">
        <v>82.132403777042597</v>
      </c>
      <c r="B6903">
        <v>112.84122244865701</v>
      </c>
      <c r="C6903">
        <v>2001</v>
      </c>
    </row>
    <row r="6904" spans="1:11" x14ac:dyDescent="0.25">
      <c r="A6904">
        <v>82.132403777042597</v>
      </c>
      <c r="B6904">
        <v>111.96719039976</v>
      </c>
      <c r="C6904">
        <v>2000</v>
      </c>
    </row>
    <row r="6905" spans="1:11" x14ac:dyDescent="0.25">
      <c r="A6905" t="s">
        <v>86</v>
      </c>
    </row>
    <row r="6906" spans="1:11" x14ac:dyDescent="0.25">
      <c r="A6906">
        <v>705</v>
      </c>
      <c r="B6906">
        <v>1</v>
      </c>
      <c r="C6906">
        <v>0.37094993910385898</v>
      </c>
      <c r="D6906">
        <v>0.68041368481125597</v>
      </c>
      <c r="E6906">
        <v>6</v>
      </c>
      <c r="F6906">
        <v>1.01722196789785</v>
      </c>
      <c r="G6906" t="s">
        <v>87</v>
      </c>
      <c r="H6906" t="s">
        <v>87</v>
      </c>
      <c r="I6906">
        <v>843</v>
      </c>
      <c r="J6906">
        <v>857</v>
      </c>
      <c r="K6906">
        <v>0</v>
      </c>
    </row>
    <row r="6907" spans="1:11" x14ac:dyDescent="0.25">
      <c r="A6907" t="s">
        <v>85</v>
      </c>
    </row>
    <row r="6908" spans="1:11" x14ac:dyDescent="0.25">
      <c r="A6908">
        <v>75.322918873430595</v>
      </c>
      <c r="B6908">
        <v>17.176483467312401</v>
      </c>
      <c r="C6908">
        <v>2000</v>
      </c>
    </row>
    <row r="6909" spans="1:11" x14ac:dyDescent="0.25">
      <c r="A6909">
        <v>75.060617656009597</v>
      </c>
      <c r="B6909">
        <v>17.438784684733498</v>
      </c>
      <c r="C6909">
        <v>2000</v>
      </c>
    </row>
    <row r="6910" spans="1:11" x14ac:dyDescent="0.25">
      <c r="A6910">
        <v>75.060617656009597</v>
      </c>
      <c r="B6910">
        <v>18.312816733631099</v>
      </c>
      <c r="C6910">
        <v>2001</v>
      </c>
    </row>
    <row r="6911" spans="1:11" x14ac:dyDescent="0.25">
      <c r="A6911">
        <v>75.322918873430595</v>
      </c>
      <c r="B6911">
        <v>18.050515516210002</v>
      </c>
      <c r="C6911">
        <v>2001</v>
      </c>
    </row>
    <row r="6912" spans="1:11" x14ac:dyDescent="0.25">
      <c r="A6912">
        <v>75.804044003972805</v>
      </c>
      <c r="B6912">
        <v>17.569390385667901</v>
      </c>
      <c r="C6912">
        <v>2001</v>
      </c>
    </row>
    <row r="6913" spans="1:11" x14ac:dyDescent="0.25">
      <c r="A6913">
        <v>75.804044003972805</v>
      </c>
      <c r="B6913">
        <v>16.695358336770202</v>
      </c>
      <c r="C6913">
        <v>2000</v>
      </c>
    </row>
    <row r="6914" spans="1:11" x14ac:dyDescent="0.25">
      <c r="A6914" t="s">
        <v>86</v>
      </c>
    </row>
    <row r="6915" spans="1:11" x14ac:dyDescent="0.25">
      <c r="A6915">
        <v>719</v>
      </c>
      <c r="B6915">
        <v>1</v>
      </c>
      <c r="C6915">
        <v>1.0356026123437501</v>
      </c>
      <c r="D6915">
        <v>1.5761011571363798E-2</v>
      </c>
      <c r="E6915">
        <v>6</v>
      </c>
      <c r="F6915">
        <v>1.01722196789785</v>
      </c>
      <c r="G6915" t="s">
        <v>87</v>
      </c>
      <c r="H6915" t="s">
        <v>87</v>
      </c>
      <c r="I6915">
        <v>843</v>
      </c>
      <c r="J6915">
        <v>857</v>
      </c>
      <c r="K6915">
        <v>0</v>
      </c>
    </row>
    <row r="6916" spans="1:11" x14ac:dyDescent="0.25">
      <c r="A6916" t="s">
        <v>85</v>
      </c>
    </row>
    <row r="6917" spans="1:11" x14ac:dyDescent="0.25">
      <c r="A6917">
        <v>97.689204052402602</v>
      </c>
      <c r="B6917">
        <v>38.602807821520997</v>
      </c>
      <c r="C6917">
        <v>2000</v>
      </c>
    </row>
    <row r="6918" spans="1:11" x14ac:dyDescent="0.25">
      <c r="A6918">
        <v>96.956922422599902</v>
      </c>
      <c r="B6918">
        <v>39.335089451323803</v>
      </c>
      <c r="C6918">
        <v>2000</v>
      </c>
    </row>
    <row r="6919" spans="1:11" x14ac:dyDescent="0.25">
      <c r="A6919">
        <v>96.082890373702199</v>
      </c>
      <c r="B6919">
        <v>39.335089451323803</v>
      </c>
      <c r="C6919">
        <v>2001</v>
      </c>
    </row>
    <row r="6920" spans="1:11" x14ac:dyDescent="0.25">
      <c r="A6920">
        <v>96.815172003504998</v>
      </c>
      <c r="B6920">
        <v>38.602807821520997</v>
      </c>
      <c r="C6920">
        <v>2001</v>
      </c>
    </row>
    <row r="6921" spans="1:11" x14ac:dyDescent="0.25">
      <c r="A6921">
        <v>96.826316721665506</v>
      </c>
      <c r="B6921">
        <v>38.591663103360503</v>
      </c>
      <c r="C6921">
        <v>2001</v>
      </c>
    </row>
    <row r="6922" spans="1:11" x14ac:dyDescent="0.25">
      <c r="A6922">
        <v>97.700348770563096</v>
      </c>
      <c r="B6922">
        <v>38.591663103360503</v>
      </c>
      <c r="C6922">
        <v>2000</v>
      </c>
    </row>
    <row r="6923" spans="1:11" x14ac:dyDescent="0.25">
      <c r="A6923" t="s">
        <v>86</v>
      </c>
    </row>
    <row r="6924" spans="1:11" x14ac:dyDescent="0.25">
      <c r="A6924">
        <v>1038</v>
      </c>
      <c r="B6924">
        <v>1</v>
      </c>
      <c r="C6924">
        <v>0.51135134838972396</v>
      </c>
      <c r="D6924">
        <v>0.53956253901705498</v>
      </c>
      <c r="E6924">
        <v>6</v>
      </c>
      <c r="F6924">
        <v>1.01722196789785</v>
      </c>
      <c r="G6924" t="s">
        <v>87</v>
      </c>
      <c r="H6924" t="s">
        <v>87</v>
      </c>
      <c r="I6924">
        <v>845</v>
      </c>
      <c r="J6924">
        <v>768</v>
      </c>
      <c r="K6924">
        <v>0.122473809508668</v>
      </c>
    </row>
    <row r="6925" spans="1:11" x14ac:dyDescent="0.25">
      <c r="A6925" t="s">
        <v>85</v>
      </c>
    </row>
    <row r="6926" spans="1:11" x14ac:dyDescent="0.25">
      <c r="A6926">
        <v>28.078056857482899</v>
      </c>
      <c r="B6926">
        <v>137.03496663925901</v>
      </c>
      <c r="C6926">
        <v>2000</v>
      </c>
    </row>
    <row r="6927" spans="1:11" x14ac:dyDescent="0.25">
      <c r="A6927">
        <v>27.716476851467601</v>
      </c>
      <c r="B6927">
        <v>137.39654664527501</v>
      </c>
      <c r="C6927">
        <v>2000</v>
      </c>
    </row>
    <row r="6928" spans="1:11" x14ac:dyDescent="0.25">
      <c r="A6928">
        <v>26.84244480257</v>
      </c>
      <c r="B6928">
        <v>137.39654664527501</v>
      </c>
      <c r="C6928">
        <v>2001</v>
      </c>
    </row>
    <row r="6929" spans="1:11" x14ac:dyDescent="0.25">
      <c r="A6929">
        <v>27.204024808585299</v>
      </c>
      <c r="B6929">
        <v>137.03496663925901</v>
      </c>
      <c r="C6929">
        <v>2001</v>
      </c>
    </row>
    <row r="6930" spans="1:11" x14ac:dyDescent="0.25">
      <c r="A6930">
        <v>27.585553138798399</v>
      </c>
      <c r="B6930">
        <v>136.65343830904601</v>
      </c>
      <c r="C6930">
        <v>2001</v>
      </c>
    </row>
    <row r="6931" spans="1:11" x14ac:dyDescent="0.25">
      <c r="A6931">
        <v>28.459585187696099</v>
      </c>
      <c r="B6931">
        <v>136.65343830904601</v>
      </c>
      <c r="C6931">
        <v>2000</v>
      </c>
    </row>
    <row r="6932" spans="1:11" x14ac:dyDescent="0.25">
      <c r="A6932" t="s">
        <v>86</v>
      </c>
    </row>
    <row r="6933" spans="1:11" x14ac:dyDescent="0.25">
      <c r="A6933">
        <v>947</v>
      </c>
      <c r="B6933">
        <v>1</v>
      </c>
      <c r="C6933">
        <v>0.33837118251595699</v>
      </c>
      <c r="D6933">
        <v>0.70892187901176795</v>
      </c>
      <c r="E6933">
        <v>6</v>
      </c>
      <c r="F6933">
        <v>1.01722196789785</v>
      </c>
      <c r="G6933" t="s">
        <v>87</v>
      </c>
      <c r="H6933" t="s">
        <v>87</v>
      </c>
      <c r="I6933">
        <v>786</v>
      </c>
      <c r="J6933">
        <v>182</v>
      </c>
      <c r="K6933">
        <v>0.118311737100288</v>
      </c>
    </row>
    <row r="6934" spans="1:11" x14ac:dyDescent="0.25">
      <c r="A6934" t="s">
        <v>85</v>
      </c>
    </row>
    <row r="6935" spans="1:11" x14ac:dyDescent="0.25">
      <c r="A6935">
        <v>36.161456006188601</v>
      </c>
      <c r="B6935">
        <v>132.08133715256099</v>
      </c>
      <c r="C6935">
        <v>2000</v>
      </c>
    </row>
    <row r="6936" spans="1:11" x14ac:dyDescent="0.25">
      <c r="A6936">
        <v>35.922191448473399</v>
      </c>
      <c r="B6936">
        <v>132.320601710277</v>
      </c>
      <c r="C6936">
        <v>2000</v>
      </c>
    </row>
    <row r="6937" spans="1:11" x14ac:dyDescent="0.25">
      <c r="A6937">
        <v>35.922191448473498</v>
      </c>
      <c r="B6937">
        <v>133.194633759174</v>
      </c>
      <c r="C6937">
        <v>2001</v>
      </c>
    </row>
    <row r="6938" spans="1:11" x14ac:dyDescent="0.25">
      <c r="A6938">
        <v>36.161456006188601</v>
      </c>
      <c r="B6938">
        <v>132.95536920145901</v>
      </c>
      <c r="C6938">
        <v>2001</v>
      </c>
    </row>
    <row r="6939" spans="1:11" x14ac:dyDescent="0.25">
      <c r="A6939">
        <v>36.6627394741693</v>
      </c>
      <c r="B6939">
        <v>132.454085733478</v>
      </c>
      <c r="C6939">
        <v>2001</v>
      </c>
    </row>
    <row r="6940" spans="1:11" x14ac:dyDescent="0.25">
      <c r="A6940">
        <v>36.6627394741693</v>
      </c>
      <c r="B6940">
        <v>131.580053684581</v>
      </c>
      <c r="C6940">
        <v>2000</v>
      </c>
    </row>
    <row r="6941" spans="1:11" x14ac:dyDescent="0.25">
      <c r="A6941" t="s">
        <v>86</v>
      </c>
    </row>
    <row r="6942" spans="1:11" x14ac:dyDescent="0.25">
      <c r="A6942">
        <v>1129</v>
      </c>
      <c r="B6942">
        <v>1</v>
      </c>
      <c r="C6942">
        <v>0.92652936716092404</v>
      </c>
      <c r="D6942">
        <v>0.120763694366801</v>
      </c>
      <c r="E6942">
        <v>6</v>
      </c>
      <c r="F6942">
        <v>1.01722196789785</v>
      </c>
      <c r="G6942" t="s">
        <v>87</v>
      </c>
      <c r="H6942" t="s">
        <v>87</v>
      </c>
      <c r="I6942">
        <v>786</v>
      </c>
      <c r="J6942">
        <v>182</v>
      </c>
      <c r="K6942">
        <v>0.124625009531664</v>
      </c>
    </row>
    <row r="6943" spans="1:11" x14ac:dyDescent="0.25">
      <c r="A6943" t="s">
        <v>85</v>
      </c>
    </row>
    <row r="6944" spans="1:11" x14ac:dyDescent="0.25">
      <c r="A6944">
        <v>34.242286118325801</v>
      </c>
      <c r="B6944">
        <v>129.33038598315301</v>
      </c>
      <c r="C6944">
        <v>2000</v>
      </c>
    </row>
    <row r="6945" spans="1:11" x14ac:dyDescent="0.25">
      <c r="A6945">
        <v>33.587130919837897</v>
      </c>
      <c r="B6945">
        <v>129.985541181641</v>
      </c>
      <c r="C6945">
        <v>2000</v>
      </c>
    </row>
    <row r="6946" spans="1:11" x14ac:dyDescent="0.25">
      <c r="A6946">
        <v>33.587130919837897</v>
      </c>
      <c r="B6946">
        <v>130.85957323053901</v>
      </c>
      <c r="C6946">
        <v>2001</v>
      </c>
    </row>
    <row r="6947" spans="1:11" x14ac:dyDescent="0.25">
      <c r="A6947">
        <v>34.2422861183259</v>
      </c>
      <c r="B6947">
        <v>130.204418032051</v>
      </c>
      <c r="C6947">
        <v>2001</v>
      </c>
    </row>
    <row r="6948" spans="1:11" x14ac:dyDescent="0.25">
      <c r="A6948">
        <v>34.327678945533798</v>
      </c>
      <c r="B6948">
        <v>130.11902520484301</v>
      </c>
      <c r="C6948">
        <v>2001</v>
      </c>
    </row>
    <row r="6949" spans="1:11" x14ac:dyDescent="0.25">
      <c r="A6949">
        <v>34.327678945533698</v>
      </c>
      <c r="B6949">
        <v>129.244993155945</v>
      </c>
      <c r="C6949">
        <v>2000</v>
      </c>
    </row>
    <row r="6950" spans="1:11" x14ac:dyDescent="0.25">
      <c r="A6950" t="s">
        <v>86</v>
      </c>
    </row>
    <row r="6951" spans="1:11" x14ac:dyDescent="0.25">
      <c r="A6951">
        <v>892</v>
      </c>
      <c r="B6951">
        <v>1</v>
      </c>
      <c r="C6951">
        <v>0.29629568728290701</v>
      </c>
      <c r="D6951">
        <v>0.75099737424481805</v>
      </c>
      <c r="E6951">
        <v>6</v>
      </c>
      <c r="F6951">
        <v>1.01722196789785</v>
      </c>
      <c r="G6951" t="s">
        <v>87</v>
      </c>
      <c r="H6951" t="s">
        <v>87</v>
      </c>
      <c r="I6951">
        <v>786</v>
      </c>
      <c r="J6951">
        <v>182</v>
      </c>
      <c r="K6951">
        <v>0.115643722583405</v>
      </c>
    </row>
    <row r="6952" spans="1:11" x14ac:dyDescent="0.25">
      <c r="A6952" t="s">
        <v>85</v>
      </c>
    </row>
    <row r="6953" spans="1:11" x14ac:dyDescent="0.25">
      <c r="A6953">
        <v>29.403803290055901</v>
      </c>
      <c r="B6953">
        <v>125.38318817243101</v>
      </c>
      <c r="C6953">
        <v>2000</v>
      </c>
    </row>
    <row r="6954" spans="1:11" x14ac:dyDescent="0.25">
      <c r="A6954">
        <v>29.194290600341901</v>
      </c>
      <c r="B6954">
        <v>125.59270086214499</v>
      </c>
      <c r="C6954">
        <v>2000</v>
      </c>
    </row>
    <row r="6955" spans="1:11" x14ac:dyDescent="0.25">
      <c r="A6955">
        <v>29.194290600341901</v>
      </c>
      <c r="B6955">
        <v>126.466732911043</v>
      </c>
      <c r="C6955">
        <v>2001</v>
      </c>
    </row>
    <row r="6956" spans="1:11" x14ac:dyDescent="0.25">
      <c r="A6956">
        <v>29.403803290055901</v>
      </c>
      <c r="B6956">
        <v>126.25722022132901</v>
      </c>
      <c r="C6956">
        <v>2001</v>
      </c>
    </row>
    <row r="6957" spans="1:11" x14ac:dyDescent="0.25">
      <c r="A6957">
        <v>29.934838626037699</v>
      </c>
      <c r="B6957">
        <v>125.726184885347</v>
      </c>
      <c r="C6957">
        <v>2001</v>
      </c>
    </row>
    <row r="6958" spans="1:11" x14ac:dyDescent="0.25">
      <c r="A6958">
        <v>29.934838626037699</v>
      </c>
      <c r="B6958">
        <v>124.85215283644899</v>
      </c>
      <c r="C6958">
        <v>2000</v>
      </c>
    </row>
    <row r="6959" spans="1:11" x14ac:dyDescent="0.25">
      <c r="A6959" t="s">
        <v>86</v>
      </c>
    </row>
    <row r="6960" spans="1:11" x14ac:dyDescent="0.25">
      <c r="A6960">
        <v>1120</v>
      </c>
      <c r="B6960">
        <v>1</v>
      </c>
      <c r="C6960">
        <v>7.8619051960288303E-2</v>
      </c>
      <c r="D6960">
        <v>0.95582096590855803</v>
      </c>
      <c r="E6960">
        <v>6</v>
      </c>
      <c r="F6960">
        <v>1.01722196789785</v>
      </c>
      <c r="G6960" t="s">
        <v>87</v>
      </c>
      <c r="H6960" t="s">
        <v>87</v>
      </c>
      <c r="I6960">
        <v>832</v>
      </c>
      <c r="J6960">
        <v>671</v>
      </c>
      <c r="K6960">
        <v>0.12440073496922301</v>
      </c>
    </row>
    <row r="6961" spans="1:11" x14ac:dyDescent="0.25">
      <c r="A6961" t="s">
        <v>85</v>
      </c>
    </row>
    <row r="6962" spans="1:11" x14ac:dyDescent="0.25">
      <c r="A6962">
        <v>115.778931437151</v>
      </c>
      <c r="B6962">
        <v>30.679261669630002</v>
      </c>
      <c r="C6962">
        <v>2000</v>
      </c>
    </row>
    <row r="6963" spans="1:11" x14ac:dyDescent="0.25">
      <c r="A6963">
        <v>115.69012547409601</v>
      </c>
      <c r="B6963">
        <v>30.7680676326849</v>
      </c>
      <c r="C6963">
        <v>2000</v>
      </c>
    </row>
    <row r="6964" spans="1:11" x14ac:dyDescent="0.25">
      <c r="A6964">
        <v>115.69012547409601</v>
      </c>
      <c r="B6964">
        <v>29.8940355837873</v>
      </c>
      <c r="C6964">
        <v>2001</v>
      </c>
    </row>
    <row r="6965" spans="1:11" x14ac:dyDescent="0.25">
      <c r="A6965">
        <v>115.712503640585</v>
      </c>
      <c r="B6965">
        <v>29.871657417298898</v>
      </c>
      <c r="C6965">
        <v>2001</v>
      </c>
    </row>
    <row r="6966" spans="1:11" x14ac:dyDescent="0.25">
      <c r="A6966">
        <v>115.984569001013</v>
      </c>
      <c r="B6966">
        <v>29.5995920568703</v>
      </c>
      <c r="C6966">
        <v>2001</v>
      </c>
    </row>
    <row r="6967" spans="1:11" x14ac:dyDescent="0.25">
      <c r="A6967">
        <v>116.858601049911</v>
      </c>
      <c r="B6967">
        <v>29.5995920568703</v>
      </c>
      <c r="C6967">
        <v>2000</v>
      </c>
    </row>
    <row r="6968" spans="1:11" x14ac:dyDescent="0.25">
      <c r="A6968" t="s">
        <v>86</v>
      </c>
    </row>
    <row r="6969" spans="1:11" x14ac:dyDescent="0.25">
      <c r="A6969">
        <v>984</v>
      </c>
      <c r="B6969">
        <v>1</v>
      </c>
      <c r="C6969">
        <v>8.8110983230521397E-2</v>
      </c>
      <c r="D6969">
        <v>0.92922113491137304</v>
      </c>
      <c r="E6969">
        <v>6</v>
      </c>
      <c r="F6969">
        <v>1.01722196789785</v>
      </c>
      <c r="G6969" t="s">
        <v>87</v>
      </c>
      <c r="H6969" t="s">
        <v>83</v>
      </c>
      <c r="I6969">
        <v>507</v>
      </c>
      <c r="J6969">
        <v>0</v>
      </c>
      <c r="K6969">
        <v>0.119945352050412</v>
      </c>
    </row>
    <row r="6970" spans="1:11" x14ac:dyDescent="0.25">
      <c r="A6970" t="s">
        <v>85</v>
      </c>
    </row>
    <row r="6971" spans="1:11" x14ac:dyDescent="0.25">
      <c r="A6971">
        <v>148.94377530262199</v>
      </c>
      <c r="B6971">
        <v>27.901443874974699</v>
      </c>
      <c r="C6971">
        <v>2000</v>
      </c>
    </row>
    <row r="6972" spans="1:11" x14ac:dyDescent="0.25">
      <c r="A6972">
        <v>148.84362153609399</v>
      </c>
      <c r="B6972">
        <v>28.0015976415023</v>
      </c>
      <c r="C6972">
        <v>2000</v>
      </c>
    </row>
    <row r="6973" spans="1:11" x14ac:dyDescent="0.25">
      <c r="A6973">
        <v>149.71765358499201</v>
      </c>
      <c r="B6973">
        <v>28.0015976415023</v>
      </c>
      <c r="C6973">
        <v>2001</v>
      </c>
    </row>
    <row r="6974" spans="1:11" x14ac:dyDescent="0.25">
      <c r="A6974">
        <v>149.742107565943</v>
      </c>
      <c r="B6974">
        <v>27.977143660551199</v>
      </c>
      <c r="C6974">
        <v>2001</v>
      </c>
    </row>
    <row r="6975" spans="1:11" x14ac:dyDescent="0.25">
      <c r="A6975">
        <v>150</v>
      </c>
      <c r="B6975">
        <v>27.719251226494102</v>
      </c>
      <c r="C6975">
        <v>2001</v>
      </c>
    </row>
    <row r="6976" spans="1:11" x14ac:dyDescent="0.25">
      <c r="A6976">
        <v>150</v>
      </c>
      <c r="B6976">
        <v>26.845219177596402</v>
      </c>
      <c r="C6976">
        <v>2000</v>
      </c>
    </row>
    <row r="6977" spans="1:11" x14ac:dyDescent="0.25">
      <c r="A6977" t="s">
        <v>86</v>
      </c>
    </row>
    <row r="6978" spans="1:11" x14ac:dyDescent="0.25">
      <c r="A6978">
        <v>1053</v>
      </c>
      <c r="B6978">
        <v>1</v>
      </c>
      <c r="C6978">
        <v>0.36671801684827798</v>
      </c>
      <c r="D6978">
        <v>0.64746439815580803</v>
      </c>
      <c r="E6978">
        <v>6</v>
      </c>
      <c r="F6978">
        <v>1.01722196789785</v>
      </c>
      <c r="G6978" t="s">
        <v>87</v>
      </c>
      <c r="H6978" t="s">
        <v>87</v>
      </c>
      <c r="I6978">
        <v>837</v>
      </c>
      <c r="J6978">
        <v>743</v>
      </c>
      <c r="K6978">
        <v>0.12221412765037699</v>
      </c>
    </row>
    <row r="6979" spans="1:11" x14ac:dyDescent="0.25">
      <c r="A6979" t="s">
        <v>85</v>
      </c>
    </row>
    <row r="6980" spans="1:11" x14ac:dyDescent="0.25">
      <c r="A6980">
        <v>74.345796672824903</v>
      </c>
      <c r="B6980">
        <v>115.392631861071</v>
      </c>
      <c r="C6980">
        <v>2000</v>
      </c>
    </row>
    <row r="6981" spans="1:11" x14ac:dyDescent="0.25">
      <c r="A6981">
        <v>73.928467339346</v>
      </c>
      <c r="B6981">
        <v>115.80996119455</v>
      </c>
      <c r="C6981">
        <v>2000</v>
      </c>
    </row>
    <row r="6982" spans="1:11" x14ac:dyDescent="0.25">
      <c r="A6982">
        <v>74.802499388243703</v>
      </c>
      <c r="B6982">
        <v>115.80996119455</v>
      </c>
      <c r="C6982">
        <v>2001</v>
      </c>
    </row>
    <row r="6983" spans="1:11" x14ac:dyDescent="0.25">
      <c r="A6983">
        <v>74.903787647758193</v>
      </c>
      <c r="B6983">
        <v>115.708672935035</v>
      </c>
      <c r="C6983">
        <v>2001</v>
      </c>
    </row>
    <row r="6984" spans="1:11" x14ac:dyDescent="0.25">
      <c r="A6984">
        <v>75.082618626804404</v>
      </c>
      <c r="B6984">
        <v>115.529841955989</v>
      </c>
      <c r="C6984">
        <v>2001</v>
      </c>
    </row>
    <row r="6985" spans="1:11" x14ac:dyDescent="0.25">
      <c r="A6985">
        <v>75.082618626804404</v>
      </c>
      <c r="B6985">
        <v>114.655809907091</v>
      </c>
      <c r="C6985">
        <v>2000</v>
      </c>
    </row>
    <row r="6986" spans="1:11" x14ac:dyDescent="0.25">
      <c r="A6986" t="s">
        <v>86</v>
      </c>
    </row>
    <row r="6987" spans="1:11" x14ac:dyDescent="0.25">
      <c r="A6987">
        <v>466</v>
      </c>
      <c r="B6987">
        <v>1</v>
      </c>
      <c r="C6987">
        <v>0.38080520584289701</v>
      </c>
      <c r="D6987">
        <v>0.62370928187110097</v>
      </c>
      <c r="E6987">
        <v>6</v>
      </c>
      <c r="F6987">
        <v>1.01722196789785</v>
      </c>
      <c r="G6987" t="s">
        <v>87</v>
      </c>
      <c r="H6987" t="s">
        <v>87</v>
      </c>
      <c r="I6987">
        <v>426</v>
      </c>
      <c r="J6987">
        <v>828</v>
      </c>
      <c r="K6987">
        <v>0</v>
      </c>
    </row>
    <row r="6988" spans="1:11" x14ac:dyDescent="0.25">
      <c r="A6988" t="s">
        <v>85</v>
      </c>
    </row>
    <row r="6989" spans="1:11" x14ac:dyDescent="0.25">
      <c r="A6989">
        <v>67.877673780945301</v>
      </c>
      <c r="B6989">
        <v>143.66183714878801</v>
      </c>
      <c r="C6989">
        <v>2000</v>
      </c>
    </row>
    <row r="6990" spans="1:11" x14ac:dyDescent="0.25">
      <c r="A6990">
        <v>67.608403837582699</v>
      </c>
      <c r="B6990">
        <v>143.931107092151</v>
      </c>
      <c r="C6990">
        <v>2000</v>
      </c>
    </row>
    <row r="6991" spans="1:11" x14ac:dyDescent="0.25">
      <c r="A6991">
        <v>66.734371788684996</v>
      </c>
      <c r="B6991">
        <v>143.931107092151</v>
      </c>
      <c r="C6991">
        <v>2001</v>
      </c>
    </row>
    <row r="6992" spans="1:11" x14ac:dyDescent="0.25">
      <c r="A6992">
        <v>67.003641732047697</v>
      </c>
      <c r="B6992">
        <v>143.66183714878801</v>
      </c>
      <c r="C6992">
        <v>2001</v>
      </c>
    </row>
    <row r="6993" spans="1:11" x14ac:dyDescent="0.25">
      <c r="A6993">
        <v>67.444670794747694</v>
      </c>
      <c r="B6993">
        <v>143.220808086088</v>
      </c>
      <c r="C6993">
        <v>2001</v>
      </c>
    </row>
    <row r="6994" spans="1:11" x14ac:dyDescent="0.25">
      <c r="A6994">
        <v>68.318702843645397</v>
      </c>
      <c r="B6994">
        <v>143.220808086088</v>
      </c>
      <c r="C6994">
        <v>2000</v>
      </c>
    </row>
    <row r="6995" spans="1:11" x14ac:dyDescent="0.25">
      <c r="A6995" t="s">
        <v>86</v>
      </c>
    </row>
    <row r="6996" spans="1:11" x14ac:dyDescent="0.25">
      <c r="A6996">
        <v>468</v>
      </c>
      <c r="B6996">
        <v>1</v>
      </c>
      <c r="C6996">
        <v>0.26384766824348599</v>
      </c>
      <c r="D6996">
        <v>0.74066681947051205</v>
      </c>
      <c r="E6996">
        <v>6</v>
      </c>
      <c r="F6996">
        <v>1.01722196789785</v>
      </c>
      <c r="G6996" t="s">
        <v>87</v>
      </c>
      <c r="H6996" t="s">
        <v>87</v>
      </c>
      <c r="I6996">
        <v>426</v>
      </c>
      <c r="J6996">
        <v>828</v>
      </c>
      <c r="K6996">
        <v>0</v>
      </c>
    </row>
    <row r="6997" spans="1:11" x14ac:dyDescent="0.25">
      <c r="A6997" t="s">
        <v>85</v>
      </c>
    </row>
    <row r="6998" spans="1:11" x14ac:dyDescent="0.25">
      <c r="A6998">
        <v>69.540139921252106</v>
      </c>
      <c r="B6998">
        <v>145.48970622498999</v>
      </c>
      <c r="C6998">
        <v>2000</v>
      </c>
    </row>
    <row r="6999" spans="1:11" x14ac:dyDescent="0.25">
      <c r="A6999">
        <v>69.353571445836906</v>
      </c>
      <c r="B6999">
        <v>145.676274700405</v>
      </c>
      <c r="C6999">
        <v>2000</v>
      </c>
    </row>
    <row r="7000" spans="1:11" x14ac:dyDescent="0.25">
      <c r="A7000">
        <v>68.479539396939202</v>
      </c>
      <c r="B7000">
        <v>145.676274700405</v>
      </c>
      <c r="C7000">
        <v>2001</v>
      </c>
    </row>
    <row r="7001" spans="1:11" x14ac:dyDescent="0.25">
      <c r="A7001">
        <v>68.666107872354502</v>
      </c>
      <c r="B7001">
        <v>145.48970622498999</v>
      </c>
      <c r="C7001">
        <v>2001</v>
      </c>
    </row>
    <row r="7002" spans="1:11" x14ac:dyDescent="0.25">
      <c r="A7002">
        <v>69.1898384030019</v>
      </c>
      <c r="B7002">
        <v>144.965975694343</v>
      </c>
      <c r="C7002">
        <v>2001</v>
      </c>
    </row>
    <row r="7003" spans="1:11" x14ac:dyDescent="0.25">
      <c r="A7003">
        <v>70.063870451899604</v>
      </c>
      <c r="B7003">
        <v>144.965975694343</v>
      </c>
      <c r="C7003">
        <v>2000</v>
      </c>
    </row>
    <row r="7004" spans="1:11" x14ac:dyDescent="0.25">
      <c r="A7004" t="s">
        <v>86</v>
      </c>
    </row>
    <row r="7005" spans="1:11" x14ac:dyDescent="0.25">
      <c r="A7005">
        <v>312</v>
      </c>
      <c r="B7005">
        <v>1</v>
      </c>
      <c r="C7005">
        <v>0.76882402643783898</v>
      </c>
      <c r="D7005">
        <v>0.235128723336857</v>
      </c>
      <c r="E7005">
        <v>6</v>
      </c>
      <c r="F7005">
        <v>1.01722196789785</v>
      </c>
      <c r="G7005" t="s">
        <v>84</v>
      </c>
      <c r="H7005" t="s">
        <v>87</v>
      </c>
      <c r="I7005">
        <v>317</v>
      </c>
      <c r="J7005">
        <v>421</v>
      </c>
      <c r="K7005">
        <v>0</v>
      </c>
    </row>
    <row r="7006" spans="1:11" x14ac:dyDescent="0.25">
      <c r="A7006" t="s">
        <v>85</v>
      </c>
    </row>
    <row r="7007" spans="1:11" x14ac:dyDescent="0.25">
      <c r="A7007">
        <v>122.27440001191199</v>
      </c>
      <c r="B7007">
        <v>142.418177241515</v>
      </c>
      <c r="C7007">
        <v>2000</v>
      </c>
    </row>
    <row r="7008" spans="1:11" x14ac:dyDescent="0.25">
      <c r="A7008">
        <v>121.898092114417</v>
      </c>
      <c r="B7008">
        <v>142.79448513900999</v>
      </c>
      <c r="C7008">
        <v>2000</v>
      </c>
    </row>
    <row r="7009" spans="1:11" x14ac:dyDescent="0.25">
      <c r="A7009">
        <v>122.335108138866</v>
      </c>
      <c r="B7009">
        <v>143.231501163459</v>
      </c>
      <c r="C7009">
        <v>2001</v>
      </c>
    </row>
    <row r="7010" spans="1:11" x14ac:dyDescent="0.25">
      <c r="A7010">
        <v>123.046081606638</v>
      </c>
      <c r="B7010">
        <v>142.52052769568701</v>
      </c>
      <c r="C7010">
        <v>2001</v>
      </c>
    </row>
    <row r="7011" spans="1:11" x14ac:dyDescent="0.25">
      <c r="A7011">
        <v>123.263517948447</v>
      </c>
      <c r="B7011">
        <v>142.30309135387799</v>
      </c>
      <c r="C7011">
        <v>2001</v>
      </c>
    </row>
    <row r="7012" spans="1:11" x14ac:dyDescent="0.25">
      <c r="A7012">
        <v>122.389485899549</v>
      </c>
      <c r="B7012">
        <v>142.30309135387799</v>
      </c>
      <c r="C7012">
        <v>2000</v>
      </c>
    </row>
    <row r="7013" spans="1:11" x14ac:dyDescent="0.25">
      <c r="A7013" t="s">
        <v>86</v>
      </c>
    </row>
    <row r="7014" spans="1:11" x14ac:dyDescent="0.25">
      <c r="A7014">
        <v>998</v>
      </c>
      <c r="B7014">
        <v>1</v>
      </c>
      <c r="C7014">
        <v>0.66057025705126904</v>
      </c>
      <c r="D7014">
        <v>0.34166655569913501</v>
      </c>
      <c r="E7014">
        <v>6</v>
      </c>
      <c r="F7014">
        <v>1.01722196789785</v>
      </c>
      <c r="G7014" t="s">
        <v>87</v>
      </c>
      <c r="H7014" t="s">
        <v>87</v>
      </c>
      <c r="I7014">
        <v>437</v>
      </c>
      <c r="J7014">
        <v>815</v>
      </c>
      <c r="K7014">
        <v>0.119945352050412</v>
      </c>
    </row>
    <row r="7015" spans="1:11" x14ac:dyDescent="0.25">
      <c r="A7015" t="s">
        <v>85</v>
      </c>
    </row>
    <row r="7016" spans="1:11" x14ac:dyDescent="0.25">
      <c r="A7016">
        <v>77.356812004693694</v>
      </c>
      <c r="B7016">
        <v>110.421822062819</v>
      </c>
      <c r="C7016">
        <v>2000</v>
      </c>
    </row>
    <row r="7017" spans="1:11" x14ac:dyDescent="0.25">
      <c r="A7017">
        <v>76.601682790369594</v>
      </c>
      <c r="B7017">
        <v>111.176951277143</v>
      </c>
      <c r="C7017">
        <v>2000</v>
      </c>
    </row>
    <row r="7018" spans="1:11" x14ac:dyDescent="0.25">
      <c r="A7018">
        <v>76.601682790369594</v>
      </c>
      <c r="B7018">
        <v>110.302919228246</v>
      </c>
      <c r="C7018">
        <v>2001</v>
      </c>
    </row>
    <row r="7019" spans="1:11" x14ac:dyDescent="0.25">
      <c r="A7019">
        <v>76.780740992467599</v>
      </c>
      <c r="B7019">
        <v>110.12386102614801</v>
      </c>
      <c r="C7019">
        <v>2001</v>
      </c>
    </row>
    <row r="7020" spans="1:11" x14ac:dyDescent="0.25">
      <c r="A7020">
        <v>76.873355212571397</v>
      </c>
      <c r="B7020">
        <v>110.031246806044</v>
      </c>
      <c r="C7020">
        <v>2001</v>
      </c>
    </row>
    <row r="7021" spans="1:11" x14ac:dyDescent="0.25">
      <c r="A7021">
        <v>77.747387261469001</v>
      </c>
      <c r="B7021">
        <v>110.031246806044</v>
      </c>
      <c r="C7021">
        <v>2000</v>
      </c>
    </row>
    <row r="7022" spans="1:11" x14ac:dyDescent="0.25">
      <c r="A7022" t="s">
        <v>86</v>
      </c>
    </row>
    <row r="7023" spans="1:11" x14ac:dyDescent="0.25">
      <c r="A7023">
        <v>68</v>
      </c>
      <c r="B7023">
        <v>1</v>
      </c>
      <c r="C7023">
        <v>0.89723974404692397</v>
      </c>
      <c r="D7023">
        <v>9.5826474226079497E-2</v>
      </c>
      <c r="E7023">
        <v>6</v>
      </c>
      <c r="F7023">
        <v>1.01722196789785</v>
      </c>
      <c r="G7023" t="s">
        <v>87</v>
      </c>
      <c r="H7023" t="s">
        <v>87</v>
      </c>
      <c r="I7023">
        <v>839</v>
      </c>
      <c r="J7023">
        <v>808</v>
      </c>
      <c r="K7023">
        <v>0</v>
      </c>
    </row>
    <row r="7024" spans="1:11" x14ac:dyDescent="0.25">
      <c r="A7024" t="s">
        <v>85</v>
      </c>
    </row>
    <row r="7025" spans="1:11" x14ac:dyDescent="0.25">
      <c r="A7025">
        <v>5.6287348571456697</v>
      </c>
      <c r="B7025">
        <v>48.297568188653202</v>
      </c>
      <c r="C7025">
        <v>2000</v>
      </c>
    </row>
    <row r="7026" spans="1:11" x14ac:dyDescent="0.25">
      <c r="A7026">
        <v>4.9942905497799996</v>
      </c>
      <c r="B7026">
        <v>48.9320124960188</v>
      </c>
      <c r="C7026">
        <v>2000</v>
      </c>
    </row>
    <row r="7027" spans="1:11" x14ac:dyDescent="0.25">
      <c r="A7027">
        <v>5.8683225986776497</v>
      </c>
      <c r="B7027">
        <v>48.9320124960188</v>
      </c>
      <c r="C7027">
        <v>2001</v>
      </c>
    </row>
    <row r="7028" spans="1:11" x14ac:dyDescent="0.25">
      <c r="A7028">
        <v>6.50276690604331</v>
      </c>
      <c r="B7028">
        <v>48.297568188653202</v>
      </c>
      <c r="C7028">
        <v>2001</v>
      </c>
    </row>
    <row r="7029" spans="1:11" x14ac:dyDescent="0.25">
      <c r="A7029">
        <v>6.5705264557857603</v>
      </c>
      <c r="B7029">
        <v>48.229808638910697</v>
      </c>
      <c r="C7029">
        <v>2001</v>
      </c>
    </row>
    <row r="7030" spans="1:11" x14ac:dyDescent="0.25">
      <c r="A7030">
        <v>5.6964944068881298</v>
      </c>
      <c r="B7030">
        <v>48.229808638910697</v>
      </c>
      <c r="C7030">
        <v>2000</v>
      </c>
    </row>
    <row r="7031" spans="1:11" x14ac:dyDescent="0.25">
      <c r="A7031" t="s">
        <v>86</v>
      </c>
    </row>
    <row r="7032" spans="1:11" x14ac:dyDescent="0.25">
      <c r="A7032">
        <v>873</v>
      </c>
      <c r="B7032">
        <v>1</v>
      </c>
      <c r="C7032">
        <v>0.53276955363230605</v>
      </c>
      <c r="D7032">
        <v>0.45907052062069897</v>
      </c>
      <c r="E7032">
        <v>6</v>
      </c>
      <c r="F7032">
        <v>1.01722196789785</v>
      </c>
      <c r="G7032" t="s">
        <v>87</v>
      </c>
      <c r="H7032" t="s">
        <v>87</v>
      </c>
      <c r="I7032">
        <v>359</v>
      </c>
      <c r="J7032">
        <v>809</v>
      </c>
      <c r="K7032">
        <v>0.116069536161876</v>
      </c>
    </row>
    <row r="7033" spans="1:11" x14ac:dyDescent="0.25">
      <c r="A7033" t="s">
        <v>85</v>
      </c>
    </row>
    <row r="7034" spans="1:11" x14ac:dyDescent="0.25">
      <c r="A7034">
        <v>67.168913316599699</v>
      </c>
      <c r="B7034">
        <v>85.297693739235399</v>
      </c>
      <c r="C7034">
        <v>2000</v>
      </c>
    </row>
    <row r="7035" spans="1:11" x14ac:dyDescent="0.25">
      <c r="A7035">
        <v>67.026932680982995</v>
      </c>
      <c r="B7035">
        <v>85.439674374852203</v>
      </c>
      <c r="C7035">
        <v>2000</v>
      </c>
    </row>
    <row r="7036" spans="1:11" x14ac:dyDescent="0.25">
      <c r="A7036">
        <v>66.152900632085306</v>
      </c>
      <c r="B7036">
        <v>85.439674374852203</v>
      </c>
      <c r="C7036">
        <v>2001</v>
      </c>
    </row>
    <row r="7037" spans="1:11" x14ac:dyDescent="0.25">
      <c r="A7037">
        <v>66.764369924834895</v>
      </c>
      <c r="B7037">
        <v>84.828205082102698</v>
      </c>
      <c r="C7037">
        <v>2001</v>
      </c>
    </row>
    <row r="7038" spans="1:11" x14ac:dyDescent="0.25">
      <c r="A7038">
        <v>67.291253498890995</v>
      </c>
      <c r="B7038">
        <v>84.301321508046499</v>
      </c>
      <c r="C7038">
        <v>2001</v>
      </c>
    </row>
    <row r="7039" spans="1:11" x14ac:dyDescent="0.25">
      <c r="A7039">
        <v>67.291253498890995</v>
      </c>
      <c r="B7039">
        <v>85.175353556944103</v>
      </c>
      <c r="C7039">
        <v>2000</v>
      </c>
    </row>
    <row r="7040" spans="1:11" x14ac:dyDescent="0.25">
      <c r="A7040" t="s">
        <v>86</v>
      </c>
    </row>
    <row r="7041" spans="1:11" x14ac:dyDescent="0.25">
      <c r="A7041">
        <v>953</v>
      </c>
      <c r="B7041">
        <v>1</v>
      </c>
      <c r="C7041">
        <v>0.22271155382433599</v>
      </c>
      <c r="D7041">
        <v>0.76912132582993198</v>
      </c>
      <c r="E7041">
        <v>6</v>
      </c>
      <c r="F7041">
        <v>1.01722196789785</v>
      </c>
      <c r="G7041" t="s">
        <v>87</v>
      </c>
      <c r="H7041" t="s">
        <v>87</v>
      </c>
      <c r="I7041">
        <v>346</v>
      </c>
      <c r="J7041">
        <v>118</v>
      </c>
      <c r="K7041">
        <v>0.118311737100288</v>
      </c>
    </row>
    <row r="7042" spans="1:11" x14ac:dyDescent="0.25">
      <c r="A7042" t="s">
        <v>85</v>
      </c>
    </row>
    <row r="7043" spans="1:11" x14ac:dyDescent="0.25">
      <c r="A7043">
        <v>24.975035101163801</v>
      </c>
      <c r="B7043">
        <v>33.009210851038702</v>
      </c>
      <c r="C7043">
        <v>2000</v>
      </c>
    </row>
    <row r="7044" spans="1:11" x14ac:dyDescent="0.25">
      <c r="A7044">
        <v>24.915684208225699</v>
      </c>
      <c r="B7044">
        <v>33.068561743976801</v>
      </c>
      <c r="C7044">
        <v>2000</v>
      </c>
    </row>
    <row r="7045" spans="1:11" x14ac:dyDescent="0.25">
      <c r="A7045">
        <v>24.041652159327999</v>
      </c>
      <c r="B7045">
        <v>33.068561743976801</v>
      </c>
      <c r="C7045">
        <v>2001</v>
      </c>
    </row>
    <row r="7046" spans="1:11" x14ac:dyDescent="0.25">
      <c r="A7046">
        <v>24.2972629663054</v>
      </c>
      <c r="B7046">
        <v>32.8129509369994</v>
      </c>
      <c r="C7046">
        <v>2001</v>
      </c>
    </row>
    <row r="7047" spans="1:11" x14ac:dyDescent="0.25">
      <c r="A7047">
        <v>25.179999938784199</v>
      </c>
      <c r="B7047">
        <v>31.9302139645207</v>
      </c>
      <c r="C7047">
        <v>2001</v>
      </c>
    </row>
    <row r="7048" spans="1:11" x14ac:dyDescent="0.25">
      <c r="A7048">
        <v>25.179999938784199</v>
      </c>
      <c r="B7048">
        <v>32.8042460134183</v>
      </c>
      <c r="C7048">
        <v>2000</v>
      </c>
    </row>
    <row r="7049" spans="1:11" x14ac:dyDescent="0.25">
      <c r="A7049" t="s">
        <v>86</v>
      </c>
    </row>
    <row r="7050" spans="1:11" x14ac:dyDescent="0.25">
      <c r="A7050">
        <v>1039</v>
      </c>
      <c r="B7050">
        <v>1</v>
      </c>
      <c r="C7050">
        <v>0.66840298543291599</v>
      </c>
      <c r="D7050">
        <v>0.32342989422135199</v>
      </c>
      <c r="E7050">
        <v>6</v>
      </c>
      <c r="F7050">
        <v>1.01722196789785</v>
      </c>
      <c r="G7050" t="s">
        <v>87</v>
      </c>
      <c r="H7050" t="s">
        <v>87</v>
      </c>
      <c r="I7050">
        <v>346</v>
      </c>
      <c r="J7050">
        <v>118</v>
      </c>
      <c r="K7050">
        <v>0.121680115082949</v>
      </c>
    </row>
    <row r="7051" spans="1:11" x14ac:dyDescent="0.25">
      <c r="A7051" t="s">
        <v>85</v>
      </c>
    </row>
    <row r="7052" spans="1:11" x14ac:dyDescent="0.25">
      <c r="A7052">
        <v>34.051262416689902</v>
      </c>
      <c r="B7052">
        <v>41.847891582324998</v>
      </c>
      <c r="C7052">
        <v>2000</v>
      </c>
    </row>
    <row r="7053" spans="1:11" x14ac:dyDescent="0.25">
      <c r="A7053">
        <v>33.873138231631899</v>
      </c>
      <c r="B7053">
        <v>42.026015767383001</v>
      </c>
      <c r="C7053">
        <v>2000</v>
      </c>
    </row>
    <row r="7054" spans="1:11" x14ac:dyDescent="0.25">
      <c r="A7054">
        <v>33.873138231631899</v>
      </c>
      <c r="B7054">
        <v>42.900047816280697</v>
      </c>
      <c r="C7054">
        <v>2001</v>
      </c>
    </row>
    <row r="7055" spans="1:11" x14ac:dyDescent="0.25">
      <c r="A7055">
        <v>34.640278613703799</v>
      </c>
      <c r="B7055">
        <v>42.132907434208803</v>
      </c>
      <c r="C7055">
        <v>2001</v>
      </c>
    </row>
    <row r="7056" spans="1:11" x14ac:dyDescent="0.25">
      <c r="A7056">
        <v>35.011486011088003</v>
      </c>
      <c r="B7056">
        <v>41.7617000368246</v>
      </c>
      <c r="C7056">
        <v>2001</v>
      </c>
    </row>
    <row r="7057" spans="1:11" x14ac:dyDescent="0.25">
      <c r="A7057">
        <v>34.137453962190399</v>
      </c>
      <c r="B7057">
        <v>41.7617000368246</v>
      </c>
      <c r="C7057">
        <v>2000</v>
      </c>
    </row>
    <row r="7058" spans="1:11" x14ac:dyDescent="0.25">
      <c r="A7058" t="s">
        <v>86</v>
      </c>
    </row>
    <row r="7059" spans="1:11" x14ac:dyDescent="0.25">
      <c r="A7059">
        <v>1033</v>
      </c>
      <c r="B7059">
        <v>1</v>
      </c>
      <c r="C7059">
        <v>0.24015410940673801</v>
      </c>
      <c r="D7059">
        <v>0.75167877024752705</v>
      </c>
      <c r="E7059">
        <v>6</v>
      </c>
      <c r="F7059">
        <v>1.01722196789785</v>
      </c>
      <c r="G7059" t="s">
        <v>87</v>
      </c>
      <c r="H7059" t="s">
        <v>87</v>
      </c>
      <c r="I7059">
        <v>346</v>
      </c>
      <c r="J7059">
        <v>118</v>
      </c>
      <c r="K7059">
        <v>0.12221412765037699</v>
      </c>
    </row>
    <row r="7060" spans="1:11" x14ac:dyDescent="0.25">
      <c r="A7060" t="s">
        <v>85</v>
      </c>
    </row>
    <row r="7061" spans="1:11" x14ac:dyDescent="0.25">
      <c r="A7061">
        <v>42.918539159038502</v>
      </c>
      <c r="B7061">
        <v>50.943418298736098</v>
      </c>
      <c r="C7061">
        <v>2000</v>
      </c>
    </row>
    <row r="7062" spans="1:11" x14ac:dyDescent="0.25">
      <c r="A7062">
        <v>42.854539961011803</v>
      </c>
      <c r="B7062">
        <v>51.007417496762898</v>
      </c>
      <c r="C7062">
        <v>2000</v>
      </c>
    </row>
    <row r="7063" spans="1:11" x14ac:dyDescent="0.25">
      <c r="A7063">
        <v>41.980507912114099</v>
      </c>
      <c r="B7063">
        <v>51.007417496762898</v>
      </c>
      <c r="C7063">
        <v>2001</v>
      </c>
    </row>
    <row r="7064" spans="1:11" x14ac:dyDescent="0.25">
      <c r="A7064">
        <v>42.256137912669999</v>
      </c>
      <c r="B7064">
        <v>50.731787496206998</v>
      </c>
      <c r="C7064">
        <v>2001</v>
      </c>
    </row>
    <row r="7065" spans="1:11" x14ac:dyDescent="0.25">
      <c r="A7065">
        <v>43.118855691570197</v>
      </c>
      <c r="B7065">
        <v>49.8690697173068</v>
      </c>
      <c r="C7065">
        <v>2001</v>
      </c>
    </row>
    <row r="7066" spans="1:11" x14ac:dyDescent="0.25">
      <c r="A7066">
        <v>43.118855691570197</v>
      </c>
      <c r="B7066">
        <v>50.743101766204397</v>
      </c>
      <c r="C7066">
        <v>2000</v>
      </c>
    </row>
    <row r="7067" spans="1:11" x14ac:dyDescent="0.25">
      <c r="A7067" t="s">
        <v>86</v>
      </c>
    </row>
    <row r="7068" spans="1:11" x14ac:dyDescent="0.25">
      <c r="A7068">
        <v>942</v>
      </c>
      <c r="B7068">
        <v>1</v>
      </c>
      <c r="C7068">
        <v>0.169522329760461</v>
      </c>
      <c r="D7068">
        <v>0.80927968275406703</v>
      </c>
      <c r="E7068">
        <v>6</v>
      </c>
      <c r="F7068">
        <v>1.01722196789785</v>
      </c>
      <c r="G7068" t="s">
        <v>87</v>
      </c>
      <c r="H7068" t="s">
        <v>87</v>
      </c>
      <c r="I7068">
        <v>353</v>
      </c>
      <c r="J7068">
        <v>279</v>
      </c>
      <c r="K7068">
        <v>0.11865465261041699</v>
      </c>
    </row>
    <row r="7069" spans="1:11" x14ac:dyDescent="0.25">
      <c r="A7069" t="s">
        <v>85</v>
      </c>
    </row>
    <row r="7070" spans="1:11" x14ac:dyDescent="0.25">
      <c r="A7070">
        <v>72.243893587609705</v>
      </c>
      <c r="B7070">
        <v>88.276303503316399</v>
      </c>
      <c r="C7070">
        <v>2000</v>
      </c>
    </row>
    <row r="7071" spans="1:11" x14ac:dyDescent="0.25">
      <c r="A7071">
        <v>72.124023198673498</v>
      </c>
      <c r="B7071">
        <v>88.396173892252605</v>
      </c>
      <c r="C7071">
        <v>2000</v>
      </c>
    </row>
    <row r="7072" spans="1:11" x14ac:dyDescent="0.25">
      <c r="A7072">
        <v>72.124023198673498</v>
      </c>
      <c r="B7072">
        <v>87.522141843355001</v>
      </c>
      <c r="C7072">
        <v>2001</v>
      </c>
    </row>
    <row r="7073" spans="1:11" x14ac:dyDescent="0.25">
      <c r="A7073">
        <v>72.243893587609705</v>
      </c>
      <c r="B7073">
        <v>87.402271454418795</v>
      </c>
      <c r="C7073">
        <v>2001</v>
      </c>
    </row>
    <row r="7074" spans="1:11" x14ac:dyDescent="0.25">
      <c r="A7074">
        <v>72.816140739161597</v>
      </c>
      <c r="B7074">
        <v>86.830024302866903</v>
      </c>
      <c r="C7074">
        <v>2001</v>
      </c>
    </row>
    <row r="7075" spans="1:11" x14ac:dyDescent="0.25">
      <c r="A7075">
        <v>72.816140739161597</v>
      </c>
      <c r="B7075">
        <v>87.704056351764507</v>
      </c>
      <c r="C7075">
        <v>2000</v>
      </c>
    </row>
    <row r="7076" spans="1:11" x14ac:dyDescent="0.25">
      <c r="A7076" t="s">
        <v>86</v>
      </c>
    </row>
    <row r="7077" spans="1:11" x14ac:dyDescent="0.25">
      <c r="A7077">
        <v>309</v>
      </c>
      <c r="B7077">
        <v>1</v>
      </c>
      <c r="C7077">
        <v>4.9583001409231997E-2</v>
      </c>
      <c r="D7077">
        <v>0.92804596223639602</v>
      </c>
      <c r="E7077">
        <v>6</v>
      </c>
      <c r="F7077">
        <v>1.01722196789785</v>
      </c>
      <c r="G7077" t="s">
        <v>84</v>
      </c>
      <c r="H7077" t="s">
        <v>87</v>
      </c>
      <c r="I7077">
        <v>283</v>
      </c>
      <c r="J7077">
        <v>437</v>
      </c>
      <c r="K7077">
        <v>0</v>
      </c>
    </row>
    <row r="7078" spans="1:11" x14ac:dyDescent="0.25">
      <c r="A7078" t="s">
        <v>85</v>
      </c>
    </row>
    <row r="7079" spans="1:11" x14ac:dyDescent="0.25">
      <c r="A7079">
        <v>106.44025128043199</v>
      </c>
      <c r="B7079">
        <v>141.91312333596599</v>
      </c>
      <c r="C7079">
        <v>2000</v>
      </c>
    </row>
    <row r="7080" spans="1:11" x14ac:dyDescent="0.25">
      <c r="A7080">
        <v>106.416273007359</v>
      </c>
      <c r="B7080">
        <v>141.93710160904001</v>
      </c>
      <c r="C7080">
        <v>2000</v>
      </c>
    </row>
    <row r="7081" spans="1:11" x14ac:dyDescent="0.25">
      <c r="A7081">
        <v>105.97925698291</v>
      </c>
      <c r="B7081">
        <v>141.50008558459101</v>
      </c>
      <c r="C7081">
        <v>2001</v>
      </c>
    </row>
    <row r="7082" spans="1:11" x14ac:dyDescent="0.25">
      <c r="A7082">
        <v>106.025399662892</v>
      </c>
      <c r="B7082">
        <v>141.45394290460899</v>
      </c>
      <c r="C7082">
        <v>2001</v>
      </c>
    </row>
    <row r="7083" spans="1:11" x14ac:dyDescent="0.25">
      <c r="A7083">
        <v>106.889053064812</v>
      </c>
      <c r="B7083">
        <v>140.59028950268799</v>
      </c>
      <c r="C7083">
        <v>2001</v>
      </c>
    </row>
    <row r="7084" spans="1:11" x14ac:dyDescent="0.25">
      <c r="A7084">
        <v>106.889053064812</v>
      </c>
      <c r="B7084">
        <v>141.46432155158601</v>
      </c>
      <c r="C7084">
        <v>2000</v>
      </c>
    </row>
    <row r="7085" spans="1:11" x14ac:dyDescent="0.25">
      <c r="A7085" t="s">
        <v>86</v>
      </c>
    </row>
    <row r="7086" spans="1:11" x14ac:dyDescent="0.25">
      <c r="A7086">
        <v>1134</v>
      </c>
      <c r="B7086">
        <v>1</v>
      </c>
      <c r="C7086">
        <v>0.77740013579777001</v>
      </c>
      <c r="D7086">
        <v>0.199583306057114</v>
      </c>
      <c r="E7086">
        <v>6</v>
      </c>
      <c r="F7086">
        <v>1.01722196789785</v>
      </c>
      <c r="G7086" t="s">
        <v>87</v>
      </c>
      <c r="H7086" t="s">
        <v>87</v>
      </c>
      <c r="I7086">
        <v>357</v>
      </c>
      <c r="J7086">
        <v>767</v>
      </c>
      <c r="K7086">
        <v>0.124845976961483</v>
      </c>
    </row>
    <row r="7087" spans="1:11" x14ac:dyDescent="0.25">
      <c r="A7087" t="s">
        <v>85</v>
      </c>
    </row>
    <row r="7088" spans="1:11" x14ac:dyDescent="0.25">
      <c r="A7088">
        <v>88.223380298923402</v>
      </c>
      <c r="B7088">
        <v>86.830192002379803</v>
      </c>
      <c r="C7088">
        <v>2000</v>
      </c>
    </row>
    <row r="7089" spans="1:11" x14ac:dyDescent="0.25">
      <c r="A7089">
        <v>87.673675391205506</v>
      </c>
      <c r="B7089">
        <v>87.379896910097798</v>
      </c>
      <c r="C7089">
        <v>2000</v>
      </c>
    </row>
    <row r="7090" spans="1:11" x14ac:dyDescent="0.25">
      <c r="A7090">
        <v>87.673675391205506</v>
      </c>
      <c r="B7090">
        <v>86.505864861200095</v>
      </c>
      <c r="C7090">
        <v>2001</v>
      </c>
    </row>
    <row r="7091" spans="1:11" x14ac:dyDescent="0.25">
      <c r="A7091">
        <v>88.223380298923402</v>
      </c>
      <c r="B7091">
        <v>85.956159953482199</v>
      </c>
      <c r="C7091">
        <v>2001</v>
      </c>
    </row>
    <row r="7092" spans="1:11" x14ac:dyDescent="0.25">
      <c r="A7092">
        <v>88.364507008047994</v>
      </c>
      <c r="B7092">
        <v>85.815033244357593</v>
      </c>
      <c r="C7092">
        <v>2001</v>
      </c>
    </row>
    <row r="7093" spans="1:11" x14ac:dyDescent="0.25">
      <c r="A7093">
        <v>88.364507008047994</v>
      </c>
      <c r="B7093">
        <v>86.689065293255197</v>
      </c>
      <c r="C7093">
        <v>2000</v>
      </c>
    </row>
    <row r="7094" spans="1:11" x14ac:dyDescent="0.25">
      <c r="A7094" t="s">
        <v>86</v>
      </c>
    </row>
    <row r="7095" spans="1:11" x14ac:dyDescent="0.25">
      <c r="A7095">
        <v>314</v>
      </c>
      <c r="B7095">
        <v>1</v>
      </c>
      <c r="C7095">
        <v>0.87533070911864297</v>
      </c>
      <c r="D7095">
        <v>9.6359022706380401E-2</v>
      </c>
      <c r="E7095">
        <v>6</v>
      </c>
      <c r="F7095">
        <v>1.01722196789785</v>
      </c>
      <c r="G7095" t="s">
        <v>87</v>
      </c>
      <c r="H7095" t="s">
        <v>87</v>
      </c>
      <c r="I7095">
        <v>745</v>
      </c>
      <c r="J7095">
        <v>355</v>
      </c>
      <c r="K7095">
        <v>0</v>
      </c>
    </row>
    <row r="7096" spans="1:11" x14ac:dyDescent="0.25">
      <c r="A7096" t="s">
        <v>85</v>
      </c>
    </row>
    <row r="7097" spans="1:11" x14ac:dyDescent="0.25">
      <c r="A7097">
        <v>129.00952212699201</v>
      </c>
      <c r="B7097">
        <v>134.66161411518399</v>
      </c>
      <c r="C7097">
        <v>2000</v>
      </c>
    </row>
    <row r="7098" spans="1:11" x14ac:dyDescent="0.25">
      <c r="A7098">
        <v>128.390569846793</v>
      </c>
      <c r="B7098">
        <v>135.28056639538201</v>
      </c>
      <c r="C7098">
        <v>2000</v>
      </c>
    </row>
    <row r="7099" spans="1:11" x14ac:dyDescent="0.25">
      <c r="A7099">
        <v>128.390569846793</v>
      </c>
      <c r="B7099">
        <v>134.40653434648399</v>
      </c>
      <c r="C7099">
        <v>2001</v>
      </c>
    </row>
    <row r="7100" spans="1:11" x14ac:dyDescent="0.25">
      <c r="A7100">
        <v>129.00952212699201</v>
      </c>
      <c r="B7100">
        <v>133.78758206628601</v>
      </c>
      <c r="C7100">
        <v>2001</v>
      </c>
    </row>
    <row r="7101" spans="1:11" x14ac:dyDescent="0.25">
      <c r="A7101">
        <v>129.077658245376</v>
      </c>
      <c r="B7101">
        <v>133.71944594790199</v>
      </c>
      <c r="C7101">
        <v>2001</v>
      </c>
    </row>
    <row r="7102" spans="1:11" x14ac:dyDescent="0.25">
      <c r="A7102">
        <v>129.077658245376</v>
      </c>
      <c r="B7102">
        <v>134.59347799679901</v>
      </c>
      <c r="C7102">
        <v>2000</v>
      </c>
    </row>
    <row r="7103" spans="1:11" x14ac:dyDescent="0.25">
      <c r="A7103" t="s">
        <v>86</v>
      </c>
    </row>
    <row r="7104" spans="1:11" x14ac:dyDescent="0.25">
      <c r="A7104">
        <v>1042</v>
      </c>
      <c r="B7104">
        <v>1</v>
      </c>
      <c r="C7104">
        <v>5.9562551960595997E-2</v>
      </c>
      <c r="D7104">
        <v>0.90376340119133003</v>
      </c>
      <c r="E7104">
        <v>6</v>
      </c>
      <c r="F7104">
        <v>1.01722196789785</v>
      </c>
      <c r="G7104" t="s">
        <v>87</v>
      </c>
      <c r="H7104" t="s">
        <v>87</v>
      </c>
      <c r="I7104">
        <v>753</v>
      </c>
      <c r="J7104">
        <v>346</v>
      </c>
      <c r="K7104">
        <v>0.122473809508668</v>
      </c>
    </row>
    <row r="7105" spans="1:11" x14ac:dyDescent="0.25">
      <c r="A7105" t="s">
        <v>85</v>
      </c>
    </row>
    <row r="7106" spans="1:11" x14ac:dyDescent="0.25">
      <c r="A7106">
        <v>14.8486740693517</v>
      </c>
      <c r="B7106">
        <v>25.099656613317698</v>
      </c>
      <c r="C7106">
        <v>2000</v>
      </c>
    </row>
    <row r="7107" spans="1:11" x14ac:dyDescent="0.25">
      <c r="A7107">
        <v>14.779536235043601</v>
      </c>
      <c r="B7107">
        <v>25.1687944476258</v>
      </c>
      <c r="C7107">
        <v>2000</v>
      </c>
    </row>
    <row r="7108" spans="1:11" x14ac:dyDescent="0.25">
      <c r="A7108">
        <v>14.779536235043601</v>
      </c>
      <c r="B7108">
        <v>24.2947623987281</v>
      </c>
      <c r="C7108">
        <v>2001</v>
      </c>
    </row>
    <row r="7109" spans="1:11" x14ac:dyDescent="0.25">
      <c r="A7109">
        <v>14.7946325695277</v>
      </c>
      <c r="B7109">
        <v>24.279666064244001</v>
      </c>
      <c r="C7109">
        <v>2001</v>
      </c>
    </row>
    <row r="7110" spans="1:11" x14ac:dyDescent="0.25">
      <c r="A7110">
        <v>15.023694524561501</v>
      </c>
      <c r="B7110">
        <v>24.050604109210301</v>
      </c>
      <c r="C7110">
        <v>2001</v>
      </c>
    </row>
    <row r="7111" spans="1:11" x14ac:dyDescent="0.25">
      <c r="A7111">
        <v>15.897726573459099</v>
      </c>
      <c r="B7111">
        <v>24.050604109210301</v>
      </c>
      <c r="C7111">
        <v>2000</v>
      </c>
    </row>
    <row r="7112" spans="1:11" x14ac:dyDescent="0.25">
      <c r="A7112" t="s">
        <v>86</v>
      </c>
    </row>
    <row r="7113" spans="1:11" x14ac:dyDescent="0.25">
      <c r="A7113">
        <v>900</v>
      </c>
      <c r="B7113">
        <v>1</v>
      </c>
      <c r="C7113">
        <v>0.89697843358599505</v>
      </c>
      <c r="D7113">
        <v>6.6347519565927507E-2</v>
      </c>
      <c r="E7113">
        <v>6</v>
      </c>
      <c r="F7113">
        <v>1.01722196789785</v>
      </c>
      <c r="G7113" t="s">
        <v>87</v>
      </c>
      <c r="H7113" t="s">
        <v>87</v>
      </c>
      <c r="I7113">
        <v>753</v>
      </c>
      <c r="J7113">
        <v>346</v>
      </c>
      <c r="K7113">
        <v>0.116465549931603</v>
      </c>
    </row>
    <row r="7114" spans="1:11" x14ac:dyDescent="0.25">
      <c r="A7114" t="s">
        <v>85</v>
      </c>
    </row>
    <row r="7115" spans="1:11" x14ac:dyDescent="0.25">
      <c r="A7115">
        <v>42.687714330282901</v>
      </c>
      <c r="B7115">
        <v>50.994618974124897</v>
      </c>
      <c r="C7115">
        <v>2000</v>
      </c>
    </row>
    <row r="7116" spans="1:11" x14ac:dyDescent="0.25">
      <c r="A7116">
        <v>41.6465375459128</v>
      </c>
      <c r="B7116">
        <v>52.035795758494999</v>
      </c>
      <c r="C7116">
        <v>2000</v>
      </c>
    </row>
    <row r="7117" spans="1:11" x14ac:dyDescent="0.25">
      <c r="A7117">
        <v>42.520569594810397</v>
      </c>
      <c r="B7117">
        <v>52.035795758494999</v>
      </c>
      <c r="C7117">
        <v>2001</v>
      </c>
    </row>
    <row r="7118" spans="1:11" x14ac:dyDescent="0.25">
      <c r="A7118">
        <v>42.747911876373799</v>
      </c>
      <c r="B7118">
        <v>51.808453476931597</v>
      </c>
      <c r="C7118">
        <v>2001</v>
      </c>
    </row>
    <row r="7119" spans="1:11" x14ac:dyDescent="0.25">
      <c r="A7119">
        <v>42.764727884328302</v>
      </c>
      <c r="B7119">
        <v>51.7916374689771</v>
      </c>
      <c r="C7119">
        <v>2001</v>
      </c>
    </row>
    <row r="7120" spans="1:11" x14ac:dyDescent="0.25">
      <c r="A7120">
        <v>42.764727884328302</v>
      </c>
      <c r="B7120">
        <v>50.917605420079397</v>
      </c>
      <c r="C7120">
        <v>2000</v>
      </c>
    </row>
    <row r="7121" spans="1:11" x14ac:dyDescent="0.25">
      <c r="A7121" t="s">
        <v>86</v>
      </c>
    </row>
    <row r="7122" spans="1:11" x14ac:dyDescent="0.25">
      <c r="A7122">
        <v>548</v>
      </c>
      <c r="B7122">
        <v>1</v>
      </c>
      <c r="C7122">
        <v>0.245230219867452</v>
      </c>
      <c r="D7122">
        <v>0.68394595291761096</v>
      </c>
      <c r="E7122">
        <v>6</v>
      </c>
      <c r="F7122">
        <v>1.01722196789785</v>
      </c>
      <c r="G7122" t="s">
        <v>87</v>
      </c>
      <c r="H7122" t="s">
        <v>87</v>
      </c>
      <c r="I7122">
        <v>784</v>
      </c>
      <c r="J7122">
        <v>834</v>
      </c>
      <c r="K7122">
        <v>0</v>
      </c>
    </row>
    <row r="7123" spans="1:11" x14ac:dyDescent="0.25">
      <c r="A7123" t="s">
        <v>85</v>
      </c>
    </row>
    <row r="7124" spans="1:11" x14ac:dyDescent="0.25">
      <c r="A7124">
        <v>112.522929885194</v>
      </c>
      <c r="B7124">
        <v>12.6094087667807</v>
      </c>
      <c r="C7124">
        <v>2000</v>
      </c>
    </row>
    <row r="7125" spans="1:11" x14ac:dyDescent="0.25">
      <c r="A7125">
        <v>112.34952593377299</v>
      </c>
      <c r="B7125">
        <v>12.782812718200899</v>
      </c>
      <c r="C7125">
        <v>2000</v>
      </c>
    </row>
    <row r="7126" spans="1:11" x14ac:dyDescent="0.25">
      <c r="A7126">
        <v>111.475493884876</v>
      </c>
      <c r="B7126">
        <v>12.782812718200899</v>
      </c>
      <c r="C7126">
        <v>2001</v>
      </c>
    </row>
    <row r="7127" spans="1:11" x14ac:dyDescent="0.25">
      <c r="A7127">
        <v>111.648897836296</v>
      </c>
      <c r="B7127">
        <v>12.6094087667807</v>
      </c>
      <c r="C7127">
        <v>2001</v>
      </c>
    </row>
    <row r="7128" spans="1:11" x14ac:dyDescent="0.25">
      <c r="A7128">
        <v>112.132520657569</v>
      </c>
      <c r="B7128">
        <v>12.1257859455076</v>
      </c>
      <c r="C7128">
        <v>2001</v>
      </c>
    </row>
    <row r="7129" spans="1:11" x14ac:dyDescent="0.25">
      <c r="A7129">
        <v>113.00655270646701</v>
      </c>
      <c r="B7129">
        <v>12.1257859455076</v>
      </c>
      <c r="C7129">
        <v>2000</v>
      </c>
    </row>
    <row r="7130" spans="1:11" x14ac:dyDescent="0.25">
      <c r="A7130" t="s">
        <v>86</v>
      </c>
    </row>
    <row r="7131" spans="1:11" x14ac:dyDescent="0.25">
      <c r="A7131">
        <v>1138</v>
      </c>
      <c r="B7131">
        <v>1</v>
      </c>
      <c r="C7131">
        <v>0.49117901057519098</v>
      </c>
      <c r="D7131">
        <v>0.43682111696333997</v>
      </c>
      <c r="E7131">
        <v>6</v>
      </c>
      <c r="F7131">
        <v>1.01722196789785</v>
      </c>
      <c r="G7131" t="s">
        <v>87</v>
      </c>
      <c r="H7131" t="s">
        <v>87</v>
      </c>
      <c r="I7131">
        <v>769</v>
      </c>
      <c r="J7131">
        <v>674</v>
      </c>
      <c r="K7131">
        <v>0.12417311997009001</v>
      </c>
    </row>
    <row r="7132" spans="1:11" x14ac:dyDescent="0.25">
      <c r="A7132" t="s">
        <v>85</v>
      </c>
    </row>
    <row r="7133" spans="1:11" x14ac:dyDescent="0.25">
      <c r="A7133">
        <v>42.687002810503799</v>
      </c>
      <c r="B7133">
        <v>22.8203138717634</v>
      </c>
      <c r="C7133">
        <v>2000</v>
      </c>
    </row>
    <row r="7134" spans="1:11" x14ac:dyDescent="0.25">
      <c r="A7134">
        <v>42.3396868013496</v>
      </c>
      <c r="B7134">
        <v>23.167629880917598</v>
      </c>
      <c r="C7134">
        <v>2000</v>
      </c>
    </row>
    <row r="7135" spans="1:11" x14ac:dyDescent="0.25">
      <c r="A7135">
        <v>42.3396868013496</v>
      </c>
      <c r="B7135">
        <v>24.041661929815302</v>
      </c>
      <c r="C7135">
        <v>2001</v>
      </c>
    </row>
    <row r="7136" spans="1:11" x14ac:dyDescent="0.25">
      <c r="A7136">
        <v>42.687002810503799</v>
      </c>
      <c r="B7136">
        <v>23.6943459206611</v>
      </c>
      <c r="C7136">
        <v>2001</v>
      </c>
    </row>
    <row r="7137" spans="1:11" x14ac:dyDescent="0.25">
      <c r="A7137">
        <v>42.995881984474103</v>
      </c>
      <c r="B7137">
        <v>23.385466746690799</v>
      </c>
      <c r="C7137">
        <v>2001</v>
      </c>
    </row>
    <row r="7138" spans="1:11" x14ac:dyDescent="0.25">
      <c r="A7138">
        <v>42.995881984474103</v>
      </c>
      <c r="B7138">
        <v>22.511434697793199</v>
      </c>
      <c r="C7138">
        <v>2000</v>
      </c>
    </row>
    <row r="7139" spans="1:11" x14ac:dyDescent="0.25">
      <c r="A7139" t="s">
        <v>86</v>
      </c>
    </row>
    <row r="7140" spans="1:11" x14ac:dyDescent="0.25">
      <c r="A7140">
        <v>1007</v>
      </c>
      <c r="B7140">
        <v>1</v>
      </c>
      <c r="C7140">
        <v>0.33080697565760198</v>
      </c>
      <c r="D7140">
        <v>0.59719315188092303</v>
      </c>
      <c r="E7140">
        <v>6</v>
      </c>
      <c r="F7140">
        <v>1.01722196789785</v>
      </c>
      <c r="G7140" t="s">
        <v>87</v>
      </c>
      <c r="H7140" t="s">
        <v>87</v>
      </c>
      <c r="I7140">
        <v>769</v>
      </c>
      <c r="J7140">
        <v>674</v>
      </c>
      <c r="K7140">
        <v>0.12083958515882</v>
      </c>
    </row>
    <row r="7141" spans="1:11" x14ac:dyDescent="0.25">
      <c r="A7141" t="s">
        <v>85</v>
      </c>
    </row>
    <row r="7142" spans="1:11" x14ac:dyDescent="0.25">
      <c r="A7142">
        <v>63.901433257796903</v>
      </c>
      <c r="B7142">
        <v>44.2615446258623</v>
      </c>
      <c r="C7142">
        <v>2000</v>
      </c>
    </row>
    <row r="7143" spans="1:11" x14ac:dyDescent="0.25">
      <c r="A7143">
        <v>63.667517402045597</v>
      </c>
      <c r="B7143">
        <v>44.495460481613598</v>
      </c>
      <c r="C7143">
        <v>2000</v>
      </c>
    </row>
    <row r="7144" spans="1:11" x14ac:dyDescent="0.25">
      <c r="A7144">
        <v>62.793485353148</v>
      </c>
      <c r="B7144">
        <v>44.495460481613598</v>
      </c>
      <c r="C7144">
        <v>2001</v>
      </c>
    </row>
    <row r="7145" spans="1:11" x14ac:dyDescent="0.25">
      <c r="A7145">
        <v>63.027401208899299</v>
      </c>
      <c r="B7145">
        <v>44.2615446258623</v>
      </c>
      <c r="C7145">
        <v>2001</v>
      </c>
    </row>
    <row r="7146" spans="1:11" x14ac:dyDescent="0.25">
      <c r="A7146">
        <v>63.449680536272403</v>
      </c>
      <c r="B7146">
        <v>43.839265298489202</v>
      </c>
      <c r="C7146">
        <v>2001</v>
      </c>
    </row>
    <row r="7147" spans="1:11" x14ac:dyDescent="0.25">
      <c r="A7147">
        <v>64.323712585170099</v>
      </c>
      <c r="B7147">
        <v>43.839265298489202</v>
      </c>
      <c r="C7147">
        <v>2000</v>
      </c>
    </row>
    <row r="7148" spans="1:11" x14ac:dyDescent="0.25">
      <c r="A7148" t="s">
        <v>86</v>
      </c>
    </row>
    <row r="7149" spans="1:11" x14ac:dyDescent="0.25">
      <c r="A7149">
        <v>709</v>
      </c>
      <c r="B7149">
        <v>1</v>
      </c>
      <c r="C7149">
        <v>0.55884345452151496</v>
      </c>
      <c r="D7149">
        <v>0.36915667301701</v>
      </c>
      <c r="E7149">
        <v>6</v>
      </c>
      <c r="F7149">
        <v>1.01722196789785</v>
      </c>
      <c r="G7149" t="s">
        <v>87</v>
      </c>
      <c r="H7149" t="s">
        <v>87</v>
      </c>
      <c r="I7149">
        <v>769</v>
      </c>
      <c r="J7149">
        <v>674</v>
      </c>
      <c r="K7149">
        <v>0</v>
      </c>
    </row>
    <row r="7150" spans="1:11" x14ac:dyDescent="0.25">
      <c r="A7150" t="s">
        <v>85</v>
      </c>
    </row>
    <row r="7151" spans="1:11" x14ac:dyDescent="0.25">
      <c r="A7151">
        <v>51.171880072053803</v>
      </c>
      <c r="B7151">
        <v>31.209499158994099</v>
      </c>
      <c r="C7151">
        <v>2000</v>
      </c>
    </row>
    <row r="7152" spans="1:11" x14ac:dyDescent="0.25">
      <c r="A7152">
        <v>50.7767180757399</v>
      </c>
      <c r="B7152">
        <v>31.604661155308001</v>
      </c>
      <c r="C7152">
        <v>2000</v>
      </c>
    </row>
    <row r="7153" spans="1:11" x14ac:dyDescent="0.25">
      <c r="A7153">
        <v>49.902686026842296</v>
      </c>
      <c r="B7153">
        <v>31.604661155308001</v>
      </c>
      <c r="C7153">
        <v>2001</v>
      </c>
    </row>
    <row r="7154" spans="1:11" x14ac:dyDescent="0.25">
      <c r="A7154">
        <v>50.297848023156199</v>
      </c>
      <c r="B7154">
        <v>31.209499158994099</v>
      </c>
      <c r="C7154">
        <v>2001</v>
      </c>
    </row>
    <row r="7155" spans="1:11" x14ac:dyDescent="0.25">
      <c r="A7155">
        <v>50.558881209966799</v>
      </c>
      <c r="B7155">
        <v>30.948465972183499</v>
      </c>
      <c r="C7155">
        <v>2001</v>
      </c>
    </row>
    <row r="7156" spans="1:11" x14ac:dyDescent="0.25">
      <c r="A7156">
        <v>51.432913258864403</v>
      </c>
      <c r="B7156">
        <v>30.948465972183499</v>
      </c>
      <c r="C7156">
        <v>2000</v>
      </c>
    </row>
    <row r="7157" spans="1:11" x14ac:dyDescent="0.25">
      <c r="A7157" t="s">
        <v>86</v>
      </c>
    </row>
    <row r="7158" spans="1:11" x14ac:dyDescent="0.25">
      <c r="A7158">
        <v>1095</v>
      </c>
      <c r="B7158">
        <v>1</v>
      </c>
      <c r="C7158">
        <v>8.1525999128761101E-2</v>
      </c>
      <c r="D7158">
        <v>0.83363200012615102</v>
      </c>
      <c r="E7158">
        <v>6</v>
      </c>
      <c r="F7158">
        <v>1.01722196789785</v>
      </c>
      <c r="G7158" t="s">
        <v>87</v>
      </c>
      <c r="H7158" t="s">
        <v>87</v>
      </c>
      <c r="I7158">
        <v>844</v>
      </c>
      <c r="J7158">
        <v>847</v>
      </c>
      <c r="K7158">
        <v>0.123942026493586</v>
      </c>
    </row>
    <row r="7159" spans="1:11" x14ac:dyDescent="0.25">
      <c r="A7159" t="s">
        <v>85</v>
      </c>
    </row>
    <row r="7160" spans="1:11" x14ac:dyDescent="0.25">
      <c r="A7160">
        <v>140.871124958352</v>
      </c>
      <c r="B7160">
        <v>129.70888935084099</v>
      </c>
      <c r="C7160">
        <v>2000</v>
      </c>
    </row>
    <row r="7161" spans="1:11" x14ac:dyDescent="0.25">
      <c r="A7161">
        <v>140.85240853757199</v>
      </c>
      <c r="B7161">
        <v>129.727605771621</v>
      </c>
      <c r="C7161">
        <v>2000</v>
      </c>
    </row>
    <row r="7162" spans="1:11" x14ac:dyDescent="0.25">
      <c r="A7162">
        <v>140.85240853757199</v>
      </c>
      <c r="B7162">
        <v>130.60163782051899</v>
      </c>
      <c r="C7162">
        <v>2001</v>
      </c>
    </row>
    <row r="7163" spans="1:11" x14ac:dyDescent="0.25">
      <c r="A7163">
        <v>140.94898729044701</v>
      </c>
      <c r="B7163">
        <v>130.50505906764499</v>
      </c>
      <c r="C7163">
        <v>2001</v>
      </c>
    </row>
    <row r="7164" spans="1:11" x14ac:dyDescent="0.25">
      <c r="A7164">
        <v>141.93653898915201</v>
      </c>
      <c r="B7164">
        <v>129.51750736893999</v>
      </c>
      <c r="C7164">
        <v>2001</v>
      </c>
    </row>
    <row r="7165" spans="1:11" x14ac:dyDescent="0.25">
      <c r="A7165">
        <v>141.062506940254</v>
      </c>
      <c r="B7165">
        <v>129.51750736893999</v>
      </c>
      <c r="C7165">
        <v>2000</v>
      </c>
    </row>
    <row r="7166" spans="1:11" x14ac:dyDescent="0.25">
      <c r="A7166" t="s">
        <v>86</v>
      </c>
    </row>
    <row r="7167" spans="1:11" x14ac:dyDescent="0.25">
      <c r="A7167">
        <v>916</v>
      </c>
      <c r="B7167">
        <v>1</v>
      </c>
      <c r="C7167">
        <v>0.37131534898787799</v>
      </c>
      <c r="D7167">
        <v>0.54075073440975496</v>
      </c>
      <c r="E7167">
        <v>6</v>
      </c>
      <c r="F7167">
        <v>1.01722196789785</v>
      </c>
      <c r="G7167" t="s">
        <v>87</v>
      </c>
      <c r="H7167" t="s">
        <v>87</v>
      </c>
      <c r="I7167">
        <v>182</v>
      </c>
      <c r="J7167">
        <v>439</v>
      </c>
      <c r="K7167">
        <v>0.11722927267913701</v>
      </c>
    </row>
    <row r="7168" spans="1:11" x14ac:dyDescent="0.25">
      <c r="A7168" t="s">
        <v>85</v>
      </c>
    </row>
    <row r="7169" spans="1:11" x14ac:dyDescent="0.25">
      <c r="A7169">
        <v>43.582037992106201</v>
      </c>
      <c r="B7169">
        <v>137.97423300006199</v>
      </c>
      <c r="C7169">
        <v>2000</v>
      </c>
    </row>
    <row r="7170" spans="1:11" x14ac:dyDescent="0.25">
      <c r="A7170">
        <v>43.319478390878203</v>
      </c>
      <c r="B7170">
        <v>138.23679260129001</v>
      </c>
      <c r="C7170">
        <v>2000</v>
      </c>
    </row>
    <row r="7171" spans="1:11" x14ac:dyDescent="0.25">
      <c r="A7171">
        <v>42.445446341980499</v>
      </c>
      <c r="B7171">
        <v>138.23679260129001</v>
      </c>
      <c r="C7171">
        <v>2001</v>
      </c>
    </row>
    <row r="7172" spans="1:11" x14ac:dyDescent="0.25">
      <c r="A7172">
        <v>42.708005943208498</v>
      </c>
      <c r="B7172">
        <v>137.97423300006199</v>
      </c>
      <c r="C7172">
        <v>2001</v>
      </c>
    </row>
    <row r="7173" spans="1:11" x14ac:dyDescent="0.25">
      <c r="A7173">
        <v>43.090374454441303</v>
      </c>
      <c r="B7173">
        <v>137.591864488829</v>
      </c>
      <c r="C7173">
        <v>2001</v>
      </c>
    </row>
    <row r="7174" spans="1:11" x14ac:dyDescent="0.25">
      <c r="A7174">
        <v>43.9644065033389</v>
      </c>
      <c r="B7174">
        <v>137.591864488829</v>
      </c>
      <c r="C7174">
        <v>2000</v>
      </c>
    </row>
    <row r="7175" spans="1:11" x14ac:dyDescent="0.25">
      <c r="A7175" t="s">
        <v>86</v>
      </c>
    </row>
    <row r="7176" spans="1:11" x14ac:dyDescent="0.25">
      <c r="A7176">
        <v>621</v>
      </c>
      <c r="B7176">
        <v>1</v>
      </c>
      <c r="C7176">
        <v>0.85226984691821905</v>
      </c>
      <c r="D7176">
        <v>3.3415371531290802E-2</v>
      </c>
      <c r="E7176">
        <v>6</v>
      </c>
      <c r="F7176">
        <v>1.01722196789785</v>
      </c>
      <c r="G7176" t="s">
        <v>87</v>
      </c>
      <c r="H7176" t="s">
        <v>87</v>
      </c>
      <c r="I7176">
        <v>847</v>
      </c>
      <c r="J7176">
        <v>587</v>
      </c>
      <c r="K7176">
        <v>0</v>
      </c>
    </row>
    <row r="7177" spans="1:11" x14ac:dyDescent="0.25">
      <c r="A7177" t="s">
        <v>85</v>
      </c>
    </row>
    <row r="7178" spans="1:11" x14ac:dyDescent="0.25">
      <c r="A7178">
        <v>105.660762551557</v>
      </c>
      <c r="B7178">
        <v>92.910471403929606</v>
      </c>
      <c r="C7178">
        <v>2000</v>
      </c>
    </row>
    <row r="7179" spans="1:11" x14ac:dyDescent="0.25">
      <c r="A7179">
        <v>105.058116763401</v>
      </c>
      <c r="B7179">
        <v>93.513117192086398</v>
      </c>
      <c r="C7179">
        <v>2000</v>
      </c>
    </row>
    <row r="7180" spans="1:11" x14ac:dyDescent="0.25">
      <c r="A7180">
        <v>105.932148812298</v>
      </c>
      <c r="B7180">
        <v>93.513117192086398</v>
      </c>
      <c r="C7180">
        <v>2001</v>
      </c>
    </row>
    <row r="7181" spans="1:11" x14ac:dyDescent="0.25">
      <c r="A7181">
        <v>106.534794600455</v>
      </c>
      <c r="B7181">
        <v>92.910471403929705</v>
      </c>
      <c r="C7181">
        <v>2001</v>
      </c>
    </row>
    <row r="7182" spans="1:11" x14ac:dyDescent="0.25">
      <c r="A7182">
        <v>106.558422836261</v>
      </c>
      <c r="B7182">
        <v>92.886843168124102</v>
      </c>
      <c r="C7182">
        <v>2001</v>
      </c>
    </row>
    <row r="7183" spans="1:11" x14ac:dyDescent="0.25">
      <c r="A7183">
        <v>105.684390787363</v>
      </c>
      <c r="B7183">
        <v>92.886843168124003</v>
      </c>
      <c r="C7183">
        <v>2000</v>
      </c>
    </row>
    <row r="7184" spans="1:11" x14ac:dyDescent="0.25">
      <c r="A7184" t="s">
        <v>86</v>
      </c>
    </row>
    <row r="7185" spans="1:11" x14ac:dyDescent="0.25">
      <c r="A7185">
        <v>1003</v>
      </c>
      <c r="B7185">
        <v>1</v>
      </c>
      <c r="C7185">
        <v>0.87380950423177195</v>
      </c>
      <c r="D7185">
        <v>6.21524428758846E-3</v>
      </c>
      <c r="E7185">
        <v>6</v>
      </c>
      <c r="F7185">
        <v>1.01722196789785</v>
      </c>
      <c r="G7185" t="s">
        <v>87</v>
      </c>
      <c r="H7185" t="s">
        <v>87</v>
      </c>
      <c r="I7185">
        <v>432</v>
      </c>
      <c r="J7185">
        <v>120</v>
      </c>
      <c r="K7185">
        <v>0.120547941094079</v>
      </c>
    </row>
    <row r="7186" spans="1:11" x14ac:dyDescent="0.25">
      <c r="A7186" t="s">
        <v>85</v>
      </c>
    </row>
    <row r="7187" spans="1:11" x14ac:dyDescent="0.25">
      <c r="A7187">
        <v>28.966056588081301</v>
      </c>
      <c r="B7187">
        <v>91.313824321289701</v>
      </c>
      <c r="C7187">
        <v>2000</v>
      </c>
    </row>
    <row r="7188" spans="1:11" x14ac:dyDescent="0.25">
      <c r="A7188">
        <v>28.3481799621735</v>
      </c>
      <c r="B7188">
        <v>91.931700947197001</v>
      </c>
      <c r="C7188">
        <v>2000</v>
      </c>
    </row>
    <row r="7189" spans="1:11" x14ac:dyDescent="0.25">
      <c r="A7189">
        <v>27.4741479132759</v>
      </c>
      <c r="B7189">
        <v>91.931700947197001</v>
      </c>
      <c r="C7189">
        <v>2001</v>
      </c>
    </row>
    <row r="7190" spans="1:11" x14ac:dyDescent="0.25">
      <c r="A7190">
        <v>28.092024539183299</v>
      </c>
      <c r="B7190">
        <v>91.313824321289303</v>
      </c>
      <c r="C7190">
        <v>2001</v>
      </c>
    </row>
    <row r="7191" spans="1:11" x14ac:dyDescent="0.25">
      <c r="A7191">
        <v>28.096419380565798</v>
      </c>
      <c r="B7191">
        <v>91.309429479906797</v>
      </c>
      <c r="C7191">
        <v>2001</v>
      </c>
    </row>
    <row r="7192" spans="1:11" x14ac:dyDescent="0.25">
      <c r="A7192">
        <v>28.9704514294638</v>
      </c>
      <c r="B7192">
        <v>91.309429479907195</v>
      </c>
      <c r="C7192">
        <v>2000</v>
      </c>
    </row>
    <row r="7193" spans="1:11" x14ac:dyDescent="0.25">
      <c r="A7193" t="s">
        <v>86</v>
      </c>
    </row>
    <row r="7194" spans="1:11" x14ac:dyDescent="0.25">
      <c r="A7194">
        <v>1015</v>
      </c>
      <c r="B7194">
        <v>1</v>
      </c>
      <c r="C7194">
        <v>0.72295602224619404</v>
      </c>
      <c r="D7194">
        <v>0.15706872627316701</v>
      </c>
      <c r="E7194">
        <v>6</v>
      </c>
      <c r="F7194">
        <v>1.01722196789785</v>
      </c>
      <c r="G7194" t="s">
        <v>87</v>
      </c>
      <c r="H7194" t="s">
        <v>87</v>
      </c>
      <c r="I7194">
        <v>432</v>
      </c>
      <c r="J7194">
        <v>120</v>
      </c>
      <c r="K7194">
        <v>0.12083958515882</v>
      </c>
    </row>
    <row r="7195" spans="1:11" x14ac:dyDescent="0.25">
      <c r="A7195" t="s">
        <v>85</v>
      </c>
    </row>
    <row r="7196" spans="1:11" x14ac:dyDescent="0.25">
      <c r="A7196">
        <v>27.337411892748499</v>
      </c>
      <c r="B7196">
        <v>89.898518666112096</v>
      </c>
      <c r="C7196">
        <v>2000</v>
      </c>
    </row>
    <row r="7197" spans="1:11" x14ac:dyDescent="0.25">
      <c r="A7197">
        <v>26.826204786918598</v>
      </c>
      <c r="B7197">
        <v>90.409725771942107</v>
      </c>
      <c r="C7197">
        <v>2000</v>
      </c>
    </row>
    <row r="7198" spans="1:11" x14ac:dyDescent="0.25">
      <c r="A7198">
        <v>25.952172738020899</v>
      </c>
      <c r="B7198">
        <v>90.409725771942107</v>
      </c>
      <c r="C7198">
        <v>2001</v>
      </c>
    </row>
    <row r="7199" spans="1:11" x14ac:dyDescent="0.25">
      <c r="A7199">
        <v>26.463379843850898</v>
      </c>
      <c r="B7199">
        <v>89.898518666112096</v>
      </c>
      <c r="C7199">
        <v>2001</v>
      </c>
    </row>
    <row r="7200" spans="1:11" x14ac:dyDescent="0.25">
      <c r="A7200">
        <v>26.574444205311</v>
      </c>
      <c r="B7200">
        <v>89.787454304652002</v>
      </c>
      <c r="C7200">
        <v>2001</v>
      </c>
    </row>
    <row r="7201" spans="1:11" x14ac:dyDescent="0.25">
      <c r="A7201">
        <v>27.4484762542086</v>
      </c>
      <c r="B7201">
        <v>89.787454304652002</v>
      </c>
      <c r="C7201">
        <v>2000</v>
      </c>
    </row>
    <row r="7202" spans="1:11" x14ac:dyDescent="0.25">
      <c r="A7202" t="s">
        <v>86</v>
      </c>
    </row>
    <row r="7203" spans="1:11" x14ac:dyDescent="0.25">
      <c r="A7203">
        <v>1000</v>
      </c>
      <c r="B7203">
        <v>1</v>
      </c>
      <c r="C7203">
        <v>0.29718607238531303</v>
      </c>
      <c r="D7203">
        <v>0.57875316478628303</v>
      </c>
      <c r="E7203">
        <v>7</v>
      </c>
      <c r="F7203">
        <v>1.01722196789785</v>
      </c>
      <c r="G7203" t="s">
        <v>87</v>
      </c>
      <c r="H7203" t="s">
        <v>87</v>
      </c>
      <c r="I7203">
        <v>346</v>
      </c>
      <c r="J7203">
        <v>360</v>
      </c>
      <c r="K7203">
        <v>0.120547941094079</v>
      </c>
    </row>
    <row r="7204" spans="1:11" x14ac:dyDescent="0.25">
      <c r="A7204" t="s">
        <v>85</v>
      </c>
    </row>
    <row r="7205" spans="1:11" x14ac:dyDescent="0.25">
      <c r="A7205">
        <v>91.636221083642994</v>
      </c>
      <c r="B7205">
        <v>99.790872545107206</v>
      </c>
      <c r="C7205">
        <v>2000.0020295888601</v>
      </c>
    </row>
    <row r="7206" spans="1:11" x14ac:dyDescent="0.25">
      <c r="A7206">
        <v>91.636221083642994</v>
      </c>
      <c r="B7206">
        <v>100.663130668292</v>
      </c>
      <c r="C7206">
        <v>2001</v>
      </c>
    </row>
    <row r="7207" spans="1:11" x14ac:dyDescent="0.25">
      <c r="A7207">
        <v>92.057362139260505</v>
      </c>
      <c r="B7207">
        <v>100.241989612674</v>
      </c>
      <c r="C7207">
        <v>2001</v>
      </c>
    </row>
    <row r="7208" spans="1:11" x14ac:dyDescent="0.25">
      <c r="A7208">
        <v>92.089371951713503</v>
      </c>
      <c r="B7208">
        <v>100.20997980022101</v>
      </c>
      <c r="C7208">
        <v>2001</v>
      </c>
    </row>
    <row r="7209" spans="1:11" x14ac:dyDescent="0.25">
      <c r="A7209">
        <v>92.692619682603194</v>
      </c>
      <c r="B7209">
        <v>99.606732069331599</v>
      </c>
      <c r="C7209">
        <v>2001</v>
      </c>
    </row>
    <row r="7210" spans="1:11" x14ac:dyDescent="0.25">
      <c r="A7210">
        <v>91.818587633705604</v>
      </c>
      <c r="B7210">
        <v>99.6067320693315</v>
      </c>
      <c r="C7210">
        <v>2000</v>
      </c>
    </row>
    <row r="7211" spans="1:11" x14ac:dyDescent="0.25">
      <c r="A7211">
        <v>91.636221083642994</v>
      </c>
      <c r="B7211">
        <v>99.790872545107206</v>
      </c>
      <c r="C7211">
        <v>2000.0020295888601</v>
      </c>
    </row>
    <row r="7212" spans="1:11" x14ac:dyDescent="0.25">
      <c r="A7212" t="s">
        <v>86</v>
      </c>
    </row>
    <row r="7213" spans="1:11" x14ac:dyDescent="0.25">
      <c r="A7213">
        <v>545</v>
      </c>
      <c r="B7213">
        <v>1</v>
      </c>
      <c r="C7213">
        <v>0.123505412718075</v>
      </c>
      <c r="D7213">
        <v>0.74033876552370304</v>
      </c>
      <c r="E7213">
        <v>6</v>
      </c>
      <c r="F7213">
        <v>1.01722196789785</v>
      </c>
      <c r="G7213" t="s">
        <v>87</v>
      </c>
      <c r="H7213" t="s">
        <v>87</v>
      </c>
      <c r="I7213">
        <v>508</v>
      </c>
      <c r="J7213">
        <v>504</v>
      </c>
      <c r="K7213">
        <v>0</v>
      </c>
    </row>
    <row r="7214" spans="1:11" x14ac:dyDescent="0.25">
      <c r="A7214" t="s">
        <v>85</v>
      </c>
    </row>
    <row r="7215" spans="1:11" x14ac:dyDescent="0.25">
      <c r="A7215">
        <v>139.78948299717601</v>
      </c>
      <c r="B7215">
        <v>48.747175477327403</v>
      </c>
      <c r="C7215">
        <v>2000</v>
      </c>
    </row>
    <row r="7216" spans="1:11" x14ac:dyDescent="0.25">
      <c r="A7216">
        <v>139.70215148232899</v>
      </c>
      <c r="B7216">
        <v>48.834506992173601</v>
      </c>
      <c r="C7216">
        <v>2000</v>
      </c>
    </row>
    <row r="7217" spans="1:11" x14ac:dyDescent="0.25">
      <c r="A7217">
        <v>140.576183531227</v>
      </c>
      <c r="B7217">
        <v>48.834506992173601</v>
      </c>
      <c r="C7217">
        <v>2001</v>
      </c>
    </row>
    <row r="7218" spans="1:11" x14ac:dyDescent="0.25">
      <c r="A7218">
        <v>140.663515046073</v>
      </c>
      <c r="B7218">
        <v>48.747175477327403</v>
      </c>
      <c r="C7218">
        <v>2001</v>
      </c>
    </row>
    <row r="7219" spans="1:11" x14ac:dyDescent="0.25">
      <c r="A7219">
        <v>141.18701360755</v>
      </c>
      <c r="B7219">
        <v>48.223676915850298</v>
      </c>
      <c r="C7219">
        <v>2001</v>
      </c>
    </row>
    <row r="7220" spans="1:11" x14ac:dyDescent="0.25">
      <c r="A7220">
        <v>140.31298155865301</v>
      </c>
      <c r="B7220">
        <v>48.223676915850298</v>
      </c>
      <c r="C7220">
        <v>2000</v>
      </c>
    </row>
    <row r="7221" spans="1:11" x14ac:dyDescent="0.25">
      <c r="A7221" t="s">
        <v>86</v>
      </c>
    </row>
    <row r="7222" spans="1:11" x14ac:dyDescent="0.25">
      <c r="A7222">
        <v>881</v>
      </c>
      <c r="B7222">
        <v>1</v>
      </c>
      <c r="C7222">
        <v>0.12665195484233699</v>
      </c>
      <c r="D7222">
        <v>0.73335175646320006</v>
      </c>
      <c r="E7222">
        <v>6</v>
      </c>
      <c r="F7222">
        <v>1.01722196789785</v>
      </c>
      <c r="G7222" t="s">
        <v>87</v>
      </c>
      <c r="H7222" t="s">
        <v>83</v>
      </c>
      <c r="I7222">
        <v>760</v>
      </c>
      <c r="J7222">
        <v>0</v>
      </c>
      <c r="K7222">
        <v>0.116069536161876</v>
      </c>
    </row>
    <row r="7223" spans="1:11" x14ac:dyDescent="0.25">
      <c r="A7223" t="s">
        <v>85</v>
      </c>
    </row>
    <row r="7224" spans="1:11" x14ac:dyDescent="0.25">
      <c r="A7224">
        <v>45.780253389291197</v>
      </c>
      <c r="B7224">
        <v>0.51855799999021102</v>
      </c>
      <c r="C7224">
        <v>2000</v>
      </c>
    </row>
    <row r="7225" spans="1:11" x14ac:dyDescent="0.25">
      <c r="A7225">
        <v>45.690696933171601</v>
      </c>
      <c r="B7225">
        <v>0.608114456109763</v>
      </c>
      <c r="C7225">
        <v>2000</v>
      </c>
    </row>
    <row r="7226" spans="1:11" x14ac:dyDescent="0.25">
      <c r="A7226">
        <v>46.564728982069298</v>
      </c>
      <c r="B7226">
        <v>0.60811445610975401</v>
      </c>
      <c r="C7226">
        <v>2001</v>
      </c>
    </row>
    <row r="7227" spans="1:11" x14ac:dyDescent="0.25">
      <c r="A7227">
        <v>46.654285438188801</v>
      </c>
      <c r="B7227">
        <v>0.51855799999020302</v>
      </c>
      <c r="C7227">
        <v>2001</v>
      </c>
    </row>
    <row r="7228" spans="1:11" x14ac:dyDescent="0.25">
      <c r="A7228">
        <v>47.172843438179001</v>
      </c>
      <c r="B7228">
        <v>0</v>
      </c>
      <c r="C7228">
        <v>2001</v>
      </c>
    </row>
    <row r="7229" spans="1:11" x14ac:dyDescent="0.25">
      <c r="A7229">
        <v>46.298811389281397</v>
      </c>
      <c r="B7229">
        <v>0</v>
      </c>
      <c r="C7229">
        <v>2000</v>
      </c>
    </row>
    <row r="7230" spans="1:11" x14ac:dyDescent="0.25">
      <c r="A7230" t="s">
        <v>86</v>
      </c>
    </row>
    <row r="7231" spans="1:11" x14ac:dyDescent="0.25">
      <c r="A7231">
        <v>1004</v>
      </c>
      <c r="B7231">
        <v>1</v>
      </c>
      <c r="C7231">
        <v>0.81045199076043395</v>
      </c>
      <c r="D7231">
        <v>4.31572533696283E-2</v>
      </c>
      <c r="E7231">
        <v>6</v>
      </c>
      <c r="F7231">
        <v>1.01722196789785</v>
      </c>
      <c r="G7231" t="s">
        <v>87</v>
      </c>
      <c r="H7231" t="s">
        <v>87</v>
      </c>
      <c r="I7231">
        <v>191</v>
      </c>
      <c r="J7231">
        <v>195</v>
      </c>
      <c r="K7231">
        <v>0.119945352050412</v>
      </c>
    </row>
    <row r="7232" spans="1:11" x14ac:dyDescent="0.25">
      <c r="A7232" t="s">
        <v>85</v>
      </c>
    </row>
    <row r="7233" spans="1:11" x14ac:dyDescent="0.25">
      <c r="A7233">
        <v>25.6345224702557</v>
      </c>
      <c r="B7233">
        <v>105.547236775979</v>
      </c>
      <c r="C7233">
        <v>2000</v>
      </c>
    </row>
    <row r="7234" spans="1:11" x14ac:dyDescent="0.25">
      <c r="A7234">
        <v>24.646525247789199</v>
      </c>
      <c r="B7234">
        <v>106.535233998446</v>
      </c>
      <c r="C7234">
        <v>2000</v>
      </c>
    </row>
    <row r="7235" spans="1:11" x14ac:dyDescent="0.25">
      <c r="A7235">
        <v>24.646525247789199</v>
      </c>
      <c r="B7235">
        <v>105.661201949548</v>
      </c>
      <c r="C7235">
        <v>2001</v>
      </c>
    </row>
    <row r="7236" spans="1:11" x14ac:dyDescent="0.25">
      <c r="A7236">
        <v>24.804680222308399</v>
      </c>
      <c r="B7236">
        <v>105.50304697502899</v>
      </c>
      <c r="C7236">
        <v>2001</v>
      </c>
    </row>
    <row r="7237" spans="1:11" x14ac:dyDescent="0.25">
      <c r="A7237">
        <v>24.8131021083483</v>
      </c>
      <c r="B7237">
        <v>105.494625088989</v>
      </c>
      <c r="C7237">
        <v>2001</v>
      </c>
    </row>
    <row r="7238" spans="1:11" x14ac:dyDescent="0.25">
      <c r="A7238">
        <v>25.6871341572459</v>
      </c>
      <c r="B7238">
        <v>105.494625088989</v>
      </c>
      <c r="C7238">
        <v>2000</v>
      </c>
    </row>
    <row r="7239" spans="1:11" x14ac:dyDescent="0.25">
      <c r="A7239" t="s">
        <v>86</v>
      </c>
    </row>
    <row r="7240" spans="1:11" x14ac:dyDescent="0.25">
      <c r="A7240">
        <v>886</v>
      </c>
      <c r="B7240">
        <v>1</v>
      </c>
      <c r="C7240">
        <v>6.4433970324500905E-2</v>
      </c>
      <c r="D7240">
        <v>0.78646533022676102</v>
      </c>
      <c r="E7240">
        <v>6</v>
      </c>
      <c r="F7240">
        <v>1.01722196789785</v>
      </c>
      <c r="G7240" t="s">
        <v>87</v>
      </c>
      <c r="H7240" t="s">
        <v>87</v>
      </c>
      <c r="I7240">
        <v>807</v>
      </c>
      <c r="J7240">
        <v>115</v>
      </c>
      <c r="K7240">
        <v>0.114536792619501</v>
      </c>
    </row>
    <row r="7241" spans="1:11" x14ac:dyDescent="0.25">
      <c r="A7241" t="s">
        <v>85</v>
      </c>
    </row>
    <row r="7242" spans="1:11" x14ac:dyDescent="0.25">
      <c r="A7242">
        <v>67.876295900688206</v>
      </c>
      <c r="B7242">
        <v>129.43129603739399</v>
      </c>
      <c r="C7242">
        <v>2000</v>
      </c>
    </row>
    <row r="7243" spans="1:11" x14ac:dyDescent="0.25">
      <c r="A7243">
        <v>67.797641359641105</v>
      </c>
      <c r="B7243">
        <v>129.50995057844099</v>
      </c>
      <c r="C7243">
        <v>2000</v>
      </c>
    </row>
    <row r="7244" spans="1:11" x14ac:dyDescent="0.25">
      <c r="A7244">
        <v>67.797641359641005</v>
      </c>
      <c r="B7244">
        <v>128.635918529544</v>
      </c>
      <c r="C7244">
        <v>2001</v>
      </c>
    </row>
    <row r="7245" spans="1:11" x14ac:dyDescent="0.25">
      <c r="A7245">
        <v>67.810110213304299</v>
      </c>
      <c r="B7245">
        <v>128.62344967588001</v>
      </c>
      <c r="C7245">
        <v>2001</v>
      </c>
    </row>
    <row r="7246" spans="1:11" x14ac:dyDescent="0.25">
      <c r="A7246">
        <v>67.962302000718907</v>
      </c>
      <c r="B7246">
        <v>128.471257888466</v>
      </c>
      <c r="C7246">
        <v>2001</v>
      </c>
    </row>
    <row r="7247" spans="1:11" x14ac:dyDescent="0.25">
      <c r="A7247">
        <v>68.836334049616497</v>
      </c>
      <c r="B7247">
        <v>128.471257888466</v>
      </c>
      <c r="C7247">
        <v>2000</v>
      </c>
    </row>
    <row r="7248" spans="1:11" x14ac:dyDescent="0.25">
      <c r="A7248" t="s">
        <v>86</v>
      </c>
    </row>
    <row r="7249" spans="1:11" x14ac:dyDescent="0.25">
      <c r="A7249">
        <v>1078</v>
      </c>
      <c r="B7249">
        <v>1</v>
      </c>
      <c r="C7249">
        <v>0.204475419182167</v>
      </c>
      <c r="D7249">
        <v>0.64642388136907403</v>
      </c>
      <c r="E7249">
        <v>6</v>
      </c>
      <c r="F7249">
        <v>1.01722196789785</v>
      </c>
      <c r="G7249" t="s">
        <v>87</v>
      </c>
      <c r="H7249" t="s">
        <v>87</v>
      </c>
      <c r="I7249">
        <v>807</v>
      </c>
      <c r="J7249">
        <v>115</v>
      </c>
      <c r="K7249">
        <v>0.122728925384179</v>
      </c>
    </row>
    <row r="7250" spans="1:11" x14ac:dyDescent="0.25">
      <c r="A7250" t="s">
        <v>85</v>
      </c>
    </row>
    <row r="7251" spans="1:11" x14ac:dyDescent="0.25">
      <c r="A7251">
        <v>46.185128952431</v>
      </c>
      <c r="B7251">
        <v>107.398231924272</v>
      </c>
      <c r="C7251">
        <v>2000</v>
      </c>
    </row>
    <row r="7252" spans="1:11" x14ac:dyDescent="0.25">
      <c r="A7252">
        <v>45.935525828951398</v>
      </c>
      <c r="B7252">
        <v>107.647835047752</v>
      </c>
      <c r="C7252">
        <v>2000</v>
      </c>
    </row>
    <row r="7253" spans="1:11" x14ac:dyDescent="0.25">
      <c r="A7253">
        <v>46.809557877849002</v>
      </c>
      <c r="B7253">
        <v>107.647835047752</v>
      </c>
      <c r="C7253">
        <v>2001</v>
      </c>
    </row>
    <row r="7254" spans="1:11" x14ac:dyDescent="0.25">
      <c r="A7254">
        <v>46.849126665348798</v>
      </c>
      <c r="B7254">
        <v>107.60826626025199</v>
      </c>
      <c r="C7254">
        <v>2001</v>
      </c>
    </row>
    <row r="7255" spans="1:11" x14ac:dyDescent="0.25">
      <c r="A7255">
        <v>46.974218518926897</v>
      </c>
      <c r="B7255">
        <v>107.483174406674</v>
      </c>
      <c r="C7255">
        <v>2001</v>
      </c>
    </row>
    <row r="7256" spans="1:11" x14ac:dyDescent="0.25">
      <c r="A7256">
        <v>46.974218518926897</v>
      </c>
      <c r="B7256">
        <v>106.60914235777599</v>
      </c>
      <c r="C7256">
        <v>2000</v>
      </c>
    </row>
    <row r="7257" spans="1:11" x14ac:dyDescent="0.25">
      <c r="A7257" t="s">
        <v>86</v>
      </c>
    </row>
    <row r="7258" spans="1:11" x14ac:dyDescent="0.25">
      <c r="A7258">
        <v>69</v>
      </c>
      <c r="B7258">
        <v>1</v>
      </c>
      <c r="C7258">
        <v>0.81221313633897896</v>
      </c>
      <c r="D7258">
        <v>3.7736724131022498E-2</v>
      </c>
      <c r="E7258">
        <v>6</v>
      </c>
      <c r="F7258">
        <v>1.01722196789785</v>
      </c>
      <c r="G7258" t="s">
        <v>87</v>
      </c>
      <c r="H7258" t="s">
        <v>87</v>
      </c>
      <c r="I7258">
        <v>30</v>
      </c>
      <c r="J7258">
        <v>751</v>
      </c>
      <c r="K7258">
        <v>0</v>
      </c>
    </row>
    <row r="7259" spans="1:11" x14ac:dyDescent="0.25">
      <c r="A7259" t="s">
        <v>85</v>
      </c>
    </row>
    <row r="7260" spans="1:11" x14ac:dyDescent="0.25">
      <c r="A7260">
        <v>46.996025743901399</v>
      </c>
      <c r="B7260">
        <v>7.8660501087392198</v>
      </c>
      <c r="C7260">
        <v>2000</v>
      </c>
    </row>
    <row r="7261" spans="1:11" x14ac:dyDescent="0.25">
      <c r="A7261">
        <v>46.4217043274273</v>
      </c>
      <c r="B7261">
        <v>8.4403715252132798</v>
      </c>
      <c r="C7261">
        <v>2000</v>
      </c>
    </row>
    <row r="7262" spans="1:11" x14ac:dyDescent="0.25">
      <c r="A7262">
        <v>47.295736376324903</v>
      </c>
      <c r="B7262">
        <v>8.4403715252132798</v>
      </c>
      <c r="C7262">
        <v>2001</v>
      </c>
    </row>
    <row r="7263" spans="1:11" x14ac:dyDescent="0.25">
      <c r="A7263">
        <v>47.870057792799003</v>
      </c>
      <c r="B7263">
        <v>7.8660501087391701</v>
      </c>
      <c r="C7263">
        <v>2001</v>
      </c>
    </row>
    <row r="7264" spans="1:11" x14ac:dyDescent="0.25">
      <c r="A7264">
        <v>47.896741686331801</v>
      </c>
      <c r="B7264">
        <v>7.8393662152063497</v>
      </c>
      <c r="C7264">
        <v>2001</v>
      </c>
    </row>
    <row r="7265" spans="1:11" x14ac:dyDescent="0.25">
      <c r="A7265">
        <v>47.022709637434197</v>
      </c>
      <c r="B7265">
        <v>7.8393662152064101</v>
      </c>
      <c r="C7265">
        <v>2000</v>
      </c>
    </row>
    <row r="7266" spans="1:11" x14ac:dyDescent="0.25">
      <c r="A7266" t="s">
        <v>86</v>
      </c>
    </row>
    <row r="7267" spans="1:11" x14ac:dyDescent="0.25">
      <c r="A7267">
        <v>1026</v>
      </c>
      <c r="B7267">
        <v>1</v>
      </c>
      <c r="C7267">
        <v>0.64659518525922599</v>
      </c>
      <c r="D7267">
        <v>0.20335467521077499</v>
      </c>
      <c r="E7267">
        <v>6</v>
      </c>
      <c r="F7267">
        <v>1.01722196789785</v>
      </c>
      <c r="G7267" t="s">
        <v>87</v>
      </c>
      <c r="H7267" t="s">
        <v>87</v>
      </c>
      <c r="I7267">
        <v>30</v>
      </c>
      <c r="J7267">
        <v>751</v>
      </c>
      <c r="K7267">
        <v>0.12140552605247699</v>
      </c>
    </row>
    <row r="7268" spans="1:11" x14ac:dyDescent="0.25">
      <c r="A7268" t="s">
        <v>85</v>
      </c>
    </row>
    <row r="7269" spans="1:11" x14ac:dyDescent="0.25">
      <c r="A7269">
        <v>42.907199574591203</v>
      </c>
      <c r="B7269">
        <v>4.0114430920184798</v>
      </c>
      <c r="C7269">
        <v>2000</v>
      </c>
    </row>
    <row r="7270" spans="1:11" x14ac:dyDescent="0.25">
      <c r="A7270">
        <v>42.449987734411799</v>
      </c>
      <c r="B7270">
        <v>4.4686549321978504</v>
      </c>
      <c r="C7270">
        <v>2000</v>
      </c>
    </row>
    <row r="7271" spans="1:11" x14ac:dyDescent="0.25">
      <c r="A7271">
        <v>42.449987734411799</v>
      </c>
      <c r="B7271">
        <v>3.5946228833002101</v>
      </c>
      <c r="C7271">
        <v>2001</v>
      </c>
    </row>
    <row r="7272" spans="1:11" x14ac:dyDescent="0.25">
      <c r="A7272">
        <v>42.907199574591203</v>
      </c>
      <c r="B7272">
        <v>3.13741104312084</v>
      </c>
      <c r="C7272">
        <v>2001</v>
      </c>
    </row>
    <row r="7273" spans="1:11" x14ac:dyDescent="0.25">
      <c r="A7273">
        <v>43.050993044418703</v>
      </c>
      <c r="B7273">
        <v>2.9936175732933101</v>
      </c>
      <c r="C7273">
        <v>2001</v>
      </c>
    </row>
    <row r="7274" spans="1:11" x14ac:dyDescent="0.25">
      <c r="A7274">
        <v>43.050993044418703</v>
      </c>
      <c r="B7274">
        <v>3.86764962219095</v>
      </c>
      <c r="C7274">
        <v>2000</v>
      </c>
    </row>
    <row r="7275" spans="1:11" x14ac:dyDescent="0.25">
      <c r="A7275" t="s">
        <v>86</v>
      </c>
    </row>
    <row r="7276" spans="1:11" x14ac:dyDescent="0.25">
      <c r="A7276">
        <v>907</v>
      </c>
      <c r="B7276">
        <v>1</v>
      </c>
      <c r="C7276">
        <v>0.62859833276420596</v>
      </c>
      <c r="D7276">
        <v>0.219630372242577</v>
      </c>
      <c r="E7276">
        <v>6</v>
      </c>
      <c r="F7276">
        <v>1.01722196789785</v>
      </c>
      <c r="G7276" t="s">
        <v>83</v>
      </c>
      <c r="H7276" t="s">
        <v>87</v>
      </c>
      <c r="I7276">
        <v>0</v>
      </c>
      <c r="J7276">
        <v>102</v>
      </c>
      <c r="K7276">
        <v>0.11685087107927999</v>
      </c>
    </row>
    <row r="7277" spans="1:11" x14ac:dyDescent="0.25">
      <c r="A7277" t="s">
        <v>85</v>
      </c>
    </row>
    <row r="7278" spans="1:11" x14ac:dyDescent="0.25">
      <c r="A7278">
        <v>0.44448614374011902</v>
      </c>
      <c r="B7278">
        <v>34.040945089915901</v>
      </c>
      <c r="C7278">
        <v>2000</v>
      </c>
    </row>
    <row r="7279" spans="1:11" x14ac:dyDescent="0.25">
      <c r="A7279">
        <v>0</v>
      </c>
      <c r="B7279">
        <v>34.485431233656001</v>
      </c>
      <c r="C7279">
        <v>2000</v>
      </c>
    </row>
    <row r="7280" spans="1:11" x14ac:dyDescent="0.25">
      <c r="A7280">
        <v>0</v>
      </c>
      <c r="B7280">
        <v>35.359463282553598</v>
      </c>
      <c r="C7280">
        <v>2001</v>
      </c>
    </row>
    <row r="7281" spans="1:11" x14ac:dyDescent="0.25">
      <c r="A7281">
        <v>0.44448614374012302</v>
      </c>
      <c r="B7281">
        <v>34.914977138813498</v>
      </c>
      <c r="C7281">
        <v>2001</v>
      </c>
    </row>
    <row r="7282" spans="1:11" x14ac:dyDescent="0.25">
      <c r="A7282">
        <v>0.59978826930737295</v>
      </c>
      <c r="B7282">
        <v>34.759675013246301</v>
      </c>
      <c r="C7282">
        <v>2001</v>
      </c>
    </row>
    <row r="7283" spans="1:11" x14ac:dyDescent="0.25">
      <c r="A7283">
        <v>0.59978826930736795</v>
      </c>
      <c r="B7283">
        <v>33.885642964348598</v>
      </c>
      <c r="C7283">
        <v>2000</v>
      </c>
    </row>
    <row r="7284" spans="1:11" x14ac:dyDescent="0.25">
      <c r="A7284" t="s">
        <v>86</v>
      </c>
    </row>
    <row r="7285" spans="1:11" x14ac:dyDescent="0.25">
      <c r="A7285">
        <v>946</v>
      </c>
      <c r="B7285">
        <v>1</v>
      </c>
      <c r="C7285">
        <v>0.45699551272945599</v>
      </c>
      <c r="D7285">
        <v>0.38686050613311102</v>
      </c>
      <c r="E7285">
        <v>6</v>
      </c>
      <c r="F7285">
        <v>1.01722196789785</v>
      </c>
      <c r="G7285" t="s">
        <v>87</v>
      </c>
      <c r="H7285" t="s">
        <v>87</v>
      </c>
      <c r="I7285">
        <v>740</v>
      </c>
      <c r="J7285">
        <v>105</v>
      </c>
      <c r="K7285">
        <v>0.117959963458315</v>
      </c>
    </row>
    <row r="7286" spans="1:11" x14ac:dyDescent="0.25">
      <c r="A7286" t="s">
        <v>85</v>
      </c>
    </row>
    <row r="7287" spans="1:11" x14ac:dyDescent="0.25">
      <c r="A7287">
        <v>39.880149368615498</v>
      </c>
      <c r="B7287">
        <v>110.178369346623</v>
      </c>
      <c r="C7287">
        <v>2000</v>
      </c>
    </row>
    <row r="7288" spans="1:11" x14ac:dyDescent="0.25">
      <c r="A7288">
        <v>39.557004742592703</v>
      </c>
      <c r="B7288">
        <v>110.50151397264599</v>
      </c>
      <c r="C7288">
        <v>2000</v>
      </c>
    </row>
    <row r="7289" spans="1:11" x14ac:dyDescent="0.25">
      <c r="A7289">
        <v>40.4310367914903</v>
      </c>
      <c r="B7289">
        <v>110.50151397264599</v>
      </c>
      <c r="C7289">
        <v>2001</v>
      </c>
    </row>
    <row r="7290" spans="1:11" x14ac:dyDescent="0.25">
      <c r="A7290">
        <v>40.754181417513102</v>
      </c>
      <c r="B7290">
        <v>110.178369346623</v>
      </c>
      <c r="C7290">
        <v>2001</v>
      </c>
    </row>
    <row r="7291" spans="1:11" x14ac:dyDescent="0.25">
      <c r="A7291">
        <v>41.027733104773098</v>
      </c>
      <c r="B7291">
        <v>109.904817659364</v>
      </c>
      <c r="C7291">
        <v>2001</v>
      </c>
    </row>
    <row r="7292" spans="1:11" x14ac:dyDescent="0.25">
      <c r="A7292">
        <v>40.153701055875501</v>
      </c>
      <c r="B7292">
        <v>109.904817659364</v>
      </c>
      <c r="C7292">
        <v>2000</v>
      </c>
    </row>
    <row r="7293" spans="1:11" x14ac:dyDescent="0.25">
      <c r="A7293" t="s">
        <v>86</v>
      </c>
    </row>
    <row r="7294" spans="1:11" x14ac:dyDescent="0.25">
      <c r="A7294">
        <v>1125</v>
      </c>
      <c r="B7294">
        <v>1</v>
      </c>
      <c r="C7294">
        <v>3.7172878322948598E-2</v>
      </c>
      <c r="D7294">
        <v>0.80109835383707695</v>
      </c>
      <c r="E7294">
        <v>6</v>
      </c>
      <c r="F7294">
        <v>1.01722196789785</v>
      </c>
      <c r="G7294" t="s">
        <v>87</v>
      </c>
      <c r="H7294" t="s">
        <v>87</v>
      </c>
      <c r="I7294">
        <v>587</v>
      </c>
      <c r="J7294">
        <v>723</v>
      </c>
      <c r="K7294">
        <v>0.124625009531664</v>
      </c>
    </row>
    <row r="7295" spans="1:11" x14ac:dyDescent="0.25">
      <c r="A7295" t="s">
        <v>85</v>
      </c>
    </row>
    <row r="7296" spans="1:11" x14ac:dyDescent="0.25">
      <c r="A7296">
        <v>125.47655447874099</v>
      </c>
      <c r="B7296">
        <v>112.626436470825</v>
      </c>
      <c r="C7296">
        <v>2000</v>
      </c>
    </row>
    <row r="7297" spans="1:11" x14ac:dyDescent="0.25">
      <c r="A7297">
        <v>125.450269284402</v>
      </c>
      <c r="B7297">
        <v>112.652721665163</v>
      </c>
      <c r="C7297">
        <v>2000</v>
      </c>
    </row>
    <row r="7298" spans="1:11" x14ac:dyDescent="0.25">
      <c r="A7298">
        <v>125.450269284402</v>
      </c>
      <c r="B7298">
        <v>111.77868961626601</v>
      </c>
      <c r="C7298">
        <v>2001</v>
      </c>
    </row>
    <row r="7299" spans="1:11" x14ac:dyDescent="0.25">
      <c r="A7299">
        <v>125.47655447874</v>
      </c>
      <c r="B7299">
        <v>111.752404421927</v>
      </c>
      <c r="C7299">
        <v>2001</v>
      </c>
    </row>
    <row r="7300" spans="1:11" x14ac:dyDescent="0.25">
      <c r="A7300">
        <v>126.043016557136</v>
      </c>
      <c r="B7300">
        <v>111.18594234353201</v>
      </c>
      <c r="C7300">
        <v>2001</v>
      </c>
    </row>
    <row r="7301" spans="1:11" x14ac:dyDescent="0.25">
      <c r="A7301">
        <v>126.043016557136</v>
      </c>
      <c r="B7301">
        <v>112.059974392429</v>
      </c>
      <c r="C7301">
        <v>2000</v>
      </c>
    </row>
    <row r="7302" spans="1:11" x14ac:dyDescent="0.25">
      <c r="A7302" t="s">
        <v>86</v>
      </c>
    </row>
    <row r="7303" spans="1:11" x14ac:dyDescent="0.25">
      <c r="A7303">
        <v>874</v>
      </c>
      <c r="B7303">
        <v>1</v>
      </c>
      <c r="C7303">
        <v>0.41277266849100902</v>
      </c>
      <c r="D7303">
        <v>0.42282085584385998</v>
      </c>
      <c r="E7303">
        <v>6</v>
      </c>
      <c r="F7303">
        <v>1.01722196789785</v>
      </c>
      <c r="G7303" t="s">
        <v>87</v>
      </c>
      <c r="H7303" t="s">
        <v>87</v>
      </c>
      <c r="I7303">
        <v>750</v>
      </c>
      <c r="J7303">
        <v>850</v>
      </c>
      <c r="K7303">
        <v>0.114536792619501</v>
      </c>
    </row>
    <row r="7304" spans="1:11" x14ac:dyDescent="0.25">
      <c r="A7304" t="s">
        <v>85</v>
      </c>
    </row>
    <row r="7305" spans="1:11" x14ac:dyDescent="0.25">
      <c r="A7305">
        <v>58.701637482618402</v>
      </c>
      <c r="B7305">
        <v>31.563765789148999</v>
      </c>
      <c r="C7305">
        <v>2000</v>
      </c>
    </row>
    <row r="7306" spans="1:11" x14ac:dyDescent="0.25">
      <c r="A7306">
        <v>58.625643537196503</v>
      </c>
      <c r="B7306">
        <v>31.639759734570902</v>
      </c>
      <c r="C7306">
        <v>2000</v>
      </c>
    </row>
    <row r="7307" spans="1:11" x14ac:dyDescent="0.25">
      <c r="A7307">
        <v>57.751611488298899</v>
      </c>
      <c r="B7307">
        <v>31.639759734570902</v>
      </c>
      <c r="C7307">
        <v>2001</v>
      </c>
    </row>
    <row r="7308" spans="1:11" x14ac:dyDescent="0.25">
      <c r="A7308">
        <v>58.259366248833999</v>
      </c>
      <c r="B7308">
        <v>31.132004974035802</v>
      </c>
      <c r="C7308">
        <v>2001</v>
      </c>
    </row>
    <row r="7309" spans="1:11" x14ac:dyDescent="0.25">
      <c r="A7309">
        <v>58.779481360120499</v>
      </c>
      <c r="B7309">
        <v>30.611889862749301</v>
      </c>
      <c r="C7309">
        <v>2001</v>
      </c>
    </row>
    <row r="7310" spans="1:11" x14ac:dyDescent="0.25">
      <c r="A7310">
        <v>58.779481360120499</v>
      </c>
      <c r="B7310">
        <v>31.485921911647001</v>
      </c>
      <c r="C7310">
        <v>2000</v>
      </c>
    </row>
    <row r="7311" spans="1:11" x14ac:dyDescent="0.25">
      <c r="A7311" t="s">
        <v>86</v>
      </c>
    </row>
    <row r="7312" spans="1:11" x14ac:dyDescent="0.25">
      <c r="A7312">
        <v>1144</v>
      </c>
      <c r="B7312">
        <v>1</v>
      </c>
      <c r="C7312">
        <v>0.62098257833443404</v>
      </c>
      <c r="D7312">
        <v>0.20854652486886499</v>
      </c>
      <c r="E7312">
        <v>6</v>
      </c>
      <c r="F7312">
        <v>1.01722196789785</v>
      </c>
      <c r="G7312" t="s">
        <v>87</v>
      </c>
      <c r="H7312" t="s">
        <v>87</v>
      </c>
      <c r="I7312">
        <v>110</v>
      </c>
      <c r="J7312">
        <v>112</v>
      </c>
      <c r="K7312">
        <v>0.124625009531664</v>
      </c>
    </row>
    <row r="7313" spans="1:11" x14ac:dyDescent="0.25">
      <c r="A7313" t="s">
        <v>85</v>
      </c>
    </row>
    <row r="7314" spans="1:11" x14ac:dyDescent="0.25">
      <c r="A7314">
        <v>14.1060860802409</v>
      </c>
      <c r="B7314">
        <v>69.556128142888298</v>
      </c>
      <c r="C7314">
        <v>2000</v>
      </c>
    </row>
    <row r="7315" spans="1:11" x14ac:dyDescent="0.25">
      <c r="A7315">
        <v>13.3398364243749</v>
      </c>
      <c r="B7315">
        <v>70.322377798754303</v>
      </c>
      <c r="C7315">
        <v>2000</v>
      </c>
    </row>
    <row r="7316" spans="1:11" x14ac:dyDescent="0.25">
      <c r="A7316">
        <v>13.3398364243749</v>
      </c>
      <c r="B7316">
        <v>69.448345749856699</v>
      </c>
      <c r="C7316">
        <v>2001</v>
      </c>
    </row>
    <row r="7317" spans="1:11" x14ac:dyDescent="0.25">
      <c r="A7317">
        <v>13.451788752786801</v>
      </c>
      <c r="B7317">
        <v>69.336393421444797</v>
      </c>
      <c r="C7317">
        <v>2001</v>
      </c>
    </row>
    <row r="7318" spans="1:11" x14ac:dyDescent="0.25">
      <c r="A7318">
        <v>13.4893860539927</v>
      </c>
      <c r="B7318">
        <v>69.298796120238904</v>
      </c>
      <c r="C7318">
        <v>2001</v>
      </c>
    </row>
    <row r="7319" spans="1:11" x14ac:dyDescent="0.25">
      <c r="A7319">
        <v>14.3634181028903</v>
      </c>
      <c r="B7319">
        <v>69.298796120238904</v>
      </c>
      <c r="C7319">
        <v>2000</v>
      </c>
    </row>
    <row r="7320" spans="1:11" x14ac:dyDescent="0.25">
      <c r="A7320" t="s">
        <v>86</v>
      </c>
    </row>
    <row r="7321" spans="1:11" x14ac:dyDescent="0.25">
      <c r="A7321">
        <v>153</v>
      </c>
      <c r="B7321">
        <v>1</v>
      </c>
      <c r="C7321">
        <v>0.39030395304881399</v>
      </c>
      <c r="D7321">
        <v>0.43922515015448499</v>
      </c>
      <c r="E7321">
        <v>6</v>
      </c>
      <c r="F7321">
        <v>1.01722196789785</v>
      </c>
      <c r="G7321" t="s">
        <v>87</v>
      </c>
      <c r="H7321" t="s">
        <v>87</v>
      </c>
      <c r="I7321">
        <v>110</v>
      </c>
      <c r="J7321">
        <v>112</v>
      </c>
      <c r="K7321">
        <v>0</v>
      </c>
    </row>
    <row r="7322" spans="1:11" x14ac:dyDescent="0.25">
      <c r="A7322" t="s">
        <v>85</v>
      </c>
    </row>
    <row r="7323" spans="1:11" x14ac:dyDescent="0.25">
      <c r="A7323">
        <v>11.5144253286298</v>
      </c>
      <c r="B7323">
        <v>67.533750406317097</v>
      </c>
      <c r="C7323">
        <v>2000</v>
      </c>
    </row>
    <row r="7324" spans="1:11" x14ac:dyDescent="0.25">
      <c r="A7324">
        <v>11.032817180283701</v>
      </c>
      <c r="B7324">
        <v>68.015358554663194</v>
      </c>
      <c r="C7324">
        <v>2000</v>
      </c>
    </row>
    <row r="7325" spans="1:11" x14ac:dyDescent="0.25">
      <c r="A7325">
        <v>11.032817180283701</v>
      </c>
      <c r="B7325">
        <v>67.141326505765605</v>
      </c>
      <c r="C7325">
        <v>2001</v>
      </c>
    </row>
    <row r="7326" spans="1:11" x14ac:dyDescent="0.25">
      <c r="A7326">
        <v>11.103182175787101</v>
      </c>
      <c r="B7326">
        <v>67.070961510262194</v>
      </c>
      <c r="C7326">
        <v>2001</v>
      </c>
    </row>
    <row r="7327" spans="1:11" x14ac:dyDescent="0.25">
      <c r="A7327">
        <v>11.1823668099016</v>
      </c>
      <c r="B7327">
        <v>66.991776876147696</v>
      </c>
      <c r="C7327">
        <v>2001</v>
      </c>
    </row>
    <row r="7328" spans="1:11" x14ac:dyDescent="0.25">
      <c r="A7328">
        <v>12.0563988587992</v>
      </c>
      <c r="B7328">
        <v>66.991776876147696</v>
      </c>
      <c r="C7328">
        <v>2000</v>
      </c>
    </row>
    <row r="7329" spans="1:11" x14ac:dyDescent="0.25">
      <c r="A7329" t="s">
        <v>86</v>
      </c>
    </row>
    <row r="7330" spans="1:11" x14ac:dyDescent="0.25">
      <c r="A7330">
        <v>1051</v>
      </c>
      <c r="B7330">
        <v>1</v>
      </c>
      <c r="C7330">
        <v>0.132418713856083</v>
      </c>
      <c r="D7330">
        <v>0.69630410037850499</v>
      </c>
      <c r="E7330">
        <v>6</v>
      </c>
      <c r="F7330">
        <v>1.01722196789785</v>
      </c>
      <c r="G7330" t="s">
        <v>87</v>
      </c>
      <c r="H7330" t="s">
        <v>87</v>
      </c>
      <c r="I7330">
        <v>728</v>
      </c>
      <c r="J7330">
        <v>432</v>
      </c>
      <c r="K7330">
        <v>0.121680115082949</v>
      </c>
    </row>
    <row r="7331" spans="1:11" x14ac:dyDescent="0.25">
      <c r="A7331" t="s">
        <v>85</v>
      </c>
    </row>
    <row r="7332" spans="1:11" x14ac:dyDescent="0.25">
      <c r="A7332">
        <v>61.942895775168601</v>
      </c>
      <c r="B7332">
        <v>126.511139462483</v>
      </c>
      <c r="C7332">
        <v>2000</v>
      </c>
    </row>
    <row r="7333" spans="1:11" x14ac:dyDescent="0.25">
      <c r="A7333">
        <v>61.849261604645001</v>
      </c>
      <c r="B7333">
        <v>126.604773633007</v>
      </c>
      <c r="C7333">
        <v>2000</v>
      </c>
    </row>
    <row r="7334" spans="1:11" x14ac:dyDescent="0.25">
      <c r="A7334">
        <v>61.849261604645001</v>
      </c>
      <c r="B7334">
        <v>127.478805681905</v>
      </c>
      <c r="C7334">
        <v>2001</v>
      </c>
    </row>
    <row r="7335" spans="1:11" x14ac:dyDescent="0.25">
      <c r="A7335">
        <v>61.942895775168601</v>
      </c>
      <c r="B7335">
        <v>127.385171511381</v>
      </c>
      <c r="C7335">
        <v>2001</v>
      </c>
    </row>
    <row r="7336" spans="1:11" x14ac:dyDescent="0.25">
      <c r="A7336">
        <v>62.435257126314198</v>
      </c>
      <c r="B7336">
        <v>126.892810160235</v>
      </c>
      <c r="C7336">
        <v>2001</v>
      </c>
    </row>
    <row r="7337" spans="1:11" x14ac:dyDescent="0.25">
      <c r="A7337">
        <v>62.435257126314198</v>
      </c>
      <c r="B7337">
        <v>126.01877811133799</v>
      </c>
      <c r="C7337">
        <v>2000</v>
      </c>
    </row>
    <row r="7338" spans="1:11" x14ac:dyDescent="0.25">
      <c r="A7338" t="s">
        <v>86</v>
      </c>
    </row>
    <row r="7339" spans="1:11" x14ac:dyDescent="0.25">
      <c r="A7339">
        <v>899</v>
      </c>
      <c r="B7339">
        <v>1</v>
      </c>
      <c r="C7339">
        <v>0.27884341816896802</v>
      </c>
      <c r="D7339">
        <v>0.54987939606561997</v>
      </c>
      <c r="E7339">
        <v>6</v>
      </c>
      <c r="F7339">
        <v>1.01722196789785</v>
      </c>
      <c r="G7339" t="s">
        <v>87</v>
      </c>
      <c r="H7339" t="s">
        <v>87</v>
      </c>
      <c r="I7339">
        <v>728</v>
      </c>
      <c r="J7339">
        <v>432</v>
      </c>
      <c r="K7339">
        <v>0.11685087107927999</v>
      </c>
    </row>
    <row r="7340" spans="1:11" x14ac:dyDescent="0.25">
      <c r="A7340" t="s">
        <v>85</v>
      </c>
    </row>
    <row r="7341" spans="1:11" x14ac:dyDescent="0.25">
      <c r="A7341">
        <v>64.621187811540906</v>
      </c>
      <c r="B7341">
        <v>128.98235569614999</v>
      </c>
      <c r="C7341">
        <v>2000</v>
      </c>
    </row>
    <row r="7342" spans="1:11" x14ac:dyDescent="0.25">
      <c r="A7342">
        <v>64.424015739664398</v>
      </c>
      <c r="B7342">
        <v>129.17952776802599</v>
      </c>
      <c r="C7342">
        <v>2000</v>
      </c>
    </row>
    <row r="7343" spans="1:11" x14ac:dyDescent="0.25">
      <c r="A7343">
        <v>64.424015739664398</v>
      </c>
      <c r="B7343">
        <v>130.05355981692401</v>
      </c>
      <c r="C7343">
        <v>2001</v>
      </c>
    </row>
    <row r="7344" spans="1:11" x14ac:dyDescent="0.25">
      <c r="A7344">
        <v>64.621187811540906</v>
      </c>
      <c r="B7344">
        <v>129.85638774504801</v>
      </c>
      <c r="C7344">
        <v>2001</v>
      </c>
    </row>
    <row r="7345" spans="1:11" x14ac:dyDescent="0.25">
      <c r="A7345">
        <v>65.010011261333702</v>
      </c>
      <c r="B7345">
        <v>129.46756429525499</v>
      </c>
      <c r="C7345">
        <v>2001</v>
      </c>
    </row>
    <row r="7346" spans="1:11" x14ac:dyDescent="0.25">
      <c r="A7346">
        <v>65.010011261333702</v>
      </c>
      <c r="B7346">
        <v>128.593532246357</v>
      </c>
      <c r="C7346">
        <v>2000</v>
      </c>
    </row>
    <row r="7347" spans="1:11" x14ac:dyDescent="0.25">
      <c r="A7347" t="s">
        <v>86</v>
      </c>
    </row>
    <row r="7348" spans="1:11" x14ac:dyDescent="0.25">
      <c r="A7348">
        <v>462</v>
      </c>
      <c r="B7348">
        <v>1</v>
      </c>
      <c r="C7348">
        <v>0.420989130757569</v>
      </c>
      <c r="D7348">
        <v>0.40773368347701899</v>
      </c>
      <c r="E7348">
        <v>6</v>
      </c>
      <c r="F7348">
        <v>1.01722196789785</v>
      </c>
      <c r="G7348" t="s">
        <v>87</v>
      </c>
      <c r="H7348" t="s">
        <v>87</v>
      </c>
      <c r="I7348">
        <v>728</v>
      </c>
      <c r="J7348">
        <v>432</v>
      </c>
      <c r="K7348">
        <v>0</v>
      </c>
    </row>
    <row r="7349" spans="1:11" x14ac:dyDescent="0.25">
      <c r="A7349" t="s">
        <v>85</v>
      </c>
    </row>
    <row r="7350" spans="1:11" x14ac:dyDescent="0.25">
      <c r="A7350">
        <v>63.146462549514702</v>
      </c>
      <c r="B7350">
        <v>127.306606039548</v>
      </c>
      <c r="C7350">
        <v>2000</v>
      </c>
    </row>
    <row r="7351" spans="1:11" x14ac:dyDescent="0.25">
      <c r="A7351">
        <v>62.848778280350203</v>
      </c>
      <c r="B7351">
        <v>127.604290308712</v>
      </c>
      <c r="C7351">
        <v>2000</v>
      </c>
    </row>
    <row r="7352" spans="1:11" x14ac:dyDescent="0.25">
      <c r="A7352">
        <v>61.974746231452599</v>
      </c>
      <c r="B7352">
        <v>127.604290308712</v>
      </c>
      <c r="C7352">
        <v>2001</v>
      </c>
    </row>
    <row r="7353" spans="1:11" x14ac:dyDescent="0.25">
      <c r="A7353">
        <v>62.272430500616998</v>
      </c>
      <c r="B7353">
        <v>127.306606039548</v>
      </c>
      <c r="C7353">
        <v>2001</v>
      </c>
    </row>
    <row r="7354" spans="1:11" x14ac:dyDescent="0.25">
      <c r="A7354">
        <v>62.560741753121803</v>
      </c>
      <c r="B7354">
        <v>127.018294787043</v>
      </c>
      <c r="C7354">
        <v>2001</v>
      </c>
    </row>
    <row r="7355" spans="1:11" x14ac:dyDescent="0.25">
      <c r="A7355">
        <v>63.4347738020195</v>
      </c>
      <c r="B7355">
        <v>127.018294787043</v>
      </c>
      <c r="C7355">
        <v>2000</v>
      </c>
    </row>
    <row r="7356" spans="1:11" x14ac:dyDescent="0.25">
      <c r="A7356" t="s">
        <v>86</v>
      </c>
    </row>
    <row r="7357" spans="1:11" x14ac:dyDescent="0.25">
      <c r="A7357">
        <v>702</v>
      </c>
      <c r="B7357">
        <v>1</v>
      </c>
      <c r="C7357">
        <v>0.56234027646971896</v>
      </c>
      <c r="D7357">
        <v>0.259321014393329</v>
      </c>
      <c r="E7357">
        <v>6</v>
      </c>
      <c r="F7357">
        <v>1.01722196789785</v>
      </c>
      <c r="G7357" t="s">
        <v>87</v>
      </c>
      <c r="H7357" t="s">
        <v>87</v>
      </c>
      <c r="I7357">
        <v>586</v>
      </c>
      <c r="J7357">
        <v>843</v>
      </c>
      <c r="K7357">
        <v>0</v>
      </c>
    </row>
    <row r="7358" spans="1:11" x14ac:dyDescent="0.25">
      <c r="A7358" t="s">
        <v>85</v>
      </c>
    </row>
    <row r="7359" spans="1:11" x14ac:dyDescent="0.25">
      <c r="A7359">
        <v>85.2937069429762</v>
      </c>
      <c r="B7359">
        <v>28.314458793160501</v>
      </c>
      <c r="C7359">
        <v>2000</v>
      </c>
    </row>
    <row r="7360" spans="1:11" x14ac:dyDescent="0.25">
      <c r="A7360">
        <v>84.596981058649803</v>
      </c>
      <c r="B7360">
        <v>29.011184677486899</v>
      </c>
      <c r="C7360">
        <v>2000</v>
      </c>
    </row>
    <row r="7361" spans="1:11" x14ac:dyDescent="0.25">
      <c r="A7361">
        <v>85.471013107547407</v>
      </c>
      <c r="B7361">
        <v>29.011184677486899</v>
      </c>
      <c r="C7361">
        <v>2001</v>
      </c>
    </row>
    <row r="7362" spans="1:11" x14ac:dyDescent="0.25">
      <c r="A7362">
        <v>85.569556468873103</v>
      </c>
      <c r="B7362">
        <v>28.912641316161199</v>
      </c>
      <c r="C7362">
        <v>2001</v>
      </c>
    </row>
    <row r="7363" spans="1:11" x14ac:dyDescent="0.25">
      <c r="A7363">
        <v>85.614999353706395</v>
      </c>
      <c r="B7363">
        <v>28.8671984313279</v>
      </c>
      <c r="C7363">
        <v>2001</v>
      </c>
    </row>
    <row r="7364" spans="1:11" x14ac:dyDescent="0.25">
      <c r="A7364">
        <v>85.614999353706395</v>
      </c>
      <c r="B7364">
        <v>27.993166382430299</v>
      </c>
      <c r="C7364">
        <v>2000</v>
      </c>
    </row>
    <row r="7365" spans="1:11" x14ac:dyDescent="0.25">
      <c r="A7365" t="s">
        <v>86</v>
      </c>
    </row>
    <row r="7366" spans="1:11" x14ac:dyDescent="0.25">
      <c r="A7366">
        <v>387</v>
      </c>
      <c r="B7366">
        <v>1</v>
      </c>
      <c r="C7366">
        <v>0.68983576097269494</v>
      </c>
      <c r="D7366">
        <v>0.123112294573932</v>
      </c>
      <c r="E7366">
        <v>6</v>
      </c>
      <c r="F7366">
        <v>1.01722196789785</v>
      </c>
      <c r="G7366" t="s">
        <v>87</v>
      </c>
      <c r="H7366" t="s">
        <v>87</v>
      </c>
      <c r="I7366">
        <v>673</v>
      </c>
      <c r="J7366">
        <v>348</v>
      </c>
      <c r="K7366">
        <v>0</v>
      </c>
    </row>
    <row r="7367" spans="1:11" x14ac:dyDescent="0.25">
      <c r="A7367" t="s">
        <v>85</v>
      </c>
    </row>
    <row r="7368" spans="1:11" x14ac:dyDescent="0.25">
      <c r="A7368">
        <v>80.281089049292305</v>
      </c>
      <c r="B7368">
        <v>71.210269959887199</v>
      </c>
      <c r="C7368">
        <v>2000</v>
      </c>
    </row>
    <row r="7369" spans="1:11" x14ac:dyDescent="0.25">
      <c r="A7369">
        <v>80.164136122988594</v>
      </c>
      <c r="B7369">
        <v>71.327222886190995</v>
      </c>
      <c r="C7369">
        <v>2000</v>
      </c>
    </row>
    <row r="7370" spans="1:11" x14ac:dyDescent="0.25">
      <c r="A7370">
        <v>80.164136122988594</v>
      </c>
      <c r="B7370">
        <v>72.201254935088599</v>
      </c>
      <c r="C7370">
        <v>2001</v>
      </c>
    </row>
    <row r="7371" spans="1:11" x14ac:dyDescent="0.25">
      <c r="A7371">
        <v>81.022758285662405</v>
      </c>
      <c r="B7371">
        <v>71.342632772414703</v>
      </c>
      <c r="C7371">
        <v>2001</v>
      </c>
    </row>
    <row r="7372" spans="1:11" x14ac:dyDescent="0.25">
      <c r="A7372">
        <v>81.175993230266798</v>
      </c>
      <c r="B7372">
        <v>71.189397827810296</v>
      </c>
      <c r="C7372">
        <v>2001</v>
      </c>
    </row>
    <row r="7373" spans="1:11" x14ac:dyDescent="0.25">
      <c r="A7373">
        <v>80.301961181369194</v>
      </c>
      <c r="B7373">
        <v>71.189397827810296</v>
      </c>
      <c r="C7373">
        <v>2000</v>
      </c>
    </row>
    <row r="7374" spans="1:11" x14ac:dyDescent="0.25">
      <c r="A7374" t="s">
        <v>86</v>
      </c>
    </row>
    <row r="7375" spans="1:11" x14ac:dyDescent="0.25">
      <c r="A7375">
        <v>985</v>
      </c>
      <c r="B7375">
        <v>1</v>
      </c>
      <c r="C7375">
        <v>0.74348729974496996</v>
      </c>
      <c r="D7375">
        <v>6.6025557155846598E-2</v>
      </c>
      <c r="E7375">
        <v>6</v>
      </c>
      <c r="F7375">
        <v>1.01722196789785</v>
      </c>
      <c r="G7375" t="s">
        <v>87</v>
      </c>
      <c r="H7375" t="s">
        <v>87</v>
      </c>
      <c r="I7375">
        <v>729</v>
      </c>
      <c r="J7375">
        <v>826</v>
      </c>
      <c r="K7375">
        <v>0.120547941094079</v>
      </c>
    </row>
    <row r="7376" spans="1:11" x14ac:dyDescent="0.25">
      <c r="A7376" t="s">
        <v>85</v>
      </c>
    </row>
    <row r="7377" spans="1:11" x14ac:dyDescent="0.25">
      <c r="A7377">
        <v>107.077716713379</v>
      </c>
      <c r="B7377">
        <v>26.961107083066199</v>
      </c>
      <c r="C7377">
        <v>2000</v>
      </c>
    </row>
    <row r="7378" spans="1:11" x14ac:dyDescent="0.25">
      <c r="A7378">
        <v>106.953363887935</v>
      </c>
      <c r="B7378">
        <v>27.085459908510298</v>
      </c>
      <c r="C7378">
        <v>2000</v>
      </c>
    </row>
    <row r="7379" spans="1:11" x14ac:dyDescent="0.25">
      <c r="A7379">
        <v>106.079331839037</v>
      </c>
      <c r="B7379">
        <v>27.085459908510298</v>
      </c>
      <c r="C7379">
        <v>2001</v>
      </c>
    </row>
    <row r="7380" spans="1:11" x14ac:dyDescent="0.25">
      <c r="A7380">
        <v>107.00642883634499</v>
      </c>
      <c r="B7380">
        <v>26.158362911203</v>
      </c>
      <c r="C7380">
        <v>2001</v>
      </c>
    </row>
    <row r="7381" spans="1:11" x14ac:dyDescent="0.25">
      <c r="A7381">
        <v>107.088759894058</v>
      </c>
      <c r="B7381">
        <v>26.076031853489201</v>
      </c>
      <c r="C7381">
        <v>2001</v>
      </c>
    </row>
    <row r="7382" spans="1:11" x14ac:dyDescent="0.25">
      <c r="A7382">
        <v>107.088759894058</v>
      </c>
      <c r="B7382">
        <v>26.950063902386901</v>
      </c>
      <c r="C7382">
        <v>2000</v>
      </c>
    </row>
    <row r="7383" spans="1:11" x14ac:dyDescent="0.25">
      <c r="A7383" t="s">
        <v>86</v>
      </c>
    </row>
    <row r="7384" spans="1:11" x14ac:dyDescent="0.25">
      <c r="A7384">
        <v>937</v>
      </c>
      <c r="B7384">
        <v>1</v>
      </c>
      <c r="C7384">
        <v>0.29390785428664801</v>
      </c>
      <c r="D7384">
        <v>0.51092629083695895</v>
      </c>
      <c r="E7384">
        <v>6</v>
      </c>
      <c r="F7384">
        <v>1.01722196789785</v>
      </c>
      <c r="G7384" t="s">
        <v>87</v>
      </c>
      <c r="H7384" t="s">
        <v>87</v>
      </c>
      <c r="I7384">
        <v>348</v>
      </c>
      <c r="J7384">
        <v>844</v>
      </c>
      <c r="K7384">
        <v>0.11865465261041699</v>
      </c>
    </row>
    <row r="7385" spans="1:11" x14ac:dyDescent="0.25">
      <c r="A7385" t="s">
        <v>85</v>
      </c>
    </row>
    <row r="7386" spans="1:11" x14ac:dyDescent="0.25">
      <c r="A7386">
        <v>116.158334569826</v>
      </c>
      <c r="B7386">
        <v>106.310945325007</v>
      </c>
      <c r="C7386">
        <v>2000</v>
      </c>
    </row>
    <row r="7387" spans="1:11" x14ac:dyDescent="0.25">
      <c r="A7387">
        <v>115.790921624196</v>
      </c>
      <c r="B7387">
        <v>106.67835827063701</v>
      </c>
      <c r="C7387">
        <v>2000</v>
      </c>
    </row>
    <row r="7388" spans="1:11" x14ac:dyDescent="0.25">
      <c r="A7388">
        <v>116.664953673093</v>
      </c>
      <c r="B7388">
        <v>106.67835827063701</v>
      </c>
      <c r="C7388">
        <v>2001</v>
      </c>
    </row>
    <row r="7389" spans="1:11" x14ac:dyDescent="0.25">
      <c r="A7389">
        <v>116.713189201083</v>
      </c>
      <c r="B7389">
        <v>106.630122742647</v>
      </c>
      <c r="C7389">
        <v>2001</v>
      </c>
    </row>
    <row r="7390" spans="1:11" x14ac:dyDescent="0.25">
      <c r="A7390">
        <v>116.79704133039201</v>
      </c>
      <c r="B7390">
        <v>106.546270613338</v>
      </c>
      <c r="C7390">
        <v>2001</v>
      </c>
    </row>
    <row r="7391" spans="1:11" x14ac:dyDescent="0.25">
      <c r="A7391">
        <v>116.79704133039201</v>
      </c>
      <c r="B7391">
        <v>105.672238564441</v>
      </c>
      <c r="C7391">
        <v>2000</v>
      </c>
    </row>
    <row r="7392" spans="1:11" x14ac:dyDescent="0.25">
      <c r="A7392" t="s">
        <v>86</v>
      </c>
    </row>
    <row r="7393" spans="1:11" x14ac:dyDescent="0.25">
      <c r="A7393">
        <v>885</v>
      </c>
      <c r="B7393">
        <v>1</v>
      </c>
      <c r="C7393">
        <v>0.235837992235787</v>
      </c>
      <c r="D7393">
        <v>0.56886826354431697</v>
      </c>
      <c r="E7393">
        <v>6</v>
      </c>
      <c r="F7393">
        <v>1.01722196789785</v>
      </c>
      <c r="G7393" t="s">
        <v>87</v>
      </c>
      <c r="H7393" t="s">
        <v>87</v>
      </c>
      <c r="I7393">
        <v>819</v>
      </c>
      <c r="J7393">
        <v>784</v>
      </c>
      <c r="K7393">
        <v>0.116069536161876</v>
      </c>
    </row>
    <row r="7394" spans="1:11" x14ac:dyDescent="0.25">
      <c r="A7394" t="s">
        <v>85</v>
      </c>
    </row>
    <row r="7395" spans="1:11" x14ac:dyDescent="0.25">
      <c r="A7395">
        <v>132.16931478642601</v>
      </c>
      <c r="B7395">
        <v>34.024979295656301</v>
      </c>
      <c r="C7395">
        <v>2000</v>
      </c>
    </row>
    <row r="7396" spans="1:11" x14ac:dyDescent="0.25">
      <c r="A7396">
        <v>131.87447437405299</v>
      </c>
      <c r="B7396">
        <v>34.319819708029101</v>
      </c>
      <c r="C7396">
        <v>2000</v>
      </c>
    </row>
    <row r="7397" spans="1:11" x14ac:dyDescent="0.25">
      <c r="A7397">
        <v>131.87447437405299</v>
      </c>
      <c r="B7397">
        <v>33.445787659131398</v>
      </c>
      <c r="C7397">
        <v>2001</v>
      </c>
    </row>
    <row r="7398" spans="1:11" x14ac:dyDescent="0.25">
      <c r="A7398">
        <v>131.91315924882301</v>
      </c>
      <c r="B7398">
        <v>33.407102784361498</v>
      </c>
      <c r="C7398">
        <v>2001</v>
      </c>
    </row>
    <row r="7399" spans="1:11" x14ac:dyDescent="0.25">
      <c r="A7399">
        <v>132.00647159992999</v>
      </c>
      <c r="B7399">
        <v>33.313790433254901</v>
      </c>
      <c r="C7399">
        <v>2001</v>
      </c>
    </row>
    <row r="7400" spans="1:11" x14ac:dyDescent="0.25">
      <c r="A7400">
        <v>132.88050364882699</v>
      </c>
      <c r="B7400">
        <v>33.313790433254901</v>
      </c>
      <c r="C7400">
        <v>2000</v>
      </c>
    </row>
    <row r="7401" spans="1:11" x14ac:dyDescent="0.25">
      <c r="A7401" t="s">
        <v>86</v>
      </c>
    </row>
    <row r="7402" spans="1:11" x14ac:dyDescent="0.25">
      <c r="A7402">
        <v>1016</v>
      </c>
      <c r="B7402">
        <v>1</v>
      </c>
      <c r="C7402">
        <v>0.57116470702634103</v>
      </c>
      <c r="D7402">
        <v>0.218744679269783</v>
      </c>
      <c r="E7402">
        <v>6</v>
      </c>
      <c r="F7402">
        <v>1.01722196789785</v>
      </c>
      <c r="G7402" t="s">
        <v>87</v>
      </c>
      <c r="H7402" t="s">
        <v>87</v>
      </c>
      <c r="I7402">
        <v>741</v>
      </c>
      <c r="J7402">
        <v>109</v>
      </c>
      <c r="K7402">
        <v>0.121125394062888</v>
      </c>
    </row>
    <row r="7403" spans="1:11" x14ac:dyDescent="0.25">
      <c r="A7403" t="s">
        <v>85</v>
      </c>
    </row>
    <row r="7404" spans="1:11" x14ac:dyDescent="0.25">
      <c r="A7404">
        <v>12.9118470802603</v>
      </c>
      <c r="B7404">
        <v>65.456012507906706</v>
      </c>
      <c r="C7404">
        <v>2000</v>
      </c>
    </row>
    <row r="7405" spans="1:11" x14ac:dyDescent="0.25">
      <c r="A7405">
        <v>12.823968545442799</v>
      </c>
      <c r="B7405">
        <v>65.543891042724198</v>
      </c>
      <c r="C7405">
        <v>2000</v>
      </c>
    </row>
    <row r="7406" spans="1:11" x14ac:dyDescent="0.25">
      <c r="A7406">
        <v>11.949936496545201</v>
      </c>
      <c r="B7406">
        <v>65.543891042724198</v>
      </c>
      <c r="C7406">
        <v>2001</v>
      </c>
    </row>
    <row r="7407" spans="1:11" x14ac:dyDescent="0.25">
      <c r="A7407">
        <v>12.6698068367532</v>
      </c>
      <c r="B7407">
        <v>64.824020702516194</v>
      </c>
      <c r="C7407">
        <v>2001</v>
      </c>
    </row>
    <row r="7408" spans="1:11" x14ac:dyDescent="0.25">
      <c r="A7408">
        <v>12.9455028045669</v>
      </c>
      <c r="B7408">
        <v>64.548324734702504</v>
      </c>
      <c r="C7408">
        <v>2001</v>
      </c>
    </row>
    <row r="7409" spans="1:11" x14ac:dyDescent="0.25">
      <c r="A7409">
        <v>12.9455028045669</v>
      </c>
      <c r="B7409">
        <v>65.422356783600094</v>
      </c>
      <c r="C7409">
        <v>2000</v>
      </c>
    </row>
    <row r="7410" spans="1:11" x14ac:dyDescent="0.25">
      <c r="A7410" t="s">
        <v>86</v>
      </c>
    </row>
    <row r="7411" spans="1:11" x14ac:dyDescent="0.25">
      <c r="A7411">
        <v>912</v>
      </c>
      <c r="B7411">
        <v>1</v>
      </c>
      <c r="C7411">
        <v>0.178045476204542</v>
      </c>
      <c r="D7411">
        <v>0.60652742759588196</v>
      </c>
      <c r="E7411">
        <v>7</v>
      </c>
      <c r="F7411">
        <v>1.01722196789785</v>
      </c>
      <c r="G7411" t="s">
        <v>87</v>
      </c>
      <c r="H7411" t="s">
        <v>87</v>
      </c>
      <c r="I7411">
        <v>787</v>
      </c>
      <c r="J7411">
        <v>348</v>
      </c>
      <c r="K7411">
        <v>0.11722927267913701</v>
      </c>
    </row>
    <row r="7412" spans="1:11" x14ac:dyDescent="0.25">
      <c r="A7412" t="s">
        <v>85</v>
      </c>
    </row>
    <row r="7413" spans="1:11" x14ac:dyDescent="0.25">
      <c r="A7413">
        <v>99.846457445456906</v>
      </c>
      <c r="B7413">
        <v>91.117942485916302</v>
      </c>
      <c r="C7413">
        <v>2000.1699329010601</v>
      </c>
    </row>
    <row r="7414" spans="1:11" x14ac:dyDescent="0.25">
      <c r="A7414">
        <v>99.846457445456906</v>
      </c>
      <c r="B7414">
        <v>91.8434477331229</v>
      </c>
      <c r="C7414">
        <v>2001</v>
      </c>
    </row>
    <row r="7415" spans="1:11" x14ac:dyDescent="0.25">
      <c r="A7415">
        <v>100.163069109197</v>
      </c>
      <c r="B7415">
        <v>91.526836069382597</v>
      </c>
      <c r="C7415">
        <v>2001</v>
      </c>
    </row>
    <row r="7416" spans="1:11" x14ac:dyDescent="0.25">
      <c r="A7416">
        <v>100.232592941007</v>
      </c>
      <c r="B7416">
        <v>91.457312237572594</v>
      </c>
      <c r="C7416">
        <v>2001</v>
      </c>
    </row>
    <row r="7417" spans="1:11" x14ac:dyDescent="0.25">
      <c r="A7417">
        <v>100.838250290518</v>
      </c>
      <c r="B7417">
        <v>90.851654888061702</v>
      </c>
      <c r="C7417">
        <v>2001</v>
      </c>
    </row>
    <row r="7418" spans="1:11" x14ac:dyDescent="0.25">
      <c r="A7418">
        <v>99.9642182416206</v>
      </c>
      <c r="B7418">
        <v>90.851654888061702</v>
      </c>
      <c r="C7418">
        <v>2000</v>
      </c>
    </row>
    <row r="7419" spans="1:11" x14ac:dyDescent="0.25">
      <c r="A7419">
        <v>99.846457445456906</v>
      </c>
      <c r="B7419">
        <v>91.117942485916302</v>
      </c>
      <c r="C7419">
        <v>2000.1699329010601</v>
      </c>
    </row>
    <row r="7420" spans="1:11" x14ac:dyDescent="0.25">
      <c r="A7420" t="s">
        <v>86</v>
      </c>
    </row>
    <row r="7421" spans="1:11" x14ac:dyDescent="0.25">
      <c r="A7421">
        <v>1017</v>
      </c>
      <c r="B7421">
        <v>1</v>
      </c>
      <c r="C7421">
        <v>4.5113328122532402E-2</v>
      </c>
      <c r="D7421">
        <v>0.73762714265635398</v>
      </c>
      <c r="E7421">
        <v>6</v>
      </c>
      <c r="F7421">
        <v>1.01722196789785</v>
      </c>
      <c r="G7421" t="s">
        <v>87</v>
      </c>
      <c r="H7421" t="s">
        <v>87</v>
      </c>
      <c r="I7421">
        <v>802</v>
      </c>
      <c r="J7421">
        <v>808</v>
      </c>
      <c r="K7421">
        <v>0.12140552605247699</v>
      </c>
    </row>
    <row r="7422" spans="1:11" x14ac:dyDescent="0.25">
      <c r="A7422" t="s">
        <v>85</v>
      </c>
    </row>
    <row r="7423" spans="1:11" x14ac:dyDescent="0.25">
      <c r="A7423">
        <v>41.114397773572399</v>
      </c>
      <c r="B7423">
        <v>84.690874314714094</v>
      </c>
      <c r="C7423">
        <v>2000</v>
      </c>
    </row>
    <row r="7424" spans="1:11" x14ac:dyDescent="0.25">
      <c r="A7424">
        <v>41.082497833335097</v>
      </c>
      <c r="B7424">
        <v>84.722774254951403</v>
      </c>
      <c r="C7424">
        <v>2000</v>
      </c>
    </row>
    <row r="7425" spans="1:11" x14ac:dyDescent="0.25">
      <c r="A7425">
        <v>41.082497833335097</v>
      </c>
      <c r="B7425">
        <v>83.848742206053799</v>
      </c>
      <c r="C7425">
        <v>2001</v>
      </c>
    </row>
    <row r="7426" spans="1:11" x14ac:dyDescent="0.25">
      <c r="A7426">
        <v>41.114397773572399</v>
      </c>
      <c r="B7426">
        <v>83.816842265816405</v>
      </c>
      <c r="C7426">
        <v>2001</v>
      </c>
    </row>
    <row r="7427" spans="1:11" x14ac:dyDescent="0.25">
      <c r="A7427">
        <v>41.635978928131998</v>
      </c>
      <c r="B7427">
        <v>83.295261111256906</v>
      </c>
      <c r="C7427">
        <v>2001</v>
      </c>
    </row>
    <row r="7428" spans="1:11" x14ac:dyDescent="0.25">
      <c r="A7428">
        <v>41.635978928131998</v>
      </c>
      <c r="B7428">
        <v>84.169293160154496</v>
      </c>
      <c r="C7428">
        <v>2000</v>
      </c>
    </row>
    <row r="7429" spans="1:11" x14ac:dyDescent="0.25">
      <c r="A7429" t="s">
        <v>86</v>
      </c>
    </row>
    <row r="7430" spans="1:11" x14ac:dyDescent="0.25">
      <c r="A7430">
        <v>152</v>
      </c>
      <c r="B7430">
        <v>1</v>
      </c>
      <c r="C7430">
        <v>1.0531740121560801E-2</v>
      </c>
      <c r="D7430">
        <v>0.77220873065732598</v>
      </c>
      <c r="E7430">
        <v>6</v>
      </c>
      <c r="F7430">
        <v>1.01722196789785</v>
      </c>
      <c r="G7430" t="s">
        <v>87</v>
      </c>
      <c r="H7430" t="s">
        <v>87</v>
      </c>
      <c r="I7430">
        <v>802</v>
      </c>
      <c r="J7430">
        <v>808</v>
      </c>
      <c r="K7430">
        <v>0</v>
      </c>
    </row>
    <row r="7431" spans="1:11" x14ac:dyDescent="0.25">
      <c r="A7431" t="s">
        <v>85</v>
      </c>
    </row>
    <row r="7432" spans="1:11" x14ac:dyDescent="0.25">
      <c r="A7432">
        <v>38.249923171135201</v>
      </c>
      <c r="B7432">
        <v>81.875305463036199</v>
      </c>
      <c r="C7432">
        <v>2000</v>
      </c>
    </row>
    <row r="7433" spans="1:11" x14ac:dyDescent="0.25">
      <c r="A7433">
        <v>38.2424761062775</v>
      </c>
      <c r="B7433">
        <v>81.882752527893899</v>
      </c>
      <c r="C7433">
        <v>2000</v>
      </c>
    </row>
    <row r="7434" spans="1:11" x14ac:dyDescent="0.25">
      <c r="A7434">
        <v>39.116508155175197</v>
      </c>
      <c r="B7434">
        <v>81.882752527893899</v>
      </c>
      <c r="C7434">
        <v>2001</v>
      </c>
    </row>
    <row r="7435" spans="1:11" x14ac:dyDescent="0.25">
      <c r="A7435">
        <v>39.123955220032798</v>
      </c>
      <c r="B7435">
        <v>81.875305463036199</v>
      </c>
      <c r="C7435">
        <v>2001</v>
      </c>
    </row>
    <row r="7436" spans="1:11" x14ac:dyDescent="0.25">
      <c r="A7436">
        <v>39.669989249972097</v>
      </c>
      <c r="B7436">
        <v>81.329271433097006</v>
      </c>
      <c r="C7436">
        <v>2001</v>
      </c>
    </row>
    <row r="7437" spans="1:11" x14ac:dyDescent="0.25">
      <c r="A7437">
        <v>38.795957201074401</v>
      </c>
      <c r="B7437">
        <v>81.329271433097006</v>
      </c>
      <c r="C7437">
        <v>2000</v>
      </c>
    </row>
    <row r="7438" spans="1:11" x14ac:dyDescent="0.25">
      <c r="A7438" t="s">
        <v>86</v>
      </c>
    </row>
    <row r="7439" spans="1:11" x14ac:dyDescent="0.25">
      <c r="A7439">
        <v>894</v>
      </c>
      <c r="B7439">
        <v>1</v>
      </c>
      <c r="C7439">
        <v>0.76813240600538502</v>
      </c>
      <c r="D7439">
        <v>1.19331557625131E-2</v>
      </c>
      <c r="E7439">
        <v>6</v>
      </c>
      <c r="F7439">
        <v>1.01722196789785</v>
      </c>
      <c r="G7439" t="s">
        <v>87</v>
      </c>
      <c r="H7439" t="s">
        <v>87</v>
      </c>
      <c r="I7439">
        <v>771</v>
      </c>
      <c r="J7439">
        <v>29</v>
      </c>
      <c r="K7439">
        <v>0.116465549931603</v>
      </c>
    </row>
    <row r="7440" spans="1:11" x14ac:dyDescent="0.25">
      <c r="A7440" t="s">
        <v>85</v>
      </c>
    </row>
    <row r="7441" spans="1:11" x14ac:dyDescent="0.25">
      <c r="A7441">
        <v>57.127282750126298</v>
      </c>
      <c r="B7441">
        <v>83.927474224243795</v>
      </c>
      <c r="C7441">
        <v>2000</v>
      </c>
    </row>
    <row r="7442" spans="1:11" x14ac:dyDescent="0.25">
      <c r="A7442">
        <v>57.0144618311964</v>
      </c>
      <c r="B7442">
        <v>84.040295143173793</v>
      </c>
      <c r="C7442">
        <v>2000</v>
      </c>
    </row>
    <row r="7443" spans="1:11" x14ac:dyDescent="0.25">
      <c r="A7443">
        <v>57.0144618311964</v>
      </c>
      <c r="B7443">
        <v>84.914327192071397</v>
      </c>
      <c r="C7443">
        <v>2001</v>
      </c>
    </row>
    <row r="7444" spans="1:11" x14ac:dyDescent="0.25">
      <c r="A7444">
        <v>57.987944178537703</v>
      </c>
      <c r="B7444">
        <v>83.940844844730407</v>
      </c>
      <c r="C7444">
        <v>2001</v>
      </c>
    </row>
    <row r="7445" spans="1:11" x14ac:dyDescent="0.25">
      <c r="A7445">
        <v>58.003067504141498</v>
      </c>
      <c r="B7445">
        <v>83.925721519126498</v>
      </c>
      <c r="C7445">
        <v>2001</v>
      </c>
    </row>
    <row r="7446" spans="1:11" x14ac:dyDescent="0.25">
      <c r="A7446">
        <v>57.129035455243702</v>
      </c>
      <c r="B7446">
        <v>83.925721519126299</v>
      </c>
      <c r="C7446">
        <v>2000</v>
      </c>
    </row>
    <row r="7447" spans="1:11" x14ac:dyDescent="0.25">
      <c r="A7447" t="s">
        <v>86</v>
      </c>
    </row>
    <row r="7448" spans="1:11" x14ac:dyDescent="0.25">
      <c r="A7448">
        <v>904</v>
      </c>
      <c r="B7448">
        <v>1</v>
      </c>
      <c r="C7448">
        <v>0.428407140735096</v>
      </c>
      <c r="D7448">
        <v>0.34404064157870801</v>
      </c>
      <c r="E7448">
        <v>6</v>
      </c>
      <c r="F7448">
        <v>1.01722196789785</v>
      </c>
      <c r="G7448" t="s">
        <v>87</v>
      </c>
      <c r="H7448" t="s">
        <v>87</v>
      </c>
      <c r="I7448">
        <v>813</v>
      </c>
      <c r="J7448">
        <v>818</v>
      </c>
      <c r="K7448">
        <v>0.116465549931603</v>
      </c>
    </row>
    <row r="7449" spans="1:11" x14ac:dyDescent="0.25">
      <c r="A7449" t="s">
        <v>85</v>
      </c>
    </row>
    <row r="7450" spans="1:11" x14ac:dyDescent="0.25">
      <c r="A7450">
        <v>57.314120637228299</v>
      </c>
      <c r="B7450">
        <v>32.182038220358102</v>
      </c>
      <c r="C7450">
        <v>2000</v>
      </c>
    </row>
    <row r="7451" spans="1:11" x14ac:dyDescent="0.25">
      <c r="A7451">
        <v>56.7688176556345</v>
      </c>
      <c r="B7451">
        <v>32.727341201951802</v>
      </c>
      <c r="C7451">
        <v>2000</v>
      </c>
    </row>
    <row r="7452" spans="1:11" x14ac:dyDescent="0.25">
      <c r="A7452">
        <v>56.7688176556345</v>
      </c>
      <c r="B7452">
        <v>31.853309153054202</v>
      </c>
      <c r="C7452">
        <v>2001</v>
      </c>
    </row>
    <row r="7453" spans="1:11" x14ac:dyDescent="0.25">
      <c r="A7453">
        <v>56.829373862685799</v>
      </c>
      <c r="B7453">
        <v>31.792752946002899</v>
      </c>
      <c r="C7453">
        <v>2001</v>
      </c>
    </row>
    <row r="7454" spans="1:11" x14ac:dyDescent="0.25">
      <c r="A7454">
        <v>56.878004696172297</v>
      </c>
      <c r="B7454">
        <v>31.744122112516401</v>
      </c>
      <c r="C7454">
        <v>2001</v>
      </c>
    </row>
    <row r="7455" spans="1:11" x14ac:dyDescent="0.25">
      <c r="A7455">
        <v>57.752036745069901</v>
      </c>
      <c r="B7455">
        <v>31.744122112516401</v>
      </c>
      <c r="C7455">
        <v>2000</v>
      </c>
    </row>
    <row r="7456" spans="1:11" x14ac:dyDescent="0.25">
      <c r="A7456" t="s">
        <v>86</v>
      </c>
    </row>
    <row r="7457" spans="1:11" x14ac:dyDescent="0.25">
      <c r="A7457">
        <v>1137</v>
      </c>
      <c r="B7457">
        <v>1</v>
      </c>
      <c r="C7457">
        <v>0.221441880012335</v>
      </c>
      <c r="D7457">
        <v>0.55100590230146895</v>
      </c>
      <c r="E7457">
        <v>6</v>
      </c>
      <c r="F7457">
        <v>1.01722196789785</v>
      </c>
      <c r="G7457" t="s">
        <v>87</v>
      </c>
      <c r="H7457" t="s">
        <v>87</v>
      </c>
      <c r="I7457">
        <v>813</v>
      </c>
      <c r="J7457">
        <v>818</v>
      </c>
      <c r="K7457">
        <v>0.124845976961483</v>
      </c>
    </row>
    <row r="7458" spans="1:11" x14ac:dyDescent="0.25">
      <c r="A7458" t="s">
        <v>85</v>
      </c>
    </row>
    <row r="7459" spans="1:11" x14ac:dyDescent="0.25">
      <c r="A7459">
        <v>51.420854232883002</v>
      </c>
      <c r="B7459">
        <v>26.81564806539</v>
      </c>
      <c r="C7459">
        <v>2000</v>
      </c>
    </row>
    <row r="7460" spans="1:11" x14ac:dyDescent="0.25">
      <c r="A7460">
        <v>51.1389893759779</v>
      </c>
      <c r="B7460">
        <v>27.097512922295198</v>
      </c>
      <c r="C7460">
        <v>2000</v>
      </c>
    </row>
    <row r="7461" spans="1:11" x14ac:dyDescent="0.25">
      <c r="A7461">
        <v>52.013021424875497</v>
      </c>
      <c r="B7461">
        <v>27.097512922295198</v>
      </c>
      <c r="C7461">
        <v>2001</v>
      </c>
    </row>
    <row r="7462" spans="1:11" x14ac:dyDescent="0.25">
      <c r="A7462">
        <v>52.044322677961198</v>
      </c>
      <c r="B7462">
        <v>27.066211669209501</v>
      </c>
      <c r="C7462">
        <v>2001</v>
      </c>
    </row>
    <row r="7463" spans="1:11" x14ac:dyDescent="0.25">
      <c r="A7463">
        <v>52.122208465413301</v>
      </c>
      <c r="B7463">
        <v>26.988325881757401</v>
      </c>
      <c r="C7463">
        <v>2001</v>
      </c>
    </row>
    <row r="7464" spans="1:11" x14ac:dyDescent="0.25">
      <c r="A7464">
        <v>52.122208465413301</v>
      </c>
      <c r="B7464">
        <v>26.114293832859701</v>
      </c>
      <c r="C7464">
        <v>2000</v>
      </c>
    </row>
    <row r="7465" spans="1:11" x14ac:dyDescent="0.25">
      <c r="A7465" t="s">
        <v>86</v>
      </c>
    </row>
    <row r="7466" spans="1:11" x14ac:dyDescent="0.25">
      <c r="A7466">
        <v>63</v>
      </c>
      <c r="B7466">
        <v>1</v>
      </c>
      <c r="C7466">
        <v>0.30146094820647601</v>
      </c>
      <c r="D7466">
        <v>0.45941314486471502</v>
      </c>
      <c r="E7466">
        <v>6</v>
      </c>
      <c r="F7466">
        <v>1.01722196789785</v>
      </c>
      <c r="G7466" t="s">
        <v>87</v>
      </c>
      <c r="H7466" t="s">
        <v>87</v>
      </c>
      <c r="I7466">
        <v>808</v>
      </c>
      <c r="J7466">
        <v>106</v>
      </c>
      <c r="K7466">
        <v>0</v>
      </c>
    </row>
    <row r="7467" spans="1:11" x14ac:dyDescent="0.25">
      <c r="A7467" t="s">
        <v>85</v>
      </c>
    </row>
    <row r="7468" spans="1:11" x14ac:dyDescent="0.25">
      <c r="A7468">
        <v>7.6530622290343198</v>
      </c>
      <c r="B7468">
        <v>49.413751777759799</v>
      </c>
      <c r="C7468">
        <v>2000</v>
      </c>
    </row>
    <row r="7469" spans="1:11" x14ac:dyDescent="0.25">
      <c r="A7469">
        <v>7.2667498873857603</v>
      </c>
      <c r="B7469">
        <v>49.800064119408297</v>
      </c>
      <c r="C7469">
        <v>2000</v>
      </c>
    </row>
    <row r="7470" spans="1:11" x14ac:dyDescent="0.25">
      <c r="A7470">
        <v>7.2667498873857603</v>
      </c>
      <c r="B7470">
        <v>48.926032070510701</v>
      </c>
      <c r="C7470">
        <v>2001</v>
      </c>
    </row>
    <row r="7471" spans="1:11" x14ac:dyDescent="0.25">
      <c r="A7471">
        <v>7.3067677072166601</v>
      </c>
      <c r="B7471">
        <v>48.8860142506798</v>
      </c>
      <c r="C7471">
        <v>2001</v>
      </c>
    </row>
    <row r="7472" spans="1:11" x14ac:dyDescent="0.25">
      <c r="A7472">
        <v>7.3677530937767504</v>
      </c>
      <c r="B7472">
        <v>48.825028864119702</v>
      </c>
      <c r="C7472">
        <v>2001</v>
      </c>
    </row>
    <row r="7473" spans="1:11" x14ac:dyDescent="0.25">
      <c r="A7473">
        <v>8.2417851426743898</v>
      </c>
      <c r="B7473">
        <v>48.825028864119702</v>
      </c>
      <c r="C7473">
        <v>2000</v>
      </c>
    </row>
    <row r="7474" spans="1:11" x14ac:dyDescent="0.25">
      <c r="A7474" t="s">
        <v>86</v>
      </c>
    </row>
    <row r="7475" spans="1:11" x14ac:dyDescent="0.25">
      <c r="A7475">
        <v>1008</v>
      </c>
      <c r="B7475">
        <v>1</v>
      </c>
      <c r="C7475">
        <v>0.647458405400684</v>
      </c>
      <c r="D7475">
        <v>0.11248210204834</v>
      </c>
      <c r="E7475">
        <v>6</v>
      </c>
      <c r="F7475">
        <v>1.01722196789785</v>
      </c>
      <c r="G7475" t="s">
        <v>87</v>
      </c>
      <c r="H7475" t="s">
        <v>87</v>
      </c>
      <c r="I7475">
        <v>677</v>
      </c>
      <c r="J7475">
        <v>795</v>
      </c>
      <c r="K7475">
        <v>0.121125394062888</v>
      </c>
    </row>
    <row r="7476" spans="1:11" x14ac:dyDescent="0.25">
      <c r="A7476" t="s">
        <v>85</v>
      </c>
    </row>
    <row r="7477" spans="1:11" x14ac:dyDescent="0.25">
      <c r="A7477">
        <v>79.612214236805301</v>
      </c>
      <c r="B7477">
        <v>30.215473180262499</v>
      </c>
      <c r="C7477">
        <v>2000</v>
      </c>
    </row>
    <row r="7478" spans="1:11" x14ac:dyDescent="0.25">
      <c r="A7478">
        <v>79.154392007810202</v>
      </c>
      <c r="B7478">
        <v>30.673295409257602</v>
      </c>
      <c r="C7478">
        <v>2000</v>
      </c>
    </row>
    <row r="7479" spans="1:11" x14ac:dyDescent="0.25">
      <c r="A7479">
        <v>79.154392007810202</v>
      </c>
      <c r="B7479">
        <v>29.799263360359902</v>
      </c>
      <c r="C7479">
        <v>2001</v>
      </c>
    </row>
    <row r="7480" spans="1:11" x14ac:dyDescent="0.25">
      <c r="A7480">
        <v>79.612214236805301</v>
      </c>
      <c r="B7480">
        <v>29.341441131364899</v>
      </c>
      <c r="C7480">
        <v>2001</v>
      </c>
    </row>
    <row r="7481" spans="1:11" x14ac:dyDescent="0.25">
      <c r="A7481">
        <v>79.691751093925802</v>
      </c>
      <c r="B7481">
        <v>29.261904274244401</v>
      </c>
      <c r="C7481">
        <v>2001</v>
      </c>
    </row>
    <row r="7482" spans="1:11" x14ac:dyDescent="0.25">
      <c r="A7482">
        <v>79.691751093925802</v>
      </c>
      <c r="B7482">
        <v>30.135936323142001</v>
      </c>
      <c r="C7482">
        <v>2000</v>
      </c>
    </row>
    <row r="7483" spans="1:11" x14ac:dyDescent="0.25">
      <c r="A7483" t="s">
        <v>86</v>
      </c>
    </row>
    <row r="7484" spans="1:11" x14ac:dyDescent="0.25">
      <c r="A7484">
        <v>1142</v>
      </c>
      <c r="B7484">
        <v>1</v>
      </c>
      <c r="C7484">
        <v>0.13036718307666501</v>
      </c>
      <c r="D7484">
        <v>0.62950656442281205</v>
      </c>
      <c r="E7484">
        <v>6</v>
      </c>
      <c r="F7484">
        <v>1.01722196789785</v>
      </c>
      <c r="G7484" t="s">
        <v>87</v>
      </c>
      <c r="H7484" t="s">
        <v>87</v>
      </c>
      <c r="I7484">
        <v>111</v>
      </c>
      <c r="J7484">
        <v>737</v>
      </c>
      <c r="K7484">
        <v>0.12417311997009001</v>
      </c>
    </row>
    <row r="7485" spans="1:11" x14ac:dyDescent="0.25">
      <c r="A7485" t="s">
        <v>85</v>
      </c>
    </row>
    <row r="7486" spans="1:11" x14ac:dyDescent="0.25">
      <c r="A7486">
        <v>14.1391736404687</v>
      </c>
      <c r="B7486">
        <v>92.263436830268603</v>
      </c>
      <c r="C7486">
        <v>2000</v>
      </c>
    </row>
    <row r="7487" spans="1:11" x14ac:dyDescent="0.25">
      <c r="A7487">
        <v>14.046990121271</v>
      </c>
      <c r="B7487">
        <v>92.355620349466307</v>
      </c>
      <c r="C7487">
        <v>2000</v>
      </c>
    </row>
    <row r="7488" spans="1:11" x14ac:dyDescent="0.25">
      <c r="A7488">
        <v>14.046990121271</v>
      </c>
      <c r="B7488">
        <v>93.229652398363896</v>
      </c>
      <c r="C7488">
        <v>2001</v>
      </c>
    </row>
    <row r="7489" spans="1:11" x14ac:dyDescent="0.25">
      <c r="A7489">
        <v>14.1391736404687</v>
      </c>
      <c r="B7489">
        <v>93.137468879166207</v>
      </c>
      <c r="C7489">
        <v>2001</v>
      </c>
    </row>
    <row r="7490" spans="1:11" x14ac:dyDescent="0.25">
      <c r="A7490">
        <v>14.5843020009735</v>
      </c>
      <c r="B7490">
        <v>92.692340518661396</v>
      </c>
      <c r="C7490">
        <v>2001</v>
      </c>
    </row>
    <row r="7491" spans="1:11" x14ac:dyDescent="0.25">
      <c r="A7491">
        <v>14.5843020009735</v>
      </c>
      <c r="B7491">
        <v>91.818308469763807</v>
      </c>
      <c r="C7491">
        <v>2000</v>
      </c>
    </row>
    <row r="7492" spans="1:11" x14ac:dyDescent="0.25">
      <c r="A7492" t="s">
        <v>86</v>
      </c>
    </row>
    <row r="7493" spans="1:11" x14ac:dyDescent="0.25">
      <c r="A7493">
        <v>557</v>
      </c>
      <c r="B7493">
        <v>1</v>
      </c>
      <c r="C7493">
        <v>0.70478179078780601</v>
      </c>
      <c r="D7493">
        <v>5.3407021196399299E-2</v>
      </c>
      <c r="E7493">
        <v>6</v>
      </c>
      <c r="F7493">
        <v>1.01722196789785</v>
      </c>
      <c r="G7493" t="s">
        <v>87</v>
      </c>
      <c r="H7493" t="s">
        <v>87</v>
      </c>
      <c r="I7493">
        <v>826</v>
      </c>
      <c r="J7493">
        <v>735</v>
      </c>
      <c r="K7493">
        <v>0</v>
      </c>
    </row>
    <row r="7494" spans="1:11" x14ac:dyDescent="0.25">
      <c r="A7494" t="s">
        <v>85</v>
      </c>
    </row>
    <row r="7495" spans="1:11" x14ac:dyDescent="0.25">
      <c r="A7495">
        <v>102.63950879572</v>
      </c>
      <c r="B7495">
        <v>20.691635837662801</v>
      </c>
      <c r="C7495">
        <v>2000</v>
      </c>
    </row>
    <row r="7496" spans="1:11" x14ac:dyDescent="0.25">
      <c r="A7496">
        <v>101.734920312527</v>
      </c>
      <c r="B7496">
        <v>21.596224320855502</v>
      </c>
      <c r="C7496">
        <v>2000</v>
      </c>
    </row>
    <row r="7497" spans="1:11" x14ac:dyDescent="0.25">
      <c r="A7497">
        <v>101.734920312527</v>
      </c>
      <c r="B7497">
        <v>20.722192271957798</v>
      </c>
      <c r="C7497">
        <v>2001</v>
      </c>
    </row>
    <row r="7498" spans="1:11" x14ac:dyDescent="0.25">
      <c r="A7498">
        <v>101.82704379638</v>
      </c>
      <c r="B7498">
        <v>20.630068788104801</v>
      </c>
      <c r="C7498">
        <v>2001</v>
      </c>
    </row>
    <row r="7499" spans="1:11" x14ac:dyDescent="0.25">
      <c r="A7499">
        <v>101.834024738452</v>
      </c>
      <c r="B7499">
        <v>20.623087846032799</v>
      </c>
      <c r="C7499">
        <v>2001</v>
      </c>
    </row>
    <row r="7500" spans="1:11" x14ac:dyDescent="0.25">
      <c r="A7500">
        <v>102.70805678735</v>
      </c>
      <c r="B7500">
        <v>20.623087846032799</v>
      </c>
      <c r="C7500">
        <v>2000</v>
      </c>
    </row>
    <row r="7501" spans="1:11" x14ac:dyDescent="0.25">
      <c r="A7501" t="s">
        <v>86</v>
      </c>
    </row>
    <row r="7502" spans="1:11" x14ac:dyDescent="0.25">
      <c r="A7502">
        <v>928</v>
      </c>
      <c r="B7502">
        <v>1</v>
      </c>
      <c r="C7502">
        <v>0.32965756853643302</v>
      </c>
      <c r="D7502">
        <v>0.42261148808106702</v>
      </c>
      <c r="E7502">
        <v>6</v>
      </c>
      <c r="F7502">
        <v>1.01722196789785</v>
      </c>
      <c r="G7502" t="s">
        <v>87</v>
      </c>
      <c r="H7502" t="s">
        <v>87</v>
      </c>
      <c r="I7502">
        <v>432</v>
      </c>
      <c r="J7502">
        <v>435</v>
      </c>
      <c r="K7502">
        <v>0.117599171048291</v>
      </c>
    </row>
    <row r="7503" spans="1:11" x14ac:dyDescent="0.25">
      <c r="A7503" t="s">
        <v>85</v>
      </c>
    </row>
    <row r="7504" spans="1:11" x14ac:dyDescent="0.25">
      <c r="A7504">
        <v>66.010085193901702</v>
      </c>
      <c r="B7504">
        <v>129.127399974562</v>
      </c>
      <c r="C7504">
        <v>2000</v>
      </c>
    </row>
    <row r="7505" spans="1:11" x14ac:dyDescent="0.25">
      <c r="A7505">
        <v>65.7769820917201</v>
      </c>
      <c r="B7505">
        <v>129.36050307674401</v>
      </c>
      <c r="C7505">
        <v>2000</v>
      </c>
    </row>
    <row r="7506" spans="1:11" x14ac:dyDescent="0.25">
      <c r="A7506">
        <v>64.902950042822496</v>
      </c>
      <c r="B7506">
        <v>129.36050307674401</v>
      </c>
      <c r="C7506">
        <v>2001</v>
      </c>
    </row>
    <row r="7507" spans="1:11" x14ac:dyDescent="0.25">
      <c r="A7507">
        <v>65.136053145004098</v>
      </c>
      <c r="B7507">
        <v>129.127399974562</v>
      </c>
      <c r="C7507">
        <v>2001</v>
      </c>
    </row>
    <row r="7508" spans="1:11" x14ac:dyDescent="0.25">
      <c r="A7508">
        <v>65.434884594033505</v>
      </c>
      <c r="B7508">
        <v>128.828568525533</v>
      </c>
      <c r="C7508">
        <v>2001</v>
      </c>
    </row>
    <row r="7509" spans="1:11" x14ac:dyDescent="0.25">
      <c r="A7509">
        <v>66.308916642931194</v>
      </c>
      <c r="B7509">
        <v>128.828568525533</v>
      </c>
      <c r="C7509">
        <v>2000</v>
      </c>
    </row>
    <row r="7510" spans="1:11" x14ac:dyDescent="0.25">
      <c r="A7510" t="s">
        <v>86</v>
      </c>
    </row>
    <row r="7511" spans="1:11" x14ac:dyDescent="0.25">
      <c r="A7511">
        <v>1118</v>
      </c>
      <c r="B7511">
        <v>1</v>
      </c>
      <c r="C7511">
        <v>0.39232820362196502</v>
      </c>
      <c r="D7511">
        <v>0.35341528607204298</v>
      </c>
      <c r="E7511">
        <v>6</v>
      </c>
      <c r="F7511">
        <v>1.01722196789785</v>
      </c>
      <c r="G7511" t="s">
        <v>87</v>
      </c>
      <c r="H7511" t="s">
        <v>87</v>
      </c>
      <c r="I7511">
        <v>782</v>
      </c>
      <c r="J7511">
        <v>736</v>
      </c>
      <c r="K7511">
        <v>0.124845976961483</v>
      </c>
    </row>
    <row r="7512" spans="1:11" x14ac:dyDescent="0.25">
      <c r="A7512" t="s">
        <v>85</v>
      </c>
    </row>
    <row r="7513" spans="1:11" x14ac:dyDescent="0.25">
      <c r="A7513">
        <v>118.413018990295</v>
      </c>
      <c r="B7513">
        <v>80.922385580550198</v>
      </c>
      <c r="C7513">
        <v>2000</v>
      </c>
    </row>
    <row r="7514" spans="1:11" x14ac:dyDescent="0.25">
      <c r="A7514">
        <v>117.90569129023901</v>
      </c>
      <c r="B7514">
        <v>81.429713280605895</v>
      </c>
      <c r="C7514">
        <v>2000</v>
      </c>
    </row>
    <row r="7515" spans="1:11" x14ac:dyDescent="0.25">
      <c r="A7515">
        <v>118.77972333913701</v>
      </c>
      <c r="B7515">
        <v>81.429713280605895</v>
      </c>
      <c r="C7515">
        <v>2001</v>
      </c>
    </row>
    <row r="7516" spans="1:11" x14ac:dyDescent="0.25">
      <c r="A7516">
        <v>118.827231505545</v>
      </c>
      <c r="B7516">
        <v>81.382205114198001</v>
      </c>
      <c r="C7516">
        <v>2001</v>
      </c>
    </row>
    <row r="7517" spans="1:11" x14ac:dyDescent="0.25">
      <c r="A7517">
        <v>118.87002759327601</v>
      </c>
      <c r="B7517">
        <v>81.339409026466399</v>
      </c>
      <c r="C7517">
        <v>2001</v>
      </c>
    </row>
    <row r="7518" spans="1:11" x14ac:dyDescent="0.25">
      <c r="A7518">
        <v>118.87002759327601</v>
      </c>
      <c r="B7518">
        <v>80.465376977568795</v>
      </c>
      <c r="C7518">
        <v>2000</v>
      </c>
    </row>
    <row r="7519" spans="1:11" x14ac:dyDescent="0.25">
      <c r="A7519" t="s">
        <v>86</v>
      </c>
    </row>
    <row r="7520" spans="1:11" x14ac:dyDescent="0.25">
      <c r="A7520">
        <v>966</v>
      </c>
      <c r="B7520">
        <v>1</v>
      </c>
      <c r="C7520">
        <v>1.37390494402538E-2</v>
      </c>
      <c r="D7520">
        <v>0.732004440253746</v>
      </c>
      <c r="E7520">
        <v>6</v>
      </c>
      <c r="F7520">
        <v>1.01722196789785</v>
      </c>
      <c r="G7520" t="s">
        <v>87</v>
      </c>
      <c r="H7520" t="s">
        <v>87</v>
      </c>
      <c r="I7520">
        <v>782</v>
      </c>
      <c r="J7520">
        <v>736</v>
      </c>
      <c r="K7520">
        <v>0.11963401938905099</v>
      </c>
    </row>
    <row r="7521" spans="1:11" x14ac:dyDescent="0.25">
      <c r="A7521" t="s">
        <v>85</v>
      </c>
    </row>
    <row r="7522" spans="1:11" x14ac:dyDescent="0.25">
      <c r="A7522">
        <v>88.388883404200797</v>
      </c>
      <c r="B7522">
        <v>51.877372897596103</v>
      </c>
      <c r="C7522">
        <v>2000</v>
      </c>
    </row>
    <row r="7523" spans="1:11" x14ac:dyDescent="0.25">
      <c r="A7523">
        <v>88.371117155715098</v>
      </c>
      <c r="B7523">
        <v>51.895139146081803</v>
      </c>
      <c r="C7523">
        <v>2000</v>
      </c>
    </row>
    <row r="7524" spans="1:11" x14ac:dyDescent="0.25">
      <c r="A7524">
        <v>89.245149204612602</v>
      </c>
      <c r="B7524">
        <v>51.895139146081597</v>
      </c>
      <c r="C7524">
        <v>2001</v>
      </c>
    </row>
    <row r="7525" spans="1:11" x14ac:dyDescent="0.25">
      <c r="A7525">
        <v>89.2468129061795</v>
      </c>
      <c r="B7525">
        <v>51.893475444514699</v>
      </c>
      <c r="C7525">
        <v>2001</v>
      </c>
    </row>
    <row r="7526" spans="1:11" x14ac:dyDescent="0.25">
      <c r="A7526">
        <v>89.335453458752198</v>
      </c>
      <c r="B7526">
        <v>51.8048348919422</v>
      </c>
      <c r="C7526">
        <v>2001</v>
      </c>
    </row>
    <row r="7527" spans="1:11" x14ac:dyDescent="0.25">
      <c r="A7527">
        <v>89.335453458752198</v>
      </c>
      <c r="B7527">
        <v>50.930802843044503</v>
      </c>
      <c r="C7527">
        <v>2000</v>
      </c>
    </row>
    <row r="7528" spans="1:11" x14ac:dyDescent="0.25">
      <c r="A7528" t="s">
        <v>86</v>
      </c>
    </row>
    <row r="7529" spans="1:11" x14ac:dyDescent="0.25">
      <c r="A7529">
        <v>915</v>
      </c>
      <c r="B7529">
        <v>1</v>
      </c>
      <c r="C7529">
        <v>0.58668098699478599</v>
      </c>
      <c r="D7529">
        <v>0.13484624062262199</v>
      </c>
      <c r="E7529">
        <v>6</v>
      </c>
      <c r="F7529">
        <v>1.01722196789785</v>
      </c>
      <c r="G7529" t="s">
        <v>87</v>
      </c>
      <c r="H7529" t="s">
        <v>87</v>
      </c>
      <c r="I7529">
        <v>501</v>
      </c>
      <c r="J7529">
        <v>781</v>
      </c>
      <c r="K7529">
        <v>0.11722927267913701</v>
      </c>
    </row>
    <row r="7530" spans="1:11" x14ac:dyDescent="0.25">
      <c r="A7530" t="s">
        <v>85</v>
      </c>
    </row>
    <row r="7531" spans="1:11" x14ac:dyDescent="0.25">
      <c r="A7531">
        <v>92.739356196408295</v>
      </c>
      <c r="B7531">
        <v>8.5124580466180007</v>
      </c>
      <c r="C7531">
        <v>2000</v>
      </c>
    </row>
    <row r="7532" spans="1:11" x14ac:dyDescent="0.25">
      <c r="A7532">
        <v>92.679852181421893</v>
      </c>
      <c r="B7532">
        <v>8.5719620616044701</v>
      </c>
      <c r="C7532">
        <v>2000</v>
      </c>
    </row>
    <row r="7533" spans="1:11" x14ac:dyDescent="0.25">
      <c r="A7533">
        <v>91.805820132524204</v>
      </c>
      <c r="B7533">
        <v>8.5719620616044701</v>
      </c>
      <c r="C7533">
        <v>2001</v>
      </c>
    </row>
    <row r="7534" spans="1:11" x14ac:dyDescent="0.25">
      <c r="A7534">
        <v>92.576008326132197</v>
      </c>
      <c r="B7534">
        <v>7.8017738679964799</v>
      </c>
      <c r="C7534">
        <v>2001</v>
      </c>
    </row>
    <row r="7535" spans="1:11" x14ac:dyDescent="0.25">
      <c r="A7535">
        <v>92.753032952432093</v>
      </c>
      <c r="B7535">
        <v>7.6247492416966596</v>
      </c>
      <c r="C7535">
        <v>2001</v>
      </c>
    </row>
    <row r="7536" spans="1:11" x14ac:dyDescent="0.25">
      <c r="A7536">
        <v>92.753032952432093</v>
      </c>
      <c r="B7536">
        <v>8.4987812905942892</v>
      </c>
      <c r="C7536">
        <v>2000</v>
      </c>
    </row>
    <row r="7537" spans="1:11" x14ac:dyDescent="0.25">
      <c r="A7537" t="s">
        <v>86</v>
      </c>
    </row>
    <row r="7538" spans="1:11" x14ac:dyDescent="0.25">
      <c r="A7538">
        <v>1119</v>
      </c>
      <c r="B7538">
        <v>1</v>
      </c>
      <c r="C7538">
        <v>0.38040230831274602</v>
      </c>
      <c r="D7538">
        <v>0.341124919304654</v>
      </c>
      <c r="E7538">
        <v>6</v>
      </c>
      <c r="F7538">
        <v>1.01722196789785</v>
      </c>
      <c r="G7538" t="s">
        <v>87</v>
      </c>
      <c r="H7538" t="s">
        <v>87</v>
      </c>
      <c r="I7538">
        <v>501</v>
      </c>
      <c r="J7538">
        <v>781</v>
      </c>
      <c r="K7538">
        <v>0.12417311997009001</v>
      </c>
    </row>
    <row r="7539" spans="1:11" x14ac:dyDescent="0.25">
      <c r="A7539" t="s">
        <v>85</v>
      </c>
    </row>
    <row r="7540" spans="1:11" x14ac:dyDescent="0.25">
      <c r="A7540">
        <v>102.308836136709</v>
      </c>
      <c r="B7540">
        <v>18.123781543671502</v>
      </c>
      <c r="C7540">
        <v>2000</v>
      </c>
    </row>
    <row r="7541" spans="1:11" x14ac:dyDescent="0.25">
      <c r="A7541">
        <v>102.27025390009899</v>
      </c>
      <c r="B7541">
        <v>18.1623637802813</v>
      </c>
      <c r="C7541">
        <v>2000</v>
      </c>
    </row>
    <row r="7542" spans="1:11" x14ac:dyDescent="0.25">
      <c r="A7542">
        <v>102.27025390009899</v>
      </c>
      <c r="B7542">
        <v>19.036395829179</v>
      </c>
      <c r="C7542">
        <v>2001</v>
      </c>
    </row>
    <row r="7543" spans="1:11" x14ac:dyDescent="0.25">
      <c r="A7543">
        <v>102.76964176706301</v>
      </c>
      <c r="B7543">
        <v>18.537007962214901</v>
      </c>
      <c r="C7543">
        <v>2001</v>
      </c>
    </row>
    <row r="7544" spans="1:11" x14ac:dyDescent="0.25">
      <c r="A7544">
        <v>103.217466720007</v>
      </c>
      <c r="B7544">
        <v>18.0891830092711</v>
      </c>
      <c r="C7544">
        <v>2001</v>
      </c>
    </row>
    <row r="7545" spans="1:11" x14ac:dyDescent="0.25">
      <c r="A7545">
        <v>102.34343467110899</v>
      </c>
      <c r="B7545">
        <v>18.0891830092711</v>
      </c>
      <c r="C7545">
        <v>2000</v>
      </c>
    </row>
    <row r="7546" spans="1:11" x14ac:dyDescent="0.25">
      <c r="A7546" t="s">
        <v>86</v>
      </c>
    </row>
    <row r="7547" spans="1:11" x14ac:dyDescent="0.25">
      <c r="A7547">
        <v>1006</v>
      </c>
      <c r="B7547">
        <v>1</v>
      </c>
      <c r="C7547">
        <v>0.139071248160761</v>
      </c>
      <c r="D7547">
        <v>0.58134351668238804</v>
      </c>
      <c r="E7547">
        <v>6</v>
      </c>
      <c r="F7547">
        <v>1.01722196789785</v>
      </c>
      <c r="G7547" t="s">
        <v>87</v>
      </c>
      <c r="H7547" t="s">
        <v>87</v>
      </c>
      <c r="I7547">
        <v>105</v>
      </c>
      <c r="J7547">
        <v>855</v>
      </c>
      <c r="K7547">
        <v>0.120547941094079</v>
      </c>
    </row>
    <row r="7548" spans="1:11" x14ac:dyDescent="0.25">
      <c r="A7548" t="s">
        <v>85</v>
      </c>
    </row>
    <row r="7549" spans="1:11" x14ac:dyDescent="0.25">
      <c r="A7549">
        <v>37.872438115473997</v>
      </c>
      <c r="B7549">
        <v>107.426878273677</v>
      </c>
      <c r="C7549">
        <v>2000</v>
      </c>
    </row>
    <row r="7550" spans="1:11" x14ac:dyDescent="0.25">
      <c r="A7550">
        <v>37.774099892831501</v>
      </c>
      <c r="B7550">
        <v>107.52521649632</v>
      </c>
      <c r="C7550">
        <v>2000</v>
      </c>
    </row>
    <row r="7551" spans="1:11" x14ac:dyDescent="0.25">
      <c r="A7551">
        <v>37.774099892831401</v>
      </c>
      <c r="B7551">
        <v>106.651184447422</v>
      </c>
      <c r="C7551">
        <v>2001</v>
      </c>
    </row>
    <row r="7552" spans="1:11" x14ac:dyDescent="0.25">
      <c r="A7552">
        <v>37.872438115473997</v>
      </c>
      <c r="B7552">
        <v>106.552846224779</v>
      </c>
      <c r="C7552">
        <v>2001</v>
      </c>
    </row>
    <row r="7553" spans="1:11" x14ac:dyDescent="0.25">
      <c r="A7553">
        <v>38.283510058319003</v>
      </c>
      <c r="B7553">
        <v>106.141774281934</v>
      </c>
      <c r="C7553">
        <v>2001</v>
      </c>
    </row>
    <row r="7554" spans="1:11" x14ac:dyDescent="0.25">
      <c r="A7554">
        <v>38.283510058318903</v>
      </c>
      <c r="B7554">
        <v>107.01580633083201</v>
      </c>
      <c r="C7554">
        <v>2000</v>
      </c>
    </row>
    <row r="7555" spans="1:11" x14ac:dyDescent="0.25">
      <c r="A7555" t="s">
        <v>86</v>
      </c>
    </row>
    <row r="7556" spans="1:11" x14ac:dyDescent="0.25">
      <c r="A7556">
        <v>142</v>
      </c>
      <c r="B7556">
        <v>1</v>
      </c>
      <c r="C7556">
        <v>0.62160934807020496</v>
      </c>
      <c r="D7556">
        <v>8.6908217540617699E-2</v>
      </c>
      <c r="E7556">
        <v>6</v>
      </c>
      <c r="F7556">
        <v>1.01722196789785</v>
      </c>
      <c r="G7556" t="s">
        <v>87</v>
      </c>
      <c r="H7556" t="s">
        <v>87</v>
      </c>
      <c r="I7556">
        <v>102</v>
      </c>
      <c r="J7556">
        <v>815</v>
      </c>
      <c r="K7556">
        <v>0</v>
      </c>
    </row>
    <row r="7557" spans="1:11" x14ac:dyDescent="0.25">
      <c r="A7557" t="s">
        <v>85</v>
      </c>
    </row>
    <row r="7558" spans="1:11" x14ac:dyDescent="0.25">
      <c r="A7558">
        <v>35.772387595275603</v>
      </c>
      <c r="B7558">
        <v>68.179153919778003</v>
      </c>
      <c r="C7558">
        <v>2000</v>
      </c>
    </row>
    <row r="7559" spans="1:11" x14ac:dyDescent="0.25">
      <c r="A7559">
        <v>35.332843410006198</v>
      </c>
      <c r="B7559">
        <v>68.6186981050474</v>
      </c>
      <c r="C7559">
        <v>2000</v>
      </c>
    </row>
    <row r="7560" spans="1:11" x14ac:dyDescent="0.25">
      <c r="A7560">
        <v>35.332843410006198</v>
      </c>
      <c r="B7560">
        <v>69.492730153945004</v>
      </c>
      <c r="C7560">
        <v>2001</v>
      </c>
    </row>
    <row r="7561" spans="1:11" x14ac:dyDescent="0.25">
      <c r="A7561">
        <v>35.772387595275603</v>
      </c>
      <c r="B7561">
        <v>69.053185968675606</v>
      </c>
      <c r="C7561">
        <v>2001</v>
      </c>
    </row>
    <row r="7562" spans="1:11" x14ac:dyDescent="0.25">
      <c r="A7562">
        <v>35.833840985239398</v>
      </c>
      <c r="B7562">
        <v>68.991732578711805</v>
      </c>
      <c r="C7562">
        <v>2001</v>
      </c>
    </row>
    <row r="7563" spans="1:11" x14ac:dyDescent="0.25">
      <c r="A7563">
        <v>35.833840985239398</v>
      </c>
      <c r="B7563">
        <v>68.117700529814201</v>
      </c>
      <c r="C7563">
        <v>2000</v>
      </c>
    </row>
    <row r="7564" spans="1:11" x14ac:dyDescent="0.25">
      <c r="A7564" t="s">
        <v>86</v>
      </c>
    </row>
    <row r="7565" spans="1:11" x14ac:dyDescent="0.25">
      <c r="A7565">
        <v>1093</v>
      </c>
      <c r="B7565">
        <v>1</v>
      </c>
      <c r="C7565">
        <v>0.265950516103722</v>
      </c>
      <c r="D7565">
        <v>0.43869699745888402</v>
      </c>
      <c r="E7565">
        <v>6</v>
      </c>
      <c r="F7565">
        <v>1.01722196789785</v>
      </c>
      <c r="G7565" t="s">
        <v>87</v>
      </c>
      <c r="H7565" t="s">
        <v>87</v>
      </c>
      <c r="I7565">
        <v>434</v>
      </c>
      <c r="J7565">
        <v>757</v>
      </c>
      <c r="K7565">
        <v>0.123468647787635</v>
      </c>
    </row>
    <row r="7566" spans="1:11" x14ac:dyDescent="0.25">
      <c r="A7566" t="s">
        <v>85</v>
      </c>
    </row>
    <row r="7567" spans="1:11" x14ac:dyDescent="0.25">
      <c r="A7567">
        <v>103.044210396482</v>
      </c>
      <c r="B7567">
        <v>140.34220903641</v>
      </c>
      <c r="C7567">
        <v>2000</v>
      </c>
    </row>
    <row r="7568" spans="1:11" x14ac:dyDescent="0.25">
      <c r="A7568">
        <v>102.691214874718</v>
      </c>
      <c r="B7568">
        <v>140.69520455817499</v>
      </c>
      <c r="C7568">
        <v>2000</v>
      </c>
    </row>
    <row r="7569" spans="1:11" x14ac:dyDescent="0.25">
      <c r="A7569">
        <v>103.56524692361501</v>
      </c>
      <c r="B7569">
        <v>140.69520455817499</v>
      </c>
      <c r="C7569">
        <v>2001</v>
      </c>
    </row>
    <row r="7570" spans="1:11" x14ac:dyDescent="0.25">
      <c r="A7570">
        <v>103.588362228645</v>
      </c>
      <c r="B7570">
        <v>140.672089253145</v>
      </c>
      <c r="C7570">
        <v>2001</v>
      </c>
    </row>
    <row r="7571" spans="1:11" x14ac:dyDescent="0.25">
      <c r="A7571">
        <v>103.626491934353</v>
      </c>
      <c r="B7571">
        <v>140.633959547437</v>
      </c>
      <c r="C7571">
        <v>2001</v>
      </c>
    </row>
    <row r="7572" spans="1:11" x14ac:dyDescent="0.25">
      <c r="A7572">
        <v>103.626491934353</v>
      </c>
      <c r="B7572">
        <v>139.75992749854001</v>
      </c>
      <c r="C7572">
        <v>2000</v>
      </c>
    </row>
    <row r="7573" spans="1:11" x14ac:dyDescent="0.25">
      <c r="A7573" t="s">
        <v>86</v>
      </c>
    </row>
    <row r="7574" spans="1:11" x14ac:dyDescent="0.25">
      <c r="A7574">
        <v>955</v>
      </c>
      <c r="B7574">
        <v>1</v>
      </c>
      <c r="C7574">
        <v>0.44020595341782698</v>
      </c>
      <c r="D7574">
        <v>0.263792498677418</v>
      </c>
      <c r="E7574">
        <v>6</v>
      </c>
      <c r="F7574">
        <v>1.01722196789785</v>
      </c>
      <c r="G7574" t="s">
        <v>87</v>
      </c>
      <c r="H7574" t="s">
        <v>87</v>
      </c>
      <c r="I7574">
        <v>774</v>
      </c>
      <c r="J7574">
        <v>277</v>
      </c>
      <c r="K7574">
        <v>0.118988924366406</v>
      </c>
    </row>
    <row r="7575" spans="1:11" x14ac:dyDescent="0.25">
      <c r="A7575" t="s">
        <v>85</v>
      </c>
    </row>
    <row r="7576" spans="1:11" x14ac:dyDescent="0.25">
      <c r="A7576">
        <v>93.161610638797995</v>
      </c>
      <c r="B7576">
        <v>121.420097598079</v>
      </c>
      <c r="C7576">
        <v>2000</v>
      </c>
    </row>
    <row r="7577" spans="1:11" x14ac:dyDescent="0.25">
      <c r="A7577">
        <v>92.850338024017603</v>
      </c>
      <c r="B7577">
        <v>121.73137021286</v>
      </c>
      <c r="C7577">
        <v>2000</v>
      </c>
    </row>
    <row r="7578" spans="1:11" x14ac:dyDescent="0.25">
      <c r="A7578">
        <v>92.850338024017603</v>
      </c>
      <c r="B7578">
        <v>122.60540226175701</v>
      </c>
      <c r="C7578">
        <v>2001</v>
      </c>
    </row>
    <row r="7579" spans="1:11" x14ac:dyDescent="0.25">
      <c r="A7579">
        <v>93.161610638797995</v>
      </c>
      <c r="B7579">
        <v>122.294129646977</v>
      </c>
      <c r="C7579">
        <v>2001</v>
      </c>
    </row>
    <row r="7580" spans="1:11" x14ac:dyDescent="0.25">
      <c r="A7580">
        <v>93.348140103438894</v>
      </c>
      <c r="B7580">
        <v>122.107600182336</v>
      </c>
      <c r="C7580">
        <v>2001</v>
      </c>
    </row>
    <row r="7581" spans="1:11" x14ac:dyDescent="0.25">
      <c r="A7581">
        <v>93.348140103438894</v>
      </c>
      <c r="B7581">
        <v>121.233568133438</v>
      </c>
      <c r="C7581">
        <v>2000</v>
      </c>
    </row>
    <row r="7582" spans="1:11" x14ac:dyDescent="0.25">
      <c r="A7582" t="s">
        <v>86</v>
      </c>
    </row>
    <row r="7583" spans="1:11" x14ac:dyDescent="0.25">
      <c r="A7583">
        <v>470</v>
      </c>
      <c r="B7583">
        <v>1</v>
      </c>
      <c r="C7583">
        <v>0.48887509261289402</v>
      </c>
      <c r="D7583">
        <v>0.21512335948235201</v>
      </c>
      <c r="E7583">
        <v>6</v>
      </c>
      <c r="F7583">
        <v>1.01722196789785</v>
      </c>
      <c r="G7583" t="s">
        <v>87</v>
      </c>
      <c r="H7583" t="s">
        <v>87</v>
      </c>
      <c r="I7583">
        <v>774</v>
      </c>
      <c r="J7583">
        <v>277</v>
      </c>
      <c r="K7583">
        <v>0</v>
      </c>
    </row>
    <row r="7584" spans="1:11" x14ac:dyDescent="0.25">
      <c r="A7584" t="s">
        <v>85</v>
      </c>
    </row>
    <row r="7585" spans="1:11" x14ac:dyDescent="0.25">
      <c r="A7585">
        <v>93.754435525627002</v>
      </c>
      <c r="B7585">
        <v>121.94409392819</v>
      </c>
      <c r="C7585">
        <v>2000</v>
      </c>
    </row>
    <row r="7586" spans="1:11" x14ac:dyDescent="0.25">
      <c r="A7586">
        <v>93.408748632487203</v>
      </c>
      <c r="B7586">
        <v>122.289780821329</v>
      </c>
      <c r="C7586">
        <v>2000</v>
      </c>
    </row>
    <row r="7587" spans="1:11" x14ac:dyDescent="0.25">
      <c r="A7587">
        <v>93.408748632487203</v>
      </c>
      <c r="B7587">
        <v>123.16381287022701</v>
      </c>
      <c r="C7587">
        <v>2001</v>
      </c>
    </row>
    <row r="7588" spans="1:11" x14ac:dyDescent="0.25">
      <c r="A7588">
        <v>93.754435525627002</v>
      </c>
      <c r="B7588">
        <v>122.81812597708701</v>
      </c>
      <c r="C7588">
        <v>2001</v>
      </c>
    </row>
    <row r="7589" spans="1:11" x14ac:dyDescent="0.25">
      <c r="A7589">
        <v>93.906550711908594</v>
      </c>
      <c r="B7589">
        <v>122.666010790806</v>
      </c>
      <c r="C7589">
        <v>2001</v>
      </c>
    </row>
    <row r="7590" spans="1:11" x14ac:dyDescent="0.25">
      <c r="A7590">
        <v>93.906550711908693</v>
      </c>
      <c r="B7590">
        <v>121.791978741908</v>
      </c>
      <c r="C7590">
        <v>2000</v>
      </c>
    </row>
    <row r="7591" spans="1:11" x14ac:dyDescent="0.25">
      <c r="A7591" t="s">
        <v>86</v>
      </c>
    </row>
    <row r="7592" spans="1:11" x14ac:dyDescent="0.25">
      <c r="A7592">
        <v>221</v>
      </c>
      <c r="B7592">
        <v>1</v>
      </c>
      <c r="C7592">
        <v>0.52610696006026103</v>
      </c>
      <c r="D7592">
        <v>0.171363323860689</v>
      </c>
      <c r="E7592">
        <v>6</v>
      </c>
      <c r="F7592">
        <v>1.01722196789785</v>
      </c>
      <c r="G7592" t="s">
        <v>87</v>
      </c>
      <c r="H7592" t="s">
        <v>87</v>
      </c>
      <c r="I7592">
        <v>198</v>
      </c>
      <c r="J7592">
        <v>764</v>
      </c>
      <c r="K7592">
        <v>0</v>
      </c>
    </row>
    <row r="7593" spans="1:11" x14ac:dyDescent="0.25">
      <c r="A7593" t="s">
        <v>85</v>
      </c>
    </row>
    <row r="7594" spans="1:11" x14ac:dyDescent="0.25">
      <c r="A7594">
        <v>11.476735805771</v>
      </c>
      <c r="B7594">
        <v>139.50633020591599</v>
      </c>
      <c r="C7594">
        <v>2000</v>
      </c>
    </row>
    <row r="7595" spans="1:11" x14ac:dyDescent="0.25">
      <c r="A7595">
        <v>10.775077608318201</v>
      </c>
      <c r="B7595">
        <v>140.207988403369</v>
      </c>
      <c r="C7595">
        <v>2000</v>
      </c>
    </row>
    <row r="7596" spans="1:11" x14ac:dyDescent="0.25">
      <c r="A7596">
        <v>11.649109657215901</v>
      </c>
      <c r="B7596">
        <v>140.207988403369</v>
      </c>
      <c r="C7596">
        <v>2001</v>
      </c>
    </row>
    <row r="7597" spans="1:11" x14ac:dyDescent="0.25">
      <c r="A7597">
        <v>11.691479057939199</v>
      </c>
      <c r="B7597">
        <v>140.165619002645</v>
      </c>
      <c r="C7597">
        <v>2001</v>
      </c>
    </row>
    <row r="7598" spans="1:11" x14ac:dyDescent="0.25">
      <c r="A7598">
        <v>11.7052796002036</v>
      </c>
      <c r="B7598">
        <v>140.15181846038101</v>
      </c>
      <c r="C7598">
        <v>2001</v>
      </c>
    </row>
    <row r="7599" spans="1:11" x14ac:dyDescent="0.25">
      <c r="A7599">
        <v>11.705279600203699</v>
      </c>
      <c r="B7599">
        <v>139.27778641148299</v>
      </c>
      <c r="C7599">
        <v>2000</v>
      </c>
    </row>
    <row r="7600" spans="1:11" x14ac:dyDescent="0.25">
      <c r="A7600" t="s">
        <v>86</v>
      </c>
    </row>
    <row r="7601" spans="1:11" x14ac:dyDescent="0.25">
      <c r="A7601">
        <v>1037</v>
      </c>
      <c r="B7601">
        <v>1</v>
      </c>
      <c r="C7601">
        <v>9.0614802378269105E-2</v>
      </c>
      <c r="D7601">
        <v>0.60685548154268099</v>
      </c>
      <c r="E7601">
        <v>6</v>
      </c>
      <c r="F7601">
        <v>1.01722196789785</v>
      </c>
      <c r="G7601" t="s">
        <v>87</v>
      </c>
      <c r="H7601" t="s">
        <v>87</v>
      </c>
      <c r="I7601">
        <v>198</v>
      </c>
      <c r="J7601">
        <v>764</v>
      </c>
      <c r="K7601">
        <v>0.12221412765037699</v>
      </c>
    </row>
    <row r="7602" spans="1:11" x14ac:dyDescent="0.25">
      <c r="A7602" t="s">
        <v>85</v>
      </c>
    </row>
    <row r="7603" spans="1:11" x14ac:dyDescent="0.25">
      <c r="A7603">
        <v>18.6786841117096</v>
      </c>
      <c r="B7603">
        <v>147.86989265331701</v>
      </c>
      <c r="C7603">
        <v>2000</v>
      </c>
    </row>
    <row r="7604" spans="1:11" x14ac:dyDescent="0.25">
      <c r="A7604">
        <v>18.557832984988099</v>
      </c>
      <c r="B7604">
        <v>147.990743780039</v>
      </c>
      <c r="C7604">
        <v>2000</v>
      </c>
    </row>
    <row r="7605" spans="1:11" x14ac:dyDescent="0.25">
      <c r="A7605">
        <v>19.431865033885799</v>
      </c>
      <c r="B7605">
        <v>147.990743780039</v>
      </c>
      <c r="C7605">
        <v>2001</v>
      </c>
    </row>
    <row r="7606" spans="1:11" x14ac:dyDescent="0.25">
      <c r="A7606">
        <v>19.439162589639398</v>
      </c>
      <c r="B7606">
        <v>147.98344622428499</v>
      </c>
      <c r="C7606">
        <v>2001</v>
      </c>
    </row>
    <row r="7607" spans="1:11" x14ac:dyDescent="0.25">
      <c r="A7607">
        <v>19.4880349768736</v>
      </c>
      <c r="B7607">
        <v>147.934573837051</v>
      </c>
      <c r="C7607">
        <v>2001</v>
      </c>
    </row>
    <row r="7608" spans="1:11" x14ac:dyDescent="0.25">
      <c r="A7608">
        <v>19.4880349768736</v>
      </c>
      <c r="B7608">
        <v>147.06054178815299</v>
      </c>
      <c r="C7608">
        <v>2000</v>
      </c>
    </row>
    <row r="7609" spans="1:11" x14ac:dyDescent="0.25">
      <c r="A7609" t="s">
        <v>86</v>
      </c>
    </row>
    <row r="7610" spans="1:11" x14ac:dyDescent="0.25">
      <c r="A7610">
        <v>714</v>
      </c>
      <c r="B7610">
        <v>1</v>
      </c>
      <c r="C7610">
        <v>7.83618574023137E-3</v>
      </c>
      <c r="D7610">
        <v>0.68432608127139405</v>
      </c>
      <c r="E7610">
        <v>6</v>
      </c>
      <c r="F7610">
        <v>1.01722196789785</v>
      </c>
      <c r="G7610" t="s">
        <v>87</v>
      </c>
      <c r="H7610" t="s">
        <v>87</v>
      </c>
      <c r="I7610">
        <v>840</v>
      </c>
      <c r="J7610">
        <v>501</v>
      </c>
      <c r="K7610">
        <v>0</v>
      </c>
    </row>
    <row r="7611" spans="1:11" x14ac:dyDescent="0.25">
      <c r="A7611" t="s">
        <v>85</v>
      </c>
    </row>
    <row r="7612" spans="1:11" x14ac:dyDescent="0.25">
      <c r="A7612">
        <v>85.360950685224694</v>
      </c>
      <c r="B7612">
        <v>3.08498064904036</v>
      </c>
      <c r="C7612">
        <v>2000</v>
      </c>
    </row>
    <row r="7613" spans="1:11" x14ac:dyDescent="0.25">
      <c r="A7613">
        <v>85.350462069907095</v>
      </c>
      <c r="B7613">
        <v>3.0954692643580302</v>
      </c>
      <c r="C7613">
        <v>2000</v>
      </c>
    </row>
    <row r="7614" spans="1:11" x14ac:dyDescent="0.25">
      <c r="A7614">
        <v>86.224494118804699</v>
      </c>
      <c r="B7614">
        <v>3.0954692643580302</v>
      </c>
      <c r="C7614">
        <v>2001</v>
      </c>
    </row>
    <row r="7615" spans="1:11" x14ac:dyDescent="0.25">
      <c r="A7615">
        <v>86.225087543638097</v>
      </c>
      <c r="B7615">
        <v>3.0948758395245899</v>
      </c>
      <c r="C7615">
        <v>2001</v>
      </c>
    </row>
    <row r="7616" spans="1:11" x14ac:dyDescent="0.25">
      <c r="A7616">
        <v>86.276910727041198</v>
      </c>
      <c r="B7616">
        <v>3.0430526561214699</v>
      </c>
      <c r="C7616">
        <v>2001</v>
      </c>
    </row>
    <row r="7617" spans="1:11" x14ac:dyDescent="0.25">
      <c r="A7617">
        <v>86.276910727041297</v>
      </c>
      <c r="B7617">
        <v>2.16902060722385</v>
      </c>
      <c r="C7617">
        <v>2000</v>
      </c>
    </row>
    <row r="7618" spans="1:11" x14ac:dyDescent="0.25">
      <c r="A7618" t="s">
        <v>86</v>
      </c>
    </row>
    <row r="7619" spans="1:11" x14ac:dyDescent="0.25">
      <c r="A7619">
        <v>1045</v>
      </c>
      <c r="B7619">
        <v>1</v>
      </c>
      <c r="C7619">
        <v>0.541486081671259</v>
      </c>
      <c r="D7619">
        <v>0.150676185340366</v>
      </c>
      <c r="E7619">
        <v>6</v>
      </c>
      <c r="F7619">
        <v>1.01722196789785</v>
      </c>
      <c r="G7619" t="s">
        <v>87</v>
      </c>
      <c r="H7619" t="s">
        <v>87</v>
      </c>
      <c r="I7619">
        <v>840</v>
      </c>
      <c r="J7619">
        <v>501</v>
      </c>
      <c r="K7619">
        <v>0.12221412765037699</v>
      </c>
    </row>
    <row r="7620" spans="1:11" x14ac:dyDescent="0.25">
      <c r="A7620" t="s">
        <v>85</v>
      </c>
    </row>
    <row r="7621" spans="1:11" x14ac:dyDescent="0.25">
      <c r="A7621">
        <v>85.0223533343583</v>
      </c>
      <c r="B7621">
        <v>1.3178187750032</v>
      </c>
      <c r="C7621">
        <v>2000</v>
      </c>
    </row>
    <row r="7622" spans="1:11" x14ac:dyDescent="0.25">
      <c r="A7622">
        <v>84.297582457455206</v>
      </c>
      <c r="B7622">
        <v>2.0425896519062001</v>
      </c>
      <c r="C7622">
        <v>2000</v>
      </c>
    </row>
    <row r="7623" spans="1:11" x14ac:dyDescent="0.25">
      <c r="A7623">
        <v>85.171614506352896</v>
      </c>
      <c r="B7623">
        <v>2.0425896519062001</v>
      </c>
      <c r="C7623">
        <v>2001</v>
      </c>
    </row>
    <row r="7624" spans="1:11" x14ac:dyDescent="0.25">
      <c r="A7624">
        <v>85.212620589985605</v>
      </c>
      <c r="B7624">
        <v>2.0015835682734502</v>
      </c>
      <c r="C7624">
        <v>2001</v>
      </c>
    </row>
    <row r="7625" spans="1:11" x14ac:dyDescent="0.25">
      <c r="A7625">
        <v>85.224031114589394</v>
      </c>
      <c r="B7625">
        <v>1.9901730436696401</v>
      </c>
      <c r="C7625">
        <v>2001</v>
      </c>
    </row>
    <row r="7626" spans="1:11" x14ac:dyDescent="0.25">
      <c r="A7626">
        <v>85.224031114589394</v>
      </c>
      <c r="B7626">
        <v>1.11614099477202</v>
      </c>
      <c r="C7626">
        <v>2000</v>
      </c>
    </row>
    <row r="7627" spans="1:11" x14ac:dyDescent="0.25">
      <c r="A7627" t="s">
        <v>86</v>
      </c>
    </row>
    <row r="7628" spans="1:11" x14ac:dyDescent="0.25">
      <c r="A7628">
        <v>1135</v>
      </c>
      <c r="B7628">
        <v>1</v>
      </c>
      <c r="C7628">
        <v>0.376672147581679</v>
      </c>
      <c r="D7628">
        <v>0.31549011942994598</v>
      </c>
      <c r="E7628">
        <v>6</v>
      </c>
      <c r="F7628">
        <v>1.01722196789785</v>
      </c>
      <c r="G7628" t="s">
        <v>87</v>
      </c>
      <c r="H7628" t="s">
        <v>87</v>
      </c>
      <c r="I7628">
        <v>840</v>
      </c>
      <c r="J7628">
        <v>501</v>
      </c>
      <c r="K7628">
        <v>0.12440073496922301</v>
      </c>
    </row>
    <row r="7629" spans="1:11" x14ac:dyDescent="0.25">
      <c r="A7629" t="s">
        <v>85</v>
      </c>
    </row>
    <row r="7630" spans="1:11" x14ac:dyDescent="0.25">
      <c r="A7630">
        <v>88.699944684686798</v>
      </c>
      <c r="B7630">
        <v>5.4366120087384804</v>
      </c>
      <c r="C7630">
        <v>2000</v>
      </c>
    </row>
    <row r="7631" spans="1:11" x14ac:dyDescent="0.25">
      <c r="A7631">
        <v>88.1957747494872</v>
      </c>
      <c r="B7631">
        <v>5.9407819439381297</v>
      </c>
      <c r="C7631">
        <v>2000</v>
      </c>
    </row>
    <row r="7632" spans="1:11" x14ac:dyDescent="0.25">
      <c r="A7632">
        <v>89.069806798384803</v>
      </c>
      <c r="B7632">
        <v>5.94078194393812</v>
      </c>
      <c r="C7632">
        <v>2001</v>
      </c>
    </row>
    <row r="7633" spans="1:11" x14ac:dyDescent="0.25">
      <c r="A7633">
        <v>89.098331722863406</v>
      </c>
      <c r="B7633">
        <v>5.9122570194595703</v>
      </c>
      <c r="C7633">
        <v>2001</v>
      </c>
    </row>
    <row r="7634" spans="1:11" x14ac:dyDescent="0.25">
      <c r="A7634">
        <v>89.122223406621302</v>
      </c>
      <c r="B7634">
        <v>5.8883653357015602</v>
      </c>
      <c r="C7634">
        <v>2001</v>
      </c>
    </row>
    <row r="7635" spans="1:11" x14ac:dyDescent="0.25">
      <c r="A7635">
        <v>89.122223406621401</v>
      </c>
      <c r="B7635">
        <v>5.0143332868039403</v>
      </c>
      <c r="C7635">
        <v>2000</v>
      </c>
    </row>
    <row r="7636" spans="1:11" x14ac:dyDescent="0.25">
      <c r="A7636" t="s">
        <v>86</v>
      </c>
    </row>
    <row r="7637" spans="1:11" x14ac:dyDescent="0.25">
      <c r="A7637">
        <v>158</v>
      </c>
      <c r="B7637">
        <v>1</v>
      </c>
      <c r="C7637">
        <v>0.56220810658692999</v>
      </c>
      <c r="D7637">
        <v>0.11559390594973699</v>
      </c>
      <c r="E7637">
        <v>6</v>
      </c>
      <c r="F7637">
        <v>1.01722196789785</v>
      </c>
      <c r="G7637" t="s">
        <v>87</v>
      </c>
      <c r="H7637" t="s">
        <v>87</v>
      </c>
      <c r="I7637">
        <v>815</v>
      </c>
      <c r="J7637">
        <v>790</v>
      </c>
      <c r="K7637">
        <v>0</v>
      </c>
    </row>
    <row r="7638" spans="1:11" x14ac:dyDescent="0.25">
      <c r="A7638" t="s">
        <v>85</v>
      </c>
    </row>
    <row r="7639" spans="1:11" x14ac:dyDescent="0.25">
      <c r="A7639">
        <v>39.6137780685754</v>
      </c>
      <c r="B7639">
        <v>71.827527907534403</v>
      </c>
      <c r="C7639">
        <v>2000</v>
      </c>
    </row>
    <row r="7640" spans="1:11" x14ac:dyDescent="0.25">
      <c r="A7640">
        <v>39.578723215767504</v>
      </c>
      <c r="B7640">
        <v>71.862582760342306</v>
      </c>
      <c r="C7640">
        <v>2000</v>
      </c>
    </row>
    <row r="7641" spans="1:11" x14ac:dyDescent="0.25">
      <c r="A7641">
        <v>39.578723215767504</v>
      </c>
      <c r="B7641">
        <v>72.736614809239995</v>
      </c>
      <c r="C7641">
        <v>2001</v>
      </c>
    </row>
    <row r="7642" spans="1:11" x14ac:dyDescent="0.25">
      <c r="A7642">
        <v>40.338750692170898</v>
      </c>
      <c r="B7642">
        <v>71.976587332836502</v>
      </c>
      <c r="C7642">
        <v>2001</v>
      </c>
    </row>
    <row r="7643" spans="1:11" x14ac:dyDescent="0.25">
      <c r="A7643">
        <v>40.495017639582898</v>
      </c>
      <c r="B7643">
        <v>71.820320385424594</v>
      </c>
      <c r="C7643">
        <v>2001</v>
      </c>
    </row>
    <row r="7644" spans="1:11" x14ac:dyDescent="0.25">
      <c r="A7644">
        <v>39.620985590685201</v>
      </c>
      <c r="B7644">
        <v>71.820320385424594</v>
      </c>
      <c r="C7644">
        <v>2000</v>
      </c>
    </row>
    <row r="7645" spans="1:11" x14ac:dyDescent="0.25">
      <c r="A7645" t="s">
        <v>86</v>
      </c>
    </row>
    <row r="7646" spans="1:11" x14ac:dyDescent="0.25">
      <c r="A7646">
        <v>149</v>
      </c>
      <c r="B7646">
        <v>1</v>
      </c>
      <c r="C7646">
        <v>4.4567065452938003E-2</v>
      </c>
      <c r="D7646">
        <v>0.63323494708372896</v>
      </c>
      <c r="E7646">
        <v>6</v>
      </c>
      <c r="F7646">
        <v>1.01722196789785</v>
      </c>
      <c r="G7646" t="s">
        <v>87</v>
      </c>
      <c r="H7646" t="s">
        <v>87</v>
      </c>
      <c r="I7646">
        <v>815</v>
      </c>
      <c r="J7646">
        <v>790</v>
      </c>
      <c r="K7646">
        <v>0</v>
      </c>
    </row>
    <row r="7647" spans="1:11" x14ac:dyDescent="0.25">
      <c r="A7647" t="s">
        <v>85</v>
      </c>
    </row>
    <row r="7648" spans="1:11" x14ac:dyDescent="0.25">
      <c r="A7648">
        <v>44.249421763171704</v>
      </c>
      <c r="B7648">
        <v>76.5277236080221</v>
      </c>
      <c r="C7648">
        <v>2000</v>
      </c>
    </row>
    <row r="7649" spans="1:11" x14ac:dyDescent="0.25">
      <c r="A7649">
        <v>44.2466429133095</v>
      </c>
      <c r="B7649">
        <v>76.530502457884296</v>
      </c>
      <c r="C7649">
        <v>2000</v>
      </c>
    </row>
    <row r="7650" spans="1:11" x14ac:dyDescent="0.25">
      <c r="A7650">
        <v>43.372610864412003</v>
      </c>
      <c r="B7650">
        <v>76.530502457884495</v>
      </c>
      <c r="C7650">
        <v>2001</v>
      </c>
    </row>
    <row r="7651" spans="1:11" x14ac:dyDescent="0.25">
      <c r="A7651">
        <v>43.432859362948498</v>
      </c>
      <c r="B7651">
        <v>76.470253959348</v>
      </c>
      <c r="C7651">
        <v>2001</v>
      </c>
    </row>
    <row r="7652" spans="1:11" x14ac:dyDescent="0.25">
      <c r="A7652">
        <v>44.288905288227298</v>
      </c>
      <c r="B7652">
        <v>75.614208034068994</v>
      </c>
      <c r="C7652">
        <v>2001</v>
      </c>
    </row>
    <row r="7653" spans="1:11" x14ac:dyDescent="0.25">
      <c r="A7653">
        <v>44.288905288227298</v>
      </c>
      <c r="B7653">
        <v>76.488240082966598</v>
      </c>
      <c r="C7653">
        <v>2000</v>
      </c>
    </row>
    <row r="7654" spans="1:11" x14ac:dyDescent="0.25">
      <c r="A7654" t="s">
        <v>86</v>
      </c>
    </row>
    <row r="7655" spans="1:11" x14ac:dyDescent="0.25">
      <c r="A7655">
        <v>156</v>
      </c>
      <c r="B7655">
        <v>1</v>
      </c>
      <c r="C7655">
        <v>0.61586186794691899</v>
      </c>
      <c r="D7655">
        <v>6.19401445897481E-2</v>
      </c>
      <c r="E7655">
        <v>6</v>
      </c>
      <c r="F7655">
        <v>1.01722196789785</v>
      </c>
      <c r="G7655" t="s">
        <v>87</v>
      </c>
      <c r="H7655" t="s">
        <v>87</v>
      </c>
      <c r="I7655">
        <v>815</v>
      </c>
      <c r="J7655">
        <v>790</v>
      </c>
      <c r="K7655">
        <v>0</v>
      </c>
    </row>
    <row r="7656" spans="1:11" x14ac:dyDescent="0.25">
      <c r="A7656" t="s">
        <v>85</v>
      </c>
    </row>
    <row r="7657" spans="1:11" x14ac:dyDescent="0.25">
      <c r="A7657">
        <v>21.905659968121999</v>
      </c>
      <c r="B7657">
        <v>54.112718958318702</v>
      </c>
      <c r="C7657">
        <v>2000</v>
      </c>
    </row>
    <row r="7658" spans="1:11" x14ac:dyDescent="0.25">
      <c r="A7658">
        <v>21.867259690932901</v>
      </c>
      <c r="B7658">
        <v>54.151119235507799</v>
      </c>
      <c r="C7658">
        <v>2000</v>
      </c>
    </row>
    <row r="7659" spans="1:11" x14ac:dyDescent="0.25">
      <c r="A7659">
        <v>20.993227642035301</v>
      </c>
      <c r="B7659">
        <v>54.151119235507799</v>
      </c>
      <c r="C7659">
        <v>2001</v>
      </c>
    </row>
    <row r="7660" spans="1:11" x14ac:dyDescent="0.25">
      <c r="A7660">
        <v>21.825787571045201</v>
      </c>
      <c r="B7660">
        <v>53.318559306497903</v>
      </c>
      <c r="C7660">
        <v>2001</v>
      </c>
    </row>
    <row r="7661" spans="1:11" x14ac:dyDescent="0.25">
      <c r="A7661">
        <v>21.909522065850702</v>
      </c>
      <c r="B7661">
        <v>53.234824811692398</v>
      </c>
      <c r="C7661">
        <v>2001</v>
      </c>
    </row>
    <row r="7662" spans="1:11" x14ac:dyDescent="0.25">
      <c r="A7662">
        <v>21.909522065850702</v>
      </c>
      <c r="B7662">
        <v>54.108856860590002</v>
      </c>
      <c r="C7662">
        <v>2000</v>
      </c>
    </row>
    <row r="7663" spans="1:11" x14ac:dyDescent="0.25">
      <c r="A7663" t="s">
        <v>86</v>
      </c>
    </row>
    <row r="7664" spans="1:11" x14ac:dyDescent="0.25">
      <c r="A7664">
        <v>1124</v>
      </c>
      <c r="B7664">
        <v>1</v>
      </c>
      <c r="C7664">
        <v>0.41722158116198899</v>
      </c>
      <c r="D7664">
        <v>0.26058043137465597</v>
      </c>
      <c r="E7664">
        <v>6</v>
      </c>
      <c r="F7664">
        <v>1.01722196789785</v>
      </c>
      <c r="G7664" t="s">
        <v>87</v>
      </c>
      <c r="H7664" t="s">
        <v>87</v>
      </c>
      <c r="I7664">
        <v>815</v>
      </c>
      <c r="J7664">
        <v>790</v>
      </c>
      <c r="K7664">
        <v>0.12440073496922301</v>
      </c>
    </row>
    <row r="7665" spans="1:11" x14ac:dyDescent="0.25">
      <c r="A7665" t="s">
        <v>85</v>
      </c>
    </row>
    <row r="7666" spans="1:11" x14ac:dyDescent="0.25">
      <c r="A7666">
        <v>103.77747577908499</v>
      </c>
      <c r="B7666">
        <v>136.009306045019</v>
      </c>
      <c r="C7666">
        <v>2000</v>
      </c>
    </row>
    <row r="7667" spans="1:11" x14ac:dyDescent="0.25">
      <c r="A7667">
        <v>103.751461139764</v>
      </c>
      <c r="B7667">
        <v>136.03532068433901</v>
      </c>
      <c r="C7667">
        <v>2000</v>
      </c>
    </row>
    <row r="7668" spans="1:11" x14ac:dyDescent="0.25">
      <c r="A7668">
        <v>103.751461139764</v>
      </c>
      <c r="B7668">
        <v>136.909352733237</v>
      </c>
      <c r="C7668">
        <v>2001</v>
      </c>
    </row>
    <row r="7669" spans="1:11" x14ac:dyDescent="0.25">
      <c r="A7669">
        <v>104.31548691903799</v>
      </c>
      <c r="B7669">
        <v>136.345326953963</v>
      </c>
      <c r="C7669">
        <v>2001</v>
      </c>
    </row>
    <row r="7670" spans="1:11" x14ac:dyDescent="0.25">
      <c r="A7670">
        <v>104.66775556358</v>
      </c>
      <c r="B7670">
        <v>135.993058309421</v>
      </c>
      <c r="C7670">
        <v>2001</v>
      </c>
    </row>
    <row r="7671" spans="1:11" x14ac:dyDescent="0.25">
      <c r="A7671">
        <v>103.793723514682</v>
      </c>
      <c r="B7671">
        <v>135.993058309421</v>
      </c>
      <c r="C7671">
        <v>2000</v>
      </c>
    </row>
    <row r="7672" spans="1:11" x14ac:dyDescent="0.25">
      <c r="A7672" t="s">
        <v>86</v>
      </c>
    </row>
    <row r="7673" spans="1:11" x14ac:dyDescent="0.25">
      <c r="A7673">
        <v>701</v>
      </c>
      <c r="B7673">
        <v>1</v>
      </c>
      <c r="C7673">
        <v>0.341999779220238</v>
      </c>
      <c r="D7673">
        <v>0.32933959032069299</v>
      </c>
      <c r="E7673">
        <v>6</v>
      </c>
      <c r="F7673">
        <v>1.01722196789785</v>
      </c>
      <c r="G7673" t="s">
        <v>87</v>
      </c>
      <c r="H7673" t="s">
        <v>87</v>
      </c>
      <c r="I7673">
        <v>857</v>
      </c>
      <c r="J7673">
        <v>675</v>
      </c>
      <c r="K7673">
        <v>0</v>
      </c>
    </row>
    <row r="7674" spans="1:11" x14ac:dyDescent="0.25">
      <c r="A7674" t="s">
        <v>85</v>
      </c>
    </row>
    <row r="7675" spans="1:11" x14ac:dyDescent="0.25">
      <c r="A7675">
        <v>87.165349478901405</v>
      </c>
      <c r="B7675">
        <v>27.573003085597001</v>
      </c>
      <c r="C7675">
        <v>2000</v>
      </c>
    </row>
    <row r="7676" spans="1:11" x14ac:dyDescent="0.25">
      <c r="A7676">
        <v>86.923519115850496</v>
      </c>
      <c r="B7676">
        <v>27.814833448647899</v>
      </c>
      <c r="C7676">
        <v>2000</v>
      </c>
    </row>
    <row r="7677" spans="1:11" x14ac:dyDescent="0.25">
      <c r="A7677">
        <v>86.049487066952906</v>
      </c>
      <c r="B7677">
        <v>27.814833448647899</v>
      </c>
      <c r="C7677">
        <v>2001</v>
      </c>
    </row>
    <row r="7678" spans="1:11" x14ac:dyDescent="0.25">
      <c r="A7678">
        <v>86.291317430003801</v>
      </c>
      <c r="B7678">
        <v>27.573003085597001</v>
      </c>
      <c r="C7678">
        <v>2001</v>
      </c>
    </row>
    <row r="7679" spans="1:11" x14ac:dyDescent="0.25">
      <c r="A7679">
        <v>86.524195687632698</v>
      </c>
      <c r="B7679">
        <v>27.340124827968001</v>
      </c>
      <c r="C7679">
        <v>2001</v>
      </c>
    </row>
    <row r="7680" spans="1:11" x14ac:dyDescent="0.25">
      <c r="A7680">
        <v>87.398227736530401</v>
      </c>
      <c r="B7680">
        <v>27.340124827968001</v>
      </c>
      <c r="C7680">
        <v>2000</v>
      </c>
    </row>
    <row r="7681" spans="1:11" x14ac:dyDescent="0.25">
      <c r="A7681" t="s">
        <v>86</v>
      </c>
    </row>
    <row r="7682" spans="1:11" x14ac:dyDescent="0.25">
      <c r="A7682">
        <v>1047</v>
      </c>
      <c r="B7682">
        <v>1</v>
      </c>
      <c r="C7682">
        <v>0.65544636918647803</v>
      </c>
      <c r="D7682">
        <v>1.5893000354445502E-2</v>
      </c>
      <c r="E7682">
        <v>6</v>
      </c>
      <c r="F7682">
        <v>1.01722196789785</v>
      </c>
      <c r="G7682" t="s">
        <v>87</v>
      </c>
      <c r="H7682" t="s">
        <v>87</v>
      </c>
      <c r="I7682">
        <v>857</v>
      </c>
      <c r="J7682">
        <v>675</v>
      </c>
      <c r="K7682">
        <v>0.121680115082949</v>
      </c>
    </row>
    <row r="7683" spans="1:11" x14ac:dyDescent="0.25">
      <c r="A7683" t="s">
        <v>85</v>
      </c>
    </row>
    <row r="7684" spans="1:11" x14ac:dyDescent="0.25">
      <c r="A7684">
        <v>107.88047357875</v>
      </c>
      <c r="B7684">
        <v>47.844846766835602</v>
      </c>
      <c r="C7684">
        <v>2000</v>
      </c>
    </row>
    <row r="7685" spans="1:11" x14ac:dyDescent="0.25">
      <c r="A7685">
        <v>107.417003006394</v>
      </c>
      <c r="B7685">
        <v>48.308317339191397</v>
      </c>
      <c r="C7685">
        <v>2000</v>
      </c>
    </row>
    <row r="7686" spans="1:11" x14ac:dyDescent="0.25">
      <c r="A7686">
        <v>106.542970957496</v>
      </c>
      <c r="B7686">
        <v>48.308317339191397</v>
      </c>
      <c r="C7686">
        <v>2001</v>
      </c>
    </row>
    <row r="7687" spans="1:11" x14ac:dyDescent="0.25">
      <c r="A7687">
        <v>107.006441529852</v>
      </c>
      <c r="B7687">
        <v>47.844846766835502</v>
      </c>
      <c r="C7687">
        <v>2001</v>
      </c>
    </row>
    <row r="7688" spans="1:11" x14ac:dyDescent="0.25">
      <c r="A7688">
        <v>107.017679578176</v>
      </c>
      <c r="B7688">
        <v>47.8336087185114</v>
      </c>
      <c r="C7688">
        <v>2001</v>
      </c>
    </row>
    <row r="7689" spans="1:11" x14ac:dyDescent="0.25">
      <c r="A7689">
        <v>107.891711627074</v>
      </c>
      <c r="B7689">
        <v>47.833608718511599</v>
      </c>
      <c r="C7689">
        <v>2000</v>
      </c>
    </row>
    <row r="7690" spans="1:11" x14ac:dyDescent="0.25">
      <c r="A7690" t="s">
        <v>86</v>
      </c>
    </row>
    <row r="7691" spans="1:11" x14ac:dyDescent="0.25">
      <c r="A7691">
        <v>240</v>
      </c>
      <c r="B7691">
        <v>1</v>
      </c>
      <c r="C7691">
        <v>1.45377157563189E-2</v>
      </c>
      <c r="D7691">
        <v>0.64197699372231698</v>
      </c>
      <c r="E7691">
        <v>6</v>
      </c>
      <c r="F7691">
        <v>1.01722196789785</v>
      </c>
      <c r="G7691" t="s">
        <v>87</v>
      </c>
      <c r="H7691" t="s">
        <v>84</v>
      </c>
      <c r="I7691">
        <v>807</v>
      </c>
      <c r="J7691">
        <v>447</v>
      </c>
      <c r="K7691">
        <v>0</v>
      </c>
    </row>
    <row r="7692" spans="1:11" x14ac:dyDescent="0.25">
      <c r="A7692" t="s">
        <v>85</v>
      </c>
    </row>
    <row r="7693" spans="1:11" x14ac:dyDescent="0.25">
      <c r="A7693">
        <v>49.562135464063303</v>
      </c>
      <c r="B7693">
        <v>111.169574281999</v>
      </c>
      <c r="C7693">
        <v>2000</v>
      </c>
    </row>
    <row r="7694" spans="1:11" x14ac:dyDescent="0.25">
      <c r="A7694">
        <v>49.509700263631203</v>
      </c>
      <c r="B7694">
        <v>111.22200948243101</v>
      </c>
      <c r="C7694">
        <v>2000</v>
      </c>
    </row>
    <row r="7695" spans="1:11" x14ac:dyDescent="0.25">
      <c r="A7695">
        <v>50.0532837119205</v>
      </c>
      <c r="B7695">
        <v>111.22200948243101</v>
      </c>
      <c r="C7695">
        <v>2000.62192621995</v>
      </c>
    </row>
    <row r="7696" spans="1:11" x14ac:dyDescent="0.25">
      <c r="A7696">
        <v>50.629450303325299</v>
      </c>
      <c r="B7696">
        <v>110.976291491635</v>
      </c>
      <c r="C7696">
        <v>2001</v>
      </c>
    </row>
    <row r="7697" spans="1:11" x14ac:dyDescent="0.25">
      <c r="A7697">
        <v>50.192434278876497</v>
      </c>
      <c r="B7697">
        <v>110.539275467186</v>
      </c>
      <c r="C7697">
        <v>2000</v>
      </c>
    </row>
    <row r="7698" spans="1:11" x14ac:dyDescent="0.25">
      <c r="A7698">
        <v>49.781491987775603</v>
      </c>
      <c r="B7698">
        <v>110.950217758287</v>
      </c>
      <c r="C7698">
        <v>2000</v>
      </c>
    </row>
    <row r="7699" spans="1:11" x14ac:dyDescent="0.25">
      <c r="A7699" t="s">
        <v>86</v>
      </c>
    </row>
    <row r="7700" spans="1:11" x14ac:dyDescent="0.25">
      <c r="A7700">
        <v>632</v>
      </c>
      <c r="B7700">
        <v>1</v>
      </c>
      <c r="C7700">
        <v>0.47650041568491702</v>
      </c>
      <c r="D7700">
        <v>0.17216954697497799</v>
      </c>
      <c r="E7700">
        <v>6</v>
      </c>
      <c r="F7700">
        <v>1.01722196789785</v>
      </c>
      <c r="G7700" t="s">
        <v>84</v>
      </c>
      <c r="H7700" t="s">
        <v>87</v>
      </c>
      <c r="I7700">
        <v>603</v>
      </c>
      <c r="J7700">
        <v>772</v>
      </c>
      <c r="K7700">
        <v>0</v>
      </c>
    </row>
    <row r="7701" spans="1:11" x14ac:dyDescent="0.25">
      <c r="A7701" t="s">
        <v>85</v>
      </c>
    </row>
    <row r="7702" spans="1:11" x14ac:dyDescent="0.25">
      <c r="A7702">
        <v>127.815372886045</v>
      </c>
      <c r="B7702">
        <v>54.329389208164102</v>
      </c>
      <c r="C7702">
        <v>2000</v>
      </c>
    </row>
    <row r="7703" spans="1:11" x14ac:dyDescent="0.25">
      <c r="A7703">
        <v>127.638947972864</v>
      </c>
      <c r="B7703">
        <v>54.505814121344798</v>
      </c>
      <c r="C7703">
        <v>2000</v>
      </c>
    </row>
    <row r="7704" spans="1:11" x14ac:dyDescent="0.25">
      <c r="A7704">
        <v>128.07596399731301</v>
      </c>
      <c r="B7704">
        <v>54.9428301457936</v>
      </c>
      <c r="C7704">
        <v>2001</v>
      </c>
    </row>
    <row r="7705" spans="1:11" x14ac:dyDescent="0.25">
      <c r="A7705">
        <v>128.57341243446999</v>
      </c>
      <c r="B7705">
        <v>54.445381708636297</v>
      </c>
      <c r="C7705">
        <v>2001</v>
      </c>
    </row>
    <row r="7706" spans="1:11" x14ac:dyDescent="0.25">
      <c r="A7706">
        <v>128.75315093888599</v>
      </c>
      <c r="B7706">
        <v>54.265643204220403</v>
      </c>
      <c r="C7706">
        <v>2001</v>
      </c>
    </row>
    <row r="7707" spans="1:11" x14ac:dyDescent="0.25">
      <c r="A7707">
        <v>127.879118889989</v>
      </c>
      <c r="B7707">
        <v>54.265643204220403</v>
      </c>
      <c r="C7707">
        <v>2000</v>
      </c>
    </row>
    <row r="7708" spans="1:11" x14ac:dyDescent="0.25">
      <c r="A7708" t="s">
        <v>86</v>
      </c>
    </row>
    <row r="7709" spans="1:11" x14ac:dyDescent="0.25">
      <c r="A7709">
        <v>859</v>
      </c>
      <c r="B7709">
        <v>1</v>
      </c>
      <c r="C7709">
        <v>0.62134219302680205</v>
      </c>
      <c r="D7709">
        <v>0</v>
      </c>
      <c r="E7709">
        <v>5</v>
      </c>
      <c r="F7709">
        <v>1.01722196789785</v>
      </c>
      <c r="G7709" t="s">
        <v>87</v>
      </c>
      <c r="H7709" t="s">
        <v>84</v>
      </c>
      <c r="I7709">
        <v>29</v>
      </c>
      <c r="J7709">
        <v>160</v>
      </c>
      <c r="K7709">
        <v>0.115162323415006</v>
      </c>
    </row>
    <row r="7710" spans="1:11" x14ac:dyDescent="0.25">
      <c r="A7710" t="s">
        <v>85</v>
      </c>
    </row>
    <row r="7711" spans="1:11" x14ac:dyDescent="0.25">
      <c r="A7711">
        <v>26.8732853628991</v>
      </c>
      <c r="B7711">
        <v>52.354244846079801</v>
      </c>
      <c r="C7711">
        <v>2000</v>
      </c>
    </row>
    <row r="7712" spans="1:11" x14ac:dyDescent="0.25">
      <c r="A7712">
        <v>26.215422072548101</v>
      </c>
      <c r="B7712">
        <v>53.012108136430797</v>
      </c>
      <c r="C7712">
        <v>2000</v>
      </c>
    </row>
    <row r="7713" spans="1:11" x14ac:dyDescent="0.25">
      <c r="A7713">
        <v>26.215422072548101</v>
      </c>
      <c r="B7713">
        <v>52.1380760875332</v>
      </c>
      <c r="C7713">
        <v>2001</v>
      </c>
    </row>
    <row r="7714" spans="1:11" x14ac:dyDescent="0.25">
      <c r="A7714">
        <v>26.436269338450298</v>
      </c>
      <c r="B7714">
        <v>51.917228821630999</v>
      </c>
      <c r="C7714">
        <v>2001</v>
      </c>
    </row>
    <row r="7715" spans="1:11" x14ac:dyDescent="0.25">
      <c r="A7715">
        <v>26.8732853628991</v>
      </c>
      <c r="B7715">
        <v>52.354244846079801</v>
      </c>
      <c r="C7715">
        <v>2000</v>
      </c>
    </row>
    <row r="7716" spans="1:11" x14ac:dyDescent="0.25">
      <c r="A7716" t="s">
        <v>86</v>
      </c>
    </row>
    <row r="7717" spans="1:11" x14ac:dyDescent="0.25">
      <c r="A7717">
        <v>964</v>
      </c>
      <c r="B7717">
        <v>1</v>
      </c>
      <c r="C7717">
        <v>0.43716328022616602</v>
      </c>
      <c r="D7717">
        <v>0.177889104811157</v>
      </c>
      <c r="E7717">
        <v>4</v>
      </c>
      <c r="F7717">
        <v>1.01722196789785</v>
      </c>
      <c r="G7717" t="s">
        <v>87</v>
      </c>
      <c r="H7717" t="s">
        <v>87</v>
      </c>
      <c r="I7717">
        <v>754</v>
      </c>
      <c r="J7717">
        <v>812</v>
      </c>
      <c r="K7717">
        <v>0.118988924366406</v>
      </c>
    </row>
    <row r="7718" spans="1:11" x14ac:dyDescent="0.25">
      <c r="A7718" t="s">
        <v>85</v>
      </c>
    </row>
    <row r="7719" spans="1:11" x14ac:dyDescent="0.25">
      <c r="A7719">
        <v>70.494123558487601</v>
      </c>
      <c r="B7719">
        <v>83.268114550877101</v>
      </c>
      <c r="C7719">
        <v>2000</v>
      </c>
    </row>
    <row r="7720" spans="1:11" x14ac:dyDescent="0.25">
      <c r="A7720">
        <v>69.874382784997294</v>
      </c>
      <c r="B7720">
        <v>83.887855324367294</v>
      </c>
      <c r="C7720">
        <v>2000</v>
      </c>
    </row>
    <row r="7721" spans="1:11" x14ac:dyDescent="0.25">
      <c r="A7721">
        <v>69.874382784997294</v>
      </c>
      <c r="B7721">
        <v>83.015931587673705</v>
      </c>
      <c r="C7721">
        <v>2000.9975878319301</v>
      </c>
    </row>
    <row r="7722" spans="1:11" x14ac:dyDescent="0.25">
      <c r="A7722">
        <v>70.746306521690997</v>
      </c>
      <c r="B7722">
        <v>83.015931587673705</v>
      </c>
      <c r="C7722">
        <v>2000</v>
      </c>
    </row>
    <row r="7723" spans="1:11" x14ac:dyDescent="0.25">
      <c r="A7723" t="s">
        <v>86</v>
      </c>
    </row>
    <row r="7724" spans="1:11" x14ac:dyDescent="0.25">
      <c r="A7724">
        <v>1071</v>
      </c>
      <c r="B7724">
        <v>1</v>
      </c>
      <c r="C7724">
        <v>3.1943919681857801E-2</v>
      </c>
      <c r="D7724">
        <v>0.50123498521677601</v>
      </c>
      <c r="E7724">
        <v>6</v>
      </c>
      <c r="F7724">
        <v>1.01722196789785</v>
      </c>
      <c r="G7724" t="s">
        <v>87</v>
      </c>
      <c r="H7724" t="s">
        <v>84</v>
      </c>
      <c r="I7724">
        <v>778</v>
      </c>
      <c r="J7724">
        <v>603</v>
      </c>
      <c r="K7724">
        <v>0.12322624704732001</v>
      </c>
    </row>
    <row r="7725" spans="1:11" x14ac:dyDescent="0.25">
      <c r="A7725" t="s">
        <v>85</v>
      </c>
    </row>
    <row r="7726" spans="1:11" x14ac:dyDescent="0.25">
      <c r="A7726">
        <v>127.004171967598</v>
      </c>
      <c r="B7726">
        <v>54.990724864330403</v>
      </c>
      <c r="C7726">
        <v>2000</v>
      </c>
    </row>
    <row r="7727" spans="1:11" x14ac:dyDescent="0.25">
      <c r="A7727">
        <v>126.96849291026</v>
      </c>
      <c r="B7727">
        <v>55.026403921668603</v>
      </c>
      <c r="C7727">
        <v>2000</v>
      </c>
    </row>
    <row r="7728" spans="1:11" x14ac:dyDescent="0.25">
      <c r="A7728">
        <v>127.842524959158</v>
      </c>
      <c r="B7728">
        <v>55.026403921668603</v>
      </c>
      <c r="C7728">
        <v>2001</v>
      </c>
    </row>
    <row r="7729" spans="1:11" x14ac:dyDescent="0.25">
      <c r="A7729">
        <v>127.852021426269</v>
      </c>
      <c r="B7729">
        <v>55.016907454557398</v>
      </c>
      <c r="C7729">
        <v>2001</v>
      </c>
    </row>
    <row r="7730" spans="1:11" x14ac:dyDescent="0.25">
      <c r="A7730">
        <v>128.00103136617301</v>
      </c>
      <c r="B7730">
        <v>54.8678975146535</v>
      </c>
      <c r="C7730">
        <v>2001</v>
      </c>
    </row>
    <row r="7731" spans="1:11" x14ac:dyDescent="0.25">
      <c r="A7731">
        <v>127.564015341724</v>
      </c>
      <c r="B7731">
        <v>54.430881490204698</v>
      </c>
      <c r="C7731">
        <v>2000</v>
      </c>
    </row>
    <row r="7732" spans="1:11" x14ac:dyDescent="0.25">
      <c r="A7732" t="s">
        <v>86</v>
      </c>
    </row>
    <row r="7733" spans="1:11" x14ac:dyDescent="0.25">
      <c r="A7733">
        <v>61</v>
      </c>
      <c r="B7733">
        <v>1</v>
      </c>
      <c r="C7733">
        <v>4.0367181387679703E-2</v>
      </c>
      <c r="D7733">
        <v>0.45394245099825598</v>
      </c>
      <c r="E7733">
        <v>6</v>
      </c>
      <c r="F7733">
        <v>1.01722196789785</v>
      </c>
      <c r="G7733" t="s">
        <v>83</v>
      </c>
      <c r="H7733" t="s">
        <v>83</v>
      </c>
      <c r="I7733">
        <v>0</v>
      </c>
      <c r="J7733">
        <v>0</v>
      </c>
      <c r="K7733">
        <v>0</v>
      </c>
    </row>
    <row r="7734" spans="1:11" x14ac:dyDescent="0.25">
      <c r="A7734" t="s">
        <v>85</v>
      </c>
    </row>
    <row r="7735" spans="1:11" x14ac:dyDescent="0.25">
      <c r="A7735">
        <v>-0.189964104527795</v>
      </c>
      <c r="B7735">
        <v>0.102477773144898</v>
      </c>
      <c r="C7735">
        <v>2000</v>
      </c>
    </row>
    <row r="7736" spans="1:11" x14ac:dyDescent="0.25">
      <c r="A7736">
        <v>-0.21850801222441099</v>
      </c>
      <c r="B7736">
        <v>0.131021680841513</v>
      </c>
      <c r="C7736">
        <v>2000</v>
      </c>
    </row>
    <row r="7737" spans="1:11" x14ac:dyDescent="0.25">
      <c r="A7737">
        <v>0</v>
      </c>
      <c r="B7737">
        <v>0.786545717514745</v>
      </c>
      <c r="C7737">
        <v>2001</v>
      </c>
    </row>
    <row r="7738" spans="1:11" x14ac:dyDescent="0.25">
      <c r="A7738">
        <v>6.4232277844488206E-2</v>
      </c>
      <c r="B7738">
        <v>0.72231343967025696</v>
      </c>
      <c r="C7738">
        <v>2001</v>
      </c>
    </row>
    <row r="7739" spans="1:11" x14ac:dyDescent="0.25">
      <c r="A7739">
        <v>0.78654571751474101</v>
      </c>
      <c r="B7739">
        <v>0</v>
      </c>
      <c r="C7739">
        <v>2001</v>
      </c>
    </row>
    <row r="7740" spans="1:11" x14ac:dyDescent="0.25">
      <c r="A7740">
        <v>0.131021680841514</v>
      </c>
      <c r="B7740">
        <v>-0.21850801222441099</v>
      </c>
      <c r="C7740">
        <v>2000</v>
      </c>
    </row>
    <row r="7741" spans="1:11" x14ac:dyDescent="0.25">
      <c r="A7741" t="s">
        <v>86</v>
      </c>
    </row>
    <row r="7742" spans="1:11" x14ac:dyDescent="0.25">
      <c r="A7742">
        <v>978</v>
      </c>
      <c r="B7742">
        <v>1</v>
      </c>
      <c r="C7742">
        <v>0.31058704153871403</v>
      </c>
      <c r="D7742">
        <v>0</v>
      </c>
      <c r="E7742">
        <v>5</v>
      </c>
      <c r="F7742">
        <v>1.01722196789785</v>
      </c>
      <c r="G7742" t="s">
        <v>87</v>
      </c>
      <c r="H7742" t="s">
        <v>84</v>
      </c>
      <c r="I7742">
        <v>785</v>
      </c>
      <c r="J7742">
        <v>977</v>
      </c>
      <c r="K7742">
        <v>0.11963401938905099</v>
      </c>
    </row>
    <row r="7743" spans="1:11" x14ac:dyDescent="0.25">
      <c r="A7743" t="s">
        <v>85</v>
      </c>
    </row>
    <row r="7744" spans="1:11" x14ac:dyDescent="0.25">
      <c r="A7744">
        <v>34.890498023899298</v>
      </c>
      <c r="B7744">
        <v>70.347673172297505</v>
      </c>
      <c r="C7744">
        <v>2000</v>
      </c>
    </row>
    <row r="7745" spans="1:3" x14ac:dyDescent="0.25">
      <c r="A7745">
        <v>34.889387832902997</v>
      </c>
      <c r="B7745">
        <v>70.348783363293805</v>
      </c>
      <c r="C7745">
        <v>2000</v>
      </c>
    </row>
    <row r="7746" spans="1:3" x14ac:dyDescent="0.25">
      <c r="A7746">
        <v>34.889387832902997</v>
      </c>
      <c r="B7746">
        <v>71.222815412191494</v>
      </c>
      <c r="C7746">
        <v>2001</v>
      </c>
    </row>
    <row r="7747" spans="1:3" x14ac:dyDescent="0.25">
      <c r="A7747">
        <v>35.3275140483481</v>
      </c>
      <c r="B7747">
        <v>70.784689196746399</v>
      </c>
      <c r="C7747">
        <v>2001</v>
      </c>
    </row>
    <row r="7748" spans="1:3" x14ac:dyDescent="0.25">
      <c r="A7748">
        <v>34.890498023899298</v>
      </c>
      <c r="B7748">
        <v>70.347673172297505</v>
      </c>
      <c r="C7748">
        <v>2000</v>
      </c>
    </row>
    <row r="7749" spans="1:3" x14ac:dyDescent="0.25">
      <c r="A7749" t="s">
        <v>86</v>
      </c>
    </row>
  </sheetData>
  <sortState xmlns:xlrd2="http://schemas.microsoft.com/office/spreadsheetml/2017/richdata2" ref="AP2:AV72">
    <sortCondition descending="1" ref="AQ2:AQ7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2023-06-20T13:34:56Z</dcterms:modified>
</cp:coreProperties>
</file>