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ropbox\DFN\DFN_Git\Testing\Standalone\TestModelK_SuperCritical_output\"/>
    </mc:Choice>
  </mc:AlternateContent>
  <xr:revisionPtr revIDLastSave="0" documentId="8_{567B6C16-6910-42D5-9C3B-A0F07725A42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49" i="91" l="1"/>
  <c r="AK49" i="91"/>
  <c r="AL48" i="91"/>
  <c r="AK48" i="91"/>
  <c r="AL47" i="91"/>
  <c r="AK47" i="91"/>
  <c r="AL46" i="91"/>
  <c r="AK46" i="91"/>
  <c r="AL45" i="91"/>
  <c r="AK45" i="91"/>
  <c r="AL44" i="91"/>
  <c r="AK44" i="91"/>
  <c r="AL43" i="91"/>
  <c r="AK43" i="91"/>
  <c r="AL42" i="91"/>
  <c r="AK42" i="91"/>
  <c r="AL41" i="91"/>
  <c r="AK41" i="91"/>
  <c r="AL40" i="91"/>
  <c r="AK40" i="91"/>
  <c r="AL39" i="91"/>
  <c r="AK39" i="91"/>
  <c r="AL38" i="91"/>
  <c r="AK38" i="91"/>
  <c r="AL37" i="91"/>
  <c r="AK37" i="91"/>
  <c r="AL36" i="91"/>
  <c r="AK36" i="91"/>
  <c r="AL35" i="91"/>
  <c r="AK35" i="91"/>
  <c r="AL34" i="91"/>
  <c r="AK34" i="91"/>
  <c r="AL33" i="91"/>
  <c r="AK33" i="91"/>
  <c r="AL32" i="91"/>
  <c r="AK32" i="91"/>
  <c r="AL31" i="91"/>
  <c r="AK31" i="91"/>
  <c r="AL30" i="91"/>
  <c r="AK30" i="91"/>
  <c r="AL29" i="91"/>
  <c r="AK29" i="91"/>
  <c r="AL28" i="91"/>
  <c r="AK28" i="91"/>
  <c r="AL27" i="91"/>
  <c r="AK27" i="91"/>
  <c r="AL26" i="91"/>
  <c r="AK26" i="91"/>
  <c r="AL25" i="91"/>
  <c r="AK25" i="91"/>
  <c r="AL24" i="91"/>
  <c r="AK24" i="91"/>
  <c r="AL23" i="91"/>
  <c r="AK23" i="91"/>
  <c r="AL22" i="91"/>
  <c r="AK22" i="91"/>
  <c r="AL21" i="91"/>
  <c r="AK21" i="91"/>
  <c r="AL20" i="91"/>
  <c r="AK20" i="91"/>
  <c r="AL19" i="91"/>
  <c r="AK19" i="91"/>
  <c r="AL18" i="91"/>
  <c r="AK18" i="91"/>
  <c r="AL17" i="91"/>
  <c r="AK17" i="91"/>
  <c r="AL16" i="91"/>
  <c r="AK16" i="91"/>
  <c r="AL15" i="91"/>
  <c r="AK15" i="91"/>
  <c r="AL14" i="91"/>
  <c r="AK14" i="91"/>
  <c r="AL13" i="91"/>
  <c r="AK13" i="91"/>
  <c r="AL12" i="91"/>
  <c r="AK12" i="91"/>
  <c r="AL11" i="91"/>
  <c r="AK11" i="91"/>
  <c r="AL10" i="91"/>
  <c r="AK10" i="91"/>
  <c r="AL9" i="91"/>
  <c r="AK9" i="91"/>
  <c r="AL8" i="91"/>
  <c r="AK8" i="91"/>
  <c r="AL7" i="91"/>
  <c r="AK7" i="91"/>
  <c r="AL6" i="91"/>
  <c r="AK6" i="91"/>
  <c r="AL5" i="91"/>
  <c r="AK5" i="91"/>
  <c r="AL4" i="91"/>
  <c r="AK4" i="91"/>
  <c r="AL3" i="91"/>
  <c r="AK3" i="91"/>
  <c r="AL2" i="91"/>
  <c r="AM2" i="91" s="1"/>
  <c r="AM3" i="91" s="1"/>
  <c r="AM4" i="91" s="1"/>
  <c r="AM5" i="91" s="1"/>
  <c r="AM6" i="91" s="1"/>
  <c r="AM7" i="91" s="1"/>
  <c r="AM8" i="91" s="1"/>
  <c r="AM9" i="91" s="1"/>
  <c r="AM10" i="91" s="1"/>
  <c r="AM11" i="91" s="1"/>
  <c r="AM12" i="91" s="1"/>
  <c r="AM13" i="91" s="1"/>
  <c r="AM14" i="91" s="1"/>
  <c r="AM15" i="91" s="1"/>
  <c r="AM16" i="91" s="1"/>
  <c r="AM17" i="91" s="1"/>
  <c r="AM18" i="91" s="1"/>
  <c r="AM19" i="91" s="1"/>
  <c r="AM20" i="91" s="1"/>
  <c r="AM21" i="91" s="1"/>
  <c r="AM22" i="91" s="1"/>
  <c r="AM23" i="91" s="1"/>
  <c r="AM24" i="91" s="1"/>
  <c r="AM25" i="91" s="1"/>
  <c r="AM26" i="91" s="1"/>
  <c r="AM27" i="91" s="1"/>
  <c r="AM28" i="91" s="1"/>
  <c r="AM29" i="91" s="1"/>
  <c r="AM30" i="91" s="1"/>
  <c r="AM31" i="91" s="1"/>
  <c r="AM32" i="91" s="1"/>
  <c r="AM33" i="91" s="1"/>
  <c r="AM34" i="91" s="1"/>
  <c r="AM35" i="91" s="1"/>
  <c r="AM36" i="91" s="1"/>
  <c r="AM37" i="91" s="1"/>
  <c r="AM38" i="91" s="1"/>
  <c r="AM39" i="91" s="1"/>
  <c r="AM40" i="91" s="1"/>
  <c r="AM41" i="91" s="1"/>
  <c r="AM42" i="91" s="1"/>
  <c r="AM43" i="91" s="1"/>
  <c r="AM44" i="91" s="1"/>
  <c r="AM45" i="91" s="1"/>
  <c r="AM46" i="91" s="1"/>
  <c r="AM47" i="91" s="1"/>
  <c r="AM48" i="91" s="1"/>
  <c r="AM49" i="91" s="1"/>
  <c r="AK2" i="91"/>
  <c r="A384" i="90"/>
  <c r="A373" i="90"/>
  <c r="C373" i="90" l="1"/>
  <c r="D373" i="90"/>
  <c r="E373" i="90"/>
  <c r="F373" i="90"/>
  <c r="G373" i="90"/>
  <c r="H373" i="90"/>
  <c r="I373" i="90"/>
  <c r="J373" i="90"/>
  <c r="K373" i="90"/>
  <c r="L373" i="90"/>
  <c r="M373" i="90"/>
  <c r="N373" i="90"/>
  <c r="O373" i="90"/>
  <c r="P373" i="90"/>
  <c r="Q373" i="90"/>
  <c r="R373" i="90"/>
  <c r="S373" i="90"/>
  <c r="T373" i="90"/>
  <c r="U373" i="90"/>
  <c r="V373" i="90"/>
  <c r="C384" i="90"/>
  <c r="D384" i="90"/>
  <c r="E384" i="90"/>
  <c r="F384" i="90"/>
  <c r="G384" i="90"/>
  <c r="H384" i="90"/>
  <c r="I384" i="90"/>
  <c r="J384" i="90"/>
  <c r="K384" i="90"/>
  <c r="L384" i="90"/>
  <c r="M384" i="90"/>
  <c r="N384" i="90"/>
  <c r="O384" i="90"/>
  <c r="P384" i="90"/>
  <c r="Q384" i="90"/>
  <c r="R384" i="90"/>
  <c r="S384" i="90"/>
  <c r="T384" i="90"/>
  <c r="U384" i="90"/>
  <c r="V384" i="90"/>
  <c r="B384" i="90"/>
  <c r="B373" i="90"/>
  <c r="AA17" i="91" l="1"/>
  <c r="AA9" i="91"/>
  <c r="V388" i="90"/>
  <c r="U388" i="90"/>
  <c r="T388" i="90"/>
  <c r="S388" i="90"/>
  <c r="R388" i="90"/>
  <c r="Q388" i="90"/>
  <c r="P388" i="90"/>
  <c r="O388" i="90"/>
  <c r="N388" i="90"/>
  <c r="M388" i="90"/>
  <c r="L388" i="90"/>
  <c r="K388" i="90"/>
  <c r="J388" i="90"/>
  <c r="I388" i="90"/>
  <c r="H388" i="90"/>
  <c r="G388" i="90"/>
  <c r="F388" i="90"/>
  <c r="E388" i="90"/>
  <c r="D388" i="90"/>
  <c r="C388" i="90"/>
  <c r="B388" i="90"/>
  <c r="V387" i="90"/>
  <c r="U387" i="90"/>
  <c r="T387" i="90"/>
  <c r="S387" i="90"/>
  <c r="R387" i="90"/>
  <c r="Q387" i="90"/>
  <c r="P387" i="90"/>
  <c r="O387" i="90"/>
  <c r="N387" i="90"/>
  <c r="M387" i="90"/>
  <c r="L387" i="90"/>
  <c r="K387" i="90"/>
  <c r="J387" i="90"/>
  <c r="I387" i="90"/>
  <c r="H387" i="90"/>
  <c r="G387" i="90"/>
  <c r="F387" i="90"/>
  <c r="E387" i="90"/>
  <c r="D387" i="90"/>
  <c r="C387" i="90"/>
  <c r="B387" i="90"/>
  <c r="V386" i="90"/>
  <c r="U386" i="90"/>
  <c r="T386" i="90"/>
  <c r="S386" i="90"/>
  <c r="R386" i="90"/>
  <c r="Q386" i="90"/>
  <c r="P386" i="90"/>
  <c r="O386" i="90"/>
  <c r="N386" i="90"/>
  <c r="M386" i="90"/>
  <c r="L386" i="90"/>
  <c r="K386" i="90"/>
  <c r="J386" i="90"/>
  <c r="I386" i="90"/>
  <c r="H386" i="90"/>
  <c r="G386" i="90"/>
  <c r="F386" i="90"/>
  <c r="E386" i="90"/>
  <c r="D386" i="90"/>
  <c r="C386" i="90"/>
  <c r="B386" i="90"/>
  <c r="V385" i="90"/>
  <c r="U385" i="90"/>
  <c r="T385" i="90"/>
  <c r="S385" i="90"/>
  <c r="R385" i="90"/>
  <c r="Q385" i="90"/>
  <c r="P385" i="90"/>
  <c r="O385" i="90"/>
  <c r="N385" i="90"/>
  <c r="M385" i="90"/>
  <c r="L385" i="90"/>
  <c r="K385" i="90"/>
  <c r="J385" i="90"/>
  <c r="I385" i="90"/>
  <c r="H385" i="90"/>
  <c r="G385" i="90"/>
  <c r="F385" i="90"/>
  <c r="E385" i="90"/>
  <c r="D385" i="90"/>
  <c r="C385" i="90"/>
  <c r="B385" i="90"/>
  <c r="V377" i="90"/>
  <c r="U377" i="90"/>
  <c r="T377" i="90"/>
  <c r="S377" i="90"/>
  <c r="R377" i="90"/>
  <c r="Q377" i="90"/>
  <c r="P377" i="90"/>
  <c r="O377" i="90"/>
  <c r="N377" i="90"/>
  <c r="M377" i="90"/>
  <c r="L377" i="90"/>
  <c r="K377" i="90"/>
  <c r="J377" i="90"/>
  <c r="I377" i="90"/>
  <c r="H377" i="90"/>
  <c r="G377" i="90"/>
  <c r="F377" i="90"/>
  <c r="E377" i="90"/>
  <c r="D377" i="90"/>
  <c r="C377" i="90"/>
  <c r="B377" i="90"/>
  <c r="V376" i="90"/>
  <c r="U376" i="90"/>
  <c r="T376" i="90"/>
  <c r="S376" i="90"/>
  <c r="R376" i="90"/>
  <c r="Q376" i="90"/>
  <c r="P376" i="90"/>
  <c r="O376" i="90"/>
  <c r="N376" i="90"/>
  <c r="M376" i="90"/>
  <c r="L376" i="90"/>
  <c r="K376" i="90"/>
  <c r="J376" i="90"/>
  <c r="I376" i="90"/>
  <c r="H376" i="90"/>
  <c r="G376" i="90"/>
  <c r="F376" i="90"/>
  <c r="E376" i="90"/>
  <c r="D376" i="90"/>
  <c r="C376" i="90"/>
  <c r="B376" i="90"/>
  <c r="V375" i="90"/>
  <c r="U375" i="90"/>
  <c r="T375" i="90"/>
  <c r="S375" i="90"/>
  <c r="R375" i="90"/>
  <c r="Q375" i="90"/>
  <c r="P375" i="90"/>
  <c r="O375" i="90"/>
  <c r="N375" i="90"/>
  <c r="M375" i="90"/>
  <c r="L375" i="90"/>
  <c r="K375" i="90"/>
  <c r="J375" i="90"/>
  <c r="I375" i="90"/>
  <c r="H375" i="90"/>
  <c r="G375" i="90"/>
  <c r="F375" i="90"/>
  <c r="E375" i="90"/>
  <c r="D375" i="90"/>
  <c r="C375" i="90"/>
  <c r="B375" i="90"/>
  <c r="V374" i="90"/>
  <c r="U374" i="90"/>
  <c r="T374" i="90"/>
  <c r="S374" i="90"/>
  <c r="R374" i="90"/>
  <c r="Q374" i="90"/>
  <c r="P374" i="90"/>
  <c r="O374" i="90"/>
  <c r="N374" i="90"/>
  <c r="M374" i="90"/>
  <c r="L374" i="90"/>
  <c r="K374" i="90"/>
  <c r="J374" i="90"/>
  <c r="I374" i="90"/>
  <c r="H374" i="90"/>
  <c r="G374" i="90"/>
  <c r="F374" i="90"/>
  <c r="E374" i="90"/>
  <c r="D374" i="90"/>
  <c r="C374" i="90"/>
  <c r="B374" i="90"/>
  <c r="E378" i="90" l="1"/>
  <c r="E379" i="90"/>
  <c r="E380" i="90"/>
  <c r="E381" i="90"/>
  <c r="I378" i="90"/>
  <c r="I380" i="90"/>
  <c r="I381" i="90"/>
  <c r="I379" i="90"/>
  <c r="M379" i="90"/>
  <c r="M380" i="90"/>
  <c r="M381" i="90"/>
  <c r="M378" i="90"/>
  <c r="Q378" i="90"/>
  <c r="Q379" i="90"/>
  <c r="Q381" i="90"/>
  <c r="Q380" i="90"/>
  <c r="U378" i="90"/>
  <c r="U379" i="90"/>
  <c r="U380" i="90"/>
  <c r="U381" i="90"/>
  <c r="C389" i="90"/>
  <c r="C390" i="90"/>
  <c r="C391" i="90"/>
  <c r="C392" i="90"/>
  <c r="G389" i="90"/>
  <c r="G390" i="90"/>
  <c r="G391" i="90"/>
  <c r="G392" i="90"/>
  <c r="K389" i="90"/>
  <c r="K390" i="90"/>
  <c r="K391" i="90"/>
  <c r="K392" i="90"/>
  <c r="O389" i="90"/>
  <c r="O390" i="90"/>
  <c r="O391" i="90"/>
  <c r="O392" i="90"/>
  <c r="S389" i="90"/>
  <c r="S390" i="90"/>
  <c r="S391" i="90"/>
  <c r="S392" i="90"/>
  <c r="B381" i="90"/>
  <c r="B379" i="90"/>
  <c r="B380" i="90"/>
  <c r="B378" i="90"/>
  <c r="F378" i="90"/>
  <c r="F379" i="90"/>
  <c r="F380" i="90"/>
  <c r="F381" i="90"/>
  <c r="J378" i="90"/>
  <c r="J379" i="90"/>
  <c r="J380" i="90"/>
  <c r="J381" i="90"/>
  <c r="N381" i="90"/>
  <c r="N379" i="90"/>
  <c r="N380" i="90"/>
  <c r="N378" i="90"/>
  <c r="R380" i="90"/>
  <c r="R381" i="90"/>
  <c r="R378" i="90"/>
  <c r="R379" i="90"/>
  <c r="V379" i="90"/>
  <c r="V380" i="90"/>
  <c r="V378" i="90"/>
  <c r="V381" i="90"/>
  <c r="D389" i="90"/>
  <c r="D390" i="90"/>
  <c r="D391" i="90"/>
  <c r="D392" i="90"/>
  <c r="H389" i="90"/>
  <c r="H390" i="90"/>
  <c r="H391" i="90"/>
  <c r="H392" i="90"/>
  <c r="L389" i="90"/>
  <c r="L390" i="90"/>
  <c r="L391" i="90"/>
  <c r="L392" i="90"/>
  <c r="P389" i="90"/>
  <c r="P390" i="90"/>
  <c r="P391" i="90"/>
  <c r="P392" i="90"/>
  <c r="T389" i="90"/>
  <c r="T390" i="90"/>
  <c r="T391" i="90"/>
  <c r="T392" i="90"/>
  <c r="C378" i="90"/>
  <c r="C379" i="90"/>
  <c r="C380" i="90"/>
  <c r="C381" i="90"/>
  <c r="G378" i="90"/>
  <c r="G379" i="90"/>
  <c r="G380" i="90"/>
  <c r="G381" i="90"/>
  <c r="K378" i="90"/>
  <c r="K379" i="90"/>
  <c r="K380" i="90"/>
  <c r="K381" i="90"/>
  <c r="O378" i="90"/>
  <c r="O379" i="90"/>
  <c r="O380" i="90"/>
  <c r="O381" i="90"/>
  <c r="S378" i="90"/>
  <c r="S379" i="90"/>
  <c r="S380" i="90"/>
  <c r="S381" i="90"/>
  <c r="E389" i="90"/>
  <c r="E390" i="90"/>
  <c r="E391" i="90"/>
  <c r="E392" i="90"/>
  <c r="I390" i="90"/>
  <c r="I391" i="90"/>
  <c r="I392" i="90"/>
  <c r="I389" i="90"/>
  <c r="M389" i="90"/>
  <c r="M390" i="90"/>
  <c r="M391" i="90"/>
  <c r="M392" i="90"/>
  <c r="Q390" i="90"/>
  <c r="Q391" i="90"/>
  <c r="Q392" i="90"/>
  <c r="Q389" i="90"/>
  <c r="U390" i="90"/>
  <c r="U391" i="90"/>
  <c r="U392" i="90"/>
  <c r="U389" i="90"/>
  <c r="D381" i="90"/>
  <c r="D378" i="90"/>
  <c r="D379" i="90"/>
  <c r="D380" i="90"/>
  <c r="H380" i="90"/>
  <c r="H381" i="90"/>
  <c r="H378" i="90"/>
  <c r="H379" i="90"/>
  <c r="L378" i="90"/>
  <c r="L379" i="90"/>
  <c r="L380" i="90"/>
  <c r="L381" i="90"/>
  <c r="P380" i="90"/>
  <c r="P381" i="90"/>
  <c r="P378" i="90"/>
  <c r="P379" i="90"/>
  <c r="T381" i="90"/>
  <c r="T378" i="90"/>
  <c r="T379" i="90"/>
  <c r="T380" i="90"/>
  <c r="B392" i="90"/>
  <c r="B391" i="90"/>
  <c r="B390" i="90"/>
  <c r="B389" i="90"/>
  <c r="F389" i="90"/>
  <c r="F390" i="90"/>
  <c r="F391" i="90"/>
  <c r="F392" i="90"/>
  <c r="J391" i="90"/>
  <c r="J392" i="90"/>
  <c r="J389" i="90"/>
  <c r="J390" i="90"/>
  <c r="N390" i="90"/>
  <c r="N389" i="90"/>
  <c r="N391" i="90"/>
  <c r="N392" i="90"/>
  <c r="R390" i="90"/>
  <c r="R391" i="90"/>
  <c r="R392" i="90"/>
  <c r="R389" i="90"/>
  <c r="V392" i="90"/>
  <c r="V389" i="90"/>
  <c r="V390" i="90"/>
  <c r="V391" i="90"/>
</calcChain>
</file>

<file path=xl/sharedStrings.xml><?xml version="1.0" encoding="utf-8"?>
<sst xmlns="http://schemas.openxmlformats.org/spreadsheetml/2006/main" count="4255" uniqueCount="91">
  <si>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</si>
  <si>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</si>
  <si>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</si>
  <si>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</si>
  <si>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</si>
  <si>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</si>
  <si>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</si>
  <si>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</si>
  <si>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</si>
  <si>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</si>
  <si>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</si>
  <si>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</si>
  <si>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</si>
  <si>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</si>
  <si>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</si>
  <si>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</si>
  <si>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</si>
  <si>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</si>
  <si>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</si>
  <si>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</si>
  <si>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</si>
  <si>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</si>
  <si>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</si>
  <si>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</si>
  <si>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</si>
  <si>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</si>
  <si>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</si>
  <si>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</si>
  <si>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</si>
  <si>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</si>
  <si>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</si>
  <si>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</si>
  <si>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</si>
  <si>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</si>
  <si>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</si>
  <si>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</si>
  <si>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</si>
  <si>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</si>
  <si>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</si>
  <si>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</si>
  <si>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</si>
  <si>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</si>
  <si>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</si>
  <si>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</si>
  <si>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</si>
  <si>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</si>
  <si>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</si>
  <si>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</si>
  <si>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</si>
  <si>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</si>
  <si>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</si>
  <si>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</si>
  <si>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</si>
  <si>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</si>
  <si>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</si>
  <si>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</si>
  <si>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</si>
  <si>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</si>
  <si>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</si>
  <si>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</si>
  <si>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</si>
  <si>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</si>
  <si>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</si>
  <si>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</si>
  <si>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</si>
  <si>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</si>
  <si>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</si>
  <si>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</si>
  <si>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FS HMin Dip 90deg</t>
  </si>
  <si>
    <t>FS HMin Dip 58deg</t>
  </si>
  <si>
    <t>FS HMax Dip 90deg</t>
  </si>
  <si>
    <t>FS HMax Dip 58deg</t>
  </si>
  <si>
    <t>Displacement sense</t>
  </si>
  <si>
    <t>Clear zone volume</t>
  </si>
  <si>
    <t>NotActivated</t>
  </si>
  <si>
    <t>LeftLateral</t>
  </si>
  <si>
    <t>Normal</t>
  </si>
  <si>
    <t>RightLateral</t>
  </si>
  <si>
    <t>Growing</t>
  </si>
  <si>
    <t>ResidualActivity</t>
  </si>
  <si>
    <t>Deactivated</t>
  </si>
  <si>
    <t>FS 0 Dip 90deg</t>
  </si>
  <si>
    <t>FS 0 Dip 58deg</t>
  </si>
  <si>
    <t>FS 1 Dip 90deg</t>
  </si>
  <si>
    <t>FS 1 Dip 58deg</t>
  </si>
  <si>
    <t>OutOfBounds</t>
  </si>
  <si>
    <t>StressShadow</t>
  </si>
  <si>
    <t>Start Points</t>
  </si>
  <si>
    <t>End Points</t>
  </si>
  <si>
    <t>Tip type</t>
  </si>
  <si>
    <t>Terminating fracture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</si>
</sst>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Implicit_Fracs!$AG$4:$AG$314</c:f>
              <c:numCache>
                <c:formatCode>General</c:formatCode>
                <c:ptCount val="311"/>
                <c:pt idx="0">
                  <c:v>0</c:v>
                </c:pt>
                <c:pt idx="1">
                  <c:v>2.5464790894693399E-3</c:v>
                </c:pt>
                <c:pt idx="2">
                  <c:v>5.0716218164698797E-3</c:v>
                </c:pt>
                <c:pt idx="3">
                  <c:v>7.5860754272155601E-3</c:v>
                </c:pt>
                <c:pt idx="4">
                  <c:v>1.00897977782229E-2</c:v>
                </c:pt>
                <c:pt idx="5">
                  <c:v>1.2582753314894401E-2</c:v>
                </c:pt>
                <c:pt idx="6">
                  <c:v>1.506490883923E-2</c:v>
                </c:pt>
                <c:pt idx="7">
                  <c:v>1.7536231943453599E-2</c:v>
                </c:pt>
                <c:pt idx="8">
                  <c:v>1.9996690239236802E-2</c:v>
                </c:pt>
                <c:pt idx="9">
                  <c:v>2.2446251012515399E-2</c:v>
                </c:pt>
                <c:pt idx="10">
                  <c:v>2.4884881101471398E-2</c:v>
                </c:pt>
                <c:pt idx="11">
                  <c:v>2.7312546880026899E-2</c:v>
                </c:pt>
                <c:pt idx="12">
                  <c:v>2.9729214284103401E-2</c:v>
                </c:pt>
                <c:pt idx="13">
                  <c:v>3.2134848850319898E-2</c:v>
                </c:pt>
                <c:pt idx="14">
                  <c:v>3.45294157539019E-2</c:v>
                </c:pt>
                <c:pt idx="15">
                  <c:v>3.6912879841177998E-2</c:v>
                </c:pt>
                <c:pt idx="16">
                  <c:v>3.9285205655745198E-2</c:v>
                </c:pt>
                <c:pt idx="17">
                  <c:v>4.16463574589317E-2</c:v>
                </c:pt>
                <c:pt idx="18">
                  <c:v>4.3996299245586498E-2</c:v>
                </c:pt>
                <c:pt idx="19">
                  <c:v>4.6334994756169701E-2</c:v>
                </c:pt>
                <c:pt idx="20">
                  <c:v>4.8662407486066699E-2</c:v>
                </c:pt>
                <c:pt idx="21">
                  <c:v>5.0978500692708997E-2</c:v>
                </c:pt>
                <c:pt idx="22">
                  <c:v>5.3283237401095598E-2</c:v>
                </c:pt>
                <c:pt idx="23">
                  <c:v>5.5576580407972503E-2</c:v>
                </c:pt>
                <c:pt idx="24">
                  <c:v>5.7858492285063803E-2</c:v>
                </c:pt>
                <c:pt idx="25">
                  <c:v>6.0128935381507501E-2</c:v>
                </c:pt>
                <c:pt idx="26">
                  <c:v>6.2387871825600898E-2</c:v>
                </c:pt>
                <c:pt idx="27">
                  <c:v>6.4635263526063996E-2</c:v>
                </c:pt>
                <c:pt idx="28">
                  <c:v>6.6871072172846296E-2</c:v>
                </c:pt>
                <c:pt idx="29">
                  <c:v>6.9095259237546405E-2</c:v>
                </c:pt>
                <c:pt idx="30">
                  <c:v>7.1307785973538707E-2</c:v>
                </c:pt>
                <c:pt idx="31">
                  <c:v>7.3508613415808402E-2</c:v>
                </c:pt>
                <c:pt idx="32">
                  <c:v>7.5697702380532597E-2</c:v>
                </c:pt>
                <c:pt idx="33">
                  <c:v>7.78750134644801E-2</c:v>
                </c:pt>
                <c:pt idx="34">
                  <c:v>8.0040507044180295E-2</c:v>
                </c:pt>
                <c:pt idx="35">
                  <c:v>8.2194143274935003E-2</c:v>
                </c:pt>
                <c:pt idx="36">
                  <c:v>8.4335882089665304E-2</c:v>
                </c:pt>
                <c:pt idx="37">
                  <c:v>8.6465683197625195E-2</c:v>
                </c:pt>
                <c:pt idx="38">
                  <c:v>8.8583503524325105E-2</c:v>
                </c:pt>
                <c:pt idx="39">
                  <c:v>9.0689299496379799E-2</c:v>
                </c:pt>
                <c:pt idx="40">
                  <c:v>9.2783027143682195E-2</c:v>
                </c:pt>
                <c:pt idx="41">
                  <c:v>9.4864642096393698E-2</c:v>
                </c:pt>
                <c:pt idx="42">
                  <c:v>9.6934099581796607E-2</c:v>
                </c:pt>
                <c:pt idx="43">
                  <c:v>9.8991354420857797E-2</c:v>
                </c:pt>
                <c:pt idx="44">
                  <c:v>0.10103636102466</c:v>
                </c:pt>
                <c:pt idx="45">
                  <c:v>0.10306907339063499</c:v>
                </c:pt>
                <c:pt idx="46">
                  <c:v>0.105089445098597</c:v>
                </c:pt>
                <c:pt idx="47">
                  <c:v>0.10709742930661501</c:v>
                </c:pt>
                <c:pt idx="48">
                  <c:v>0.109092978746719</c:v>
                </c:pt>
                <c:pt idx="49">
                  <c:v>0.111076045720408</c:v>
                </c:pt>
                <c:pt idx="50">
                  <c:v>0.113046582094065</c:v>
                </c:pt>
                <c:pt idx="51">
                  <c:v>0.115004539294131</c:v>
                </c:pt>
                <c:pt idx="52">
                  <c:v>0.116949868302196</c:v>
                </c:pt>
                <c:pt idx="53">
                  <c:v>0.118882519649852</c:v>
                </c:pt>
                <c:pt idx="54">
                  <c:v>0.120802443413472</c:v>
                </c:pt>
                <c:pt idx="55">
                  <c:v>0.122709589208769</c:v>
                </c:pt>
                <c:pt idx="56">
                  <c:v>0.124603906185275</c:v>
                </c:pt>
                <c:pt idx="57">
                  <c:v>0.126485343020562</c:v>
                </c:pt>
                <c:pt idx="58">
                  <c:v>0.12835384791440799</c:v>
                </c:pt>
                <c:pt idx="59">
                  <c:v>0.13020936858275201</c:v>
                </c:pt>
                <c:pt idx="60">
                  <c:v>0.132051852251519</c:v>
                </c:pt>
                <c:pt idx="61">
                  <c:v>0.13388124565026899</c:v>
                </c:pt>
                <c:pt idx="62">
                  <c:v>0.135697495005699</c:v>
                </c:pt>
                <c:pt idx="63">
                  <c:v>0.13750054603496201</c:v>
                </c:pt>
                <c:pt idx="64">
                  <c:v>0.13929034393888601</c:v>
                </c:pt>
                <c:pt idx="65">
                  <c:v>0.14106683339492601</c:v>
                </c:pt>
                <c:pt idx="66">
                  <c:v>0.14282995855009101</c:v>
                </c:pt>
                <c:pt idx="67">
                  <c:v>0.14457966301351199</c:v>
                </c:pt>
                <c:pt idx="68">
                  <c:v>0.14631588984904201</c:v>
                </c:pt>
                <c:pt idx="69">
                  <c:v>0.14803858156754399</c:v>
                </c:pt>
                <c:pt idx="70">
                  <c:v>0.149747680119031</c:v>
                </c:pt>
                <c:pt idx="71">
                  <c:v>0.15144312688467201</c:v>
                </c:pt>
                <c:pt idx="72">
                  <c:v>0.153124862668538</c:v>
                </c:pt>
                <c:pt idx="73">
                  <c:v>0.15479282768920599</c:v>
                </c:pt>
                <c:pt idx="74">
                  <c:v>0.156446961571203</c:v>
                </c:pt>
                <c:pt idx="75">
                  <c:v>0.15808720333614401</c:v>
                </c:pt>
                <c:pt idx="76">
                  <c:v>0.15971349139379501</c:v>
                </c:pt>
                <c:pt idx="77">
                  <c:v>0.161325763532848</c:v>
                </c:pt>
                <c:pt idx="78">
                  <c:v>0.16292395691151901</c:v>
                </c:pt>
                <c:pt idx="79">
                  <c:v>0.164508008047932</c:v>
                </c:pt>
                <c:pt idx="80">
                  <c:v>0.16607785281024701</c:v>
                </c:pt>
                <c:pt idx="81">
                  <c:v>0.16763342640662099</c:v>
                </c:pt>
                <c:pt idx="82">
                  <c:v>0.16917466337487599</c:v>
                </c:pt>
                <c:pt idx="83">
                  <c:v>0.17070149757200401</c:v>
                </c:pt>
                <c:pt idx="84">
                  <c:v>0.17221386216336901</c:v>
                </c:pt>
                <c:pt idx="85">
                  <c:v>0.17371168961164399</c:v>
                </c:pt>
                <c:pt idx="86">
                  <c:v>0.17519491166559401</c:v>
                </c:pt>
                <c:pt idx="87">
                  <c:v>0.176663459348469</c:v>
                </c:pt>
                <c:pt idx="88">
                  <c:v>0.178117262946245</c:v>
                </c:pt>
                <c:pt idx="89">
                  <c:v>0.17955625199548</c:v>
                </c:pt>
                <c:pt idx="90">
                  <c:v>0.18098035527099701</c:v>
                </c:pt>
                <c:pt idx="91">
                  <c:v>0.18238950077316601</c:v>
                </c:pt>
                <c:pt idx="92">
                  <c:v>0.18378361571500201</c:v>
                </c:pt>
                <c:pt idx="93">
                  <c:v>0.18516262650884599</c:v>
                </c:pt>
                <c:pt idx="94">
                  <c:v>0.18652645875278401</c:v>
                </c:pt>
                <c:pt idx="95">
                  <c:v>0.18787503721679</c:v>
                </c:pt>
                <c:pt idx="96">
                  <c:v>0.18920828582841401</c:v>
                </c:pt>
                <c:pt idx="97">
                  <c:v>0.19052612765822</c:v>
                </c:pt>
                <c:pt idx="98">
                  <c:v>0.191828484904876</c:v>
                </c:pt>
                <c:pt idx="99">
                  <c:v>0.193115278879814</c:v>
                </c:pt>
                <c:pt idx="100">
                  <c:v>0.19438642999154301</c:v>
                </c:pt>
                <c:pt idx="101">
                  <c:v>0.19564185772961601</c:v>
                </c:pt>
                <c:pt idx="102">
                  <c:v>0.19688148064817601</c:v>
                </c:pt>
                <c:pt idx="103">
                  <c:v>0.198105216349035</c:v>
                </c:pt>
                <c:pt idx="104">
                  <c:v>0.199312981464423</c:v>
                </c:pt>
                <c:pt idx="105">
                  <c:v>0.20050469163925599</c:v>
                </c:pt>
                <c:pt idx="106">
                  <c:v>0.20168026151295201</c:v>
                </c:pt>
                <c:pt idx="107">
                  <c:v>0.202839604700805</c:v>
                </c:pt>
                <c:pt idx="108">
                  <c:v>0.20398263377487799</c:v>
                </c:pt>
                <c:pt idx="109">
                  <c:v>0.20510926024439</c:v>
                </c:pt>
                <c:pt idx="110">
                  <c:v>0.20621939453562799</c:v>
                </c:pt>
                <c:pt idx="111">
                  <c:v>0.20731294597130401</c:v>
                </c:pt>
                <c:pt idx="112">
                  <c:v>0.20838982274937701</c:v>
                </c:pt>
                <c:pt idx="113">
                  <c:v>0.209449931921352</c:v>
                </c:pt>
                <c:pt idx="114">
                  <c:v>0.210493179369968</c:v>
                </c:pt>
                <c:pt idx="115">
                  <c:v>0.21151946978630901</c:v>
                </c:pt>
                <c:pt idx="116">
                  <c:v>0.21252870664631601</c:v>
                </c:pt>
                <c:pt idx="117">
                  <c:v>0.213520792186601</c:v>
                </c:pt>
                <c:pt idx="118">
                  <c:v>0.21449562737972599</c:v>
                </c:pt>
                <c:pt idx="119">
                  <c:v>0.21545311190866501</c:v>
                </c:pt>
                <c:pt idx="120">
                  <c:v>0.21639314414069299</c:v>
                </c:pt>
                <c:pt idx="121">
                  <c:v>0.217315621100481</c:v>
                </c:pt>
                <c:pt idx="122">
                  <c:v>0.21822043844244499</c:v>
                </c:pt>
                <c:pt idx="123">
                  <c:v>0.219107490422361</c:v>
                </c:pt>
                <c:pt idx="124">
                  <c:v>0.219976669868124</c:v>
                </c:pt>
                <c:pt idx="125">
                  <c:v>0.220827868149751</c:v>
                </c:pt>
                <c:pt idx="126">
                  <c:v>0.22166097514846</c:v>
                </c:pt>
                <c:pt idx="127">
                  <c:v>0.22247587922489301</c:v>
                </c:pt>
                <c:pt idx="128">
                  <c:v>0.22327246718641999</c:v>
                </c:pt>
                <c:pt idx="129">
                  <c:v>0.22405062425348399</c:v>
                </c:pt>
                <c:pt idx="130">
                  <c:v>0.22481023402495401</c:v>
                </c:pt>
                <c:pt idx="131">
                  <c:v>0.225551178442471</c:v>
                </c:pt>
                <c:pt idx="132">
                  <c:v>0.22627333775371999</c:v>
                </c:pt>
                <c:pt idx="133">
                  <c:v>0.22697659047459601</c:v>
                </c:pt>
                <c:pt idx="134">
                  <c:v>0.22766081335024899</c:v>
                </c:pt>
                <c:pt idx="135">
                  <c:v>0.22832588131495199</c:v>
                </c:pt>
                <c:pt idx="136">
                  <c:v>0.22897166745068201</c:v>
                </c:pt>
                <c:pt idx="137">
                  <c:v>0.22959804294449099</c:v>
                </c:pt>
                <c:pt idx="138">
                  <c:v>0.23020487704452799</c:v>
                </c:pt>
                <c:pt idx="139">
                  <c:v>0.23079203701468901</c:v>
                </c:pt>
                <c:pt idx="140">
                  <c:v>0.231359388087822</c:v>
                </c:pt>
                <c:pt idx="141">
                  <c:v>0.23190679341746101</c:v>
                </c:pt>
                <c:pt idx="142">
                  <c:v>0.232434114028015</c:v>
                </c:pt>
                <c:pt idx="143">
                  <c:v>0.23294120876334501</c:v>
                </c:pt>
                <c:pt idx="144">
                  <c:v>0.23342793423368799</c:v>
                </c:pt>
                <c:pt idx="145">
                  <c:v>0.23389414476079801</c:v>
                </c:pt>
                <c:pt idx="146">
                  <c:v>0.234339692321332</c:v>
                </c:pt>
                <c:pt idx="147">
                  <c:v>0.23476442648832499</c:v>
                </c:pt>
                <c:pt idx="148">
                  <c:v>0.235168194370692</c:v>
                </c:pt>
                <c:pt idx="149">
                  <c:v>0.23555084055071099</c:v>
                </c:pt>
                <c:pt idx="150">
                  <c:v>0.235912207019362</c:v>
                </c:pt>
                <c:pt idx="151">
                  <c:v>0.23625213310943999</c:v>
                </c:pt>
                <c:pt idx="152">
                  <c:v>0.23657045542636901</c:v>
                </c:pt>
                <c:pt idx="153">
                  <c:v>0.23686700777658401</c:v>
                </c:pt>
                <c:pt idx="154">
                  <c:v>0.23714162109339601</c:v>
                </c:pt>
                <c:pt idx="155">
                  <c:v>0.237394123360224</c:v>
                </c:pt>
                <c:pt idx="156">
                  <c:v>0.23762433953109099</c:v>
                </c:pt>
                <c:pt idx="157">
                  <c:v>0.23783209144822601</c:v>
                </c:pt>
                <c:pt idx="158">
                  <c:v>0.23801719775667801</c:v>
                </c:pt>
                <c:pt idx="159">
                  <c:v>0.23817947381579599</c:v>
                </c:pt>
                <c:pt idx="160">
                  <c:v>0.23831873160741901</c:v>
                </c:pt>
                <c:pt idx="161">
                  <c:v>0.238434779640638</c:v>
                </c:pt>
                <c:pt idx="162">
                  <c:v>0.238527422852959</c:v>
                </c:pt>
                <c:pt idx="163">
                  <c:v>0.23859646250771199</c:v>
                </c:pt>
                <c:pt idx="164">
                  <c:v>0.23864169608751201</c:v>
                </c:pt>
                <c:pt idx="165">
                  <c:v>0.238662917183593</c:v>
                </c:pt>
                <c:pt idx="166">
                  <c:v>0.238659915380808</c:v>
                </c:pt>
                <c:pt idx="167">
                  <c:v>0.238632476138088</c:v>
                </c:pt>
                <c:pt idx="168">
                  <c:v>0.238580380664144</c:v>
                </c:pt>
                <c:pt idx="169">
                  <c:v>0.23850340578815099</c:v>
                </c:pt>
                <c:pt idx="170">
                  <c:v>0.238401323825191</c:v>
                </c:pt>
                <c:pt idx="171">
                  <c:v>0.238273902436168</c:v>
                </c:pt>
                <c:pt idx="172">
                  <c:v>0.23812090448192</c:v>
                </c:pt>
                <c:pt idx="173">
                  <c:v>0.237942087871235</c:v>
                </c:pt>
                <c:pt idx="174">
                  <c:v>0.23773720540242799</c:v>
                </c:pt>
                <c:pt idx="175">
                  <c:v>0.237506004598177</c:v>
                </c:pt>
                <c:pt idx="176">
                  <c:v>0.23724822753321501</c:v>
                </c:pt>
                <c:pt idx="177">
                  <c:v>0.236963610654542</c:v>
                </c:pt>
                <c:pt idx="178">
                  <c:v>0.23665188459369599</c:v>
                </c:pt>
                <c:pt idx="179">
                  <c:v>0.23631277397070199</c:v>
                </c:pt>
                <c:pt idx="180">
                  <c:v>0.23594599718918</c:v>
                </c:pt>
                <c:pt idx="181">
                  <c:v>0.23555126622216799</c:v>
                </c:pt>
                <c:pt idx="182">
                  <c:v>0.235128286388115</c:v>
                </c:pt>
                <c:pt idx="183">
                  <c:v>0.23467675611642699</c:v>
                </c:pt>
                <c:pt idx="184">
                  <c:v>0.23419636670208299</c:v>
                </c:pt>
                <c:pt idx="185">
                  <c:v>0.23368680204852699</c:v>
                </c:pt>
                <c:pt idx="186">
                  <c:v>0.233147738398293</c:v>
                </c:pt>
                <c:pt idx="187">
                  <c:v>0.23257884405047599</c:v>
                </c:pt>
                <c:pt idx="188">
                  <c:v>0.23197977906440001</c:v>
                </c:pt>
                <c:pt idx="189">
                  <c:v>0.231350194948511</c:v>
                </c:pt>
                <c:pt idx="190">
                  <c:v>0.230689734333649</c:v>
                </c:pt>
                <c:pt idx="191">
                  <c:v>0.229998030629704</c:v>
                </c:pt>
                <c:pt idx="192">
                  <c:v>0.229274707664572</c:v>
                </c:pt>
                <c:pt idx="193">
                  <c:v>0.22851937930431801</c:v>
                </c:pt>
                <c:pt idx="194">
                  <c:v>0.22773164905327001</c:v>
                </c:pt>
                <c:pt idx="195">
                  <c:v>0.226911109632772</c:v>
                </c:pt>
                <c:pt idx="196">
                  <c:v>0.226057342537095</c:v>
                </c:pt>
                <c:pt idx="197">
                  <c:v>0.22516991756506199</c:v>
                </c:pt>
                <c:pt idx="198">
                  <c:v>0.22424839232562899</c:v>
                </c:pt>
                <c:pt idx="199">
                  <c:v>0.22329231171566599</c:v>
                </c:pt>
                <c:pt idx="200">
                  <c:v>0.22230120736794201</c:v>
                </c:pt>
                <c:pt idx="201">
                  <c:v>0.22127459706724001</c:v>
                </c:pt>
                <c:pt idx="202">
                  <c:v>0.22021198413224399</c:v>
                </c:pt>
                <c:pt idx="203">
                  <c:v>0.21911285676072001</c:v>
                </c:pt>
                <c:pt idx="204">
                  <c:v>0.21797668733522399</c:v>
                </c:pt>
                <c:pt idx="205">
                  <c:v>0.21680293168644299</c:v>
                </c:pt>
                <c:pt idx="206">
                  <c:v>0.21559102831081001</c:v>
                </c:pt>
                <c:pt idx="207">
                  <c:v>0.214340397538896</c:v>
                </c:pt>
                <c:pt idx="208">
                  <c:v>0.21305044065078299</c:v>
                </c:pt>
                <c:pt idx="209">
                  <c:v>0.21172053893402801</c:v>
                </c:pt>
                <c:pt idx="210">
                  <c:v>0.21035005267961701</c:v>
                </c:pt>
                <c:pt idx="211">
                  <c:v>0.20893832011085001</c:v>
                </c:pt>
                <c:pt idx="212">
                  <c:v>0.20748465623946</c:v>
                </c:pt>
                <c:pt idx="213">
                  <c:v>0.20598835164279999</c:v>
                </c:pt>
                <c:pt idx="214">
                  <c:v>0.20444867115528101</c:v>
                </c:pt>
                <c:pt idx="215">
                  <c:v>0.202864852466483</c:v>
                </c:pt>
                <c:pt idx="216">
                  <c:v>0.20123610461762201</c:v>
                </c:pt>
                <c:pt idx="217">
                  <c:v>0.19956160638713599</c:v>
                </c:pt>
                <c:pt idx="218">
                  <c:v>0.19784050455510999</c:v>
                </c:pt>
                <c:pt idx="219">
                  <c:v>0.19607191203516999</c:v>
                </c:pt>
                <c:pt idx="220">
                  <c:v>0.19425490586098401</c:v>
                </c:pt>
                <c:pt idx="221">
                  <c:v>0.192388525013513</c:v>
                </c:pt>
                <c:pt idx="222">
                  <c:v>0.19047176807282801</c:v>
                </c:pt>
                <c:pt idx="223">
                  <c:v>0.18850359067694999</c:v>
                </c:pt>
                <c:pt idx="224">
                  <c:v>0.18648290276771801</c:v>
                </c:pt>
                <c:pt idx="225">
                  <c:v>0.184408565601347</c:v>
                </c:pt>
                <c:pt idx="226">
                  <c:v>0.18227938849834999</c:v>
                </c:pt>
                <c:pt idx="227">
                  <c:v>0.18009412530437699</c:v>
                </c:pt>
                <c:pt idx="228">
                  <c:v>0.177851470529688</c:v>
                </c:pt>
                <c:pt idx="229">
                  <c:v>0.17555005513064001</c:v>
                </c:pt>
                <c:pt idx="230">
                  <c:v>0.173188441891447</c:v>
                </c:pt>
                <c:pt idx="231">
                  <c:v>0.17076512035899899</c:v>
                </c:pt>
                <c:pt idx="232">
                  <c:v>0.16827850127597799</c:v>
                </c:pt>
                <c:pt idx="233">
                  <c:v>0.165726910450605</c:v>
                </c:pt>
                <c:pt idx="234">
                  <c:v>0.16310858199105299</c:v>
                </c:pt>
                <c:pt idx="235">
                  <c:v>0.16042165082231999</c:v>
                </c:pt>
                <c:pt idx="236">
                  <c:v>0.15766414439040899</c:v>
                </c:pt>
                <c:pt idx="237">
                  <c:v>0.15483397344320499</c:v>
                </c:pt>
                <c:pt idx="238">
                  <c:v>0.151928921759895</c:v>
                </c:pt>
                <c:pt idx="239">
                  <c:v>0.148946634679507</c:v>
                </c:pt>
                <c:pt idx="240">
                  <c:v>0.145884606253354</c:v>
                </c:pt>
                <c:pt idx="241">
                  <c:v>0.142740164816586</c:v>
                </c:pt>
                <c:pt idx="242">
                  <c:v>0.139510456737725</c:v>
                </c:pt>
                <c:pt idx="243">
                  <c:v>0.13619242806194601</c:v>
                </c:pt>
                <c:pt idx="244">
                  <c:v>0.13278280371208001</c:v>
                </c:pt>
                <c:pt idx="245">
                  <c:v>0.12927806384989099</c:v>
                </c:pt>
                <c:pt idx="246">
                  <c:v>0.12567441692585701</c:v>
                </c:pt>
                <c:pt idx="247">
                  <c:v>0.121967768858547</c:v>
                </c:pt>
                <c:pt idx="248">
                  <c:v>0.118153687680919</c:v>
                </c:pt>
                <c:pt idx="249">
                  <c:v>0.114227362871023</c:v>
                </c:pt>
                <c:pt idx="250">
                  <c:v>0.11018355844967</c:v>
                </c:pt>
                <c:pt idx="251">
                  <c:v>0.106016558780976</c:v>
                </c:pt>
                <c:pt idx="252">
                  <c:v>0.101720105870995</c:v>
                </c:pt>
                <c:pt idx="253">
                  <c:v>9.7287326852841194E-2</c:v>
                </c:pt>
                <c:pt idx="254">
                  <c:v>9.2710650344035306E-2</c:v>
                </c:pt>
                <c:pt idx="255">
                  <c:v>8.7981710600070304E-2</c:v>
                </c:pt>
                <c:pt idx="256">
                  <c:v>8.3091239148435497E-2</c:v>
                </c:pt>
                <c:pt idx="257">
                  <c:v>7.8028945446669995E-2</c:v>
                </c:pt>
                <c:pt idx="258">
                  <c:v>7.27833922614263E-2</c:v>
                </c:pt>
                <c:pt idx="259">
                  <c:v>6.7341880462126205E-2</c:v>
                </c:pt>
                <c:pt idx="260">
                  <c:v>6.16903773522137E-2</c:v>
                </c:pt>
                <c:pt idx="261">
                  <c:v>5.5813565284434902E-2</c:v>
                </c:pt>
                <c:pt idx="262">
                  <c:v>4.9695183666274401E-2</c:v>
                </c:pt>
                <c:pt idx="263">
                  <c:v>4.3319064974111698E-2</c:v>
                </c:pt>
                <c:pt idx="264">
                  <c:v>3.6671834188531802E-2</c:v>
                </c:pt>
                <c:pt idx="265">
                  <c:v>2.9749769784336199E-2</c:v>
                </c:pt>
                <c:pt idx="266">
                  <c:v>2.2576814908028101E-2</c:v>
                </c:pt>
                <c:pt idx="267">
                  <c:v>1.5255350596591E-2</c:v>
                </c:pt>
                <c:pt idx="268">
                  <c:v>8.1235884940158293E-3</c:v>
                </c:pt>
                <c:pt idx="269">
                  <c:v>2.2601206534878099E-3</c:v>
                </c:pt>
                <c:pt idx="270">
                  <c:v>1.6402687713749499E-4</c:v>
                </c:pt>
                <c:pt idx="271" formatCode="0.00E+00">
                  <c:v>7.7445700901073401E-5</c:v>
                </c:pt>
                <c:pt idx="272" formatCode="0.00E+00">
                  <c:v>3.6218245600170997E-5</c:v>
                </c:pt>
                <c:pt idx="273" formatCode="0.00E+00">
                  <c:v>1.6910890487915501E-5</c:v>
                </c:pt>
                <c:pt idx="274" formatCode="0.00E+00">
                  <c:v>7.8842722746606095E-6</c:v>
                </c:pt>
                <c:pt idx="275" formatCode="0.00E+00">
                  <c:v>3.6706080484638399E-6</c:v>
                </c:pt>
                <c:pt idx="276" formatCode="0.00E+00">
                  <c:v>1.7064920709855399E-6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Implicit_Fracs!$AH$4:$AH$314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 formatCode="0.00E+00">
                  <c:v>1.59803982504167E-5</c:v>
                </c:pt>
                <c:pt idx="3" formatCode="0.00E+00">
                  <c:v>4.2644190842980999E-5</c:v>
                </c:pt>
                <c:pt idx="4" formatCode="0.00E+00">
                  <c:v>8.0023622435363806E-5</c:v>
                </c:pt>
                <c:pt idx="5">
                  <c:v>1.2815219074188101E-4</c:v>
                </c:pt>
                <c:pt idx="6">
                  <c:v>1.87062420592002E-4</c:v>
                </c:pt>
                <c:pt idx="7">
                  <c:v>2.5678636496936197E-4</c:v>
                </c:pt>
                <c:pt idx="8">
                  <c:v>3.3735613549080599E-4</c:v>
                </c:pt>
                <c:pt idx="9">
                  <c:v>4.2880418985650798E-4</c:v>
                </c:pt>
                <c:pt idx="10">
                  <c:v>5.3116344168796503E-4</c:v>
                </c:pt>
                <c:pt idx="11">
                  <c:v>6.4446727576455596E-4</c:v>
                </c:pt>
                <c:pt idx="12">
                  <c:v>7.6874952227117205E-4</c:v>
                </c:pt>
                <c:pt idx="13">
                  <c:v>9.0404441834775098E-4</c:v>
                </c:pt>
                <c:pt idx="14">
                  <c:v>1.0503865698495399E-3</c:v>
                </c:pt>
                <c:pt idx="15">
                  <c:v>1.20781091817556E-3</c:v>
                </c:pt>
                <c:pt idx="16">
                  <c:v>1.3763527132401199E-3</c:v>
                </c:pt>
                <c:pt idx="17">
                  <c:v>1.5560474921203699E-3</c:v>
                </c:pt>
                <c:pt idx="18">
                  <c:v>1.74693106242886E-3</c:v>
                </c:pt>
                <c:pt idx="19">
                  <c:v>1.9490394894309199E-3</c:v>
                </c:pt>
                <c:pt idx="20">
                  <c:v>2.1624090860727701E-3</c:v>
                </c:pt>
                <c:pt idx="21">
                  <c:v>2.3870764052467499E-3</c:v>
                </c:pt>
                <c:pt idx="22">
                  <c:v>2.62307823379169E-3</c:v>
                </c:pt>
                <c:pt idx="23">
                  <c:v>2.8704515878345202E-3</c:v>
                </c:pt>
                <c:pt idx="24">
                  <c:v>3.1292337091984399E-3</c:v>
                </c:pt>
                <c:pt idx="25">
                  <c:v>3.39946206265977E-3</c:v>
                </c:pt>
                <c:pt idx="26">
                  <c:v>3.6811743338864699E-3</c:v>
                </c:pt>
                <c:pt idx="27">
                  <c:v>3.9744084279469596E-3</c:v>
                </c:pt>
                <c:pt idx="28">
                  <c:v>4.2792024682882304E-3</c:v>
                </c:pt>
                <c:pt idx="29">
                  <c:v>4.5955947961101098E-3</c:v>
                </c:pt>
                <c:pt idx="30">
                  <c:v>4.9236239700837002E-3</c:v>
                </c:pt>
                <c:pt idx="31">
                  <c:v>5.2633287663628502E-3</c:v>
                </c:pt>
                <c:pt idx="32">
                  <c:v>5.6147481788520904E-3</c:v>
                </c:pt>
                <c:pt idx="33">
                  <c:v>5.9779214197085801E-3</c:v>
                </c:pt>
                <c:pt idx="34">
                  <c:v>6.3528879200420198E-3</c:v>
                </c:pt>
                <c:pt idx="35">
                  <c:v>6.7396873308015097E-3</c:v>
                </c:pt>
                <c:pt idx="36">
                  <c:v>7.1383595238285399E-3</c:v>
                </c:pt>
                <c:pt idx="37">
                  <c:v>7.5489445930662603E-3</c:v>
                </c:pt>
                <c:pt idx="38">
                  <c:v>7.9714853751690299E-3</c:v>
                </c:pt>
                <c:pt idx="39">
                  <c:v>8.4060252026383394E-3</c:v>
                </c:pt>
                <c:pt idx="40">
                  <c:v>8.8526078031931493E-3</c:v>
                </c:pt>
                <c:pt idx="41">
                  <c:v>9.3112773025755304E-3</c:v>
                </c:pt>
                <c:pt idx="42">
                  <c:v>9.7820782275979193E-3</c:v>
                </c:pt>
                <c:pt idx="43">
                  <c:v>1.02650555093851E-2</c:v>
                </c:pt>
                <c:pt idx="44">
                  <c:v>1.07602544868325E-2</c:v>
                </c:pt>
                <c:pt idx="45">
                  <c:v>1.12677209102564E-2</c:v>
                </c:pt>
                <c:pt idx="46">
                  <c:v>1.17875009452247E-2</c:v>
                </c:pt>
                <c:pt idx="47">
                  <c:v>1.2319641176572501E-2</c:v>
                </c:pt>
                <c:pt idx="48">
                  <c:v>1.2864188612590701E-2</c:v>
                </c:pt>
                <c:pt idx="49">
                  <c:v>1.34211906893773E-2</c:v>
                </c:pt>
                <c:pt idx="50">
                  <c:v>1.39906952753713E-2</c:v>
                </c:pt>
                <c:pt idx="51">
                  <c:v>1.45727506760298E-2</c:v>
                </c:pt>
                <c:pt idx="52">
                  <c:v>1.5167405638683301E-2</c:v>
                </c:pt>
                <c:pt idx="53">
                  <c:v>1.57747093575261E-2</c:v>
                </c:pt>
                <c:pt idx="54">
                  <c:v>1.63947114787895E-2</c:v>
                </c:pt>
                <c:pt idx="55">
                  <c:v>1.70274621060457E-2</c:v>
                </c:pt>
                <c:pt idx="56">
                  <c:v>1.76730118056951E-2</c:v>
                </c:pt>
                <c:pt idx="57">
                  <c:v>1.8331411612570899E-2</c:v>
                </c:pt>
                <c:pt idx="58">
                  <c:v>1.90027130357328E-2</c:v>
                </c:pt>
                <c:pt idx="59">
                  <c:v>1.9686968064396401E-2</c:v>
                </c:pt>
                <c:pt idx="60">
                  <c:v>2.03842291740268E-2</c:v>
                </c:pt>
                <c:pt idx="61">
                  <c:v>2.1094549332583999E-2</c:v>
                </c:pt>
                <c:pt idx="62">
                  <c:v>2.1817982006928999E-2</c:v>
                </c:pt>
                <c:pt idx="63">
                  <c:v>2.2554581169380701E-2</c:v>
                </c:pt>
                <c:pt idx="64">
                  <c:v>2.33044013044598E-2</c:v>
                </c:pt>
                <c:pt idx="65">
                  <c:v>2.4067497415752401E-2</c:v>
                </c:pt>
                <c:pt idx="66">
                  <c:v>2.4843925033000501E-2</c:v>
                </c:pt>
                <c:pt idx="67">
                  <c:v>2.5633740219277602E-2</c:v>
                </c:pt>
                <c:pt idx="68">
                  <c:v>2.6436999578422798E-2</c:v>
                </c:pt>
                <c:pt idx="69">
                  <c:v>2.7253760262590299E-2</c:v>
                </c:pt>
                <c:pt idx="70">
                  <c:v>2.8084079979986701E-2</c:v>
                </c:pt>
                <c:pt idx="71">
                  <c:v>2.8928017002807699E-2</c:v>
                </c:pt>
                <c:pt idx="72">
                  <c:v>2.97856301753299E-2</c:v>
                </c:pt>
                <c:pt idx="73">
                  <c:v>3.0656978922197702E-2</c:v>
                </c:pt>
                <c:pt idx="74">
                  <c:v>3.1542123256933903E-2</c:v>
                </c:pt>
                <c:pt idx="75">
                  <c:v>3.2441123790573997E-2</c:v>
                </c:pt>
                <c:pt idx="76">
                  <c:v>3.3354041740572403E-2</c:v>
                </c:pt>
                <c:pt idx="77">
                  <c:v>3.4280938939864801E-2</c:v>
                </c:pt>
                <c:pt idx="78">
                  <c:v>3.5221877846158302E-2</c:v>
                </c:pt>
                <c:pt idx="79">
                  <c:v>3.6176921551429798E-2</c:v>
                </c:pt>
                <c:pt idx="80">
                  <c:v>3.7146133791626602E-2</c:v>
                </c:pt>
                <c:pt idx="81">
                  <c:v>3.8129578956615298E-2</c:v>
                </c:pt>
                <c:pt idx="82">
                  <c:v>3.9127322100329903E-2</c:v>
                </c:pt>
                <c:pt idx="83">
                  <c:v>4.0139428951191401E-2</c:v>
                </c:pt>
                <c:pt idx="84">
                  <c:v>4.1165965922733902E-2</c:v>
                </c:pt>
                <c:pt idx="85">
                  <c:v>4.2207000124459701E-2</c:v>
                </c:pt>
                <c:pt idx="86">
                  <c:v>4.3262599373015499E-2</c:v>
                </c:pt>
                <c:pt idx="87">
                  <c:v>4.4332832203541103E-2</c:v>
                </c:pt>
                <c:pt idx="88">
                  <c:v>4.5417767881358699E-2</c:v>
                </c:pt>
                <c:pt idx="89">
                  <c:v>4.6517476413860899E-2</c:v>
                </c:pt>
                <c:pt idx="90">
                  <c:v>4.7632028562756001E-2</c:v>
                </c:pt>
                <c:pt idx="91">
                  <c:v>4.8761495856515999E-2</c:v>
                </c:pt>
                <c:pt idx="92">
                  <c:v>4.9905950603211499E-2</c:v>
                </c:pt>
                <c:pt idx="93">
                  <c:v>5.1065465903555297E-2</c:v>
                </c:pt>
                <c:pt idx="94">
                  <c:v>5.2240115664308397E-2</c:v>
                </c:pt>
                <c:pt idx="95">
                  <c:v>5.3429974612038897E-2</c:v>
                </c:pt>
                <c:pt idx="96">
                  <c:v>5.4635118307113401E-2</c:v>
                </c:pt>
                <c:pt idx="97">
                  <c:v>5.58556231580997E-2</c:v>
                </c:pt>
                <c:pt idx="98">
                  <c:v>5.7091566436527803E-2</c:v>
                </c:pt>
                <c:pt idx="99">
                  <c:v>5.8343026291948902E-2</c:v>
                </c:pt>
                <c:pt idx="100">
                  <c:v>5.9610081767382299E-2</c:v>
                </c:pt>
                <c:pt idx="101">
                  <c:v>6.0892812815185902E-2</c:v>
                </c:pt>
                <c:pt idx="102">
                  <c:v>6.2191300313290301E-2</c:v>
                </c:pt>
                <c:pt idx="103">
                  <c:v>6.3505626081775707E-2</c:v>
                </c:pt>
                <c:pt idx="104">
                  <c:v>6.4835872899957805E-2</c:v>
                </c:pt>
                <c:pt idx="105">
                  <c:v>6.6182124523855301E-2</c:v>
                </c:pt>
                <c:pt idx="106">
                  <c:v>6.7544465704082401E-2</c:v>
                </c:pt>
                <c:pt idx="107">
                  <c:v>6.8922982204224895E-2</c:v>
                </c:pt>
                <c:pt idx="108">
                  <c:v>7.0317760819675001E-2</c:v>
                </c:pt>
                <c:pt idx="109">
                  <c:v>7.1728889396927495E-2</c:v>
                </c:pt>
                <c:pt idx="110">
                  <c:v>7.3156456853417096E-2</c:v>
                </c:pt>
                <c:pt idx="111">
                  <c:v>7.4600553197820496E-2</c:v>
                </c:pt>
                <c:pt idx="112">
                  <c:v>7.6061269550893401E-2</c:v>
                </c:pt>
                <c:pt idx="113">
                  <c:v>7.7538698166906506E-2</c:v>
                </c:pt>
                <c:pt idx="114">
                  <c:v>7.9032932455577395E-2</c:v>
                </c:pt>
                <c:pt idx="115">
                  <c:v>8.0544067004630598E-2</c:v>
                </c:pt>
                <c:pt idx="116">
                  <c:v>8.2072197602961097E-2</c:v>
                </c:pt>
                <c:pt idx="117">
                  <c:v>8.3617421264324199E-2</c:v>
                </c:pt>
                <c:pt idx="118">
                  <c:v>8.5179836251857599E-2</c:v>
                </c:pt>
                <c:pt idx="119">
                  <c:v>8.6759542103039905E-2</c:v>
                </c:pt>
                <c:pt idx="120">
                  <c:v>8.8356639655529895E-2</c:v>
                </c:pt>
                <c:pt idx="121">
                  <c:v>8.9971231073611102E-2</c:v>
                </c:pt>
                <c:pt idx="122">
                  <c:v>9.1603419875365799E-2</c:v>
                </c:pt>
                <c:pt idx="123">
                  <c:v>9.32533109606693E-2</c:v>
                </c:pt>
                <c:pt idx="124">
                  <c:v>9.4921010639878706E-2</c:v>
                </c:pt>
                <c:pt idx="125">
                  <c:v>9.6606626663452405E-2</c:v>
                </c:pt>
                <c:pt idx="126">
                  <c:v>9.8310268252299202E-2</c:v>
                </c:pt>
                <c:pt idx="127">
                  <c:v>0.100032046129057</c:v>
                </c:pt>
                <c:pt idx="128">
                  <c:v>0.101772072550256</c:v>
                </c:pt>
                <c:pt idx="129">
                  <c:v>0.103530461339418</c:v>
                </c:pt>
                <c:pt idx="130">
                  <c:v>0.10530732792111699</c:v>
                </c:pt>
                <c:pt idx="131">
                  <c:v>0.10710278935605599</c:v>
                </c:pt>
                <c:pt idx="132">
                  <c:v>0.108916964377177</c:v>
                </c:pt>
                <c:pt idx="133">
                  <c:v>0.11074997342680799</c:v>
                </c:pt>
                <c:pt idx="134">
                  <c:v>0.112601938695001</c:v>
                </c:pt>
                <c:pt idx="135">
                  <c:v>0.114472984159038</c:v>
                </c:pt>
                <c:pt idx="136">
                  <c:v>0.11636323562397299</c:v>
                </c:pt>
                <c:pt idx="137">
                  <c:v>0.118272820764627</c:v>
                </c:pt>
                <c:pt idx="138">
                  <c:v>0.12020186916877</c:v>
                </c:pt>
                <c:pt idx="139">
                  <c:v>0.122150512381721</c:v>
                </c:pt>
                <c:pt idx="140">
                  <c:v>0.124118883952236</c:v>
                </c:pt>
                <c:pt idx="141">
                  <c:v>0.12610711947993999</c:v>
                </c:pt>
                <c:pt idx="142">
                  <c:v>0.128115356664254</c:v>
                </c:pt>
                <c:pt idx="143">
                  <c:v>0.13014373535485099</c:v>
                </c:pt>
                <c:pt idx="144">
                  <c:v>0.13219239760385601</c:v>
                </c:pt>
                <c:pt idx="145">
                  <c:v>0.134261487719537</c:v>
                </c:pt>
                <c:pt idx="146">
                  <c:v>0.13635115232199499</c:v>
                </c:pt>
                <c:pt idx="147">
                  <c:v>0.13846154040056899</c:v>
                </c:pt>
                <c:pt idx="148">
                  <c:v>0.140592803373154</c:v>
                </c:pt>
                <c:pt idx="149">
                  <c:v>0.142745095147571</c:v>
                </c:pt>
                <c:pt idx="150">
                  <c:v>0.144918572184981</c:v>
                </c:pt>
                <c:pt idx="151">
                  <c:v>0.147113393565451</c:v>
                </c:pt>
                <c:pt idx="152">
                  <c:v>0.14932972105587</c:v>
                </c:pt>
                <c:pt idx="153">
                  <c:v>0.151567719180107</c:v>
                </c:pt>
                <c:pt idx="154">
                  <c:v>0.15382755529168701</c:v>
                </c:pt>
                <c:pt idx="155">
                  <c:v>0.15610939964902301</c:v>
                </c:pt>
                <c:pt idx="156">
                  <c:v>0.158413425493377</c:v>
                </c:pt>
                <c:pt idx="157">
                  <c:v>0.16073980912955099</c:v>
                </c:pt>
                <c:pt idx="158">
                  <c:v>0.16308873000951801</c:v>
                </c:pt>
                <c:pt idx="159">
                  <c:v>0.16546037081912501</c:v>
                </c:pt>
                <c:pt idx="160">
                  <c:v>0.167854917568064</c:v>
                </c:pt>
                <c:pt idx="161">
                  <c:v>0.170272559683015</c:v>
                </c:pt>
                <c:pt idx="162">
                  <c:v>0.17271349010447101</c:v>
                </c:pt>
                <c:pt idx="163">
                  <c:v>0.17517790538709699</c:v>
                </c:pt>
                <c:pt idx="164">
                  <c:v>0.177666005804022</c:v>
                </c:pt>
                <c:pt idx="165">
                  <c:v>0.18017799545509799</c:v>
                </c:pt>
                <c:pt idx="166">
                  <c:v>0.182714082379375</c:v>
                </c:pt>
                <c:pt idx="167">
                  <c:v>0.18527447867191901</c:v>
                </c:pt>
                <c:pt idx="168">
                  <c:v>0.18785940060549899</c:v>
                </c:pt>
                <c:pt idx="169">
                  <c:v>0.190469068756906</c:v>
                </c:pt>
                <c:pt idx="170">
                  <c:v>0.19310370813845201</c:v>
                </c:pt>
                <c:pt idx="171">
                  <c:v>0.195763548334844</c:v>
                </c:pt>
                <c:pt idx="172">
                  <c:v>0.19844882364569999</c:v>
                </c:pt>
                <c:pt idx="173">
                  <c:v>0.20115977323395901</c:v>
                </c:pt>
                <c:pt idx="174">
                  <c:v>0.20389664128065699</c:v>
                </c:pt>
                <c:pt idx="175">
                  <c:v>0.20665967714598199</c:v>
                </c:pt>
                <c:pt idx="176">
                  <c:v>0.209449135537601</c:v>
                </c:pt>
                <c:pt idx="177">
                  <c:v>0.212265276685943</c:v>
                </c:pt>
                <c:pt idx="178">
                  <c:v>0.21510836652738</c:v>
                </c:pt>
                <c:pt idx="179">
                  <c:v>0.21797867689532599</c:v>
                </c:pt>
                <c:pt idx="180">
                  <c:v>0.22087648572009</c:v>
                </c:pt>
                <c:pt idx="181">
                  <c:v>0.22380207723752801</c:v>
                </c:pt>
                <c:pt idx="182">
                  <c:v>0.22675574220723499</c:v>
                </c:pt>
                <c:pt idx="183">
                  <c:v>0.22973777814110399</c:v>
                </c:pt>
                <c:pt idx="184">
                  <c:v>0.23274848954201</c:v>
                </c:pt>
                <c:pt idx="185">
                  <c:v>0.23578818815432501</c:v>
                </c:pt>
                <c:pt idx="186">
                  <c:v>0.23885719322580801</c:v>
                </c:pt>
                <c:pt idx="187">
                  <c:v>0.241955831782659</c:v>
                </c:pt>
                <c:pt idx="188">
                  <c:v>0.245084438917515</c:v>
                </c:pt>
                <c:pt idx="189">
                  <c:v>0.24824335809197501</c:v>
                </c:pt>
                <c:pt idx="190">
                  <c:v>0.251432941454098</c:v>
                </c:pt>
                <c:pt idx="191">
                  <c:v>0.25465355017188801</c:v>
                </c:pt>
                <c:pt idx="192">
                  <c:v>0.25790555478392901</c:v>
                </c:pt>
                <c:pt idx="193">
                  <c:v>0.26118933556803597</c:v>
                </c:pt>
                <c:pt idx="194">
                  <c:v>0.26450528292931902</c:v>
                </c:pt>
                <c:pt idx="195">
                  <c:v>0.26785379780867502</c:v>
                </c:pt>
                <c:pt idx="196">
                  <c:v>0.27123529211341402</c:v>
                </c:pt>
                <c:pt idx="197">
                  <c:v>0.27465018917105899</c:v>
                </c:pt>
                <c:pt idx="198">
                  <c:v>0.27809892420827897</c:v>
                </c:pt>
                <c:pt idx="199">
                  <c:v>0.28158194485645099</c:v>
                </c:pt>
                <c:pt idx="200">
                  <c:v>0.28509971168589798</c:v>
                </c:pt>
                <c:pt idx="201">
                  <c:v>0.28865269877057798</c:v>
                </c:pt>
                <c:pt idx="202">
                  <c:v>0.29224139428565099</c:v>
                </c:pt>
                <c:pt idx="203">
                  <c:v>0.29586630114015899</c:v>
                </c:pt>
                <c:pt idx="204">
                  <c:v>0.29952793764754598</c:v>
                </c:pt>
                <c:pt idx="205">
                  <c:v>0.30322683823654201</c:v>
                </c:pt>
                <c:pt idx="206">
                  <c:v>0.306963554205887</c:v>
                </c:pt>
                <c:pt idx="207">
                  <c:v>0.310738654526036</c:v>
                </c:pt>
                <c:pt idx="208">
                  <c:v>0.31455272669129403</c:v>
                </c:pt>
                <c:pt idx="209">
                  <c:v>0.31840637762677898</c:v>
                </c:pt>
                <c:pt idx="210">
                  <c:v>0.322300234654464</c:v>
                </c:pt>
                <c:pt idx="211">
                  <c:v>0.32623494652291402</c:v>
                </c:pt>
                <c:pt idx="212">
                  <c:v>0.33021118450623299</c:v>
                </c:pt>
                <c:pt idx="213">
                  <c:v>0.334229643577928</c:v>
                </c:pt>
                <c:pt idx="214">
                  <c:v>0.33829104366607499</c:v>
                </c:pt>
                <c:pt idx="215">
                  <c:v>0.342396130996937</c:v>
                </c:pt>
                <c:pt idx="216">
                  <c:v>0.3465456795347</c:v>
                </c:pt>
                <c:pt idx="217">
                  <c:v>0.35074049252601303</c:v>
                </c:pt>
                <c:pt idx="218">
                  <c:v>0.354981404158835</c:v>
                </c:pt>
                <c:pt idx="219">
                  <c:v>0.35926928134618002</c:v>
                </c:pt>
                <c:pt idx="220">
                  <c:v>0.363605025646835</c:v>
                </c:pt>
                <c:pt idx="221">
                  <c:v>0.367989575335469</c:v>
                </c:pt>
                <c:pt idx="222">
                  <c:v>0.37242390763753602</c:v>
                </c:pt>
                <c:pt idx="223">
                  <c:v>0.37690904114483598</c:v>
                </c:pt>
                <c:pt idx="224">
                  <c:v>0.381446038430231</c:v>
                </c:pt>
                <c:pt idx="225">
                  <c:v>0.38603600888190098</c:v>
                </c:pt>
                <c:pt idx="226">
                  <c:v>0.39068011178039402</c:v>
                </c:pt>
                <c:pt idx="227">
                  <c:v>0.39537955964433802</c:v>
                </c:pt>
                <c:pt idx="228">
                  <c:v>0.40013562187413698</c:v>
                </c:pt>
                <c:pt idx="229">
                  <c:v>0.40494962872681201</c:v>
                </c:pt>
                <c:pt idx="230">
                  <c:v>0.40982297565978398</c:v>
                </c:pt>
                <c:pt idx="231">
                  <c:v>0.41475712808566301</c:v>
                </c:pt>
                <c:pt idx="232">
                  <c:v>0.41975362658767101</c:v>
                </c:pt>
                <c:pt idx="233">
                  <c:v>0.42481409264992498</c:v>
                </c:pt>
                <c:pt idx="234">
                  <c:v>0.42994023496695999</c:v>
                </c:pt>
                <c:pt idx="235">
                  <c:v>0.43513385640472002</c:v>
                </c:pt>
                <c:pt idx="236">
                  <c:v>0.44039686169630299</c:v>
                </c:pt>
                <c:pt idx="237">
                  <c:v>0.445731265969044</c:v>
                </c:pt>
                <c:pt idx="238">
                  <c:v>0.45113920421352299</c:v>
                </c:pt>
                <c:pt idx="239">
                  <c:v>0.45662294182239599</c:v>
                </c:pt>
                <c:pt idx="240">
                  <c:v>0.462184886348185</c:v>
                </c:pt>
                <c:pt idx="241">
                  <c:v>0.46782760065185702</c:v>
                </c:pt>
                <c:pt idx="242">
                  <c:v>0.47355381764227</c:v>
                </c:pt>
                <c:pt idx="243">
                  <c:v>0.47936645683913498</c:v>
                </c:pt>
                <c:pt idx="244">
                  <c:v>0.48526864302999301</c:v>
                </c:pt>
                <c:pt idx="245">
                  <c:v>0.491263727334595</c:v>
                </c:pt>
                <c:pt idx="246">
                  <c:v>0.49735531104023201</c:v>
                </c:pt>
                <c:pt idx="247">
                  <c:v>0.50354727262548005</c:v>
                </c:pt>
                <c:pt idx="248">
                  <c:v>0.50984379844918903</c:v>
                </c:pt>
                <c:pt idx="249">
                  <c:v>0.51624941763971299</c:v>
                </c:pt>
                <c:pt idx="250">
                  <c:v>0.52276904176816696</c:v>
                </c:pt>
                <c:pt idx="251">
                  <c:v>0.52940800991542203</c:v>
                </c:pt>
                <c:pt idx="252">
                  <c:v>0.53617213970826505</c:v>
                </c:pt>
                <c:pt idx="253">
                  <c:v>0.54306778475333395</c:v>
                </c:pt>
                <c:pt idx="254">
                  <c:v>0.55010189852236002</c:v>
                </c:pt>
                <c:pt idx="255">
                  <c:v>0.55728210393208599</c:v>
                </c:pt>
                <c:pt idx="256">
                  <c:v>0.56461676621730095</c:v>
                </c:pt>
                <c:pt idx="257">
                  <c:v>0.57211506343357499</c:v>
                </c:pt>
                <c:pt idx="258">
                  <c:v>0.57978704249278101</c:v>
                </c:pt>
                <c:pt idx="259">
                  <c:v>0.58764363582017998</c:v>
                </c:pt>
                <c:pt idx="260">
                  <c:v>0.59569658769495903</c:v>
                </c:pt>
                <c:pt idx="261">
                  <c:v>0.60395818490216002</c:v>
                </c:pt>
                <c:pt idx="262">
                  <c:v>0.61244056799686197</c:v>
                </c:pt>
                <c:pt idx="263">
                  <c:v>0.62115412942251502</c:v>
                </c:pt>
                <c:pt idx="264">
                  <c:v>0.630103850241303</c:v>
                </c:pt>
                <c:pt idx="265">
                  <c:v>0.63928072130200897</c:v>
                </c:pt>
                <c:pt idx="266">
                  <c:v>0.64864054812299199</c:v>
                </c:pt>
                <c:pt idx="267">
                  <c:v>0.65804731262375005</c:v>
                </c:pt>
                <c:pt idx="268">
                  <c:v>0.667107993995111</c:v>
                </c:pt>
                <c:pt idx="269">
                  <c:v>0.67470438825846502</c:v>
                </c:pt>
                <c:pt idx="270">
                  <c:v>0.67680048203481502</c:v>
                </c:pt>
                <c:pt idx="271">
                  <c:v>0.67851399359387898</c:v>
                </c:pt>
                <c:pt idx="272">
                  <c:v>0.68021723336621598</c:v>
                </c:pt>
                <c:pt idx="273">
                  <c:v>0.68191888714224302</c:v>
                </c:pt>
                <c:pt idx="274">
                  <c:v>0.68361912675780501</c:v>
                </c:pt>
                <c:pt idx="275">
                  <c:v>0.68531802686923804</c:v>
                </c:pt>
                <c:pt idx="276">
                  <c:v>0.68701561595484595</c:v>
                </c:pt>
                <c:pt idx="277">
                  <c:v>0.68701732244691704</c:v>
                </c:pt>
                <c:pt idx="278">
                  <c:v>0.68701732244691704</c:v>
                </c:pt>
                <c:pt idx="279">
                  <c:v>0.68701732244691704</c:v>
                </c:pt>
                <c:pt idx="280">
                  <c:v>0.68701732244691704</c:v>
                </c:pt>
                <c:pt idx="281">
                  <c:v>0.68701732244691704</c:v>
                </c:pt>
                <c:pt idx="282">
                  <c:v>0.68701732244691704</c:v>
                </c:pt>
                <c:pt idx="283">
                  <c:v>0.68701732244691704</c:v>
                </c:pt>
                <c:pt idx="284">
                  <c:v>0.68701732244691704</c:v>
                </c:pt>
                <c:pt idx="285">
                  <c:v>0.68701732244691704</c:v>
                </c:pt>
                <c:pt idx="286">
                  <c:v>0.68701732244691704</c:v>
                </c:pt>
                <c:pt idx="287">
                  <c:v>0.68701732244691704</c:v>
                </c:pt>
                <c:pt idx="288">
                  <c:v>0.68701732244691704</c:v>
                </c:pt>
                <c:pt idx="289">
                  <c:v>0.68701732244691704</c:v>
                </c:pt>
                <c:pt idx="290">
                  <c:v>0.68701732244691704</c:v>
                </c:pt>
                <c:pt idx="291">
                  <c:v>0.68701732244691704</c:v>
                </c:pt>
                <c:pt idx="292">
                  <c:v>0.68701732244691704</c:v>
                </c:pt>
                <c:pt idx="293">
                  <c:v>0.68701732244691704</c:v>
                </c:pt>
                <c:pt idx="294">
                  <c:v>0.68701732244691704</c:v>
                </c:pt>
                <c:pt idx="295">
                  <c:v>0.68701732244691704</c:v>
                </c:pt>
                <c:pt idx="296">
                  <c:v>0.68701732244691704</c:v>
                </c:pt>
                <c:pt idx="297">
                  <c:v>0.68701732244691704</c:v>
                </c:pt>
                <c:pt idx="298">
                  <c:v>0.68701732244691704</c:v>
                </c:pt>
                <c:pt idx="299">
                  <c:v>0.68701732244691704</c:v>
                </c:pt>
                <c:pt idx="300">
                  <c:v>0.68701732244691704</c:v>
                </c:pt>
                <c:pt idx="301">
                  <c:v>0.68701732244691704</c:v>
                </c:pt>
                <c:pt idx="302">
                  <c:v>0.68701732244691704</c:v>
                </c:pt>
                <c:pt idx="303">
                  <c:v>0.68701732244691704</c:v>
                </c:pt>
                <c:pt idx="304">
                  <c:v>0.68701732244691704</c:v>
                </c:pt>
                <c:pt idx="305">
                  <c:v>0.68701732244691704</c:v>
                </c:pt>
                <c:pt idx="306">
                  <c:v>0.68701732244691704</c:v>
                </c:pt>
                <c:pt idx="307">
                  <c:v>0.68701732244691704</c:v>
                </c:pt>
                <c:pt idx="308">
                  <c:v>0.68701732244691704</c:v>
                </c:pt>
                <c:pt idx="309">
                  <c:v>0.68701732244691704</c:v>
                </c:pt>
                <c:pt idx="310">
                  <c:v>0.68701732244691704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Implicit_Fracs!$AI$4:$AI$314</c:f>
              <c:numCache>
                <c:formatCode>General</c:formatCode>
                <c:ptCount val="311"/>
                <c:pt idx="0">
                  <c:v>1</c:v>
                </c:pt>
                <c:pt idx="1">
                  <c:v>0.99829869838329699</c:v>
                </c:pt>
                <c:pt idx="2">
                  <c:v>0.99490562762246904</c:v>
                </c:pt>
                <c:pt idx="3">
                  <c:v>0.99123770373482301</c:v>
                </c:pt>
                <c:pt idx="4">
                  <c:v>0.98757578187452899</c:v>
                </c:pt>
                <c:pt idx="5">
                  <c:v>0.98397581794115097</c:v>
                </c:pt>
                <c:pt idx="6">
                  <c:v>0.98043776513698</c:v>
                </c:pt>
                <c:pt idx="7">
                  <c:v>0.97694962513945405</c:v>
                </c:pt>
                <c:pt idx="8">
                  <c:v>0.97349941468222101</c:v>
                </c:pt>
                <c:pt idx="9">
                  <c:v>0.970077813960744</c:v>
                </c:pt>
                <c:pt idx="10">
                  <c:v>0.96667816287333697</c:v>
                </c:pt>
                <c:pt idx="11">
                  <c:v>0.963295856884263</c:v>
                </c:pt>
                <c:pt idx="12">
                  <c:v>0.959927743780704</c:v>
                </c:pt>
                <c:pt idx="13">
                  <c:v>0.95657165955505596</c:v>
                </c:pt>
                <c:pt idx="14">
                  <c:v>0.95322610320835</c:v>
                </c:pt>
                <c:pt idx="15">
                  <c:v>0.94989001808273998</c:v>
                </c:pt>
                <c:pt idx="16">
                  <c:v>0.94656264737610296</c:v>
                </c:pt>
                <c:pt idx="17">
                  <c:v>0.94324343909617603</c:v>
                </c:pt>
                <c:pt idx="18">
                  <c:v>0.93993198330666605</c:v>
                </c:pt>
                <c:pt idx="19">
                  <c:v>0.93662797031592904</c:v>
                </c:pt>
                <c:pt idx="20">
                  <c:v>0.93333116246178205</c:v>
                </c:pt>
                <c:pt idx="21">
                  <c:v>0.93004137478115101</c:v>
                </c:pt>
                <c:pt idx="22">
                  <c:v>0.92675846154627595</c:v>
                </c:pt>
                <c:pt idx="23">
                  <c:v>0.92348230672563303</c:v>
                </c:pt>
                <c:pt idx="24">
                  <c:v>0.92021281710942104</c:v>
                </c:pt>
                <c:pt idx="25">
                  <c:v>0.91694991727299602</c:v>
                </c:pt>
                <c:pt idx="26">
                  <c:v>0.91369354582876405</c:v>
                </c:pt>
                <c:pt idx="27">
                  <c:v>0.91044365259576399</c:v>
                </c:pt>
                <c:pt idx="28">
                  <c:v>0.90720019643324801</c:v>
                </c:pt>
                <c:pt idx="29">
                  <c:v>0.90396314356178997</c:v>
                </c:pt>
                <c:pt idx="30">
                  <c:v>0.90073246624732295</c:v>
                </c:pt>
                <c:pt idx="31">
                  <c:v>0.89750814175892801</c:v>
                </c:pt>
                <c:pt idx="32">
                  <c:v>0.89429015153555602</c:v>
                </c:pt>
                <c:pt idx="33">
                  <c:v>0.89107848051391403</c:v>
                </c:pt>
                <c:pt idx="34">
                  <c:v>0.88787311658207502</c:v>
                </c:pt>
                <c:pt idx="35">
                  <c:v>0.88467405013192602</c:v>
                </c:pt>
                <c:pt idx="36">
                  <c:v>0.88148127369010199</c:v>
                </c:pt>
                <c:pt idx="37">
                  <c:v>0.87828935241894202</c:v>
                </c:pt>
                <c:pt idx="38">
                  <c:v>0.87509819122254495</c:v>
                </c:pt>
                <c:pt idx="39">
                  <c:v>0.87190792101173697</c:v>
                </c:pt>
                <c:pt idx="40">
                  <c:v>0.86871866349148397</c:v>
                </c:pt>
                <c:pt idx="41">
                  <c:v>0.86553053206330899</c:v>
                </c:pt>
                <c:pt idx="42">
                  <c:v>0.86234363262019798</c:v>
                </c:pt>
                <c:pt idx="43">
                  <c:v>0.85915806424922603</c:v>
                </c:pt>
                <c:pt idx="44">
                  <c:v>0.85597391985429006</c:v>
                </c:pt>
                <c:pt idx="45">
                  <c:v>0.85279128670967497</c:v>
                </c:pt>
                <c:pt idx="46">
                  <c:v>0.84961024695353404</c:v>
                </c:pt>
                <c:pt idx="47">
                  <c:v>0.84643087802885897</c:v>
                </c:pt>
                <c:pt idx="48">
                  <c:v>0.84325325307855403</c:v>
                </c:pt>
                <c:pt idx="49">
                  <c:v>0.84007744130026996</c:v>
                </c:pt>
                <c:pt idx="50">
                  <c:v>0.83690350826568605</c:v>
                </c:pt>
                <c:pt idx="51">
                  <c:v>0.83373151620863295</c:v>
                </c:pt>
                <c:pt idx="52">
                  <c:v>0.83056152428543895</c:v>
                </c:pt>
                <c:pt idx="53">
                  <c:v>0.827393588810869</c:v>
                </c:pt>
                <c:pt idx="54">
                  <c:v>0.82422776347211202</c:v>
                </c:pt>
                <c:pt idx="55">
                  <c:v>0.82106409952347204</c:v>
                </c:pt>
                <c:pt idx="56">
                  <c:v>0.81790264596356599</c:v>
                </c:pt>
                <c:pt idx="57">
                  <c:v>0.81474344969718704</c:v>
                </c:pt>
                <c:pt idx="58">
                  <c:v>0.81158655568308502</c:v>
                </c:pt>
                <c:pt idx="59">
                  <c:v>0.80843200706934204</c:v>
                </c:pt>
                <c:pt idx="60">
                  <c:v>0.80527984531746599</c:v>
                </c:pt>
                <c:pt idx="61">
                  <c:v>0.80213011031635395</c:v>
                </c:pt>
                <c:pt idx="62">
                  <c:v>0.7989828404871</c:v>
                </c:pt>
                <c:pt idx="63">
                  <c:v>0.795838072879541</c:v>
                </c:pt>
                <c:pt idx="64">
                  <c:v>0.79269584326119402</c:v>
                </c:pt>
                <c:pt idx="65">
                  <c:v>0.78955618619955503</c:v>
                </c:pt>
                <c:pt idx="66">
                  <c:v>0.78641913513795203</c:v>
                </c:pt>
                <c:pt idx="67">
                  <c:v>0.78328472246609904</c:v>
                </c:pt>
                <c:pt idx="68">
                  <c:v>0.78015297958514396</c:v>
                </c:pt>
                <c:pt idx="69">
                  <c:v>0.77702393696826799</c:v>
                </c:pt>
                <c:pt idx="70">
                  <c:v>0.77389762421693298</c:v>
                </c:pt>
                <c:pt idx="71">
                  <c:v>0.77077407011314003</c:v>
                </c:pt>
                <c:pt idx="72">
                  <c:v>0.76765330266818299</c:v>
                </c:pt>
                <c:pt idx="73">
                  <c:v>0.76453534916806698</c:v>
                </c:pt>
                <c:pt idx="74">
                  <c:v>0.76142023621577604</c:v>
                </c:pt>
                <c:pt idx="75">
                  <c:v>0.758307989771001</c:v>
                </c:pt>
                <c:pt idx="76">
                  <c:v>0.75519863518702801</c:v>
                </c:pt>
                <c:pt idx="77">
                  <c:v>0.75209219724543697</c:v>
                </c:pt>
                <c:pt idx="78">
                  <c:v>0.74898870018852504</c:v>
                </c:pt>
                <c:pt idx="79">
                  <c:v>0.74588816774973599</c:v>
                </c:pt>
                <c:pt idx="80">
                  <c:v>0.74279062318226696</c:v>
                </c:pt>
                <c:pt idx="81">
                  <c:v>0.73969608928585695</c:v>
                </c:pt>
                <c:pt idx="82">
                  <c:v>0.736604588432068</c:v>
                </c:pt>
                <c:pt idx="83">
                  <c:v>0.73351614258796205</c:v>
                </c:pt>
                <c:pt idx="84">
                  <c:v>0.73043077333849904</c:v>
                </c:pt>
                <c:pt idx="85">
                  <c:v>0.72734850190770195</c:v>
                </c:pt>
                <c:pt idx="86">
                  <c:v>0.72426934917841601</c:v>
                </c:pt>
                <c:pt idx="87">
                  <c:v>0.72119333571122801</c:v>
                </c:pt>
                <c:pt idx="88">
                  <c:v>0.71812048176211396</c:v>
                </c:pt>
                <c:pt idx="89">
                  <c:v>0.715050807299348</c:v>
                </c:pt>
                <c:pt idx="90">
                  <c:v>0.71198433201928801</c:v>
                </c:pt>
                <c:pt idx="91">
                  <c:v>0.70892107536155002</c:v>
                </c:pt>
                <c:pt idx="92">
                  <c:v>0.705861056523166</c:v>
                </c:pt>
                <c:pt idx="93">
                  <c:v>0.70280429447224502</c:v>
                </c:pt>
                <c:pt idx="94">
                  <c:v>0.69975080796081901</c:v>
                </c:pt>
                <c:pt idx="95">
                  <c:v>0.69670061553697105</c:v>
                </c:pt>
                <c:pt idx="96">
                  <c:v>0.69365373555660303</c:v>
                </c:pt>
                <c:pt idx="97">
                  <c:v>0.69061018619445602</c:v>
                </c:pt>
                <c:pt idx="98">
                  <c:v>0.68756998545458403</c:v>
                </c:pt>
                <c:pt idx="99">
                  <c:v>0.68453315118048097</c:v>
                </c:pt>
                <c:pt idx="100">
                  <c:v>0.68149970106469404</c:v>
                </c:pt>
                <c:pt idx="101">
                  <c:v>0.67846965265789605</c:v>
                </c:pt>
                <c:pt idx="102">
                  <c:v>0.67544302337761597</c:v>
                </c:pt>
                <c:pt idx="103">
                  <c:v>0.67241983051672605</c:v>
                </c:pt>
                <c:pt idx="104">
                  <c:v>0.66940009125133904</c:v>
                </c:pt>
                <c:pt idx="105">
                  <c:v>0.66638382264848794</c:v>
                </c:pt>
                <c:pt idx="106">
                  <c:v>0.66337104167349703</c:v>
                </c:pt>
                <c:pt idx="107">
                  <c:v>0.66036176519700795</c:v>
                </c:pt>
                <c:pt idx="108">
                  <c:v>0.65735601000172394</c:v>
                </c:pt>
                <c:pt idx="109">
                  <c:v>0.65435379278894801</c:v>
                </c:pt>
                <c:pt idx="110">
                  <c:v>0.65135513018476299</c:v>
                </c:pt>
                <c:pt idx="111">
                  <c:v>0.64836003874609205</c:v>
                </c:pt>
                <c:pt idx="112">
                  <c:v>0.64536853496651003</c:v>
                </c:pt>
                <c:pt idx="113">
                  <c:v>0.64238063528174405</c:v>
                </c:pt>
                <c:pt idx="114">
                  <c:v>0.63939635607511802</c:v>
                </c:pt>
                <c:pt idx="115">
                  <c:v>0.63641571368271199</c:v>
                </c:pt>
                <c:pt idx="116">
                  <c:v>0.63343872439835303</c:v>
                </c:pt>
                <c:pt idx="117">
                  <c:v>0.63046540447860999</c:v>
                </c:pt>
                <c:pt idx="118">
                  <c:v>0.62749577014728397</c:v>
                </c:pt>
                <c:pt idx="119">
                  <c:v>0.624529837600168</c:v>
                </c:pt>
                <c:pt idx="120">
                  <c:v>0.62156762300931501</c:v>
                </c:pt>
                <c:pt idx="121">
                  <c:v>0.61860914252736199</c:v>
                </c:pt>
                <c:pt idx="122">
                  <c:v>0.615654412291742</c:v>
                </c:pt>
                <c:pt idx="123">
                  <c:v>0.61270344842866598</c:v>
                </c:pt>
                <c:pt idx="124">
                  <c:v>0.60975626705716302</c:v>
                </c:pt>
                <c:pt idx="125">
                  <c:v>0.606812884292804</c:v>
                </c:pt>
                <c:pt idx="126">
                  <c:v>0.60387331625152896</c:v>
                </c:pt>
                <c:pt idx="127">
                  <c:v>0.60093757905328604</c:v>
                </c:pt>
                <c:pt idx="128">
                  <c:v>0.59800568882560401</c:v>
                </c:pt>
                <c:pt idx="129">
                  <c:v>0.59507766170710297</c:v>
                </c:pt>
                <c:pt idx="130">
                  <c:v>0.59215351385091597</c:v>
                </c:pt>
                <c:pt idx="131">
                  <c:v>0.58923326142805499</c:v>
                </c:pt>
                <c:pt idx="132">
                  <c:v>0.58631692063069196</c:v>
                </c:pt>
                <c:pt idx="133">
                  <c:v>0.58340450767546803</c:v>
                </c:pt>
                <c:pt idx="134">
                  <c:v>0.58049603880663003</c:v>
                </c:pt>
                <c:pt idx="135">
                  <c:v>0.57759153029909405</c:v>
                </c:pt>
                <c:pt idx="136">
                  <c:v>0.57469099846174598</c:v>
                </c:pt>
                <c:pt idx="137">
                  <c:v>0.57179445964036701</c:v>
                </c:pt>
                <c:pt idx="138">
                  <c:v>0.56890193022070101</c:v>
                </c:pt>
                <c:pt idx="139">
                  <c:v>0.56601342663137899</c:v>
                </c:pt>
                <c:pt idx="140">
                  <c:v>0.56312896534698698</c:v>
                </c:pt>
                <c:pt idx="141">
                  <c:v>0.56024856289096903</c:v>
                </c:pt>
                <c:pt idx="142">
                  <c:v>0.55737223583853901</c:v>
                </c:pt>
                <c:pt idx="143">
                  <c:v>0.55450000081962803</c:v>
                </c:pt>
                <c:pt idx="144">
                  <c:v>0.55163187452167595</c:v>
                </c:pt>
                <c:pt idx="145">
                  <c:v>0.54876787369269198</c:v>
                </c:pt>
                <c:pt idx="146">
                  <c:v>0.545908015144002</c:v>
                </c:pt>
                <c:pt idx="147">
                  <c:v>0.54305231575315704</c:v>
                </c:pt>
                <c:pt idx="148">
                  <c:v>0.54020079246686603</c:v>
                </c:pt>
                <c:pt idx="149">
                  <c:v>0.53735346230383296</c:v>
                </c:pt>
                <c:pt idx="150">
                  <c:v>0.53451034235768202</c:v>
                </c:pt>
                <c:pt idx="151">
                  <c:v>0.531671449799896</c:v>
                </c:pt>
                <c:pt idx="152">
                  <c:v>0.52883680188266802</c:v>
                </c:pt>
                <c:pt idx="153">
                  <c:v>0.52600641594192299</c:v>
                </c:pt>
                <c:pt idx="154">
                  <c:v>0.52318030940028204</c:v>
                </c:pt>
                <c:pt idx="155">
                  <c:v>0.52035849977008397</c:v>
                </c:pt>
                <c:pt idx="156">
                  <c:v>0.51754100465636799</c:v>
                </c:pt>
                <c:pt idx="157">
                  <c:v>0.51472784175999398</c:v>
                </c:pt>
                <c:pt idx="158">
                  <c:v>0.51191902888077601</c:v>
                </c:pt>
                <c:pt idx="159">
                  <c:v>0.50911458392064901</c:v>
                </c:pt>
                <c:pt idx="160">
                  <c:v>0.50631452488680895</c:v>
                </c:pt>
                <c:pt idx="161">
                  <c:v>0.50351886989510597</c:v>
                </c:pt>
                <c:pt idx="162">
                  <c:v>0.50072763717329305</c:v>
                </c:pt>
                <c:pt idx="163">
                  <c:v>0.497940845064483</c:v>
                </c:pt>
                <c:pt idx="164">
                  <c:v>0.49515851203057698</c:v>
                </c:pt>
                <c:pt idx="165">
                  <c:v>0.49238065665582897</c:v>
                </c:pt>
                <c:pt idx="166">
                  <c:v>0.48960729765048999</c:v>
                </c:pt>
                <c:pt idx="167">
                  <c:v>0.48683845385463298</c:v>
                </c:pt>
                <c:pt idx="168">
                  <c:v>0.484074144241808</c:v>
                </c:pt>
                <c:pt idx="169">
                  <c:v>0.48131438792306303</c:v>
                </c:pt>
                <c:pt idx="170">
                  <c:v>0.478559204151005</c:v>
                </c:pt>
                <c:pt idx="171">
                  <c:v>0.47580861232395599</c:v>
                </c:pt>
                <c:pt idx="172">
                  <c:v>0.47306263199024901</c:v>
                </c:pt>
                <c:pt idx="173">
                  <c:v>0.47032128285268798</c:v>
                </c:pt>
                <c:pt idx="174">
                  <c:v>0.467584584773028</c:v>
                </c:pt>
                <c:pt idx="175">
                  <c:v>0.46485255777690798</c:v>
                </c:pt>
                <c:pt idx="176">
                  <c:v>0.46212522205857998</c:v>
                </c:pt>
                <c:pt idx="177">
                  <c:v>0.45940259798615402</c:v>
                </c:pt>
                <c:pt idx="178">
                  <c:v>0.45668470610680401</c:v>
                </c:pt>
                <c:pt idx="179">
                  <c:v>0.45397156715237003</c:v>
                </c:pt>
                <c:pt idx="180">
                  <c:v>0.45126320204496501</c:v>
                </c:pt>
                <c:pt idx="181">
                  <c:v>0.44855963190303799</c:v>
                </c:pt>
                <c:pt idx="182">
                  <c:v>0.445860878047664</c:v>
                </c:pt>
                <c:pt idx="183">
                  <c:v>0.44316696200885097</c:v>
                </c:pt>
                <c:pt idx="184">
                  <c:v>0.44047790553260702</c:v>
                </c:pt>
                <c:pt idx="185">
                  <c:v>0.43779373058781401</c:v>
                </c:pt>
                <c:pt idx="186">
                  <c:v>0.435114459373944</c:v>
                </c:pt>
                <c:pt idx="187">
                  <c:v>0.43244011432867602</c:v>
                </c:pt>
                <c:pt idx="188">
                  <c:v>0.42977071813630602</c:v>
                </c:pt>
                <c:pt idx="189">
                  <c:v>0.42710629373631198</c:v>
                </c:pt>
                <c:pt idx="190">
                  <c:v>0.42444686433248102</c:v>
                </c:pt>
                <c:pt idx="191">
                  <c:v>0.42179245340256</c:v>
                </c:pt>
                <c:pt idx="192">
                  <c:v>0.41914308470836698</c:v>
                </c:pt>
                <c:pt idx="193">
                  <c:v>0.41649878230655102</c:v>
                </c:pt>
                <c:pt idx="194">
                  <c:v>0.41385957055989803</c:v>
                </c:pt>
                <c:pt idx="195">
                  <c:v>0.41122547414941701</c:v>
                </c:pt>
                <c:pt idx="196">
                  <c:v>0.40859651808698799</c:v>
                </c:pt>
                <c:pt idx="197">
                  <c:v>0.40597272772897303</c:v>
                </c:pt>
                <c:pt idx="198">
                  <c:v>0.40335412879058402</c:v>
                </c:pt>
                <c:pt idx="199">
                  <c:v>0.40074074736121601</c:v>
                </c:pt>
                <c:pt idx="200">
                  <c:v>0.39813260992073601</c:v>
                </c:pt>
                <c:pt idx="201">
                  <c:v>0.39552974335696001</c:v>
                </c:pt>
                <c:pt idx="202">
                  <c:v>0.39293217498425398</c:v>
                </c:pt>
                <c:pt idx="203">
                  <c:v>0.39033993256348398</c:v>
                </c:pt>
                <c:pt idx="204">
                  <c:v>0.38775304432331797</c:v>
                </c:pt>
                <c:pt idx="205">
                  <c:v>0.38517153898323597</c:v>
                </c:pt>
                <c:pt idx="206">
                  <c:v>0.38259544577809701</c:v>
                </c:pt>
                <c:pt idx="207">
                  <c:v>0.38002479448459497</c:v>
                </c:pt>
                <c:pt idx="208">
                  <c:v>0.37745961544990803</c:v>
                </c:pt>
                <c:pt idx="209">
                  <c:v>0.37489993962249302</c:v>
                </c:pt>
                <c:pt idx="210">
                  <c:v>0.372345798585345</c:v>
                </c:pt>
                <c:pt idx="211">
                  <c:v>0.36979722459210301</c:v>
                </c:pt>
                <c:pt idx="212">
                  <c:v>0.36725425060614197</c:v>
                </c:pt>
                <c:pt idx="213">
                  <c:v>0.364716910343032</c:v>
                </c:pt>
                <c:pt idx="214">
                  <c:v>0.36218523831674798</c:v>
                </c:pt>
                <c:pt idx="215">
                  <c:v>0.35965926988997599</c:v>
                </c:pt>
                <c:pt idx="216">
                  <c:v>0.35713904132906699</c:v>
                </c:pt>
                <c:pt idx="217">
                  <c:v>0.35462458986411</c:v>
                </c:pt>
                <c:pt idx="218">
                  <c:v>0.35211595375478599</c:v>
                </c:pt>
                <c:pt idx="219">
                  <c:v>0.34961317236264899</c:v>
                </c:pt>
                <c:pt idx="220">
                  <c:v>0.34711628623047902</c:v>
                </c:pt>
                <c:pt idx="221">
                  <c:v>0.34462533716999399</c:v>
                </c:pt>
                <c:pt idx="222">
                  <c:v>0.34214036835850697</c:v>
                </c:pt>
                <c:pt idx="223">
                  <c:v>0.33966142444599001</c:v>
                </c:pt>
                <c:pt idx="224">
                  <c:v>0.33718855167379802</c:v>
                </c:pt>
                <c:pt idx="225">
                  <c:v>0.33472179800673602</c:v>
                </c:pt>
                <c:pt idx="226">
                  <c:v>0.33226121328018299</c:v>
                </c:pt>
                <c:pt idx="227">
                  <c:v>0.329806849364503</c:v>
                </c:pt>
                <c:pt idx="228">
                  <c:v>0.327358760349239</c:v>
                </c:pt>
                <c:pt idx="229">
                  <c:v>0.324917002750027</c:v>
                </c:pt>
                <c:pt idx="230">
                  <c:v>0.322481635741586</c:v>
                </c:pt>
                <c:pt idx="231">
                  <c:v>0.32005272142118102</c:v>
                </c:pt>
                <c:pt idx="232">
                  <c:v>0.31763032510689698</c:v>
                </c:pt>
                <c:pt idx="233">
                  <c:v>0.31521451567709202</c:v>
                </c:pt>
                <c:pt idx="234">
                  <c:v>0.31280536595747299</c:v>
                </c:pt>
                <c:pt idx="235">
                  <c:v>0.310402953164304</c:v>
                </c:pt>
                <c:pt idx="236">
                  <c:v>0.30800735941387902</c:v>
                </c:pt>
                <c:pt idx="237">
                  <c:v>0.305618672310218</c:v>
                </c:pt>
                <c:pt idx="238">
                  <c:v>0.30323698562599199</c:v>
                </c:pt>
                <c:pt idx="239">
                  <c:v>0.30086240009509202</c:v>
                </c:pt>
                <c:pt idx="240">
                  <c:v>0.29849502433908498</c:v>
                </c:pt>
                <c:pt idx="241">
                  <c:v>0.29613497595581201</c:v>
                </c:pt>
                <c:pt idx="242">
                  <c:v>0.29378238280522101</c:v>
                </c:pt>
                <c:pt idx="243">
                  <c:v>0.29143738453663898</c:v>
                </c:pt>
                <c:pt idx="244">
                  <c:v>0.289100134413597</c:v>
                </c:pt>
                <c:pt idx="245">
                  <c:v>0.28677080150829398</c:v>
                </c:pt>
                <c:pt idx="246">
                  <c:v>0.284449573358522</c:v>
                </c:pt>
                <c:pt idx="247">
                  <c:v>0.28213665920842701</c:v>
                </c:pt>
                <c:pt idx="248">
                  <c:v>0.27983229399272402</c:v>
                </c:pt>
                <c:pt idx="249">
                  <c:v>0.27753674327699701</c:v>
                </c:pt>
                <c:pt idx="250">
                  <c:v>0.27525030944092799</c:v>
                </c:pt>
                <c:pt idx="251">
                  <c:v>0.27297333949527602</c:v>
                </c:pt>
                <c:pt idx="252">
                  <c:v>0.27070623507423403</c:v>
                </c:pt>
                <c:pt idx="253">
                  <c:v>0.268449465363509</c:v>
                </c:pt>
                <c:pt idx="254">
                  <c:v>0.26620358405033601</c:v>
                </c:pt>
                <c:pt idx="255">
                  <c:v>0.26396925187526299</c:v>
                </c:pt>
                <c:pt idx="256">
                  <c:v>0.26174726712955898</c:v>
                </c:pt>
                <c:pt idx="257">
                  <c:v>0.25953860765387898</c:v>
                </c:pt>
                <c:pt idx="258">
                  <c:v>0.25734448986488301</c:v>
                </c:pt>
                <c:pt idx="259">
                  <c:v>0.25516645363854101</c:v>
                </c:pt>
                <c:pt idx="260">
                  <c:v>0.25300648758834599</c:v>
                </c:pt>
                <c:pt idx="261">
                  <c:v>0.250867219503287</c:v>
                </c:pt>
                <c:pt idx="262">
                  <c:v>0.24875221574311901</c:v>
                </c:pt>
                <c:pt idx="263">
                  <c:v>0.246666470273841</c:v>
                </c:pt>
                <c:pt idx="264">
                  <c:v>0.24461723836292401</c:v>
                </c:pt>
                <c:pt idx="265">
                  <c:v>0.242615523787714</c:v>
                </c:pt>
                <c:pt idx="266">
                  <c:v>0.240678837666677</c:v>
                </c:pt>
                <c:pt idx="267">
                  <c:v>0.23883628354053399</c:v>
                </c:pt>
                <c:pt idx="268">
                  <c:v>0.23713529498074101</c:v>
                </c:pt>
                <c:pt idx="269">
                  <c:v>0.23560972534183899</c:v>
                </c:pt>
                <c:pt idx="270">
                  <c:v>0.23560972534183899</c:v>
                </c:pt>
                <c:pt idx="271">
                  <c:v>0.23417997862822401</c:v>
                </c:pt>
                <c:pt idx="272">
                  <c:v>0.23272244008753301</c:v>
                </c:pt>
                <c:pt idx="273">
                  <c:v>0.23125014791821</c:v>
                </c:pt>
                <c:pt idx="274">
                  <c:v>0.229773184346097</c:v>
                </c:pt>
                <c:pt idx="275">
                  <c:v>0.22829628304899599</c:v>
                </c:pt>
                <c:pt idx="276">
                  <c:v>0.22682166632335399</c:v>
                </c:pt>
                <c:pt idx="277">
                  <c:v>0.22682166632335399</c:v>
                </c:pt>
                <c:pt idx="278">
                  <c:v>0.22682166632335399</c:v>
                </c:pt>
                <c:pt idx="279">
                  <c:v>0.22682166632335399</c:v>
                </c:pt>
                <c:pt idx="280">
                  <c:v>0.22041459607071201</c:v>
                </c:pt>
                <c:pt idx="281">
                  <c:v>0.21597918715016401</c:v>
                </c:pt>
                <c:pt idx="282">
                  <c:v>0.21155943845220701</c:v>
                </c:pt>
                <c:pt idx="283">
                  <c:v>0.20716074266811901</c:v>
                </c:pt>
                <c:pt idx="284">
                  <c:v>0.20278528552121</c:v>
                </c:pt>
                <c:pt idx="285">
                  <c:v>0.198434497045612</c:v>
                </c:pt>
                <c:pt idx="286">
                  <c:v>0.194109565818711</c:v>
                </c:pt>
                <c:pt idx="287">
                  <c:v>0.18981160966119401</c:v>
                </c:pt>
                <c:pt idx="288">
                  <c:v>0.18554175238523701</c:v>
                </c:pt>
                <c:pt idx="289">
                  <c:v>0.181301169739396</c:v>
                </c:pt>
                <c:pt idx="290">
                  <c:v>0.17709112617224901</c:v>
                </c:pt>
                <c:pt idx="291">
                  <c:v>0.17268383016619199</c:v>
                </c:pt>
                <c:pt idx="292">
                  <c:v>0.16840417277848699</c:v>
                </c:pt>
                <c:pt idx="293">
                  <c:v>0.164171590104979</c:v>
                </c:pt>
                <c:pt idx="294">
                  <c:v>0.159989326755066</c:v>
                </c:pt>
                <c:pt idx="295">
                  <c:v>0.15586103967116399</c:v>
                </c:pt>
                <c:pt idx="296">
                  <c:v>0.15179097931201399</c:v>
                </c:pt>
                <c:pt idx="297">
                  <c:v>0.14778427291263899</c:v>
                </c:pt>
                <c:pt idx="298">
                  <c:v>0.14384738083934101</c:v>
                </c:pt>
                <c:pt idx="299">
                  <c:v>0.13998885976623601</c:v>
                </c:pt>
                <c:pt idx="300">
                  <c:v>0.136220701343854</c:v>
                </c:pt>
                <c:pt idx="301">
                  <c:v>0.13256082291815499</c:v>
                </c:pt>
                <c:pt idx="302">
                  <c:v>0.12903804115442299</c:v>
                </c:pt>
                <c:pt idx="303">
                  <c:v>0.1257028177782</c:v>
                </c:pt>
                <c:pt idx="304">
                  <c:v>0.122651855788643</c:v>
                </c:pt>
                <c:pt idx="305">
                  <c:v>0.120073565264691</c:v>
                </c:pt>
                <c:pt idx="306">
                  <c:v>0.118054133041333</c:v>
                </c:pt>
                <c:pt idx="307">
                  <c:v>0.11805413305233101</c:v>
                </c:pt>
                <c:pt idx="308">
                  <c:v>0.11805413305233101</c:v>
                </c:pt>
                <c:pt idx="309">
                  <c:v>0.11805413305233101</c:v>
                </c:pt>
                <c:pt idx="310">
                  <c:v>0.11805413305233101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Implicit_Fracs!$AD$4:$AD$314</c:f>
              <c:numCache>
                <c:formatCode>General</c:formatCode>
                <c:ptCount val="311"/>
                <c:pt idx="0">
                  <c:v>1.6E-2</c:v>
                </c:pt>
                <c:pt idx="1">
                  <c:v>1.6859849349039099E-2</c:v>
                </c:pt>
                <c:pt idx="2">
                  <c:v>1.69269168970596E-2</c:v>
                </c:pt>
                <c:pt idx="3">
                  <c:v>1.69371224050015E-2</c:v>
                </c:pt>
                <c:pt idx="4">
                  <c:v>1.69236386377128E-2</c:v>
                </c:pt>
                <c:pt idx="5">
                  <c:v>1.68970451177681E-2</c:v>
                </c:pt>
                <c:pt idx="6">
                  <c:v>1.68621033558972E-2</c:v>
                </c:pt>
                <c:pt idx="7">
                  <c:v>1.68213721431263E-2</c:v>
                </c:pt>
                <c:pt idx="8">
                  <c:v>1.6776387595387101E-2</c:v>
                </c:pt>
                <c:pt idx="9">
                  <c:v>1.6728145172968899E-2</c:v>
                </c:pt>
                <c:pt idx="10">
                  <c:v>1.6677327301577099E-2</c:v>
                </c:pt>
                <c:pt idx="11">
                  <c:v>1.6624422486774398E-2</c:v>
                </c:pt>
                <c:pt idx="12">
                  <c:v>1.6569792638159699E-2</c:v>
                </c:pt>
                <c:pt idx="13">
                  <c:v>1.6513713480643798E-2</c:v>
                </c:pt>
                <c:pt idx="14">
                  <c:v>1.64564000145037E-2</c:v>
                </c:pt>
                <c:pt idx="15">
                  <c:v>1.63980232084972E-2</c:v>
                </c:pt>
                <c:pt idx="16">
                  <c:v>1.6338721317418901E-2</c:v>
                </c:pt>
                <c:pt idx="17">
                  <c:v>1.6278607777130399E-2</c:v>
                </c:pt>
                <c:pt idx="18">
                  <c:v>1.62177768492433E-2</c:v>
                </c:pt>
                <c:pt idx="19">
                  <c:v>1.6156307744371899E-2</c:v>
                </c:pt>
                <c:pt idx="20">
                  <c:v>1.6094267691386201E-2</c:v>
                </c:pt>
                <c:pt idx="21">
                  <c:v>1.6031714260620701E-2</c:v>
                </c:pt>
                <c:pt idx="22">
                  <c:v>1.5968697148823499E-2</c:v>
                </c:pt>
                <c:pt idx="23">
                  <c:v>1.5905259569061699E-2</c:v>
                </c:pt>
                <c:pt idx="24">
                  <c:v>1.5841439346193E-2</c:v>
                </c:pt>
                <c:pt idx="25">
                  <c:v>1.5777269789810599E-2</c:v>
                </c:pt>
                <c:pt idx="26">
                  <c:v>1.5712780396868499E-2</c:v>
                </c:pt>
                <c:pt idx="27">
                  <c:v>1.5647997422422E-2</c:v>
                </c:pt>
                <c:pt idx="28">
                  <c:v>1.55829443471622E-2</c:v>
                </c:pt>
                <c:pt idx="29">
                  <c:v>1.55176422633921E-2</c:v>
                </c:pt>
                <c:pt idx="30">
                  <c:v>1.5452110195969799E-2</c:v>
                </c:pt>
                <c:pt idx="31">
                  <c:v>1.538636537096E-2</c:v>
                </c:pt>
                <c:pt idx="32">
                  <c:v>1.53204234419126E-2</c:v>
                </c:pt>
                <c:pt idx="33">
                  <c:v>1.52542986815576E-2</c:v>
                </c:pt>
                <c:pt idx="34">
                  <c:v>1.51880041450811E-2</c:v>
                </c:pt>
                <c:pt idx="35">
                  <c:v>1.5121551809904101E-2</c:v>
                </c:pt>
                <c:pt idx="36">
                  <c:v>1.50549526959129E-2</c:v>
                </c:pt>
                <c:pt idx="37">
                  <c:v>1.49882169693418E-2</c:v>
                </c:pt>
                <c:pt idx="38">
                  <c:v>1.4921353569519799E-2</c:v>
                </c:pt>
                <c:pt idx="39">
                  <c:v>1.48543707439509E-2</c:v>
                </c:pt>
                <c:pt idx="40">
                  <c:v>1.4787276135927001E-2</c:v>
                </c:pt>
                <c:pt idx="41">
                  <c:v>1.47200768436609E-2</c:v>
                </c:pt>
                <c:pt idx="42">
                  <c:v>1.4652779472343299E-2</c:v>
                </c:pt>
                <c:pt idx="43">
                  <c:v>1.4585390180123701E-2</c:v>
                </c:pt>
                <c:pt idx="44">
                  <c:v>1.4517914718843099E-2</c:v>
                </c:pt>
                <c:pt idx="45">
                  <c:v>1.44503584702262E-2</c:v>
                </c:pt>
                <c:pt idx="46">
                  <c:v>1.4382726478127199E-2</c:v>
                </c:pt>
                <c:pt idx="47">
                  <c:v>1.43150234773356E-2</c:v>
                </c:pt>
                <c:pt idx="48">
                  <c:v>1.42472539193742E-2</c:v>
                </c:pt>
                <c:pt idx="49">
                  <c:v>1.4179421995660701E-2</c:v>
                </c:pt>
                <c:pt idx="50">
                  <c:v>1.4111531658346299E-2</c:v>
                </c:pt>
                <c:pt idx="51">
                  <c:v>1.40435866391123E-2</c:v>
                </c:pt>
                <c:pt idx="52">
                  <c:v>1.39755904661545E-2</c:v>
                </c:pt>
                <c:pt idx="53">
                  <c:v>1.39075464795677E-2</c:v>
                </c:pt>
                <c:pt idx="54">
                  <c:v>1.3839457845301901E-2</c:v>
                </c:pt>
                <c:pt idx="55">
                  <c:v>1.37713275678534E-2</c:v>
                </c:pt>
                <c:pt idx="56">
                  <c:v>1.37031585018193E-2</c:v>
                </c:pt>
                <c:pt idx="57">
                  <c:v>1.36349533624445E-2</c:v>
                </c:pt>
                <c:pt idx="58">
                  <c:v>1.3566714735255499E-2</c:v>
                </c:pt>
                <c:pt idx="59">
                  <c:v>1.3498445084882901E-2</c:v>
                </c:pt>
                <c:pt idx="60">
                  <c:v>1.34301467631475E-2</c:v>
                </c:pt>
                <c:pt idx="61">
                  <c:v>1.3361822016487E-2</c:v>
                </c:pt>
                <c:pt idx="62">
                  <c:v>1.3293472992784199E-2</c:v>
                </c:pt>
                <c:pt idx="63">
                  <c:v>1.3225101747656801E-2</c:v>
                </c:pt>
                <c:pt idx="64">
                  <c:v>1.3156710250254101E-2</c:v>
                </c:pt>
                <c:pt idx="65">
                  <c:v>1.3088300388614501E-2</c:v>
                </c:pt>
                <c:pt idx="66">
                  <c:v>1.3019873974612701E-2</c:v>
                </c:pt>
                <c:pt idx="67">
                  <c:v>1.29514327485471E-2</c:v>
                </c:pt>
                <c:pt idx="68">
                  <c:v>1.2882978383384199E-2</c:v>
                </c:pt>
                <c:pt idx="69">
                  <c:v>1.28145124887018E-2</c:v>
                </c:pt>
                <c:pt idx="70">
                  <c:v>1.2746036614351801E-2</c:v>
                </c:pt>
                <c:pt idx="71">
                  <c:v>1.26775522538644E-2</c:v>
                </c:pt>
                <c:pt idx="72">
                  <c:v>1.26090608476211E-2</c:v>
                </c:pt>
                <c:pt idx="73">
                  <c:v>1.254056378581E-2</c:v>
                </c:pt>
                <c:pt idx="74">
                  <c:v>1.24720624111819E-2</c:v>
                </c:pt>
                <c:pt idx="75">
                  <c:v>1.24035580216286E-2</c:v>
                </c:pt>
                <c:pt idx="76">
                  <c:v>1.23350518725883E-2</c:v>
                </c:pt>
                <c:pt idx="77">
                  <c:v>1.2266545179299799E-2</c:v>
                </c:pt>
                <c:pt idx="78">
                  <c:v>1.2198039118912599E-2</c:v>
                </c:pt>
                <c:pt idx="79">
                  <c:v>1.21295348324646E-2</c:v>
                </c:pt>
                <c:pt idx="80">
                  <c:v>1.20610334267395E-2</c:v>
                </c:pt>
                <c:pt idx="81">
                  <c:v>1.19925359760091E-2</c:v>
                </c:pt>
                <c:pt idx="82">
                  <c:v>1.19240435236728E-2</c:v>
                </c:pt>
                <c:pt idx="83">
                  <c:v>1.1855557083797499E-2</c:v>
                </c:pt>
                <c:pt idx="84">
                  <c:v>1.1787077642569199E-2</c:v>
                </c:pt>
                <c:pt idx="85">
                  <c:v>1.17186061596617E-2</c:v>
                </c:pt>
                <c:pt idx="86">
                  <c:v>1.16501435695236E-2</c:v>
                </c:pt>
                <c:pt idx="87">
                  <c:v>1.15816907825971E-2</c:v>
                </c:pt>
                <c:pt idx="88">
                  <c:v>1.15132486864648E-2</c:v>
                </c:pt>
                <c:pt idx="89">
                  <c:v>1.14448181469382E-2</c:v>
                </c:pt>
                <c:pt idx="90">
                  <c:v>1.13764000090824E-2</c:v>
                </c:pt>
                <c:pt idx="91">
                  <c:v>1.13079950981902E-2</c:v>
                </c:pt>
                <c:pt idx="92">
                  <c:v>1.12396042207005E-2</c:v>
                </c:pt>
                <c:pt idx="93">
                  <c:v>1.1171228165073301E-2</c:v>
                </c:pt>
                <c:pt idx="94">
                  <c:v>1.1102867702617E-2</c:v>
                </c:pt>
                <c:pt idx="95">
                  <c:v>1.10345235882712E-2</c:v>
                </c:pt>
                <c:pt idx="96">
                  <c:v>1.0966196561356899E-2</c:v>
                </c:pt>
                <c:pt idx="97">
                  <c:v>1.0897887346283599E-2</c:v>
                </c:pt>
                <c:pt idx="98">
                  <c:v>1.0829596653222501E-2</c:v>
                </c:pt>
                <c:pt idx="99">
                  <c:v>1.07613251787498E-2</c:v>
                </c:pt>
                <c:pt idx="100">
                  <c:v>1.06930736064587E-2</c:v>
                </c:pt>
                <c:pt idx="101">
                  <c:v>1.06248426075395E-2</c:v>
                </c:pt>
                <c:pt idx="102">
                  <c:v>1.05566328413348E-2</c:v>
                </c:pt>
                <c:pt idx="103">
                  <c:v>1.0488444955871999E-2</c:v>
                </c:pt>
                <c:pt idx="104">
                  <c:v>1.04202795883667E-2</c:v>
                </c:pt>
                <c:pt idx="105">
                  <c:v>1.0352137365706201E-2</c:v>
                </c:pt>
                <c:pt idx="106">
                  <c:v>1.0284018904912E-2</c:v>
                </c:pt>
                <c:pt idx="107">
                  <c:v>1.02159248135814E-2</c:v>
                </c:pt>
                <c:pt idx="108">
                  <c:v>1.01478556903098E-2</c:v>
                </c:pt>
                <c:pt idx="109">
                  <c:v>1.00798121250968E-2</c:v>
                </c:pt>
                <c:pt idx="110">
                  <c:v>1.00117946997328E-2</c:v>
                </c:pt>
                <c:pt idx="111">
                  <c:v>9.9438039881723003E-3</c:v>
                </c:pt>
                <c:pt idx="112">
                  <c:v>9.8758405568920207E-3</c:v>
                </c:pt>
                <c:pt idx="113">
                  <c:v>9.8079049652319006E-3</c:v>
                </c:pt>
                <c:pt idx="114">
                  <c:v>9.7399977657261893E-3</c:v>
                </c:pt>
                <c:pt idx="115">
                  <c:v>9.6721195044196101E-3</c:v>
                </c:pt>
                <c:pt idx="116">
                  <c:v>9.6042707211715095E-3</c:v>
                </c:pt>
                <c:pt idx="117">
                  <c:v>9.5364519499528608E-3</c:v>
                </c:pt>
                <c:pt idx="118">
                  <c:v>9.4686637191240507E-3</c:v>
                </c:pt>
                <c:pt idx="119">
                  <c:v>9.4009065517126206E-3</c:v>
                </c:pt>
                <c:pt idx="120">
                  <c:v>9.3331809656728004E-3</c:v>
                </c:pt>
                <c:pt idx="121">
                  <c:v>9.2654874741405005E-3</c:v>
                </c:pt>
                <c:pt idx="122">
                  <c:v>9.1978265856799309E-3</c:v>
                </c:pt>
                <c:pt idx="123">
                  <c:v>9.1301988045193305E-3</c:v>
                </c:pt>
                <c:pt idx="124">
                  <c:v>9.0626046307829503E-3</c:v>
                </c:pt>
                <c:pt idx="125">
                  <c:v>8.9950445607107406E-3</c:v>
                </c:pt>
                <c:pt idx="126">
                  <c:v>8.9275190868758399E-3</c:v>
                </c:pt>
                <c:pt idx="127">
                  <c:v>8.8600286983930906E-3</c:v>
                </c:pt>
                <c:pt idx="128">
                  <c:v>8.7925738811221506E-3</c:v>
                </c:pt>
                <c:pt idx="129">
                  <c:v>8.7251551178647094E-3</c:v>
                </c:pt>
                <c:pt idx="130">
                  <c:v>8.6577728885564795E-3</c:v>
                </c:pt>
                <c:pt idx="131">
                  <c:v>8.5904276704535792E-3</c:v>
                </c:pt>
                <c:pt idx="132">
                  <c:v>8.5231199383143108E-3</c:v>
                </c:pt>
                <c:pt idx="133">
                  <c:v>8.4558501645777308E-3</c:v>
                </c:pt>
                <c:pt idx="134">
                  <c:v>8.3886188195355007E-3</c:v>
                </c:pt>
                <c:pt idx="135">
                  <c:v>8.3214263714992201E-3</c:v>
                </c:pt>
                <c:pt idx="136">
                  <c:v>8.2542732869702092E-3</c:v>
                </c:pt>
                <c:pt idx="137">
                  <c:v>8.1871600307983697E-3</c:v>
                </c:pt>
                <c:pt idx="138">
                  <c:v>8.1200870663415692E-3</c:v>
                </c:pt>
                <c:pt idx="139">
                  <c:v>8.0530548556196797E-3</c:v>
                </c:pt>
                <c:pt idx="140">
                  <c:v>7.9860638594695995E-3</c:v>
                </c:pt>
                <c:pt idx="141">
                  <c:v>7.9191145376945101E-3</c:v>
                </c:pt>
                <c:pt idx="142">
                  <c:v>7.8522073492113108E-3</c:v>
                </c:pt>
                <c:pt idx="143">
                  <c:v>7.7853427521972097E-3</c:v>
                </c:pt>
                <c:pt idx="144">
                  <c:v>7.7185212042309298E-3</c:v>
                </c:pt>
                <c:pt idx="145">
                  <c:v>7.6517431624386302E-3</c:v>
                </c:pt>
                <c:pt idx="146">
                  <c:v>7.5850090836310103E-3</c:v>
                </c:pt>
                <c:pt idx="147">
                  <c:v>7.5183194244429902E-3</c:v>
                </c:pt>
                <c:pt idx="148">
                  <c:v>7.4516746414723797E-3</c:v>
                </c:pt>
                <c:pt idx="149">
                  <c:v>7.3850751914156304E-3</c:v>
                </c:pt>
                <c:pt idx="150">
                  <c:v>7.3185215312041403E-3</c:v>
                </c:pt>
                <c:pt idx="151">
                  <c:v>7.25201411814024E-3</c:v>
                </c:pt>
                <c:pt idx="152">
                  <c:v>7.18555341003012E-3</c:v>
                </c:pt>
                <c:pt idx="153">
                  <c:v>7.1191398653199997E-3</c:v>
                </c:pt>
                <c:pt idx="154">
                  <c:v>7.0527739432304504E-3</c:v>
                </c:pt>
                <c:pt idx="155">
                  <c:v>6.9864561038912596E-3</c:v>
                </c:pt>
                <c:pt idx="156">
                  <c:v>6.9201868084750803E-3</c:v>
                </c:pt>
                <c:pt idx="157">
                  <c:v>6.8539665193339096E-3</c:v>
                </c:pt>
                <c:pt idx="158">
                  <c:v>6.7877957001354497E-3</c:v>
                </c:pt>
                <c:pt idx="159">
                  <c:v>6.7216748160003198E-3</c:v>
                </c:pt>
                <c:pt idx="160">
                  <c:v>6.6556043336383399E-3</c:v>
                </c:pt>
                <c:pt idx="161">
                  <c:v>6.5895847214908496E-3</c:v>
                </c:pt>
                <c:pt idx="162">
                  <c:v>6.5236164498697702E-3</c:v>
                </c:pt>
                <c:pt idx="163">
                  <c:v>6.4576999911017197E-3</c:v>
                </c:pt>
                <c:pt idx="164">
                  <c:v>6.3918358196718202E-3</c:v>
                </c:pt>
                <c:pt idx="165">
                  <c:v>6.3260244123711602E-3</c:v>
                </c:pt>
                <c:pt idx="166">
                  <c:v>6.2602662484465398E-3</c:v>
                </c:pt>
                <c:pt idx="167">
                  <c:v>6.1945618097552901E-3</c:v>
                </c:pt>
                <c:pt idx="168">
                  <c:v>6.1289115809167703E-3</c:v>
                </c:pt>
                <c:pt idx="169">
                  <c:v>6.0633160494733803E-3</c:v>
                </c:pt>
                <c:pt idx="170">
                  <c:v>5.9977757060535901E-3</c:v>
                </c:pt>
                <c:pt idx="171">
                  <c:v>5.9322910445383003E-3</c:v>
                </c:pt>
                <c:pt idx="172">
                  <c:v>5.86686256223189E-3</c:v>
                </c:pt>
                <c:pt idx="173">
                  <c:v>5.8014907600384804E-3</c:v>
                </c:pt>
                <c:pt idx="174">
                  <c:v>5.7361761426404298E-3</c:v>
                </c:pt>
                <c:pt idx="175">
                  <c:v>5.6709192186890902E-3</c:v>
                </c:pt>
                <c:pt idx="176">
                  <c:v>5.6057205009928199E-3</c:v>
                </c:pt>
                <c:pt idx="177">
                  <c:v>5.5405805067192697E-3</c:v>
                </c:pt>
                <c:pt idx="178">
                  <c:v>5.4754997575992299E-3</c:v>
                </c:pt>
                <c:pt idx="179">
                  <c:v>5.4104787801420697E-3</c:v>
                </c:pt>
                <c:pt idx="180">
                  <c:v>5.3455181058542304E-3</c:v>
                </c:pt>
                <c:pt idx="181">
                  <c:v>5.2806182714715301E-3</c:v>
                </c:pt>
                <c:pt idx="182">
                  <c:v>5.21577981920009E-3</c:v>
                </c:pt>
                <c:pt idx="183">
                  <c:v>5.1510032969609397E-3</c:v>
                </c:pt>
                <c:pt idx="184">
                  <c:v>5.0862892586567903E-3</c:v>
                </c:pt>
                <c:pt idx="185">
                  <c:v>5.0216382644380801E-3</c:v>
                </c:pt>
                <c:pt idx="186">
                  <c:v>4.9570508809936003E-3</c:v>
                </c:pt>
                <c:pt idx="187">
                  <c:v>4.8925276818434704E-3</c:v>
                </c:pt>
                <c:pt idx="188">
                  <c:v>4.8280692476562297E-3</c:v>
                </c:pt>
                <c:pt idx="189">
                  <c:v>4.7636761665751899E-3</c:v>
                </c:pt>
                <c:pt idx="190">
                  <c:v>4.6993490345642796E-3</c:v>
                </c:pt>
                <c:pt idx="191">
                  <c:v>4.6350884557729202E-3</c:v>
                </c:pt>
                <c:pt idx="192">
                  <c:v>4.5708950429188397E-3</c:v>
                </c:pt>
                <c:pt idx="193">
                  <c:v>4.50676941769432E-3</c:v>
                </c:pt>
                <c:pt idx="194">
                  <c:v>4.4427122111934799E-3</c:v>
                </c:pt>
                <c:pt idx="195">
                  <c:v>4.37872406436738E-3</c:v>
                </c:pt>
                <c:pt idx="196">
                  <c:v>4.3148056285022699E-3</c:v>
                </c:pt>
                <c:pt idx="197">
                  <c:v>4.2509575657314804E-3</c:v>
                </c:pt>
                <c:pt idx="198">
                  <c:v>4.1871805495767604E-3</c:v>
                </c:pt>
                <c:pt idx="199">
                  <c:v>4.1234752655254598E-3</c:v>
                </c:pt>
                <c:pt idx="200">
                  <c:v>4.0598424116438997E-3</c:v>
                </c:pt>
                <c:pt idx="201">
                  <c:v>3.9962826992341102E-3</c:v>
                </c:pt>
                <c:pt idx="202">
                  <c:v>3.9327968535337304E-3</c:v>
                </c:pt>
                <c:pt idx="203">
                  <c:v>3.86938561446554E-3</c:v>
                </c:pt>
                <c:pt idx="204">
                  <c:v>3.80604973743874E-3</c:v>
                </c:pt>
                <c:pt idx="205">
                  <c:v>3.74278999421229E-3</c:v>
                </c:pt>
                <c:pt idx="206">
                  <c:v>3.67960717381834E-3</c:v>
                </c:pt>
                <c:pt idx="207">
                  <c:v>3.6165020835562398E-3</c:v>
                </c:pt>
                <c:pt idx="208">
                  <c:v>3.5534755500668601E-3</c:v>
                </c:pt>
                <c:pt idx="209">
                  <c:v>3.4905284204888899E-3</c:v>
                </c:pt>
                <c:pt idx="210">
                  <c:v>3.4276615637074499E-3</c:v>
                </c:pt>
                <c:pt idx="211">
                  <c:v>3.3648758717082102E-3</c:v>
                </c:pt>
                <c:pt idx="212">
                  <c:v>3.3021722610437E-3</c:v>
                </c:pt>
                <c:pt idx="213">
                  <c:v>3.2395516744257E-3</c:v>
                </c:pt>
                <c:pt idx="214">
                  <c:v>3.1770150824574298E-3</c:v>
                </c:pt>
                <c:pt idx="215">
                  <c:v>3.1145634855196001E-3</c:v>
                </c:pt>
                <c:pt idx="216">
                  <c:v>3.05219791582947E-3</c:v>
                </c:pt>
                <c:pt idx="217">
                  <c:v>2.9899194396917701E-3</c:v>
                </c:pt>
                <c:pt idx="218">
                  <c:v>2.92772915996451E-3</c:v>
                </c:pt>
                <c:pt idx="219">
                  <c:v>2.86562821876531E-3</c:v>
                </c:pt>
                <c:pt idx="220">
                  <c:v>2.80361780044304E-3</c:v>
                </c:pt>
                <c:pt idx="221">
                  <c:v>2.7416991348583001E-3</c:v>
                </c:pt>
                <c:pt idx="222">
                  <c:v>2.6798735009999101E-3</c:v>
                </c:pt>
                <c:pt idx="223">
                  <c:v>2.6181422309882098E-3</c:v>
                </c:pt>
                <c:pt idx="224">
                  <c:v>2.5565067145134398E-3</c:v>
                </c:pt>
                <c:pt idx="225">
                  <c:v>2.49496840376994E-3</c:v>
                </c:pt>
                <c:pt idx="226">
                  <c:v>2.4335288189518598E-3</c:v>
                </c:pt>
                <c:pt idx="227">
                  <c:v>2.3721895543916899E-3</c:v>
                </c:pt>
                <c:pt idx="228">
                  <c:v>2.3109522854343899E-3</c:v>
                </c:pt>
                <c:pt idx="229">
                  <c:v>2.2498187761559301E-3</c:v>
                </c:pt>
                <c:pt idx="230">
                  <c:v>2.18879088805181E-3</c:v>
                </c:pt>
                <c:pt idx="231">
                  <c:v>2.1278705898546599E-3</c:v>
                </c:pt>
                <c:pt idx="232">
                  <c:v>2.06705996864762E-3</c:v>
                </c:pt>
                <c:pt idx="233">
                  <c:v>2.0063612425019399E-3</c:v>
                </c:pt>
                <c:pt idx="234">
                  <c:v>1.9457767748829E-3</c:v>
                </c:pt>
                <c:pt idx="235">
                  <c:v>1.88530909113608E-3</c:v>
                </c:pt>
                <c:pt idx="236">
                  <c:v>1.8249608974275099E-3</c:v>
                </c:pt>
                <c:pt idx="237">
                  <c:v>1.7647351025818899E-3</c:v>
                </c:pt>
                <c:pt idx="238">
                  <c:v>1.7046348433722601E-3</c:v>
                </c:pt>
                <c:pt idx="239">
                  <c:v>1.64466351393852E-3</c:v>
                </c:pt>
                <c:pt idx="240">
                  <c:v>1.58482480016016E-3</c:v>
                </c:pt>
                <c:pt idx="241">
                  <c:v>1.5251227200234799E-3</c:v>
                </c:pt>
                <c:pt idx="242">
                  <c:v>1.46556167127816E-3</c:v>
                </c:pt>
                <c:pt idx="243">
                  <c:v>1.4061464880147699E-3</c:v>
                </c:pt>
                <c:pt idx="244">
                  <c:v>1.3468825082343901E-3</c:v>
                </c:pt>
                <c:pt idx="245">
                  <c:v>1.2877756550696E-3</c:v>
                </c:pt>
                <c:pt idx="246">
                  <c:v>1.2288325350829901E-3</c:v>
                </c:pt>
                <c:pt idx="247">
                  <c:v>1.1700605581236301E-3</c:v>
                </c:pt>
                <c:pt idx="248">
                  <c:v>1.1114680846367199E-3</c:v>
                </c:pt>
                <c:pt idx="249">
                  <c:v>1.0530646082846499E-3</c:v>
                </c:pt>
                <c:pt idx="250">
                  <c:v>9.9486098448468992E-4</c:v>
                </c:pt>
                <c:pt idx="251">
                  <c:v>9.3686971933437798E-4</c:v>
                </c:pt>
                <c:pt idx="252">
                  <c:v>8.7910533899684701E-4</c:v>
                </c:pt>
                <c:pt idx="253">
                  <c:v>8.2158486777590797E-4</c:v>
                </c:pt>
                <c:pt idx="254">
                  <c:v>7.6432845529145199E-4</c:v>
                </c:pt>
                <c:pt idx="255">
                  <c:v>7.07360211684495E-4</c:v>
                </c:pt>
                <c:pt idx="256">
                  <c:v>6.5070933857583097E-4</c:v>
                </c:pt>
                <c:pt idx="257">
                  <c:v>5.9441168942321197E-4</c:v>
                </c:pt>
                <c:pt idx="258">
                  <c:v>5.38511968163705E-4</c:v>
                </c:pt>
                <c:pt idx="259">
                  <c:v>4.8306690223763799E-4</c:v>
                </c:pt>
                <c:pt idx="260">
                  <c:v>4.2814994874998998E-4</c:v>
                </c:pt>
                <c:pt idx="261">
                  <c:v>3.7385849795388702E-4</c:v>
                </c:pt>
                <c:pt idx="262">
                  <c:v>3.2032531030127301E-4</c:v>
                </c:pt>
                <c:pt idx="263">
                  <c:v>2.6773747057616499E-4</c:v>
                </c:pt>
                <c:pt idx="264">
                  <c:v>2.1636942838897599E-4</c:v>
                </c:pt>
                <c:pt idx="265">
                  <c:v>1.66644136872384E-4</c:v>
                </c:pt>
                <c:pt idx="266">
                  <c:v>1.1925433205377299E-4</c:v>
                </c:pt>
                <c:pt idx="267" formatCode="0.00E+00">
                  <c:v>7.5422033705405204E-5</c:v>
                </c:pt>
                <c:pt idx="268" formatCode="0.00E+00">
                  <c:v>3.7486647030337003E-5</c:v>
                </c:pt>
                <c:pt idx="269" formatCode="0.00E+00">
                  <c:v>1.01088178020213E-5</c:v>
                </c:pt>
                <c:pt idx="270" formatCode="0.00E+00">
                  <c:v>3.8497457376677897E-6</c:v>
                </c:pt>
                <c:pt idx="271" formatCode="0.00E+00">
                  <c:v>1.81693039610638E-6</c:v>
                </c:pt>
                <c:pt idx="272" formatCode="0.00E+00">
                  <c:v>8.53621500987346E-7</c:v>
                </c:pt>
                <c:pt idx="273" formatCode="0.00E+00">
                  <c:v>4.0051612650585101E-7</c:v>
                </c:pt>
                <c:pt idx="274" formatCode="0.00E+00">
                  <c:v>1.8767072353265099E-7</c:v>
                </c:pt>
                <c:pt idx="275" formatCode="0.00E+00">
                  <c:v>8.7819107018991105E-8</c:v>
                </c:pt>
                <c:pt idx="276" formatCode="0.00E+00">
                  <c:v>4.1038496340466097E-8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Implicit_Fracs!$AE$4:$AE$314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 formatCode="0.00E+00">
                  <c:v>7.0888884270614905E-5</c:v>
                </c:pt>
                <c:pt idx="3">
                  <c:v>1.4221734234945099E-4</c:v>
                </c:pt>
                <c:pt idx="4">
                  <c:v>2.13813324557116E-4</c:v>
                </c:pt>
                <c:pt idx="5">
                  <c:v>2.8559699832001698E-4</c:v>
                </c:pt>
                <c:pt idx="6">
                  <c:v>3.5752012388431102E-4</c:v>
                </c:pt>
                <c:pt idx="7">
                  <c:v>4.2955042564200602E-4</c:v>
                </c:pt>
                <c:pt idx="8">
                  <c:v>5.0166505007882595E-4</c:v>
                </c:pt>
                <c:pt idx="9">
                  <c:v>5.7384713970331895E-4</c:v>
                </c:pt>
                <c:pt idx="10">
                  <c:v>6.4608383320781501E-4</c:v>
                </c:pt>
                <c:pt idx="11">
                  <c:v>7.1836502725362004E-4</c:v>
                </c:pt>
                <c:pt idx="12">
                  <c:v>7.9068257974812496E-4</c:v>
                </c:pt>
                <c:pt idx="13">
                  <c:v>8.6302978154611805E-4</c:v>
                </c:pt>
                <c:pt idx="14">
                  <c:v>9.3540099672468995E-4</c:v>
                </c:pt>
                <c:pt idx="15">
                  <c:v>1.0077914115068801E-3</c:v>
                </c:pt>
                <c:pt idx="16">
                  <c:v>1.0801968548586E-3</c:v>
                </c:pt>
                <c:pt idx="17">
                  <c:v>1.15261366742827E-3</c:v>
                </c:pt>
                <c:pt idx="18">
                  <c:v>1.2250386038022E-3</c:v>
                </c:pt>
                <c:pt idx="19">
                  <c:v>1.2974687582033601E-3</c:v>
                </c:pt>
                <c:pt idx="20">
                  <c:v>1.3699015070226101E-3</c:v>
                </c:pt>
                <c:pt idx="21">
                  <c:v>1.44233446366354E-3</c:v>
                </c:pt>
                <c:pt idx="22">
                  <c:v>1.51476544256004E-3</c:v>
                </c:pt>
                <c:pt idx="23">
                  <c:v>1.5871924301343501E-3</c:v>
                </c:pt>
                <c:pt idx="24">
                  <c:v>1.65961356109142E-3</c:v>
                </c:pt>
                <c:pt idx="25">
                  <c:v>1.73202709886905E-3</c:v>
                </c:pt>
                <c:pt idx="26">
                  <c:v>1.8044314193639401E-3</c:v>
                </c:pt>
                <c:pt idx="27">
                  <c:v>1.87682499727372E-3</c:v>
                </c:pt>
                <c:pt idx="28">
                  <c:v>1.94920639454498E-3</c:v>
                </c:pt>
                <c:pt idx="29">
                  <c:v>2.0215742505347201E-3</c:v>
                </c:pt>
                <c:pt idx="30">
                  <c:v>2.0939272735783199E-3</c:v>
                </c:pt>
                <c:pt idx="31">
                  <c:v>2.1662642337196502E-3</c:v>
                </c:pt>
                <c:pt idx="32">
                  <c:v>2.23858395640877E-3</c:v>
                </c:pt>
                <c:pt idx="33">
                  <c:v>2.3108853170125598E-3</c:v>
                </c:pt>
                <c:pt idx="34">
                  <c:v>2.3831672360087098E-3</c:v>
                </c:pt>
                <c:pt idx="35">
                  <c:v>2.4554286747612499E-3</c:v>
                </c:pt>
                <c:pt idx="36">
                  <c:v>2.5276686317913899E-3</c:v>
                </c:pt>
                <c:pt idx="37">
                  <c:v>2.5998861394736701E-3</c:v>
                </c:pt>
                <c:pt idx="38">
                  <c:v>2.6720806914546798E-3</c:v>
                </c:pt>
                <c:pt idx="39">
                  <c:v>2.7442518184224601E-3</c:v>
                </c:pt>
                <c:pt idx="40">
                  <c:v>2.8163990679085098E-3</c:v>
                </c:pt>
                <c:pt idx="41">
                  <c:v>2.8885220029422E-3</c:v>
                </c:pt>
                <c:pt idx="42">
                  <c:v>2.9606202008401299E-3</c:v>
                </c:pt>
                <c:pt idx="43">
                  <c:v>3.0326932521087999E-3</c:v>
                </c:pt>
                <c:pt idx="44">
                  <c:v>3.1047407594518902E-3</c:v>
                </c:pt>
                <c:pt idx="45">
                  <c:v>3.1767623368680101E-3</c:v>
                </c:pt>
                <c:pt idx="46">
                  <c:v>3.2487576088280402E-3</c:v>
                </c:pt>
                <c:pt idx="47">
                  <c:v>3.3207262095248098E-3</c:v>
                </c:pt>
                <c:pt idx="48">
                  <c:v>3.3926677821865801E-3</c:v>
                </c:pt>
                <c:pt idx="49">
                  <c:v>3.4645819784467099E-3</c:v>
                </c:pt>
                <c:pt idx="50">
                  <c:v>3.5364684577668102E-3</c:v>
                </c:pt>
                <c:pt idx="51">
                  <c:v>3.6083268869033899E-3</c:v>
                </c:pt>
                <c:pt idx="52">
                  <c:v>3.6801569394182602E-3</c:v>
                </c:pt>
                <c:pt idx="53">
                  <c:v>3.75195829522362E-3</c:v>
                </c:pt>
                <c:pt idx="54">
                  <c:v>3.8237306401640702E-3</c:v>
                </c:pt>
                <c:pt idx="55">
                  <c:v>3.89547366562654E-3</c:v>
                </c:pt>
                <c:pt idx="56">
                  <c:v>3.9671870681810897E-3</c:v>
                </c:pt>
                <c:pt idx="57">
                  <c:v>4.0388705492430598E-3</c:v>
                </c:pt>
                <c:pt idx="58">
                  <c:v>4.1105238147620699E-3</c:v>
                </c:pt>
                <c:pt idx="59">
                  <c:v>4.1821465749298202E-3</c:v>
                </c:pt>
                <c:pt idx="60">
                  <c:v>4.2537385439081997E-3</c:v>
                </c:pt>
                <c:pt idx="61">
                  <c:v>4.3252994395743998E-3</c:v>
                </c:pt>
                <c:pt idx="62">
                  <c:v>4.3968289832824296E-3</c:v>
                </c:pt>
                <c:pt idx="63">
                  <c:v>4.4683268996386603E-3</c:v>
                </c:pt>
                <c:pt idx="64">
                  <c:v>4.53979291629343E-3</c:v>
                </c:pt>
                <c:pt idx="65">
                  <c:v>4.6112267637410699E-3</c:v>
                </c:pt>
                <c:pt idx="66">
                  <c:v>4.6826281751372297E-3</c:v>
                </c:pt>
                <c:pt idx="67">
                  <c:v>4.7539968861191901E-3</c:v>
                </c:pt>
                <c:pt idx="68">
                  <c:v>4.8253326346441297E-3</c:v>
                </c:pt>
                <c:pt idx="69">
                  <c:v>4.8966351608312102E-3</c:v>
                </c:pt>
                <c:pt idx="70">
                  <c:v>4.9679042068131703E-3</c:v>
                </c:pt>
                <c:pt idx="71">
                  <c:v>5.0391395165973896E-3</c:v>
                </c:pt>
                <c:pt idx="72">
                  <c:v>5.1103408359319102E-3</c:v>
                </c:pt>
                <c:pt idx="73">
                  <c:v>5.1815079121789002E-3</c:v>
                </c:pt>
                <c:pt idx="74">
                  <c:v>5.2526404941970499E-3</c:v>
                </c:pt>
                <c:pt idx="75">
                  <c:v>5.3237383322241299E-3</c:v>
                </c:pt>
                <c:pt idx="76">
                  <c:v>5.3948011777708096E-3</c:v>
                </c:pt>
                <c:pt idx="77">
                  <c:v>5.46582878351589E-3</c:v>
                </c:pt>
                <c:pt idx="78">
                  <c:v>5.5368209032077096E-3</c:v>
                </c:pt>
                <c:pt idx="79">
                  <c:v>5.6077772915697401E-3</c:v>
                </c:pt>
                <c:pt idx="80">
                  <c:v>5.6786977042090998E-3</c:v>
                </c:pt>
                <c:pt idx="81">
                  <c:v>5.7495818975308701E-3</c:v>
                </c:pt>
                <c:pt idx="82">
                  <c:v>5.8204296286539104E-3</c:v>
                </c:pt>
                <c:pt idx="83">
                  <c:v>5.8912406553327098E-3</c:v>
                </c:pt>
                <c:pt idx="84">
                  <c:v>5.9620147358800503E-3</c:v>
                </c:pt>
                <c:pt idx="85">
                  <c:v>6.0327516290915196E-3</c:v>
                </c:pt>
                <c:pt idx="86">
                  <c:v>6.10345109417756E-3</c:v>
                </c:pt>
                <c:pt idx="87">
                  <c:v>6.1741128906922498E-3</c:v>
                </c:pt>
                <c:pt idx="88">
                  <c:v>6.2447367784696098E-3</c:v>
                </c:pt>
                <c:pt idx="89">
                  <c:v>6.3153225175572496E-3</c:v>
                </c:pt>
                <c:pt idx="90">
                  <c:v>6.3858698681573496E-3</c:v>
                </c:pt>
                <c:pt idx="91">
                  <c:v>6.4563785905641597E-3</c:v>
                </c:pt>
                <c:pt idx="92">
                  <c:v>6.5268484451092403E-3</c:v>
                </c:pt>
                <c:pt idx="93">
                  <c:v>6.5972791921024504E-3</c:v>
                </c:pt>
                <c:pt idx="94">
                  <c:v>6.6676705917780403E-3</c:v>
                </c:pt>
                <c:pt idx="95">
                  <c:v>6.7380224042439202E-3</c:v>
                </c:pt>
                <c:pt idx="96">
                  <c:v>6.8083343894268199E-3</c:v>
                </c:pt>
                <c:pt idx="97">
                  <c:v>6.8786063070231003E-3</c:v>
                </c:pt>
                <c:pt idx="98">
                  <c:v>6.9488379164513196E-3</c:v>
                </c:pt>
                <c:pt idx="99">
                  <c:v>7.0190289768025903E-3</c:v>
                </c:pt>
                <c:pt idx="100">
                  <c:v>7.0891792467931303E-3</c:v>
                </c:pt>
                <c:pt idx="101">
                  <c:v>7.1592884847203201E-3</c:v>
                </c:pt>
                <c:pt idx="102">
                  <c:v>7.2293564484181803E-3</c:v>
                </c:pt>
                <c:pt idx="103">
                  <c:v>7.2993828952104996E-3</c:v>
                </c:pt>
                <c:pt idx="104">
                  <c:v>7.3693675818699601E-3</c:v>
                </c:pt>
                <c:pt idx="105">
                  <c:v>7.4393102645754902E-3</c:v>
                </c:pt>
                <c:pt idx="106">
                  <c:v>7.5092106988696701E-3</c:v>
                </c:pt>
                <c:pt idx="107">
                  <c:v>7.5790686396182303E-3</c:v>
                </c:pt>
                <c:pt idx="108">
                  <c:v>7.6488838409697803E-3</c:v>
                </c:pt>
                <c:pt idx="109">
                  <c:v>7.7186560563149596E-3</c:v>
                </c:pt>
                <c:pt idx="110">
                  <c:v>7.7883850382483499E-3</c:v>
                </c:pt>
                <c:pt idx="111">
                  <c:v>7.8580705385283608E-3</c:v>
                </c:pt>
                <c:pt idx="112">
                  <c:v>7.9277123080379302E-3</c:v>
                </c:pt>
                <c:pt idx="113">
                  <c:v>7.9973100967480008E-3</c:v>
                </c:pt>
                <c:pt idx="114">
                  <c:v>8.0668636536781902E-3</c:v>
                </c:pt>
                <c:pt idx="115">
                  <c:v>8.1363727268597592E-3</c:v>
                </c:pt>
                <c:pt idx="116">
                  <c:v>8.2058370632990003E-3</c:v>
                </c:pt>
                <c:pt idx="117">
                  <c:v>8.2752564089364801E-3</c:v>
                </c:pt>
                <c:pt idx="118">
                  <c:v>8.3446305086151001E-3</c:v>
                </c:pt>
                <c:pt idx="119">
                  <c:v>8.4139591060379808E-3</c:v>
                </c:pt>
                <c:pt idx="120">
                  <c:v>8.4832419437353007E-3</c:v>
                </c:pt>
                <c:pt idx="121">
                  <c:v>8.5524787630264307E-3</c:v>
                </c:pt>
                <c:pt idx="122">
                  <c:v>8.6216693039820602E-3</c:v>
                </c:pt>
                <c:pt idx="123">
                  <c:v>8.6908133053889194E-3</c:v>
                </c:pt>
                <c:pt idx="124">
                  <c:v>8.7599105047106596E-3</c:v>
                </c:pt>
                <c:pt idx="125">
                  <c:v>8.82896063805369E-3</c:v>
                </c:pt>
                <c:pt idx="126">
                  <c:v>8.8979634401281302E-3</c:v>
                </c:pt>
                <c:pt idx="127">
                  <c:v>8.9669186442112494E-3</c:v>
                </c:pt>
                <c:pt idx="128">
                  <c:v>9.0358259821099098E-3</c:v>
                </c:pt>
                <c:pt idx="129">
                  <c:v>9.1046851841229803E-3</c:v>
                </c:pt>
                <c:pt idx="130">
                  <c:v>9.1734959790033301E-3</c:v>
                </c:pt>
                <c:pt idx="131">
                  <c:v>9.24225809391983E-3</c:v>
                </c:pt>
                <c:pt idx="132">
                  <c:v>9.3109712544191103E-3</c:v>
                </c:pt>
                <c:pt idx="133">
                  <c:v>9.3796351843853393E-3</c:v>
                </c:pt>
                <c:pt idx="134">
                  <c:v>9.4482496060022507E-3</c:v>
                </c:pt>
                <c:pt idx="135">
                  <c:v>9.5168142397153103E-3</c:v>
                </c:pt>
                <c:pt idx="136">
                  <c:v>9.5853288041869694E-3</c:v>
                </c:pt>
                <c:pt idx="137">
                  <c:v>9.6537930162591806E-3</c:v>
                </c:pt>
                <c:pt idx="138">
                  <c:v>9.7222065909113291E-3</c:v>
                </c:pt>
                <c:pt idx="139">
                  <c:v>9.7905692412201106E-3</c:v>
                </c:pt>
                <c:pt idx="140">
                  <c:v>9.8588806783148197E-3</c:v>
                </c:pt>
                <c:pt idx="141">
                  <c:v>9.9271406113352906E-3</c:v>
                </c:pt>
                <c:pt idx="142">
                  <c:v>9.9953487473885393E-3</c:v>
                </c:pt>
                <c:pt idx="143">
                  <c:v>1.00635047915033E-2</c:v>
                </c:pt>
                <c:pt idx="144">
                  <c:v>1.01316084465873E-2</c:v>
                </c:pt>
                <c:pt idx="145">
                  <c:v>1.0199659413377001E-2</c:v>
                </c:pt>
                <c:pt idx="146">
                  <c:v>1.0267657390393901E-2</c:v>
                </c:pt>
                <c:pt idx="147">
                  <c:v>1.03356020738958E-2</c:v>
                </c:pt>
                <c:pt idx="148">
                  <c:v>1.0403493157826901E-2</c:v>
                </c:pt>
                <c:pt idx="149">
                  <c:v>1.0471330333768901E-2</c:v>
                </c:pt>
                <c:pt idx="150">
                  <c:v>1.0539113290889199E-2</c:v>
                </c:pt>
                <c:pt idx="151">
                  <c:v>1.0606841715888301E-2</c:v>
                </c:pt>
                <c:pt idx="152">
                  <c:v>1.0674515292947899E-2</c:v>
                </c:pt>
                <c:pt idx="153">
                  <c:v>1.0742133703674399E-2</c:v>
                </c:pt>
                <c:pt idx="154">
                  <c:v>1.0809696627043E-2</c:v>
                </c:pt>
                <c:pt idx="155">
                  <c:v>1.0877203739339701E-2</c:v>
                </c:pt>
                <c:pt idx="156">
                  <c:v>1.09446547141032E-2</c:v>
                </c:pt>
                <c:pt idx="157">
                  <c:v>1.10120492220631E-2</c:v>
                </c:pt>
                <c:pt idx="158">
                  <c:v>1.1079386931077099E-2</c:v>
                </c:pt>
                <c:pt idx="159">
                  <c:v>1.11466675060665E-2</c:v>
                </c:pt>
                <c:pt idx="160">
                  <c:v>1.1213890608951499E-2</c:v>
                </c:pt>
                <c:pt idx="161">
                  <c:v>1.12810558985803E-2</c:v>
                </c:pt>
                <c:pt idx="162">
                  <c:v>1.1348163030660399E-2</c:v>
                </c:pt>
                <c:pt idx="163">
                  <c:v>1.14152116576848E-2</c:v>
                </c:pt>
                <c:pt idx="164">
                  <c:v>1.1482201428858E-2</c:v>
                </c:pt>
                <c:pt idx="165">
                  <c:v>1.1549131990017799E-2</c:v>
                </c:pt>
                <c:pt idx="166">
                  <c:v>1.16160029835551E-2</c:v>
                </c:pt>
                <c:pt idx="167">
                  <c:v>1.16828140483286E-2</c:v>
                </c:pt>
                <c:pt idx="168">
                  <c:v>1.17495648195823E-2</c:v>
                </c:pt>
                <c:pt idx="169">
                  <c:v>1.18162549288547E-2</c:v>
                </c:pt>
                <c:pt idx="170">
                  <c:v>1.1882884003885701E-2</c:v>
                </c:pt>
                <c:pt idx="171">
                  <c:v>1.19494516685203E-2</c:v>
                </c:pt>
                <c:pt idx="172">
                  <c:v>1.20159575426096E-2</c:v>
                </c:pt>
                <c:pt idx="173">
                  <c:v>1.2082401241905299E-2</c:v>
                </c:pt>
                <c:pt idx="174">
                  <c:v>1.2148782377954999E-2</c:v>
                </c:pt>
                <c:pt idx="175">
                  <c:v>1.22151005579848E-2</c:v>
                </c:pt>
                <c:pt idx="176">
                  <c:v>1.22813553847861E-2</c:v>
                </c:pt>
                <c:pt idx="177">
                  <c:v>1.2347546456590201E-2</c:v>
                </c:pt>
                <c:pt idx="178">
                  <c:v>1.24136733669423E-2</c:v>
                </c:pt>
                <c:pt idx="179">
                  <c:v>1.24797357045652E-2</c:v>
                </c:pt>
                <c:pt idx="180">
                  <c:v>1.25457330532234E-2</c:v>
                </c:pt>
                <c:pt idx="181">
                  <c:v>1.26116649915734E-2</c:v>
                </c:pt>
                <c:pt idx="182">
                  <c:v>1.267753109301E-2</c:v>
                </c:pt>
                <c:pt idx="183">
                  <c:v>1.27433309255095E-2</c:v>
                </c:pt>
                <c:pt idx="184">
                  <c:v>1.28090640514547E-2</c:v>
                </c:pt>
                <c:pt idx="185">
                  <c:v>1.28747300274639E-2</c:v>
                </c:pt>
                <c:pt idx="186">
                  <c:v>1.29403284041976E-2</c:v>
                </c:pt>
                <c:pt idx="187">
                  <c:v>1.30058587261679E-2</c:v>
                </c:pt>
                <c:pt idx="188">
                  <c:v>1.3071320531526801E-2</c:v>
                </c:pt>
                <c:pt idx="189">
                  <c:v>1.3136713351849899E-2</c:v>
                </c:pt>
                <c:pt idx="190">
                  <c:v>1.3202036711905899E-2</c:v>
                </c:pt>
                <c:pt idx="191">
                  <c:v>1.3267290129411601E-2</c:v>
                </c:pt>
                <c:pt idx="192">
                  <c:v>1.3332473114774901E-2</c:v>
                </c:pt>
                <c:pt idx="193">
                  <c:v>1.3397585170820301E-2</c:v>
                </c:pt>
                <c:pt idx="194">
                  <c:v>1.34626257925006E-2</c:v>
                </c:pt>
                <c:pt idx="195">
                  <c:v>1.35275944665872E-2</c:v>
                </c:pt>
                <c:pt idx="196">
                  <c:v>1.3592490671345801E-2</c:v>
                </c:pt>
                <c:pt idx="197">
                  <c:v>1.3657313876186499E-2</c:v>
                </c:pt>
                <c:pt idx="198">
                  <c:v>1.37220635412944E-2</c:v>
                </c:pt>
                <c:pt idx="199">
                  <c:v>1.37867391172338E-2</c:v>
                </c:pt>
                <c:pt idx="200">
                  <c:v>1.38513400445278E-2</c:v>
                </c:pt>
                <c:pt idx="201">
                  <c:v>1.3915865753206001E-2</c:v>
                </c:pt>
                <c:pt idx="202">
                  <c:v>1.39803156623227E-2</c:v>
                </c:pt>
                <c:pt idx="203">
                  <c:v>1.40446891794394E-2</c:v>
                </c:pt>
                <c:pt idx="204">
                  <c:v>1.4108985700071399E-2</c:v>
                </c:pt>
                <c:pt idx="205">
                  <c:v>1.4173204607089099E-2</c:v>
                </c:pt>
                <c:pt idx="206">
                  <c:v>1.42373452700782E-2</c:v>
                </c:pt>
                <c:pt idx="207">
                  <c:v>1.43014070446498E-2</c:v>
                </c:pt>
                <c:pt idx="208">
                  <c:v>1.43653892716921E-2</c:v>
                </c:pt>
                <c:pt idx="209">
                  <c:v>1.4429291276565601E-2</c:v>
                </c:pt>
                <c:pt idx="210">
                  <c:v>1.44931123682324E-2</c:v>
                </c:pt>
                <c:pt idx="211">
                  <c:v>1.45568518383102E-2</c:v>
                </c:pt>
                <c:pt idx="212">
                  <c:v>1.46205089600466E-2</c:v>
                </c:pt>
                <c:pt idx="213">
                  <c:v>1.46840829872043E-2</c:v>
                </c:pt>
                <c:pt idx="214">
                  <c:v>1.47475731528458E-2</c:v>
                </c:pt>
                <c:pt idx="215">
                  <c:v>1.48109786680094E-2</c:v>
                </c:pt>
                <c:pt idx="216">
                  <c:v>1.48742987202614E-2</c:v>
                </c:pt>
                <c:pt idx="217">
                  <c:v>1.4937532472110601E-2</c:v>
                </c:pt>
                <c:pt idx="218">
                  <c:v>1.50006790592701E-2</c:v>
                </c:pt>
                <c:pt idx="219">
                  <c:v>1.5063737588745799E-2</c:v>
                </c:pt>
                <c:pt idx="220">
                  <c:v>1.51267071367359E-2</c:v>
                </c:pt>
                <c:pt idx="221">
                  <c:v>1.51895867463069E-2</c:v>
                </c:pt>
                <c:pt idx="222">
                  <c:v>1.52523754248295E-2</c:v>
                </c:pt>
                <c:pt idx="223">
                  <c:v>1.53150721411346E-2</c:v>
                </c:pt>
                <c:pt idx="224">
                  <c:v>1.5377675822356799E-2</c:v>
                </c:pt>
                <c:pt idx="225">
                  <c:v>1.5440185350418099E-2</c:v>
                </c:pt>
                <c:pt idx="226">
                  <c:v>1.5502599558106201E-2</c:v>
                </c:pt>
                <c:pt idx="227">
                  <c:v>1.55649172246868E-2</c:v>
                </c:pt>
                <c:pt idx="228">
                  <c:v>1.5627137070981501E-2</c:v>
                </c:pt>
                <c:pt idx="229">
                  <c:v>1.56892577538312E-2</c:v>
                </c:pt>
                <c:pt idx="230">
                  <c:v>1.57512778598537E-2</c:v>
                </c:pt>
                <c:pt idx="231">
                  <c:v>1.5813195898375699E-2</c:v>
                </c:pt>
                <c:pt idx="232">
                  <c:v>1.5875010293418399E-2</c:v>
                </c:pt>
                <c:pt idx="233">
                  <c:v>1.5936719374565401E-2</c:v>
                </c:pt>
                <c:pt idx="234">
                  <c:v>1.5998321366532502E-2</c:v>
                </c:pt>
                <c:pt idx="235">
                  <c:v>1.6059814377207601E-2</c:v>
                </c:pt>
                <c:pt idx="236">
                  <c:v>1.61211963838809E-2</c:v>
                </c:pt>
                <c:pt idx="237">
                  <c:v>1.61824652173348E-2</c:v>
                </c:pt>
                <c:pt idx="238">
                  <c:v>1.6243618543378999E-2</c:v>
                </c:pt>
                <c:pt idx="239">
                  <c:v>1.63046538413213E-2</c:v>
                </c:pt>
                <c:pt idx="240">
                  <c:v>1.63655683787556E-2</c:v>
                </c:pt>
                <c:pt idx="241">
                  <c:v>1.6426359181881199E-2</c:v>
                </c:pt>
                <c:pt idx="242">
                  <c:v>1.6487023000376501E-2</c:v>
                </c:pt>
                <c:pt idx="243">
                  <c:v>1.65475562655907E-2</c:v>
                </c:pt>
                <c:pt idx="244">
                  <c:v>1.6607955040482E-2</c:v>
                </c:pt>
                <c:pt idx="245">
                  <c:v>1.6668214959278602E-2</c:v>
                </c:pt>
                <c:pt idx="246">
                  <c:v>1.6728331154247301E-2</c:v>
                </c:pt>
                <c:pt idx="247">
                  <c:v>1.6788298166142999E-2</c:v>
                </c:pt>
                <c:pt idx="248">
                  <c:v>1.6848109833813699E-2</c:v>
                </c:pt>
                <c:pt idx="249">
                  <c:v>1.69077591569151E-2</c:v>
                </c:pt>
                <c:pt idx="250">
                  <c:v>1.6967238123545999E-2</c:v>
                </c:pt>
                <c:pt idx="251">
                  <c:v>1.7026537491598399E-2</c:v>
                </c:pt>
                <c:pt idx="252">
                  <c:v>1.7085646508220399E-2</c:v>
                </c:pt>
                <c:pt idx="253">
                  <c:v>1.7144552545377698E-2</c:v>
                </c:pt>
                <c:pt idx="254">
                  <c:v>1.7203240619871898E-2</c:v>
                </c:pt>
                <c:pt idx="255">
                  <c:v>1.72616927514961E-2</c:v>
                </c:pt>
                <c:pt idx="256">
                  <c:v>1.73198870900729E-2</c:v>
                </c:pt>
                <c:pt idx="257">
                  <c:v>1.73777967053802E-2</c:v>
                </c:pt>
                <c:pt idx="258">
                  <c:v>1.7435387873479199E-2</c:v>
                </c:pt>
                <c:pt idx="259">
                  <c:v>1.7492617590119101E-2</c:v>
                </c:pt>
                <c:pt idx="260">
                  <c:v>1.7549429860847301E-2</c:v>
                </c:pt>
                <c:pt idx="261">
                  <c:v>1.7605749985642599E-2</c:v>
                </c:pt>
                <c:pt idx="262">
                  <c:v>1.76614754195129E-2</c:v>
                </c:pt>
                <c:pt idx="263">
                  <c:v>1.7716460505047198E-2</c:v>
                </c:pt>
                <c:pt idx="264">
                  <c:v>1.77704896195084E-2</c:v>
                </c:pt>
                <c:pt idx="265">
                  <c:v>1.7823226985952401E-2</c:v>
                </c:pt>
                <c:pt idx="266">
                  <c:v>1.78741160360932E-2</c:v>
                </c:pt>
                <c:pt idx="267">
                  <c:v>1.7922162095824999E-2</c:v>
                </c:pt>
                <c:pt idx="268">
                  <c:v>1.79654439331061E-2</c:v>
                </c:pt>
                <c:pt idx="269">
                  <c:v>1.80003055194915E-2</c:v>
                </c:pt>
                <c:pt idx="270">
                  <c:v>1.80300802932543E-2</c:v>
                </c:pt>
                <c:pt idx="271">
                  <c:v>1.8070280474794601E-2</c:v>
                </c:pt>
                <c:pt idx="272">
                  <c:v>1.81104238353277E-2</c:v>
                </c:pt>
                <c:pt idx="273">
                  <c:v>1.8150725662101099E-2</c:v>
                </c:pt>
                <c:pt idx="274">
                  <c:v>1.8191196765548E-2</c:v>
                </c:pt>
                <c:pt idx="275">
                  <c:v>1.8231842862524501E-2</c:v>
                </c:pt>
                <c:pt idx="276">
                  <c:v>1.8272667255829302E-2</c:v>
                </c:pt>
                <c:pt idx="277">
                  <c:v>1.8272667255829302E-2</c:v>
                </c:pt>
                <c:pt idx="278">
                  <c:v>1.8272667255829302E-2</c:v>
                </c:pt>
                <c:pt idx="279">
                  <c:v>1.8272667255829302E-2</c:v>
                </c:pt>
                <c:pt idx="280">
                  <c:v>1.8272667255829302E-2</c:v>
                </c:pt>
                <c:pt idx="281">
                  <c:v>1.8272667255829302E-2</c:v>
                </c:pt>
                <c:pt idx="282">
                  <c:v>1.8272667255829302E-2</c:v>
                </c:pt>
                <c:pt idx="283">
                  <c:v>1.8272667255829302E-2</c:v>
                </c:pt>
                <c:pt idx="284">
                  <c:v>1.8272667255829302E-2</c:v>
                </c:pt>
                <c:pt idx="285">
                  <c:v>1.8272667255829302E-2</c:v>
                </c:pt>
                <c:pt idx="286">
                  <c:v>1.8272667255829302E-2</c:v>
                </c:pt>
                <c:pt idx="287">
                  <c:v>1.8272667255829302E-2</c:v>
                </c:pt>
                <c:pt idx="288">
                  <c:v>1.8272667255829302E-2</c:v>
                </c:pt>
                <c:pt idx="289">
                  <c:v>1.8272667255829302E-2</c:v>
                </c:pt>
                <c:pt idx="290">
                  <c:v>1.8272667255829302E-2</c:v>
                </c:pt>
                <c:pt idx="291">
                  <c:v>1.8272667255829302E-2</c:v>
                </c:pt>
                <c:pt idx="292">
                  <c:v>1.8272667255829302E-2</c:v>
                </c:pt>
                <c:pt idx="293">
                  <c:v>1.8272667255829302E-2</c:v>
                </c:pt>
                <c:pt idx="294">
                  <c:v>1.8272667255829302E-2</c:v>
                </c:pt>
                <c:pt idx="295">
                  <c:v>1.8272667255829302E-2</c:v>
                </c:pt>
                <c:pt idx="296">
                  <c:v>1.8272667255829302E-2</c:v>
                </c:pt>
                <c:pt idx="297">
                  <c:v>1.8272667255829302E-2</c:v>
                </c:pt>
                <c:pt idx="298">
                  <c:v>1.8272667255829302E-2</c:v>
                </c:pt>
                <c:pt idx="299">
                  <c:v>1.8272667255829302E-2</c:v>
                </c:pt>
                <c:pt idx="300">
                  <c:v>1.8272667255829302E-2</c:v>
                </c:pt>
                <c:pt idx="301">
                  <c:v>1.8272667255829302E-2</c:v>
                </c:pt>
                <c:pt idx="302">
                  <c:v>1.8272667255829302E-2</c:v>
                </c:pt>
                <c:pt idx="303">
                  <c:v>1.8272667255829302E-2</c:v>
                </c:pt>
                <c:pt idx="304">
                  <c:v>1.8272667255829302E-2</c:v>
                </c:pt>
                <c:pt idx="305">
                  <c:v>1.8272667255829302E-2</c:v>
                </c:pt>
                <c:pt idx="306">
                  <c:v>1.8272667255829302E-2</c:v>
                </c:pt>
                <c:pt idx="307">
                  <c:v>1.8272667255829302E-2</c:v>
                </c:pt>
                <c:pt idx="308">
                  <c:v>1.8272667255829302E-2</c:v>
                </c:pt>
                <c:pt idx="309">
                  <c:v>1.8272667255829302E-2</c:v>
                </c:pt>
                <c:pt idx="310">
                  <c:v>1.8272667255829302E-2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Implicit_Fracs!$AF$4:$AF$314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Implicit_Fracs!$S$4:$S$314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2.4994812228917099E-3</c:v>
                </c:pt>
                <c:pt idx="281">
                  <c:v>4.7684619117145102E-3</c:v>
                </c:pt>
                <c:pt idx="282">
                  <c:v>6.9056185820889002E-3</c:v>
                </c:pt>
                <c:pt idx="283">
                  <c:v>8.9048610448910805E-3</c:v>
                </c:pt>
                <c:pt idx="284">
                  <c:v>1.0761758010780499E-2</c:v>
                </c:pt>
                <c:pt idx="285">
                  <c:v>1.24721125294192E-2</c:v>
                </c:pt>
                <c:pt idx="286">
                  <c:v>1.4031629454558299E-2</c:v>
                </c:pt>
                <c:pt idx="287">
                  <c:v>1.54357724654875E-2</c:v>
                </c:pt>
                <c:pt idx="288">
                  <c:v>1.6679665409734701E-2</c:v>
                </c:pt>
                <c:pt idx="289">
                  <c:v>1.77579984891564E-2</c:v>
                </c:pt>
                <c:pt idx="290">
                  <c:v>1.86649226551737E-2</c:v>
                </c:pt>
                <c:pt idx="291">
                  <c:v>1.93939208560952E-2</c:v>
                </c:pt>
                <c:pt idx="292">
                  <c:v>1.9937644605469099E-2</c:v>
                </c:pt>
                <c:pt idx="293">
                  <c:v>2.0287701402682198E-2</c:v>
                </c:pt>
                <c:pt idx="294">
                  <c:v>2.04343731219176E-2</c:v>
                </c:pt>
                <c:pt idx="295">
                  <c:v>2.0366236892484801E-2</c:v>
                </c:pt>
                <c:pt idx="296">
                  <c:v>2.0069646758815899E-2</c:v>
                </c:pt>
                <c:pt idx="297">
                  <c:v>1.95280142501024E-2</c:v>
                </c:pt>
                <c:pt idx="298">
                  <c:v>1.87207960454179E-2</c:v>
                </c:pt>
                <c:pt idx="299">
                  <c:v>1.76220560369982E-2</c:v>
                </c:pt>
                <c:pt idx="300">
                  <c:v>1.6198429664218202E-2</c:v>
                </c:pt>
                <c:pt idx="301">
                  <c:v>1.4406361846654499E-2</c:v>
                </c:pt>
                <c:pt idx="302">
                  <c:v>1.21890356660767E-2</c:v>
                </c:pt>
                <c:pt idx="303">
                  <c:v>9.4766620867764804E-3</c:v>
                </c:pt>
                <c:pt idx="304">
                  <c:v>6.2128881937670204E-3</c:v>
                </c:pt>
                <c:pt idx="305">
                  <c:v>2.5573606924941699E-3</c:v>
                </c:pt>
                <c:pt idx="306" formatCode="0.00E+00">
                  <c:v>8.5418025680666796E-5</c:v>
                </c:pt>
                <c:pt idx="307" formatCode="0.00E+00">
                  <c:v>4.2434942335954797E-8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Implicit_Fracs!$T$4:$T$314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1.9936751181377901E-4</c:v>
                </c:pt>
                <c:pt idx="282">
                  <c:v>5.3218784339779295E-4</c:v>
                </c:pt>
                <c:pt idx="283">
                  <c:v>1.001740618891E-3</c:v>
                </c:pt>
                <c:pt idx="284">
                  <c:v>1.6114187607245E-3</c:v>
                </c:pt>
                <c:pt idx="285">
                  <c:v>2.3647934129077701E-3</c:v>
                </c:pt>
                <c:pt idx="286">
                  <c:v>3.2656585549448698E-3</c:v>
                </c:pt>
                <c:pt idx="287">
                  <c:v>4.3180762353493499E-3</c:v>
                </c:pt>
                <c:pt idx="288">
                  <c:v>5.5264288852142204E-3</c:v>
                </c:pt>
                <c:pt idx="289">
                  <c:v>6.8954829500043396E-3</c:v>
                </c:pt>
                <c:pt idx="290">
                  <c:v>8.4304682329623196E-3</c:v>
                </c:pt>
                <c:pt idx="291">
                  <c:v>1.01371784218334E-2</c:v>
                </c:pt>
                <c:pt idx="292">
                  <c:v>1.20221000710656E-2</c:v>
                </c:pt>
                <c:pt idx="293">
                  <c:v>1.40925799624945E-2</c:v>
                </c:pt>
                <c:pt idx="294">
                  <c:v>1.6357044558973799E-2</c:v>
                </c:pt>
                <c:pt idx="295">
                  <c:v>1.8825290601192202E-2</c:v>
                </c:pt>
                <c:pt idx="296">
                  <c:v>2.1508873186603099E-2</c:v>
                </c:pt>
                <c:pt idx="297">
                  <c:v>2.44216268807111E-2</c:v>
                </c:pt>
                <c:pt idx="298">
                  <c:v>2.75803644460666E-2</c:v>
                </c:pt>
                <c:pt idx="299">
                  <c:v>3.1005796693267699E-2</c:v>
                </c:pt>
                <c:pt idx="300">
                  <c:v>3.4723667056939002E-2</c:v>
                </c:pt>
                <c:pt idx="301">
                  <c:v>3.8765847678062203E-2</c:v>
                </c:pt>
                <c:pt idx="302">
                  <c:v>4.3170100546244601E-2</c:v>
                </c:pt>
                <c:pt idx="303">
                  <c:v>4.7972664363606102E-2</c:v>
                </c:pt>
                <c:pt idx="304">
                  <c:v>5.3165586117317899E-2</c:v>
                </c:pt>
                <c:pt idx="305">
                  <c:v>5.8464013844350099E-2</c:v>
                </c:pt>
                <c:pt idx="306">
                  <c:v>6.2230770876320098E-2</c:v>
                </c:pt>
                <c:pt idx="307">
                  <c:v>6.2316146467058499E-2</c:v>
                </c:pt>
                <c:pt idx="308">
                  <c:v>6.2316188902000802E-2</c:v>
                </c:pt>
                <c:pt idx="309">
                  <c:v>6.2316188902000802E-2</c:v>
                </c:pt>
                <c:pt idx="310">
                  <c:v>6.2316188902000802E-2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Implicit_Fracs!$U$4:$U$314</c:f>
              <c:numCache>
                <c:formatCode>General</c:formatCode>
                <c:ptCount val="311"/>
                <c:pt idx="0">
                  <c:v>1</c:v>
                </c:pt>
                <c:pt idx="1">
                  <c:v>1</c:v>
                </c:pt>
                <c:pt idx="2">
                  <c:v>0.99829887094290803</c:v>
                </c:pt>
                <c:pt idx="3">
                  <c:v>0.99631710571151699</c:v>
                </c:pt>
                <c:pt idx="4">
                  <c:v>0.994335538244842</c:v>
                </c:pt>
                <c:pt idx="5">
                  <c:v>0.992410110111413</c:v>
                </c:pt>
                <c:pt idx="6">
                  <c:v>0.99054076274704705</c:v>
                </c:pt>
                <c:pt idx="7">
                  <c:v>0.98871548727314496</c:v>
                </c:pt>
                <c:pt idx="8">
                  <c:v>0.98692229043330404</c:v>
                </c:pt>
                <c:pt idx="9">
                  <c:v>0.98515184268220002</c:v>
                </c:pt>
                <c:pt idx="10">
                  <c:v>0.98339747427832003</c:v>
                </c:pt>
                <c:pt idx="11">
                  <c:v>0.98165457108329701</c:v>
                </c:pt>
                <c:pt idx="12">
                  <c:v>0.979919971295237</c:v>
                </c:pt>
                <c:pt idx="13">
                  <c:v>0.97819150132519395</c:v>
                </c:pt>
                <c:pt idx="14">
                  <c:v>0.97646765060171403</c:v>
                </c:pt>
                <c:pt idx="15">
                  <c:v>0.97474735290661896</c:v>
                </c:pt>
                <c:pt idx="16">
                  <c:v>0.97302984189305897</c:v>
                </c:pt>
                <c:pt idx="17">
                  <c:v>0.97131455604260797</c:v>
                </c:pt>
                <c:pt idx="18">
                  <c:v>0.96960107591371503</c:v>
                </c:pt>
                <c:pt idx="19">
                  <c:v>0.96788908233214899</c:v>
                </c:pt>
                <c:pt idx="20">
                  <c:v>0.96617832817719196</c:v>
                </c:pt>
                <c:pt idx="21">
                  <c:v>0.96446861905233505</c:v>
                </c:pt>
                <c:pt idx="22">
                  <c:v>0.96275979982235305</c:v>
                </c:pt>
                <c:pt idx="23">
                  <c:v>0.96105174507492797</c:v>
                </c:pt>
                <c:pt idx="24">
                  <c:v>0.95934435224675896</c:v>
                </c:pt>
                <c:pt idx="25">
                  <c:v>0.95763753658758899</c:v>
                </c:pt>
                <c:pt idx="26">
                  <c:v>0.95593122741260095</c:v>
                </c:pt>
                <c:pt idx="27">
                  <c:v>0.95422536527253798</c:v>
                </c:pt>
                <c:pt idx="28">
                  <c:v>0.95251989978776996</c:v>
                </c:pt>
                <c:pt idx="29">
                  <c:v>0.95081478796990504</c:v>
                </c:pt>
                <c:pt idx="30">
                  <c:v>0.94910999290632203</c:v>
                </c:pt>
                <c:pt idx="31">
                  <c:v>0.94740548271845904</c:v>
                </c:pt>
                <c:pt idx="32">
                  <c:v>0.94570122972902204</c:v>
                </c:pt>
                <c:pt idx="33">
                  <c:v>0.94399720979039903</c:v>
                </c:pt>
                <c:pt idx="34">
                  <c:v>0.94229340173875198</c:v>
                </c:pt>
                <c:pt idx="35">
                  <c:v>0.94058978694699702</c:v>
                </c:pt>
                <c:pt idx="36">
                  <c:v>0.93888634895623502</c:v>
                </c:pt>
                <c:pt idx="37">
                  <c:v>0.937177643977254</c:v>
                </c:pt>
                <c:pt idx="38">
                  <c:v>0.935463566658565</c:v>
                </c:pt>
                <c:pt idx="39">
                  <c:v>0.93374423755147595</c:v>
                </c:pt>
                <c:pt idx="40">
                  <c:v>0.93201976795296604</c:v>
                </c:pt>
                <c:pt idx="41">
                  <c:v>0.93029026080850896</c:v>
                </c:pt>
                <c:pt idx="42">
                  <c:v>0.92855581150739597</c:v>
                </c:pt>
                <c:pt idx="43">
                  <c:v>0.92681650858568199</c:v>
                </c:pt>
                <c:pt idx="44">
                  <c:v>0.92507243434923503</c:v>
                </c:pt>
                <c:pt idx="45">
                  <c:v>0.92332366542760003</c:v>
                </c:pt>
                <c:pt idx="46">
                  <c:v>0.92157027326770602</c:v>
                </c:pt>
                <c:pt idx="47">
                  <c:v>0.91981232457506501</c:v>
                </c:pt>
                <c:pt idx="48">
                  <c:v>0.918049881709049</c:v>
                </c:pt>
                <c:pt idx="49">
                  <c:v>0.91628300303787202</c:v>
                </c:pt>
                <c:pt idx="50">
                  <c:v>0.91451174325805695</c:v>
                </c:pt>
                <c:pt idx="51">
                  <c:v>0.91273615368266403</c:v>
                </c:pt>
                <c:pt idx="52">
                  <c:v>0.91095628250177596</c:v>
                </c:pt>
                <c:pt idx="53">
                  <c:v>0.90917217501850001</c:v>
                </c:pt>
                <c:pt idx="54">
                  <c:v>0.90738387386306696</c:v>
                </c:pt>
                <c:pt idx="55">
                  <c:v>0.90559141918756303</c:v>
                </c:pt>
                <c:pt idx="56">
                  <c:v>0.90379484884321704</c:v>
                </c:pt>
                <c:pt idx="57">
                  <c:v>0.90199419854225804</c:v>
                </c:pt>
                <c:pt idx="58">
                  <c:v>0.90018950200575998</c:v>
                </c:pt>
                <c:pt idx="59">
                  <c:v>0.89838079109901903</c:v>
                </c:pt>
                <c:pt idx="60">
                  <c:v>0.896568095955663</c:v>
                </c:pt>
                <c:pt idx="61">
                  <c:v>0.89475144509161297</c:v>
                </c:pt>
                <c:pt idx="62">
                  <c:v>0.89293086550987599</c:v>
                </c:pt>
                <c:pt idx="63">
                  <c:v>0.891106382797062</c:v>
                </c:pt>
                <c:pt idx="64">
                  <c:v>0.88927802121232702</c:v>
                </c:pt>
                <c:pt idx="65">
                  <c:v>0.88744580376959203</c:v>
                </c:pt>
                <c:pt idx="66">
                  <c:v>0.88560975231341799</c:v>
                </c:pt>
                <c:pt idx="67">
                  <c:v>0.88376988758943198</c:v>
                </c:pt>
                <c:pt idx="68">
                  <c:v>0.88192622930939402</c:v>
                </c:pt>
                <c:pt idx="69">
                  <c:v>0.88007879621170604</c:v>
                </c:pt>
                <c:pt idx="70">
                  <c:v>0.87822760611758899</c:v>
                </c:pt>
                <c:pt idx="71">
                  <c:v>0.87637267598329605</c:v>
                </c:pt>
                <c:pt idx="72">
                  <c:v>0.87451402194877303</c:v>
                </c:pt>
                <c:pt idx="73">
                  <c:v>0.87265165938298705</c:v>
                </c:pt>
                <c:pt idx="74">
                  <c:v>0.87078560292616503</c:v>
                </c:pt>
                <c:pt idx="75">
                  <c:v>0.86891586652936104</c:v>
                </c:pt>
                <c:pt idx="76">
                  <c:v>0.86704246349131597</c:v>
                </c:pt>
                <c:pt idx="77">
                  <c:v>0.86516540649302998</c:v>
                </c:pt>
                <c:pt idx="78">
                  <c:v>0.86328470763010201</c:v>
                </c:pt>
                <c:pt idx="79">
                  <c:v>0.86140037844306505</c:v>
                </c:pt>
                <c:pt idx="80">
                  <c:v>0.863543453985543</c:v>
                </c:pt>
                <c:pt idx="81">
                  <c:v>0.86101575765651095</c:v>
                </c:pt>
                <c:pt idx="82">
                  <c:v>0.86065699728465395</c:v>
                </c:pt>
                <c:pt idx="83">
                  <c:v>0.85826256515016797</c:v>
                </c:pt>
                <c:pt idx="84">
                  <c:v>0.857329853309305</c:v>
                </c:pt>
                <c:pt idx="85">
                  <c:v>0.85542038889543803</c:v>
                </c:pt>
                <c:pt idx="86">
                  <c:v>0.85391987217538901</c:v>
                </c:pt>
                <c:pt idx="87">
                  <c:v>0.85220998812964499</c:v>
                </c:pt>
                <c:pt idx="88">
                  <c:v>0.85055847978453303</c:v>
                </c:pt>
                <c:pt idx="89">
                  <c:v>0.84888024786209104</c:v>
                </c:pt>
                <c:pt idx="90">
                  <c:v>0.84720209689626502</c:v>
                </c:pt>
                <c:pt idx="91">
                  <c:v>0.84551919666261599</c:v>
                </c:pt>
                <c:pt idx="92">
                  <c:v>0.84383358028315403</c:v>
                </c:pt>
                <c:pt idx="93">
                  <c:v>0.84214570779021003</c:v>
                </c:pt>
                <c:pt idx="94">
                  <c:v>0.84045610949391003</c:v>
                </c:pt>
                <c:pt idx="95">
                  <c:v>0.83876517179383003</c:v>
                </c:pt>
                <c:pt idx="96">
                  <c:v>0.83707319678539904</c:v>
                </c:pt>
                <c:pt idx="97">
                  <c:v>0.83538041871722302</c:v>
                </c:pt>
                <c:pt idx="98">
                  <c:v>0.83368701967190595</c:v>
                </c:pt>
                <c:pt idx="99">
                  <c:v>0.83199314133258895</c:v>
                </c:pt>
                <c:pt idx="100">
                  <c:v>0.83029889408383994</c:v>
                </c:pt>
                <c:pt idx="101">
                  <c:v>0.82860436404576199</c:v>
                </c:pt>
                <c:pt idx="102">
                  <c:v>0.82690961851629496</c:v>
                </c:pt>
                <c:pt idx="103">
                  <c:v>0.82521471018306902</c:v>
                </c:pt>
                <c:pt idx="104">
                  <c:v>0.82351968038315804</c:v>
                </c:pt>
                <c:pt idx="105">
                  <c:v>0.82182456162650397</c:v>
                </c:pt>
                <c:pt idx="106">
                  <c:v>0.820129379549983</c:v>
                </c:pt>
                <c:pt idx="107">
                  <c:v>0.81843415443141998</c:v>
                </c:pt>
                <c:pt idx="108">
                  <c:v>0.81673890236364999</c:v>
                </c:pt>
                <c:pt idx="109">
                  <c:v>0.81504363616599196</c:v>
                </c:pt>
                <c:pt idx="110">
                  <c:v>0.813348366092705</c:v>
                </c:pt>
                <c:pt idx="111">
                  <c:v>0.81165310038459304</c:v>
                </c:pt>
                <c:pt idx="112">
                  <c:v>0.80995784569916596</c:v>
                </c:pt>
                <c:pt idx="113">
                  <c:v>0.80826260744664602</c:v>
                </c:pt>
                <c:pt idx="114">
                  <c:v>0.80656739005308198</c:v>
                </c:pt>
                <c:pt idx="115">
                  <c:v>0.80487219716668801</c:v>
                </c:pt>
                <c:pt idx="116">
                  <c:v>0.80317703182005096</c:v>
                </c:pt>
                <c:pt idx="117">
                  <c:v>0.80148189655802704</c:v>
                </c:pt>
                <c:pt idx="118">
                  <c:v>0.79978679353854498</c:v>
                </c:pt>
                <c:pt idx="119">
                  <c:v>0.79809172461261801</c:v>
                </c:pt>
                <c:pt idx="120">
                  <c:v>0.79639669138763403</c:v>
                </c:pt>
                <c:pt idx="121">
                  <c:v>0.794701695277791</c:v>
                </c:pt>
                <c:pt idx="122">
                  <c:v>0.79300673754432005</c:v>
                </c:pt>
                <c:pt idx="123">
                  <c:v>0.791311819327574</c:v>
                </c:pt>
                <c:pt idx="124">
                  <c:v>0.78961694167284602</c:v>
                </c:pt>
                <c:pt idx="125">
                  <c:v>0.78792210555100295</c:v>
                </c:pt>
                <c:pt idx="126">
                  <c:v>0.78622731187522099</c:v>
                </c:pt>
                <c:pt idx="127">
                  <c:v>0.78453256151448103</c:v>
                </c:pt>
                <c:pt idx="128">
                  <c:v>0.78283785530452399</c:v>
                </c:pt>
                <c:pt idx="129">
                  <c:v>0.78114319405678401</c:v>
                </c:pt>
                <c:pt idx="130">
                  <c:v>0.77944857856569405</c:v>
                </c:pt>
                <c:pt idx="131">
                  <c:v>0.77775400961469499</c:v>
                </c:pt>
                <c:pt idx="132">
                  <c:v>0.77605948798118696</c:v>
                </c:pt>
                <c:pt idx="133">
                  <c:v>0.77436501444070405</c:v>
                </c:pt>
                <c:pt idx="134">
                  <c:v>0.77267058977033198</c:v>
                </c:pt>
                <c:pt idx="135">
                  <c:v>0.77097621475159095</c:v>
                </c:pt>
                <c:pt idx="136">
                  <c:v>0.76928189017303195</c:v>
                </c:pt>
                <c:pt idx="137">
                  <c:v>0.76758761683230403</c:v>
                </c:pt>
                <c:pt idx="138">
                  <c:v>0.76589339553803404</c:v>
                </c:pt>
                <c:pt idx="139">
                  <c:v>0.76419922711143395</c:v>
                </c:pt>
                <c:pt idx="140">
                  <c:v>0.76250511238781704</c:v>
                </c:pt>
                <c:pt idx="141">
                  <c:v>0.76081105221790202</c:v>
                </c:pt>
                <c:pt idx="142">
                  <c:v>0.75911704746901998</c:v>
                </c:pt>
                <c:pt idx="143">
                  <c:v>0.75742309902627203</c:v>
                </c:pt>
                <c:pt idx="144">
                  <c:v>0.75572920779353003</c:v>
                </c:pt>
                <c:pt idx="145">
                  <c:v>0.75403537469456705</c:v>
                </c:pt>
                <c:pt idx="146">
                  <c:v>0.75234160067396105</c:v>
                </c:pt>
                <c:pt idx="147">
                  <c:v>0.75064788669808402</c:v>
                </c:pt>
                <c:pt idx="148">
                  <c:v>0.74895423375608505</c:v>
                </c:pt>
                <c:pt idx="149">
                  <c:v>0.74726064286081795</c:v>
                </c:pt>
                <c:pt idx="150">
                  <c:v>0.74556711504982198</c:v>
                </c:pt>
                <c:pt idx="151">
                  <c:v>0.74387365138630301</c:v>
                </c:pt>
                <c:pt idx="152">
                  <c:v>0.74218025296008605</c:v>
                </c:pt>
                <c:pt idx="153">
                  <c:v>0.74048692088866697</c:v>
                </c:pt>
                <c:pt idx="154">
                  <c:v>0.738793656318252</c:v>
                </c:pt>
                <c:pt idx="155">
                  <c:v>0.73710046042483801</c:v>
                </c:pt>
                <c:pt idx="156">
                  <c:v>0.73540733441529205</c:v>
                </c:pt>
                <c:pt idx="157">
                  <c:v>0.73371427952852597</c:v>
                </c:pt>
                <c:pt idx="158">
                  <c:v>0.73202129703670105</c:v>
                </c:pt>
                <c:pt idx="159">
                  <c:v>0.73032838824647195</c:v>
                </c:pt>
                <c:pt idx="160">
                  <c:v>0.72863555450023598</c:v>
                </c:pt>
                <c:pt idx="161">
                  <c:v>0.72694279717754695</c:v>
                </c:pt>
                <c:pt idx="162">
                  <c:v>0.72525011769648295</c:v>
                </c:pt>
                <c:pt idx="163">
                  <c:v>0.72355751751514397</c:v>
                </c:pt>
                <c:pt idx="164">
                  <c:v>0.72186499813316496</c:v>
                </c:pt>
                <c:pt idx="165">
                  <c:v>0.72017256109333805</c:v>
                </c:pt>
                <c:pt idx="166">
                  <c:v>0.71848020798329704</c:v>
                </c:pt>
                <c:pt idx="167">
                  <c:v>0.71678794043735505</c:v>
                </c:pt>
                <c:pt idx="168">
                  <c:v>0.71509576013824505</c:v>
                </c:pt>
                <c:pt idx="169">
                  <c:v>0.71340366881912998</c:v>
                </c:pt>
                <c:pt idx="170">
                  <c:v>0.71171166826565002</c:v>
                </c:pt>
                <c:pt idx="171">
                  <c:v>0.71001976031807101</c:v>
                </c:pt>
                <c:pt idx="172">
                  <c:v>0.70832794687353695</c:v>
                </c:pt>
                <c:pt idx="173">
                  <c:v>0.70663622988846297</c:v>
                </c:pt>
                <c:pt idx="174">
                  <c:v>0.70494461138097297</c:v>
                </c:pt>
                <c:pt idx="175">
                  <c:v>0.70325309343364395</c:v>
                </c:pt>
                <c:pt idx="176">
                  <c:v>0.70156167819617299</c:v>
                </c:pt>
                <c:pt idx="177">
                  <c:v>0.69987036788837997</c:v>
                </c:pt>
                <c:pt idx="178">
                  <c:v>0.69817916480325404</c:v>
                </c:pt>
                <c:pt idx="179">
                  <c:v>0.69648807131025803</c:v>
                </c:pt>
                <c:pt idx="180">
                  <c:v>0.69479708985869604</c:v>
                </c:pt>
                <c:pt idx="181">
                  <c:v>0.693106222981411</c:v>
                </c:pt>
                <c:pt idx="182">
                  <c:v>0.69141547329865904</c:v>
                </c:pt>
                <c:pt idx="183">
                  <c:v>0.68972484352205998</c:v>
                </c:pt>
                <c:pt idx="184">
                  <c:v>0.68803433645906298</c:v>
                </c:pt>
                <c:pt idx="185">
                  <c:v>0.686343955017365</c:v>
                </c:pt>
                <c:pt idx="186">
                  <c:v>0.68465370220989497</c:v>
                </c:pt>
                <c:pt idx="187">
                  <c:v>0.68296358115982303</c:v>
                </c:pt>
                <c:pt idx="188">
                  <c:v>0.68127359510611996</c:v>
                </c:pt>
                <c:pt idx="189">
                  <c:v>0.67958374740929495</c:v>
                </c:pt>
                <c:pt idx="190">
                  <c:v>0.67789404155756405</c:v>
                </c:pt>
                <c:pt idx="191">
                  <c:v>0.67620448117343201</c:v>
                </c:pt>
                <c:pt idx="192">
                  <c:v>0.67451507002065003</c:v>
                </c:pt>
                <c:pt idx="193">
                  <c:v>0.67282581201169001</c:v>
                </c:pt>
                <c:pt idx="194">
                  <c:v>0.67113671121565199</c:v>
                </c:pt>
                <c:pt idx="195">
                  <c:v>0.66944777186679005</c:v>
                </c:pt>
                <c:pt idx="196">
                  <c:v>0.66775899837350505</c:v>
                </c:pt>
                <c:pt idx="197">
                  <c:v>0.66607039532807899</c:v>
                </c:pt>
                <c:pt idx="198">
                  <c:v>0.66438196751703205</c:v>
                </c:pt>
                <c:pt idx="199">
                  <c:v>0.66269371993223603</c:v>
                </c:pt>
                <c:pt idx="200">
                  <c:v>0.66100565778280396</c:v>
                </c:pt>
                <c:pt idx="201">
                  <c:v>0.65931778650790596</c:v>
                </c:pt>
                <c:pt idx="202">
                  <c:v>0.65763011179050102</c:v>
                </c:pt>
                <c:pt idx="203">
                  <c:v>0.65594263957212995</c:v>
                </c:pt>
                <c:pt idx="204">
                  <c:v>0.65425537606878803</c:v>
                </c:pt>
                <c:pt idx="205">
                  <c:v>0.65256832778815799</c:v>
                </c:pt>
                <c:pt idx="206">
                  <c:v>0.650881501548078</c:v>
                </c:pt>
                <c:pt idx="207">
                  <c:v>0.64919490449653094</c:v>
                </c:pt>
                <c:pt idx="208">
                  <c:v>0.64750854413334302</c:v>
                </c:pt>
                <c:pt idx="209">
                  <c:v>0.64582242833362302</c:v>
                </c:pt>
                <c:pt idx="210">
                  <c:v>0.64413656537314801</c:v>
                </c:pt>
                <c:pt idx="211">
                  <c:v>0.64245096395600898</c:v>
                </c:pt>
                <c:pt idx="212">
                  <c:v>0.64076563324463398</c:v>
                </c:pt>
                <c:pt idx="213">
                  <c:v>0.63908058289248804</c:v>
                </c:pt>
                <c:pt idx="214">
                  <c:v>0.63739582307974596</c:v>
                </c:pt>
                <c:pt idx="215">
                  <c:v>0.63571136455222998</c:v>
                </c:pt>
                <c:pt idx="216">
                  <c:v>0.63402721866402301</c:v>
                </c:pt>
                <c:pt idx="217">
                  <c:v>0.63234339742415702</c:v>
                </c:pt>
                <c:pt idx="218">
                  <c:v>0.63065991354787299</c:v>
                </c:pt>
                <c:pt idx="219">
                  <c:v>0.628976780512988</c:v>
                </c:pt>
                <c:pt idx="220">
                  <c:v>0.62729401262187301</c:v>
                </c:pt>
                <c:pt idx="221">
                  <c:v>0.62561162507003198</c:v>
                </c:pt>
                <c:pt idx="222">
                  <c:v>0.62392963402178403</c:v>
                </c:pt>
                <c:pt idx="223">
                  <c:v>0.62224805669417704</c:v>
                </c:pt>
                <c:pt idx="224">
                  <c:v>0.62056691145012599</c:v>
                </c:pt>
                <c:pt idx="225">
                  <c:v>0.61888621790210097</c:v>
                </c:pt>
                <c:pt idx="226">
                  <c:v>0.61720599702771906</c:v>
                </c:pt>
                <c:pt idx="227">
                  <c:v>0.61552627129899296</c:v>
                </c:pt>
                <c:pt idx="228">
                  <c:v>0.61384706482719198</c:v>
                </c:pt>
                <c:pt idx="229">
                  <c:v>0.61216840352564394</c:v>
                </c:pt>
                <c:pt idx="230">
                  <c:v>0.61049031529309605</c:v>
                </c:pt>
                <c:pt idx="231">
                  <c:v>0.60881283022108601</c:v>
                </c:pt>
                <c:pt idx="232">
                  <c:v>0.60713598082875897</c:v>
                </c:pt>
                <c:pt idx="233">
                  <c:v>0.60545980233008101</c:v>
                </c:pt>
                <c:pt idx="234">
                  <c:v>0.60378433293853795</c:v>
                </c:pt>
                <c:pt idx="235">
                  <c:v>0.60210961421597897</c:v>
                </c:pt>
                <c:pt idx="236">
                  <c:v>0.60043569147351805</c:v>
                </c:pt>
                <c:pt idx="237">
                  <c:v>0.59876261423388799</c:v>
                </c:pt>
                <c:pt idx="238">
                  <c:v>0.59709043676697404</c:v>
                </c:pt>
                <c:pt idx="239">
                  <c:v>0.59541921871290304</c:v>
                </c:pt>
                <c:pt idx="240">
                  <c:v>0.59374902581011102</c:v>
                </c:pt>
                <c:pt idx="241">
                  <c:v>0.59207993075042598</c:v>
                </c:pt>
                <c:pt idx="242">
                  <c:v>0.59041201418858102</c:v>
                </c:pt>
                <c:pt idx="243">
                  <c:v>0.58874536594062099</c:v>
                </c:pt>
                <c:pt idx="244">
                  <c:v>0.58708008641498299</c:v>
                </c:pt>
                <c:pt idx="245">
                  <c:v>0.58541628833241499</c:v>
                </c:pt>
                <c:pt idx="246">
                  <c:v>0.58375409880703799</c:v>
                </c:pt>
                <c:pt idx="247">
                  <c:v>0.58209366188302702</c:v>
                </c:pt>
                <c:pt idx="248">
                  <c:v>0.58043514165111298</c:v>
                </c:pt>
                <c:pt idx="249">
                  <c:v>0.57877872611024195</c:v>
                </c:pt>
                <c:pt idx="250">
                  <c:v>0.57712463199731301</c:v>
                </c:pt>
                <c:pt idx="251">
                  <c:v>0.575473110888573</c:v>
                </c:pt>
                <c:pt idx="252">
                  <c:v>0.573824456993139</c:v>
                </c:pt>
                <c:pt idx="253">
                  <c:v>0.57217901722856601</c:v>
                </c:pt>
                <c:pt idx="254">
                  <c:v>0.57053720442076805</c:v>
                </c:pt>
                <c:pt idx="255">
                  <c:v>0.56889951485266599</c:v>
                </c:pt>
                <c:pt idx="256">
                  <c:v>0.56726655197700804</c:v>
                </c:pt>
                <c:pt idx="257">
                  <c:v>0.56563905904582301</c:v>
                </c:pt>
                <c:pt idx="258">
                  <c:v>0.56401796493231104</c:v>
                </c:pt>
                <c:pt idx="259">
                  <c:v>0.56240444997156303</c:v>
                </c:pt>
                <c:pt idx="260">
                  <c:v>0.560800043054273</c:v>
                </c:pt>
                <c:pt idx="261">
                  <c:v>0.55920676909822897</c:v>
                </c:pt>
                <c:pt idx="262">
                  <c:v>0.55762738069873397</c:v>
                </c:pt>
                <c:pt idx="263">
                  <c:v>0.55606573618446098</c:v>
                </c:pt>
                <c:pt idx="264">
                  <c:v>0.55452744355475703</c:v>
                </c:pt>
                <c:pt idx="265">
                  <c:v>0.55302100816926403</c:v>
                </c:pt>
                <c:pt idx="266">
                  <c:v>0.55155995993660001</c:v>
                </c:pt>
                <c:pt idx="267">
                  <c:v>0.55016677175159301</c:v>
                </c:pt>
                <c:pt idx="268">
                  <c:v>0.54887806159470098</c:v>
                </c:pt>
                <c:pt idx="269">
                  <c:v>0.54772029417643098</c:v>
                </c:pt>
                <c:pt idx="270">
                  <c:v>0.54772029417969803</c:v>
                </c:pt>
                <c:pt idx="271">
                  <c:v>0.54663334266743102</c:v>
                </c:pt>
                <c:pt idx="272">
                  <c:v>0.54552295293197794</c:v>
                </c:pt>
                <c:pt idx="273">
                  <c:v>0.54439897799029202</c:v>
                </c:pt>
                <c:pt idx="274">
                  <c:v>0.54326907929266099</c:v>
                </c:pt>
                <c:pt idx="275">
                  <c:v>0.54213685998466299</c:v>
                </c:pt>
                <c:pt idx="276">
                  <c:v>0.54100401365024098</c:v>
                </c:pt>
                <c:pt idx="277">
                  <c:v>0.54100401365331197</c:v>
                </c:pt>
                <c:pt idx="278">
                  <c:v>0.54100401365331197</c:v>
                </c:pt>
                <c:pt idx="279">
                  <c:v>0.54100401365331197</c:v>
                </c:pt>
                <c:pt idx="280">
                  <c:v>6.2066341342621102E-2</c:v>
                </c:pt>
                <c:pt idx="281">
                  <c:v>5.9047481613469399E-2</c:v>
                </c:pt>
                <c:pt idx="282">
                  <c:v>5.6089373845835698E-2</c:v>
                </c:pt>
                <c:pt idx="283">
                  <c:v>5.3196372188754198E-2</c:v>
                </c:pt>
                <c:pt idx="284">
                  <c:v>5.0370588888729403E-2</c:v>
                </c:pt>
                <c:pt idx="285">
                  <c:v>4.7613593273312799E-2</c:v>
                </c:pt>
                <c:pt idx="286">
                  <c:v>4.4926766745039599E-2</c:v>
                </c:pt>
                <c:pt idx="287">
                  <c:v>4.2311416628187798E-2</c:v>
                </c:pt>
                <c:pt idx="288">
                  <c:v>3.9768822626066701E-2</c:v>
                </c:pt>
                <c:pt idx="289">
                  <c:v>3.7300259547603402E-2</c:v>
                </c:pt>
                <c:pt idx="290">
                  <c:v>3.4907010723883899E-2</c:v>
                </c:pt>
                <c:pt idx="291">
                  <c:v>3.25903780651636E-2</c:v>
                </c:pt>
                <c:pt idx="292">
                  <c:v>3.0351691955153599E-2</c:v>
                </c:pt>
                <c:pt idx="293">
                  <c:v>2.81923234402136E-2</c:v>
                </c:pt>
                <c:pt idx="294">
                  <c:v>2.6113701436596401E-2</c:v>
                </c:pt>
                <c:pt idx="295">
                  <c:v>2.41173388016904E-2</c:v>
                </c:pt>
                <c:pt idx="296">
                  <c:v>2.22048734280509E-2</c:v>
                </c:pt>
                <c:pt idx="297">
                  <c:v>2.0378134944229701E-2</c:v>
                </c:pt>
                <c:pt idx="298">
                  <c:v>1.8639256216393001E-2</c:v>
                </c:pt>
                <c:pt idx="299">
                  <c:v>1.6990866351431499E-2</c:v>
                </c:pt>
                <c:pt idx="300">
                  <c:v>1.54364396068401E-2</c:v>
                </c:pt>
                <c:pt idx="301">
                  <c:v>1.3980961431686201E-2</c:v>
                </c:pt>
                <c:pt idx="302">
                  <c:v>1.26322875901238E-2</c:v>
                </c:pt>
                <c:pt idx="303">
                  <c:v>1.1404134481156901E-2</c:v>
                </c:pt>
                <c:pt idx="304">
                  <c:v>1.03230127522071E-2</c:v>
                </c:pt>
                <c:pt idx="305">
                  <c:v>9.4407816871049603E-3</c:v>
                </c:pt>
                <c:pt idx="306">
                  <c:v>8.7696943522764803E-3</c:v>
                </c:pt>
                <c:pt idx="307">
                  <c:v>8.7696943522764803E-3</c:v>
                </c:pt>
                <c:pt idx="308">
                  <c:v>8.7696943522764803E-3</c:v>
                </c:pt>
                <c:pt idx="309">
                  <c:v>8.7696943522764803E-3</c:v>
                </c:pt>
                <c:pt idx="310">
                  <c:v>8.7696943522764803E-3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Implicit_Fracs!$P$4:$P$314</c:f>
              <c:numCache>
                <c:formatCode>General</c:formatCode>
                <c:ptCount val="311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  <c:pt idx="154">
                  <c:v>1.6E-2</c:v>
                </c:pt>
                <c:pt idx="155">
                  <c:v>1.6E-2</c:v>
                </c:pt>
                <c:pt idx="156">
                  <c:v>1.6E-2</c:v>
                </c:pt>
                <c:pt idx="157">
                  <c:v>1.6E-2</c:v>
                </c:pt>
                <c:pt idx="158">
                  <c:v>1.6E-2</c:v>
                </c:pt>
                <c:pt idx="159">
                  <c:v>1.6E-2</c:v>
                </c:pt>
                <c:pt idx="160">
                  <c:v>1.6E-2</c:v>
                </c:pt>
                <c:pt idx="161">
                  <c:v>1.6E-2</c:v>
                </c:pt>
                <c:pt idx="162">
                  <c:v>1.6E-2</c:v>
                </c:pt>
                <c:pt idx="163">
                  <c:v>1.6E-2</c:v>
                </c:pt>
                <c:pt idx="164">
                  <c:v>1.6E-2</c:v>
                </c:pt>
                <c:pt idx="165">
                  <c:v>1.6E-2</c:v>
                </c:pt>
                <c:pt idx="166">
                  <c:v>1.6E-2</c:v>
                </c:pt>
                <c:pt idx="167">
                  <c:v>1.6E-2</c:v>
                </c:pt>
                <c:pt idx="168">
                  <c:v>1.6E-2</c:v>
                </c:pt>
                <c:pt idx="169">
                  <c:v>1.6E-2</c:v>
                </c:pt>
                <c:pt idx="170">
                  <c:v>1.6E-2</c:v>
                </c:pt>
                <c:pt idx="171">
                  <c:v>1.6E-2</c:v>
                </c:pt>
                <c:pt idx="172">
                  <c:v>1.6E-2</c:v>
                </c:pt>
                <c:pt idx="173">
                  <c:v>1.6E-2</c:v>
                </c:pt>
                <c:pt idx="174">
                  <c:v>1.6E-2</c:v>
                </c:pt>
                <c:pt idx="175">
                  <c:v>1.6E-2</c:v>
                </c:pt>
                <c:pt idx="176">
                  <c:v>1.6E-2</c:v>
                </c:pt>
                <c:pt idx="177">
                  <c:v>1.6E-2</c:v>
                </c:pt>
                <c:pt idx="178">
                  <c:v>1.6E-2</c:v>
                </c:pt>
                <c:pt idx="179">
                  <c:v>1.6E-2</c:v>
                </c:pt>
                <c:pt idx="180">
                  <c:v>1.6E-2</c:v>
                </c:pt>
                <c:pt idx="181">
                  <c:v>1.6E-2</c:v>
                </c:pt>
                <c:pt idx="182">
                  <c:v>1.6E-2</c:v>
                </c:pt>
                <c:pt idx="183">
                  <c:v>1.6E-2</c:v>
                </c:pt>
                <c:pt idx="184">
                  <c:v>1.6E-2</c:v>
                </c:pt>
                <c:pt idx="185">
                  <c:v>1.6E-2</c:v>
                </c:pt>
                <c:pt idx="186">
                  <c:v>1.6E-2</c:v>
                </c:pt>
                <c:pt idx="187">
                  <c:v>1.6E-2</c:v>
                </c:pt>
                <c:pt idx="188">
                  <c:v>1.6E-2</c:v>
                </c:pt>
                <c:pt idx="189">
                  <c:v>1.6E-2</c:v>
                </c:pt>
                <c:pt idx="190">
                  <c:v>1.6E-2</c:v>
                </c:pt>
                <c:pt idx="191">
                  <c:v>1.6E-2</c:v>
                </c:pt>
                <c:pt idx="192">
                  <c:v>1.6E-2</c:v>
                </c:pt>
                <c:pt idx="193">
                  <c:v>1.6E-2</c:v>
                </c:pt>
                <c:pt idx="194">
                  <c:v>1.6E-2</c:v>
                </c:pt>
                <c:pt idx="195">
                  <c:v>1.6E-2</c:v>
                </c:pt>
                <c:pt idx="196">
                  <c:v>1.6E-2</c:v>
                </c:pt>
                <c:pt idx="197">
                  <c:v>1.6E-2</c:v>
                </c:pt>
                <c:pt idx="198">
                  <c:v>1.6E-2</c:v>
                </c:pt>
                <c:pt idx="199">
                  <c:v>1.6E-2</c:v>
                </c:pt>
                <c:pt idx="200">
                  <c:v>1.6E-2</c:v>
                </c:pt>
                <c:pt idx="201">
                  <c:v>1.6E-2</c:v>
                </c:pt>
                <c:pt idx="202">
                  <c:v>1.6E-2</c:v>
                </c:pt>
                <c:pt idx="203">
                  <c:v>1.6E-2</c:v>
                </c:pt>
                <c:pt idx="204">
                  <c:v>1.6E-2</c:v>
                </c:pt>
                <c:pt idx="205">
                  <c:v>1.6E-2</c:v>
                </c:pt>
                <c:pt idx="206">
                  <c:v>1.6E-2</c:v>
                </c:pt>
                <c:pt idx="207">
                  <c:v>1.6E-2</c:v>
                </c:pt>
                <c:pt idx="208">
                  <c:v>1.6E-2</c:v>
                </c:pt>
                <c:pt idx="209">
                  <c:v>1.6E-2</c:v>
                </c:pt>
                <c:pt idx="210">
                  <c:v>1.6E-2</c:v>
                </c:pt>
                <c:pt idx="211">
                  <c:v>1.6E-2</c:v>
                </c:pt>
                <c:pt idx="212">
                  <c:v>1.6E-2</c:v>
                </c:pt>
                <c:pt idx="213">
                  <c:v>1.6E-2</c:v>
                </c:pt>
                <c:pt idx="214">
                  <c:v>1.6E-2</c:v>
                </c:pt>
                <c:pt idx="215">
                  <c:v>1.6E-2</c:v>
                </c:pt>
                <c:pt idx="216">
                  <c:v>1.6E-2</c:v>
                </c:pt>
                <c:pt idx="217">
                  <c:v>1.6E-2</c:v>
                </c:pt>
                <c:pt idx="218">
                  <c:v>1.6E-2</c:v>
                </c:pt>
                <c:pt idx="219">
                  <c:v>1.6E-2</c:v>
                </c:pt>
                <c:pt idx="220">
                  <c:v>1.6E-2</c:v>
                </c:pt>
                <c:pt idx="221">
                  <c:v>1.6E-2</c:v>
                </c:pt>
                <c:pt idx="222">
                  <c:v>1.6E-2</c:v>
                </c:pt>
                <c:pt idx="223">
                  <c:v>1.6E-2</c:v>
                </c:pt>
                <c:pt idx="224">
                  <c:v>1.6E-2</c:v>
                </c:pt>
                <c:pt idx="225">
                  <c:v>1.6E-2</c:v>
                </c:pt>
                <c:pt idx="226">
                  <c:v>1.6E-2</c:v>
                </c:pt>
                <c:pt idx="227">
                  <c:v>1.6E-2</c:v>
                </c:pt>
                <c:pt idx="228">
                  <c:v>1.6E-2</c:v>
                </c:pt>
                <c:pt idx="229">
                  <c:v>1.6E-2</c:v>
                </c:pt>
                <c:pt idx="230">
                  <c:v>1.6E-2</c:v>
                </c:pt>
                <c:pt idx="231">
                  <c:v>1.6E-2</c:v>
                </c:pt>
                <c:pt idx="232">
                  <c:v>1.6E-2</c:v>
                </c:pt>
                <c:pt idx="233">
                  <c:v>1.6E-2</c:v>
                </c:pt>
                <c:pt idx="234">
                  <c:v>1.6E-2</c:v>
                </c:pt>
                <c:pt idx="235">
                  <c:v>1.6E-2</c:v>
                </c:pt>
                <c:pt idx="236">
                  <c:v>1.6E-2</c:v>
                </c:pt>
                <c:pt idx="237">
                  <c:v>1.6E-2</c:v>
                </c:pt>
                <c:pt idx="238">
                  <c:v>1.6E-2</c:v>
                </c:pt>
                <c:pt idx="239">
                  <c:v>1.6E-2</c:v>
                </c:pt>
                <c:pt idx="240">
                  <c:v>1.6E-2</c:v>
                </c:pt>
                <c:pt idx="241">
                  <c:v>1.6E-2</c:v>
                </c:pt>
                <c:pt idx="242">
                  <c:v>1.6E-2</c:v>
                </c:pt>
                <c:pt idx="243">
                  <c:v>1.6E-2</c:v>
                </c:pt>
                <c:pt idx="244">
                  <c:v>1.6E-2</c:v>
                </c:pt>
                <c:pt idx="245">
                  <c:v>1.6E-2</c:v>
                </c:pt>
                <c:pt idx="246">
                  <c:v>1.6E-2</c:v>
                </c:pt>
                <c:pt idx="247">
                  <c:v>1.6E-2</c:v>
                </c:pt>
                <c:pt idx="248">
                  <c:v>1.6E-2</c:v>
                </c:pt>
                <c:pt idx="249">
                  <c:v>1.6E-2</c:v>
                </c:pt>
                <c:pt idx="250">
                  <c:v>1.6E-2</c:v>
                </c:pt>
                <c:pt idx="251">
                  <c:v>1.6E-2</c:v>
                </c:pt>
                <c:pt idx="252">
                  <c:v>1.6E-2</c:v>
                </c:pt>
                <c:pt idx="253">
                  <c:v>1.6E-2</c:v>
                </c:pt>
                <c:pt idx="254">
                  <c:v>1.6E-2</c:v>
                </c:pt>
                <c:pt idx="255">
                  <c:v>1.6E-2</c:v>
                </c:pt>
                <c:pt idx="256">
                  <c:v>1.6E-2</c:v>
                </c:pt>
                <c:pt idx="257">
                  <c:v>1.6E-2</c:v>
                </c:pt>
                <c:pt idx="258">
                  <c:v>1.6E-2</c:v>
                </c:pt>
                <c:pt idx="259">
                  <c:v>1.6E-2</c:v>
                </c:pt>
                <c:pt idx="260">
                  <c:v>1.6E-2</c:v>
                </c:pt>
                <c:pt idx="261">
                  <c:v>1.6E-2</c:v>
                </c:pt>
                <c:pt idx="262">
                  <c:v>1.6E-2</c:v>
                </c:pt>
                <c:pt idx="263">
                  <c:v>1.6E-2</c:v>
                </c:pt>
                <c:pt idx="264">
                  <c:v>1.6E-2</c:v>
                </c:pt>
                <c:pt idx="265">
                  <c:v>1.6E-2</c:v>
                </c:pt>
                <c:pt idx="266">
                  <c:v>1.6E-2</c:v>
                </c:pt>
                <c:pt idx="267">
                  <c:v>1.6E-2</c:v>
                </c:pt>
                <c:pt idx="268">
                  <c:v>1.6E-2</c:v>
                </c:pt>
                <c:pt idx="269">
                  <c:v>1.6E-2</c:v>
                </c:pt>
                <c:pt idx="270">
                  <c:v>1.6E-2</c:v>
                </c:pt>
                <c:pt idx="271">
                  <c:v>1.6E-2</c:v>
                </c:pt>
                <c:pt idx="272">
                  <c:v>1.6E-2</c:v>
                </c:pt>
                <c:pt idx="273">
                  <c:v>1.6E-2</c:v>
                </c:pt>
                <c:pt idx="274">
                  <c:v>1.6E-2</c:v>
                </c:pt>
                <c:pt idx="275">
                  <c:v>1.6E-2</c:v>
                </c:pt>
                <c:pt idx="276">
                  <c:v>1.6E-2</c:v>
                </c:pt>
                <c:pt idx="277">
                  <c:v>1.6E-2</c:v>
                </c:pt>
                <c:pt idx="278">
                  <c:v>1.6E-2</c:v>
                </c:pt>
                <c:pt idx="279">
                  <c:v>1.6E-2</c:v>
                </c:pt>
                <c:pt idx="280">
                  <c:v>1.6465181948967299E-2</c:v>
                </c:pt>
                <c:pt idx="281">
                  <c:v>1.5602067246575599E-2</c:v>
                </c:pt>
                <c:pt idx="282">
                  <c:v>1.47469726731675E-2</c:v>
                </c:pt>
                <c:pt idx="283">
                  <c:v>1.39034895641708E-2</c:v>
                </c:pt>
                <c:pt idx="284">
                  <c:v>1.3073088495268099E-2</c:v>
                </c:pt>
                <c:pt idx="285">
                  <c:v>1.2256692670156499E-2</c:v>
                </c:pt>
                <c:pt idx="286">
                  <c:v>1.14550244324112E-2</c:v>
                </c:pt>
                <c:pt idx="287">
                  <c:v>1.06687206093078E-2</c:v>
                </c:pt>
                <c:pt idx="288">
                  <c:v>9.8983811935817404E-3</c:v>
                </c:pt>
                <c:pt idx="289">
                  <c:v>9.1445938365152905E-3</c:v>
                </c:pt>
                <c:pt idx="290">
                  <c:v>8.4079483306969908E-3</c:v>
                </c:pt>
                <c:pt idx="291">
                  <c:v>7.6890468062153399E-3</c:v>
                </c:pt>
                <c:pt idx="292">
                  <c:v>6.9885124368998502E-3</c:v>
                </c:pt>
                <c:pt idx="293">
                  <c:v>6.3069984254129404E-3</c:v>
                </c:pt>
                <c:pt idx="294">
                  <c:v>5.6451988415414699E-3</c:v>
                </c:pt>
                <c:pt idx="295">
                  <c:v>5.0038632456873896E-3</c:v>
                </c:pt>
                <c:pt idx="296">
                  <c:v>4.3838180135466198E-3</c:v>
                </c:pt>
                <c:pt idx="297">
                  <c:v>3.7859992972843902E-3</c:v>
                </c:pt>
                <c:pt idx="298">
                  <c:v>3.2115066182483599E-3</c:v>
                </c:pt>
                <c:pt idx="299">
                  <c:v>2.6616945706506301E-3</c:v>
                </c:pt>
                <c:pt idx="300">
                  <c:v>2.1383389979233699E-3</c:v>
                </c:pt>
                <c:pt idx="301">
                  <c:v>1.6439595311276999E-3</c:v>
                </c:pt>
                <c:pt idx="302">
                  <c:v>1.18250142421083E-3</c:v>
                </c:pt>
                <c:pt idx="303">
                  <c:v>7.6094116293469796E-4</c:v>
                </c:pt>
                <c:pt idx="304">
                  <c:v>3.9360273962995798E-4</c:v>
                </c:pt>
                <c:pt idx="305">
                  <c:v>1.15176027485253E-4</c:v>
                </c:pt>
                <c:pt idx="306" formatCode="0.00E+00">
                  <c:v>1.94901271843061E-6</c:v>
                </c:pt>
                <c:pt idx="307" formatCode="0.00E+00">
                  <c:v>7.9471718394271604E-9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Implicit_Fracs!$Q$4:$Q$314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8.7165122793168002E-4</c:v>
                </c:pt>
                <c:pt idx="282">
                  <c:v>1.73174897589569E-3</c:v>
                </c:pt>
                <c:pt idx="283">
                  <c:v>2.57873815130087E-3</c:v>
                </c:pt>
                <c:pt idx="284">
                  <c:v>3.41181265343956E-3</c:v>
                </c:pt>
                <c:pt idx="285">
                  <c:v>4.2303508930350798E-3</c:v>
                </c:pt>
                <c:pt idx="286">
                  <c:v>5.0337933266879102E-3</c:v>
                </c:pt>
                <c:pt idx="287">
                  <c:v>5.8216011472163598E-3</c:v>
                </c:pt>
                <c:pt idx="288">
                  <c:v>6.5932380401130201E-3</c:v>
                </c:pt>
                <c:pt idx="289">
                  <c:v>7.3481601220337098E-3</c:v>
                </c:pt>
                <c:pt idx="290">
                  <c:v>8.0858090329914804E-3</c:v>
                </c:pt>
                <c:pt idx="291">
                  <c:v>8.8056060342538E-3</c:v>
                </c:pt>
                <c:pt idx="292">
                  <c:v>9.5069458894696292E-3</c:v>
                </c:pt>
                <c:pt idx="293">
                  <c:v>1.0189189519586901E-2</c:v>
                </c:pt>
                <c:pt idx="294">
                  <c:v>1.0851654251598101E-2</c:v>
                </c:pt>
                <c:pt idx="295">
                  <c:v>1.1493599947406801E-2</c:v>
                </c:pt>
                <c:pt idx="296">
                  <c:v>1.21142082254116E-2</c:v>
                </c:pt>
                <c:pt idx="297">
                  <c:v>1.2712549921246E-2</c:v>
                </c:pt>
                <c:pt idx="298">
                  <c:v>1.32875318512532E-2</c:v>
                </c:pt>
                <c:pt idx="299">
                  <c:v>1.38378054508893E-2</c:v>
                </c:pt>
                <c:pt idx="300">
                  <c:v>1.4361600987197E-2</c:v>
                </c:pt>
                <c:pt idx="301">
                  <c:v>1.48564055518742E-2</c:v>
                </c:pt>
                <c:pt idx="302">
                  <c:v>1.53182820877731E-2</c:v>
                </c:pt>
                <c:pt idx="303">
                  <c:v>1.5740265406256001E-2</c:v>
                </c:pt>
                <c:pt idx="304">
                  <c:v>1.6108049581496101E-2</c:v>
                </c:pt>
                <c:pt idx="305">
                  <c:v>1.6386982734707099E-2</c:v>
                </c:pt>
                <c:pt idx="306">
                  <c:v>1.6501001551829798E-2</c:v>
                </c:pt>
                <c:pt idx="307">
                  <c:v>1.6507597679768098E-2</c:v>
                </c:pt>
                <c:pt idx="308">
                  <c:v>1.6507597679768098E-2</c:v>
                </c:pt>
                <c:pt idx="309">
                  <c:v>1.6507597679768098E-2</c:v>
                </c:pt>
                <c:pt idx="310">
                  <c:v>1.6507597679768098E-2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Implicit_Fracs!$R$4:$R$314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Implicit_Fracs!$AU$4:$AU$314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Implicit_Fracs!$AV$4:$AV$314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Implicit_Fracs!$AW$4:$AW$314</c:f>
              <c:numCache>
                <c:formatCode>General</c:formatCode>
                <c:ptCount val="3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Implicit_Fracs!$AR$4:$AR$314</c:f>
              <c:numCache>
                <c:formatCode>General</c:formatCode>
                <c:ptCount val="311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  <c:pt idx="154">
                  <c:v>1.6E-2</c:v>
                </c:pt>
                <c:pt idx="155">
                  <c:v>1.6E-2</c:v>
                </c:pt>
                <c:pt idx="156">
                  <c:v>1.6E-2</c:v>
                </c:pt>
                <c:pt idx="157">
                  <c:v>1.6E-2</c:v>
                </c:pt>
                <c:pt idx="158">
                  <c:v>1.6E-2</c:v>
                </c:pt>
                <c:pt idx="159">
                  <c:v>1.6E-2</c:v>
                </c:pt>
                <c:pt idx="160">
                  <c:v>1.6E-2</c:v>
                </c:pt>
                <c:pt idx="161">
                  <c:v>1.6E-2</c:v>
                </c:pt>
                <c:pt idx="162">
                  <c:v>1.6E-2</c:v>
                </c:pt>
                <c:pt idx="163">
                  <c:v>1.6E-2</c:v>
                </c:pt>
                <c:pt idx="164">
                  <c:v>1.6E-2</c:v>
                </c:pt>
                <c:pt idx="165">
                  <c:v>1.6E-2</c:v>
                </c:pt>
                <c:pt idx="166">
                  <c:v>1.6E-2</c:v>
                </c:pt>
                <c:pt idx="167">
                  <c:v>1.6E-2</c:v>
                </c:pt>
                <c:pt idx="168">
                  <c:v>1.6E-2</c:v>
                </c:pt>
                <c:pt idx="169">
                  <c:v>1.6E-2</c:v>
                </c:pt>
                <c:pt idx="170">
                  <c:v>1.6E-2</c:v>
                </c:pt>
                <c:pt idx="171">
                  <c:v>1.6E-2</c:v>
                </c:pt>
                <c:pt idx="172">
                  <c:v>1.6E-2</c:v>
                </c:pt>
                <c:pt idx="173">
                  <c:v>1.6E-2</c:v>
                </c:pt>
                <c:pt idx="174">
                  <c:v>1.6E-2</c:v>
                </c:pt>
                <c:pt idx="175">
                  <c:v>1.6E-2</c:v>
                </c:pt>
                <c:pt idx="176">
                  <c:v>1.6E-2</c:v>
                </c:pt>
                <c:pt idx="177">
                  <c:v>1.6E-2</c:v>
                </c:pt>
                <c:pt idx="178">
                  <c:v>1.6E-2</c:v>
                </c:pt>
                <c:pt idx="179">
                  <c:v>1.6E-2</c:v>
                </c:pt>
                <c:pt idx="180">
                  <c:v>1.6E-2</c:v>
                </c:pt>
                <c:pt idx="181">
                  <c:v>1.6E-2</c:v>
                </c:pt>
                <c:pt idx="182">
                  <c:v>1.6E-2</c:v>
                </c:pt>
                <c:pt idx="183">
                  <c:v>1.6E-2</c:v>
                </c:pt>
                <c:pt idx="184">
                  <c:v>1.6E-2</c:v>
                </c:pt>
                <c:pt idx="185">
                  <c:v>1.6E-2</c:v>
                </c:pt>
                <c:pt idx="186">
                  <c:v>1.6E-2</c:v>
                </c:pt>
                <c:pt idx="187">
                  <c:v>1.6E-2</c:v>
                </c:pt>
                <c:pt idx="188">
                  <c:v>1.6E-2</c:v>
                </c:pt>
                <c:pt idx="189">
                  <c:v>1.6E-2</c:v>
                </c:pt>
                <c:pt idx="190">
                  <c:v>1.6E-2</c:v>
                </c:pt>
                <c:pt idx="191">
                  <c:v>1.6E-2</c:v>
                </c:pt>
                <c:pt idx="192">
                  <c:v>1.6E-2</c:v>
                </c:pt>
                <c:pt idx="193">
                  <c:v>1.6E-2</c:v>
                </c:pt>
                <c:pt idx="194">
                  <c:v>1.6E-2</c:v>
                </c:pt>
                <c:pt idx="195">
                  <c:v>1.6E-2</c:v>
                </c:pt>
                <c:pt idx="196">
                  <c:v>1.6E-2</c:v>
                </c:pt>
                <c:pt idx="197">
                  <c:v>1.6E-2</c:v>
                </c:pt>
                <c:pt idx="198">
                  <c:v>1.6E-2</c:v>
                </c:pt>
                <c:pt idx="199">
                  <c:v>1.6E-2</c:v>
                </c:pt>
                <c:pt idx="200">
                  <c:v>1.6E-2</c:v>
                </c:pt>
                <c:pt idx="201">
                  <c:v>1.6E-2</c:v>
                </c:pt>
                <c:pt idx="202">
                  <c:v>1.6E-2</c:v>
                </c:pt>
                <c:pt idx="203">
                  <c:v>1.6E-2</c:v>
                </c:pt>
                <c:pt idx="204">
                  <c:v>1.6E-2</c:v>
                </c:pt>
                <c:pt idx="205">
                  <c:v>1.6E-2</c:v>
                </c:pt>
                <c:pt idx="206">
                  <c:v>1.6E-2</c:v>
                </c:pt>
                <c:pt idx="207">
                  <c:v>1.6E-2</c:v>
                </c:pt>
                <c:pt idx="208">
                  <c:v>1.6E-2</c:v>
                </c:pt>
                <c:pt idx="209">
                  <c:v>1.6E-2</c:v>
                </c:pt>
                <c:pt idx="210">
                  <c:v>1.6E-2</c:v>
                </c:pt>
                <c:pt idx="211">
                  <c:v>1.6E-2</c:v>
                </c:pt>
                <c:pt idx="212">
                  <c:v>1.6E-2</c:v>
                </c:pt>
                <c:pt idx="213">
                  <c:v>1.6E-2</c:v>
                </c:pt>
                <c:pt idx="214">
                  <c:v>1.6E-2</c:v>
                </c:pt>
                <c:pt idx="215">
                  <c:v>1.6E-2</c:v>
                </c:pt>
                <c:pt idx="216">
                  <c:v>1.6E-2</c:v>
                </c:pt>
                <c:pt idx="217">
                  <c:v>1.6E-2</c:v>
                </c:pt>
                <c:pt idx="218">
                  <c:v>1.6E-2</c:v>
                </c:pt>
                <c:pt idx="219">
                  <c:v>1.6E-2</c:v>
                </c:pt>
                <c:pt idx="220">
                  <c:v>1.6E-2</c:v>
                </c:pt>
                <c:pt idx="221">
                  <c:v>1.6E-2</c:v>
                </c:pt>
                <c:pt idx="222">
                  <c:v>1.6E-2</c:v>
                </c:pt>
                <c:pt idx="223">
                  <c:v>1.6E-2</c:v>
                </c:pt>
                <c:pt idx="224">
                  <c:v>1.6E-2</c:v>
                </c:pt>
                <c:pt idx="225">
                  <c:v>1.6E-2</c:v>
                </c:pt>
                <c:pt idx="226">
                  <c:v>1.6E-2</c:v>
                </c:pt>
                <c:pt idx="227">
                  <c:v>1.6E-2</c:v>
                </c:pt>
                <c:pt idx="228">
                  <c:v>1.6E-2</c:v>
                </c:pt>
                <c:pt idx="229">
                  <c:v>1.6E-2</c:v>
                </c:pt>
                <c:pt idx="230">
                  <c:v>1.6E-2</c:v>
                </c:pt>
                <c:pt idx="231">
                  <c:v>1.6E-2</c:v>
                </c:pt>
                <c:pt idx="232">
                  <c:v>1.6E-2</c:v>
                </c:pt>
                <c:pt idx="233">
                  <c:v>1.6E-2</c:v>
                </c:pt>
                <c:pt idx="234">
                  <c:v>1.6E-2</c:v>
                </c:pt>
                <c:pt idx="235">
                  <c:v>1.6E-2</c:v>
                </c:pt>
                <c:pt idx="236">
                  <c:v>1.6E-2</c:v>
                </c:pt>
                <c:pt idx="237">
                  <c:v>1.6E-2</c:v>
                </c:pt>
                <c:pt idx="238">
                  <c:v>1.6E-2</c:v>
                </c:pt>
                <c:pt idx="239">
                  <c:v>1.6E-2</c:v>
                </c:pt>
                <c:pt idx="240">
                  <c:v>1.6E-2</c:v>
                </c:pt>
                <c:pt idx="241">
                  <c:v>1.6E-2</c:v>
                </c:pt>
                <c:pt idx="242">
                  <c:v>1.6E-2</c:v>
                </c:pt>
                <c:pt idx="243">
                  <c:v>1.6E-2</c:v>
                </c:pt>
                <c:pt idx="244">
                  <c:v>1.6E-2</c:v>
                </c:pt>
                <c:pt idx="245">
                  <c:v>1.6E-2</c:v>
                </c:pt>
                <c:pt idx="246">
                  <c:v>1.6E-2</c:v>
                </c:pt>
                <c:pt idx="247">
                  <c:v>1.6E-2</c:v>
                </c:pt>
                <c:pt idx="248">
                  <c:v>1.6E-2</c:v>
                </c:pt>
                <c:pt idx="249">
                  <c:v>1.6E-2</c:v>
                </c:pt>
                <c:pt idx="250">
                  <c:v>1.6E-2</c:v>
                </c:pt>
                <c:pt idx="251">
                  <c:v>1.6E-2</c:v>
                </c:pt>
                <c:pt idx="252">
                  <c:v>1.6E-2</c:v>
                </c:pt>
                <c:pt idx="253">
                  <c:v>1.6E-2</c:v>
                </c:pt>
                <c:pt idx="254">
                  <c:v>1.6E-2</c:v>
                </c:pt>
                <c:pt idx="255">
                  <c:v>1.6E-2</c:v>
                </c:pt>
                <c:pt idx="256">
                  <c:v>1.6E-2</c:v>
                </c:pt>
                <c:pt idx="257">
                  <c:v>1.6E-2</c:v>
                </c:pt>
                <c:pt idx="258">
                  <c:v>1.6E-2</c:v>
                </c:pt>
                <c:pt idx="259">
                  <c:v>1.6E-2</c:v>
                </c:pt>
                <c:pt idx="260">
                  <c:v>1.6E-2</c:v>
                </c:pt>
                <c:pt idx="261">
                  <c:v>1.6E-2</c:v>
                </c:pt>
                <c:pt idx="262">
                  <c:v>1.6E-2</c:v>
                </c:pt>
                <c:pt idx="263">
                  <c:v>1.6E-2</c:v>
                </c:pt>
                <c:pt idx="264">
                  <c:v>1.6E-2</c:v>
                </c:pt>
                <c:pt idx="265">
                  <c:v>1.6E-2</c:v>
                </c:pt>
                <c:pt idx="266">
                  <c:v>1.6E-2</c:v>
                </c:pt>
                <c:pt idx="267">
                  <c:v>1.6E-2</c:v>
                </c:pt>
                <c:pt idx="268">
                  <c:v>1.6E-2</c:v>
                </c:pt>
                <c:pt idx="269">
                  <c:v>1.6E-2</c:v>
                </c:pt>
                <c:pt idx="270">
                  <c:v>1.6E-2</c:v>
                </c:pt>
                <c:pt idx="271">
                  <c:v>1.6E-2</c:v>
                </c:pt>
                <c:pt idx="272">
                  <c:v>1.6E-2</c:v>
                </c:pt>
                <c:pt idx="273">
                  <c:v>1.6E-2</c:v>
                </c:pt>
                <c:pt idx="274">
                  <c:v>1.6E-2</c:v>
                </c:pt>
                <c:pt idx="275">
                  <c:v>1.6E-2</c:v>
                </c:pt>
                <c:pt idx="276">
                  <c:v>1.6E-2</c:v>
                </c:pt>
                <c:pt idx="277">
                  <c:v>1.6E-2</c:v>
                </c:pt>
                <c:pt idx="278">
                  <c:v>1.6E-2</c:v>
                </c:pt>
                <c:pt idx="279">
                  <c:v>1.6E-2</c:v>
                </c:pt>
                <c:pt idx="280">
                  <c:v>1.6E-2</c:v>
                </c:pt>
                <c:pt idx="281">
                  <c:v>1.6E-2</c:v>
                </c:pt>
                <c:pt idx="282">
                  <c:v>1.6E-2</c:v>
                </c:pt>
                <c:pt idx="283">
                  <c:v>1.6E-2</c:v>
                </c:pt>
                <c:pt idx="284">
                  <c:v>1.6E-2</c:v>
                </c:pt>
                <c:pt idx="285">
                  <c:v>1.6E-2</c:v>
                </c:pt>
                <c:pt idx="286">
                  <c:v>1.6E-2</c:v>
                </c:pt>
                <c:pt idx="287">
                  <c:v>1.6E-2</c:v>
                </c:pt>
                <c:pt idx="288">
                  <c:v>1.6E-2</c:v>
                </c:pt>
                <c:pt idx="289">
                  <c:v>1.6E-2</c:v>
                </c:pt>
                <c:pt idx="290">
                  <c:v>1.6E-2</c:v>
                </c:pt>
                <c:pt idx="291">
                  <c:v>1.6E-2</c:v>
                </c:pt>
                <c:pt idx="292">
                  <c:v>1.6E-2</c:v>
                </c:pt>
                <c:pt idx="293">
                  <c:v>1.6E-2</c:v>
                </c:pt>
                <c:pt idx="294">
                  <c:v>1.6E-2</c:v>
                </c:pt>
                <c:pt idx="295">
                  <c:v>1.6E-2</c:v>
                </c:pt>
                <c:pt idx="296">
                  <c:v>1.6E-2</c:v>
                </c:pt>
                <c:pt idx="297">
                  <c:v>1.6E-2</c:v>
                </c:pt>
                <c:pt idx="298">
                  <c:v>1.6E-2</c:v>
                </c:pt>
                <c:pt idx="299">
                  <c:v>1.6E-2</c:v>
                </c:pt>
                <c:pt idx="300">
                  <c:v>1.6E-2</c:v>
                </c:pt>
                <c:pt idx="301">
                  <c:v>1.6E-2</c:v>
                </c:pt>
                <c:pt idx="302">
                  <c:v>1.6E-2</c:v>
                </c:pt>
                <c:pt idx="303">
                  <c:v>1.6E-2</c:v>
                </c:pt>
                <c:pt idx="304">
                  <c:v>1.6E-2</c:v>
                </c:pt>
                <c:pt idx="305">
                  <c:v>1.6E-2</c:v>
                </c:pt>
                <c:pt idx="306">
                  <c:v>1.6E-2</c:v>
                </c:pt>
                <c:pt idx="307">
                  <c:v>1.6E-2</c:v>
                </c:pt>
                <c:pt idx="308">
                  <c:v>1.6E-2</c:v>
                </c:pt>
                <c:pt idx="309">
                  <c:v>1.6E-2</c:v>
                </c:pt>
                <c:pt idx="310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Implicit_Fracs!$AS$4:$AS$314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Implicit_Fracs!$AT$4:$AT$314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Implicit_Fracs!$BI$4:$BI$314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Implicit_Fracs!$BJ$4:$BJ$314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Implicit_Fracs!$BK$4:$BK$314</c:f>
              <c:numCache>
                <c:formatCode>General</c:formatCode>
                <c:ptCount val="3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Implicit_Fracs!$BF$4:$BF$314</c:f>
              <c:numCache>
                <c:formatCode>General</c:formatCode>
                <c:ptCount val="311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  <c:pt idx="154">
                  <c:v>1.6E-2</c:v>
                </c:pt>
                <c:pt idx="155">
                  <c:v>1.6E-2</c:v>
                </c:pt>
                <c:pt idx="156">
                  <c:v>1.6E-2</c:v>
                </c:pt>
                <c:pt idx="157">
                  <c:v>1.6E-2</c:v>
                </c:pt>
                <c:pt idx="158">
                  <c:v>1.6E-2</c:v>
                </c:pt>
                <c:pt idx="159">
                  <c:v>1.6E-2</c:v>
                </c:pt>
                <c:pt idx="160">
                  <c:v>1.6E-2</c:v>
                </c:pt>
                <c:pt idx="161">
                  <c:v>1.6E-2</c:v>
                </c:pt>
                <c:pt idx="162">
                  <c:v>1.6E-2</c:v>
                </c:pt>
                <c:pt idx="163">
                  <c:v>1.6E-2</c:v>
                </c:pt>
                <c:pt idx="164">
                  <c:v>1.6E-2</c:v>
                </c:pt>
                <c:pt idx="165">
                  <c:v>1.6E-2</c:v>
                </c:pt>
                <c:pt idx="166">
                  <c:v>1.6E-2</c:v>
                </c:pt>
                <c:pt idx="167">
                  <c:v>1.6E-2</c:v>
                </c:pt>
                <c:pt idx="168">
                  <c:v>1.6E-2</c:v>
                </c:pt>
                <c:pt idx="169">
                  <c:v>1.6E-2</c:v>
                </c:pt>
                <c:pt idx="170">
                  <c:v>1.6E-2</c:v>
                </c:pt>
                <c:pt idx="171">
                  <c:v>1.6E-2</c:v>
                </c:pt>
                <c:pt idx="172">
                  <c:v>1.6E-2</c:v>
                </c:pt>
                <c:pt idx="173">
                  <c:v>1.6E-2</c:v>
                </c:pt>
                <c:pt idx="174">
                  <c:v>1.6E-2</c:v>
                </c:pt>
                <c:pt idx="175">
                  <c:v>1.6E-2</c:v>
                </c:pt>
                <c:pt idx="176">
                  <c:v>1.6E-2</c:v>
                </c:pt>
                <c:pt idx="177">
                  <c:v>1.6E-2</c:v>
                </c:pt>
                <c:pt idx="178">
                  <c:v>1.6E-2</c:v>
                </c:pt>
                <c:pt idx="179">
                  <c:v>1.6E-2</c:v>
                </c:pt>
                <c:pt idx="180">
                  <c:v>1.6E-2</c:v>
                </c:pt>
                <c:pt idx="181">
                  <c:v>1.6E-2</c:v>
                </c:pt>
                <c:pt idx="182">
                  <c:v>1.6E-2</c:v>
                </c:pt>
                <c:pt idx="183">
                  <c:v>1.6E-2</c:v>
                </c:pt>
                <c:pt idx="184">
                  <c:v>1.6E-2</c:v>
                </c:pt>
                <c:pt idx="185">
                  <c:v>1.6E-2</c:v>
                </c:pt>
                <c:pt idx="186">
                  <c:v>1.6E-2</c:v>
                </c:pt>
                <c:pt idx="187">
                  <c:v>1.6E-2</c:v>
                </c:pt>
                <c:pt idx="188">
                  <c:v>1.6E-2</c:v>
                </c:pt>
                <c:pt idx="189">
                  <c:v>1.6E-2</c:v>
                </c:pt>
                <c:pt idx="190">
                  <c:v>1.6E-2</c:v>
                </c:pt>
                <c:pt idx="191">
                  <c:v>1.6E-2</c:v>
                </c:pt>
                <c:pt idx="192">
                  <c:v>1.6E-2</c:v>
                </c:pt>
                <c:pt idx="193">
                  <c:v>1.6E-2</c:v>
                </c:pt>
                <c:pt idx="194">
                  <c:v>1.6E-2</c:v>
                </c:pt>
                <c:pt idx="195">
                  <c:v>1.6E-2</c:v>
                </c:pt>
                <c:pt idx="196">
                  <c:v>1.6E-2</c:v>
                </c:pt>
                <c:pt idx="197">
                  <c:v>1.6E-2</c:v>
                </c:pt>
                <c:pt idx="198">
                  <c:v>1.6E-2</c:v>
                </c:pt>
                <c:pt idx="199">
                  <c:v>1.6E-2</c:v>
                </c:pt>
                <c:pt idx="200">
                  <c:v>1.6E-2</c:v>
                </c:pt>
                <c:pt idx="201">
                  <c:v>1.6E-2</c:v>
                </c:pt>
                <c:pt idx="202">
                  <c:v>1.6E-2</c:v>
                </c:pt>
                <c:pt idx="203">
                  <c:v>1.6E-2</c:v>
                </c:pt>
                <c:pt idx="204">
                  <c:v>1.6E-2</c:v>
                </c:pt>
                <c:pt idx="205">
                  <c:v>1.6E-2</c:v>
                </c:pt>
                <c:pt idx="206">
                  <c:v>1.6E-2</c:v>
                </c:pt>
                <c:pt idx="207">
                  <c:v>1.6E-2</c:v>
                </c:pt>
                <c:pt idx="208">
                  <c:v>1.6E-2</c:v>
                </c:pt>
                <c:pt idx="209">
                  <c:v>1.6E-2</c:v>
                </c:pt>
                <c:pt idx="210">
                  <c:v>1.6E-2</c:v>
                </c:pt>
                <c:pt idx="211">
                  <c:v>1.6E-2</c:v>
                </c:pt>
                <c:pt idx="212">
                  <c:v>1.6E-2</c:v>
                </c:pt>
                <c:pt idx="213">
                  <c:v>1.6E-2</c:v>
                </c:pt>
                <c:pt idx="214">
                  <c:v>1.6E-2</c:v>
                </c:pt>
                <c:pt idx="215">
                  <c:v>1.6E-2</c:v>
                </c:pt>
                <c:pt idx="216">
                  <c:v>1.6E-2</c:v>
                </c:pt>
                <c:pt idx="217">
                  <c:v>1.6E-2</c:v>
                </c:pt>
                <c:pt idx="218">
                  <c:v>1.6E-2</c:v>
                </c:pt>
                <c:pt idx="219">
                  <c:v>1.6E-2</c:v>
                </c:pt>
                <c:pt idx="220">
                  <c:v>1.6E-2</c:v>
                </c:pt>
                <c:pt idx="221">
                  <c:v>1.6E-2</c:v>
                </c:pt>
                <c:pt idx="222">
                  <c:v>1.6E-2</c:v>
                </c:pt>
                <c:pt idx="223">
                  <c:v>1.6E-2</c:v>
                </c:pt>
                <c:pt idx="224">
                  <c:v>1.6E-2</c:v>
                </c:pt>
                <c:pt idx="225">
                  <c:v>1.6E-2</c:v>
                </c:pt>
                <c:pt idx="226">
                  <c:v>1.6E-2</c:v>
                </c:pt>
                <c:pt idx="227">
                  <c:v>1.6E-2</c:v>
                </c:pt>
                <c:pt idx="228">
                  <c:v>1.6E-2</c:v>
                </c:pt>
                <c:pt idx="229">
                  <c:v>1.6E-2</c:v>
                </c:pt>
                <c:pt idx="230">
                  <c:v>1.6E-2</c:v>
                </c:pt>
                <c:pt idx="231">
                  <c:v>1.6E-2</c:v>
                </c:pt>
                <c:pt idx="232">
                  <c:v>1.6E-2</c:v>
                </c:pt>
                <c:pt idx="233">
                  <c:v>1.6E-2</c:v>
                </c:pt>
                <c:pt idx="234">
                  <c:v>1.6E-2</c:v>
                </c:pt>
                <c:pt idx="235">
                  <c:v>1.6E-2</c:v>
                </c:pt>
                <c:pt idx="236">
                  <c:v>1.6E-2</c:v>
                </c:pt>
                <c:pt idx="237">
                  <c:v>1.6E-2</c:v>
                </c:pt>
                <c:pt idx="238">
                  <c:v>1.6E-2</c:v>
                </c:pt>
                <c:pt idx="239">
                  <c:v>1.6E-2</c:v>
                </c:pt>
                <c:pt idx="240">
                  <c:v>1.6E-2</c:v>
                </c:pt>
                <c:pt idx="241">
                  <c:v>1.6E-2</c:v>
                </c:pt>
                <c:pt idx="242">
                  <c:v>1.6E-2</c:v>
                </c:pt>
                <c:pt idx="243">
                  <c:v>1.6E-2</c:v>
                </c:pt>
                <c:pt idx="244">
                  <c:v>1.6E-2</c:v>
                </c:pt>
                <c:pt idx="245">
                  <c:v>1.6E-2</c:v>
                </c:pt>
                <c:pt idx="246">
                  <c:v>1.6E-2</c:v>
                </c:pt>
                <c:pt idx="247">
                  <c:v>1.6E-2</c:v>
                </c:pt>
                <c:pt idx="248">
                  <c:v>1.6E-2</c:v>
                </c:pt>
                <c:pt idx="249">
                  <c:v>1.6E-2</c:v>
                </c:pt>
                <c:pt idx="250">
                  <c:v>1.6E-2</c:v>
                </c:pt>
                <c:pt idx="251">
                  <c:v>1.6E-2</c:v>
                </c:pt>
                <c:pt idx="252">
                  <c:v>1.6E-2</c:v>
                </c:pt>
                <c:pt idx="253">
                  <c:v>1.6E-2</c:v>
                </c:pt>
                <c:pt idx="254">
                  <c:v>1.6E-2</c:v>
                </c:pt>
                <c:pt idx="255">
                  <c:v>1.6E-2</c:v>
                </c:pt>
                <c:pt idx="256">
                  <c:v>1.6E-2</c:v>
                </c:pt>
                <c:pt idx="257">
                  <c:v>1.6E-2</c:v>
                </c:pt>
                <c:pt idx="258">
                  <c:v>1.6E-2</c:v>
                </c:pt>
                <c:pt idx="259">
                  <c:v>1.6E-2</c:v>
                </c:pt>
                <c:pt idx="260">
                  <c:v>1.6E-2</c:v>
                </c:pt>
                <c:pt idx="261">
                  <c:v>1.6E-2</c:v>
                </c:pt>
                <c:pt idx="262">
                  <c:v>1.6E-2</c:v>
                </c:pt>
                <c:pt idx="263">
                  <c:v>1.6E-2</c:v>
                </c:pt>
                <c:pt idx="264">
                  <c:v>1.6E-2</c:v>
                </c:pt>
                <c:pt idx="265">
                  <c:v>1.6E-2</c:v>
                </c:pt>
                <c:pt idx="266">
                  <c:v>1.6E-2</c:v>
                </c:pt>
                <c:pt idx="267">
                  <c:v>1.6E-2</c:v>
                </c:pt>
                <c:pt idx="268">
                  <c:v>1.6E-2</c:v>
                </c:pt>
                <c:pt idx="269">
                  <c:v>1.6E-2</c:v>
                </c:pt>
                <c:pt idx="270">
                  <c:v>1.6E-2</c:v>
                </c:pt>
                <c:pt idx="271">
                  <c:v>1.6E-2</c:v>
                </c:pt>
                <c:pt idx="272">
                  <c:v>1.6E-2</c:v>
                </c:pt>
                <c:pt idx="273">
                  <c:v>1.6E-2</c:v>
                </c:pt>
                <c:pt idx="274">
                  <c:v>1.6E-2</c:v>
                </c:pt>
                <c:pt idx="275">
                  <c:v>1.6E-2</c:v>
                </c:pt>
                <c:pt idx="276">
                  <c:v>1.6E-2</c:v>
                </c:pt>
                <c:pt idx="277">
                  <c:v>1.6E-2</c:v>
                </c:pt>
                <c:pt idx="278">
                  <c:v>1.6E-2</c:v>
                </c:pt>
                <c:pt idx="279">
                  <c:v>1.6E-2</c:v>
                </c:pt>
                <c:pt idx="280">
                  <c:v>1.6E-2</c:v>
                </c:pt>
                <c:pt idx="281">
                  <c:v>1.6E-2</c:v>
                </c:pt>
                <c:pt idx="282">
                  <c:v>1.6E-2</c:v>
                </c:pt>
                <c:pt idx="283">
                  <c:v>1.6E-2</c:v>
                </c:pt>
                <c:pt idx="284">
                  <c:v>1.6E-2</c:v>
                </c:pt>
                <c:pt idx="285">
                  <c:v>1.6E-2</c:v>
                </c:pt>
                <c:pt idx="286">
                  <c:v>1.6E-2</c:v>
                </c:pt>
                <c:pt idx="287">
                  <c:v>1.6E-2</c:v>
                </c:pt>
                <c:pt idx="288">
                  <c:v>1.6E-2</c:v>
                </c:pt>
                <c:pt idx="289">
                  <c:v>1.6E-2</c:v>
                </c:pt>
                <c:pt idx="290">
                  <c:v>1.6E-2</c:v>
                </c:pt>
                <c:pt idx="291">
                  <c:v>1.6E-2</c:v>
                </c:pt>
                <c:pt idx="292">
                  <c:v>1.6E-2</c:v>
                </c:pt>
                <c:pt idx="293">
                  <c:v>1.6E-2</c:v>
                </c:pt>
                <c:pt idx="294">
                  <c:v>1.6E-2</c:v>
                </c:pt>
                <c:pt idx="295">
                  <c:v>1.6E-2</c:v>
                </c:pt>
                <c:pt idx="296">
                  <c:v>1.6E-2</c:v>
                </c:pt>
                <c:pt idx="297">
                  <c:v>1.6E-2</c:v>
                </c:pt>
                <c:pt idx="298">
                  <c:v>1.6E-2</c:v>
                </c:pt>
                <c:pt idx="299">
                  <c:v>1.6E-2</c:v>
                </c:pt>
                <c:pt idx="300">
                  <c:v>1.6E-2</c:v>
                </c:pt>
                <c:pt idx="301">
                  <c:v>1.6E-2</c:v>
                </c:pt>
                <c:pt idx="302">
                  <c:v>1.6E-2</c:v>
                </c:pt>
                <c:pt idx="303">
                  <c:v>1.6E-2</c:v>
                </c:pt>
                <c:pt idx="304">
                  <c:v>1.6E-2</c:v>
                </c:pt>
                <c:pt idx="305">
                  <c:v>1.6E-2</c:v>
                </c:pt>
                <c:pt idx="306">
                  <c:v>1.6E-2</c:v>
                </c:pt>
                <c:pt idx="307">
                  <c:v>1.6E-2</c:v>
                </c:pt>
                <c:pt idx="308">
                  <c:v>1.6E-2</c:v>
                </c:pt>
                <c:pt idx="309">
                  <c:v>1.6E-2</c:v>
                </c:pt>
                <c:pt idx="310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Implicit_Fracs!$BG$4:$BG$314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Implicit_Fracs!$BH$4:$BH$314</c:f>
              <c:numCache>
                <c:formatCode>General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Implicit_Fracs!$A$377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Implicit_Fracs!$B$373:$V$373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Implicit_Fracs!$B$377:$V$377</c:f>
              <c:numCache>
                <c:formatCode>General</c:formatCode>
                <c:ptCount val="21"/>
                <c:pt idx="0">
                  <c:v>0.7493335113489179</c:v>
                </c:pt>
                <c:pt idx="1">
                  <c:v>0.74914876672125852</c:v>
                </c:pt>
                <c:pt idx="2">
                  <c:v>0.74836510039603221</c:v>
                </c:pt>
                <c:pt idx="3">
                  <c:v>0.74675637855163501</c:v>
                </c:pt>
                <c:pt idx="4">
                  <c:v>0.74405825627812627</c:v>
                </c:pt>
                <c:pt idx="5">
                  <c:v>0.73997945453978808</c:v>
                </c:pt>
                <c:pt idx="6">
                  <c:v>0.73430419932260671</c:v>
                </c:pt>
                <c:pt idx="7">
                  <c:v>0.72679451408969253</c:v>
                </c:pt>
                <c:pt idx="8">
                  <c:v>0.7173890022005257</c:v>
                </c:pt>
                <c:pt idx="9">
                  <c:v>0.70586174651165112</c:v>
                </c:pt>
                <c:pt idx="10">
                  <c:v>0.69185111752775974</c:v>
                </c:pt>
                <c:pt idx="11">
                  <c:v>0.67495883427609338</c:v>
                </c:pt>
                <c:pt idx="12">
                  <c:v>0.65400837921621879</c:v>
                </c:pt>
                <c:pt idx="13">
                  <c:v>0.62803365200105288</c:v>
                </c:pt>
                <c:pt idx="14">
                  <c:v>0.59416330457187982</c:v>
                </c:pt>
                <c:pt idx="15">
                  <c:v>0.55177358118673769</c:v>
                </c:pt>
                <c:pt idx="16">
                  <c:v>0.49681628072923273</c:v>
                </c:pt>
                <c:pt idx="17">
                  <c:v>0.43010216791880468</c:v>
                </c:pt>
                <c:pt idx="18">
                  <c:v>0.35450193003292901</c:v>
                </c:pt>
                <c:pt idx="19">
                  <c:v>0.27330370367374096</c:v>
                </c:pt>
                <c:pt idx="20">
                  <c:v>0.1933102912776446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116.134547250493</c:v>
                </c:pt>
                <c:pt idx="1">
                  <c:v>111.632290992558</c:v>
                </c:pt>
                <c:pt idx="2">
                  <c:v>106.39472649181801</c:v>
                </c:pt>
                <c:pt idx="3">
                  <c:v>102.223782658915</c:v>
                </c:pt>
                <c:pt idx="4">
                  <c:v>93.167160569775902</c:v>
                </c:pt>
                <c:pt idx="5">
                  <c:v>89.571485624983794</c:v>
                </c:pt>
                <c:pt idx="6">
                  <c:v>84.368415850223201</c:v>
                </c:pt>
                <c:pt idx="7">
                  <c:v>71.788483802766393</c:v>
                </c:pt>
                <c:pt idx="8">
                  <c:v>66.664184808620902</c:v>
                </c:pt>
                <c:pt idx="9">
                  <c:v>52.156844895155601</c:v>
                </c:pt>
                <c:pt idx="10">
                  <c:v>48.229370416423002</c:v>
                </c:pt>
                <c:pt idx="11">
                  <c:v>46.5667337236669</c:v>
                </c:pt>
                <c:pt idx="12">
                  <c:v>45.911006835865699</c:v>
                </c:pt>
                <c:pt idx="13">
                  <c:v>45.410190882519501</c:v>
                </c:pt>
                <c:pt idx="14">
                  <c:v>45.194124175383003</c:v>
                </c:pt>
                <c:pt idx="15">
                  <c:v>44.276707844113801</c:v>
                </c:pt>
                <c:pt idx="16">
                  <c:v>42.930874833503402</c:v>
                </c:pt>
                <c:pt idx="17">
                  <c:v>39.891303520462301</c:v>
                </c:pt>
                <c:pt idx="18">
                  <c:v>37.858563375559903</c:v>
                </c:pt>
                <c:pt idx="19">
                  <c:v>35.178066117849703</c:v>
                </c:pt>
                <c:pt idx="20">
                  <c:v>33.3725704669477</c:v>
                </c:pt>
                <c:pt idx="21">
                  <c:v>33.143999563933697</c:v>
                </c:pt>
                <c:pt idx="22">
                  <c:v>29.247444902318101</c:v>
                </c:pt>
                <c:pt idx="23">
                  <c:v>27.762267981163198</c:v>
                </c:pt>
                <c:pt idx="24">
                  <c:v>24.969925930506399</c:v>
                </c:pt>
                <c:pt idx="25">
                  <c:v>17.242343260681199</c:v>
                </c:pt>
                <c:pt idx="26">
                  <c:v>17.2004387798873</c:v>
                </c:pt>
                <c:pt idx="27">
                  <c:v>16.498001045349501</c:v>
                </c:pt>
                <c:pt idx="28">
                  <c:v>15.8134341163331</c:v>
                </c:pt>
                <c:pt idx="29">
                  <c:v>15.665897168264401</c:v>
                </c:pt>
                <c:pt idx="30">
                  <c:v>15.185941848813099</c:v>
                </c:pt>
                <c:pt idx="31">
                  <c:v>14.374000044014601</c:v>
                </c:pt>
                <c:pt idx="32">
                  <c:v>12.7624838778771</c:v>
                </c:pt>
                <c:pt idx="33">
                  <c:v>10.352620773321799</c:v>
                </c:pt>
                <c:pt idx="34">
                  <c:v>10.0453127401352</c:v>
                </c:pt>
                <c:pt idx="35">
                  <c:v>9.8684273394727509</c:v>
                </c:pt>
                <c:pt idx="36">
                  <c:v>9.1097405871526398</c:v>
                </c:pt>
                <c:pt idx="37">
                  <c:v>8.8362452260842694</c:v>
                </c:pt>
                <c:pt idx="38">
                  <c:v>8.7744590610329301</c:v>
                </c:pt>
                <c:pt idx="39">
                  <c:v>7.55554432140831</c:v>
                </c:pt>
                <c:pt idx="40">
                  <c:v>6.62782984016921</c:v>
                </c:pt>
                <c:pt idx="41">
                  <c:v>6.5396436543471896</c:v>
                </c:pt>
                <c:pt idx="42">
                  <c:v>6.3510393867395898</c:v>
                </c:pt>
                <c:pt idx="43">
                  <c:v>5.7897147227441801</c:v>
                </c:pt>
                <c:pt idx="44">
                  <c:v>4.34325828315718</c:v>
                </c:pt>
                <c:pt idx="45">
                  <c:v>2.7888938809998498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  <c:pt idx="0">
                  <c:v>7.258409203155812E-2</c:v>
                </c:pt>
                <c:pt idx="1">
                  <c:v>0.14235427390190686</c:v>
                </c:pt>
                <c:pt idx="2">
                  <c:v>0.20885097795929311</c:v>
                </c:pt>
                <c:pt idx="3">
                  <c:v>0.27274084212111499</c:v>
                </c:pt>
                <c:pt idx="4">
                  <c:v>0.33097031747722494</c:v>
                </c:pt>
                <c:pt idx="5">
                  <c:v>0.38695249599283982</c:v>
                </c:pt>
                <c:pt idx="6">
                  <c:v>0.43968275589922934</c:v>
                </c:pt>
                <c:pt idx="7">
                  <c:v>0.48455055827595833</c:v>
                </c:pt>
                <c:pt idx="8">
                  <c:v>0.52621567378134637</c:v>
                </c:pt>
                <c:pt idx="9">
                  <c:v>0.55881370184081858</c:v>
                </c:pt>
                <c:pt idx="10">
                  <c:v>0.58895705835108292</c:v>
                </c:pt>
                <c:pt idx="11">
                  <c:v>0.61806126692837471</c:v>
                </c:pt>
                <c:pt idx="12">
                  <c:v>0.64675564620079073</c:v>
                </c:pt>
                <c:pt idx="13">
                  <c:v>0.67513701550236538</c:v>
                </c:pt>
                <c:pt idx="14">
                  <c:v>0.70338334311197981</c:v>
                </c:pt>
                <c:pt idx="15">
                  <c:v>0.73105628551455093</c:v>
                </c:pt>
                <c:pt idx="16">
                  <c:v>0.75788808228549054</c:v>
                </c:pt>
                <c:pt idx="17">
                  <c:v>0.78282014698577951</c:v>
                </c:pt>
                <c:pt idx="18">
                  <c:v>0.80648174909550441</c:v>
                </c:pt>
                <c:pt idx="19">
                  <c:v>0.82846804041916045</c:v>
                </c:pt>
                <c:pt idx="20">
                  <c:v>0.8493258969610028</c:v>
                </c:pt>
                <c:pt idx="21">
                  <c:v>0.87004089668846141</c:v>
                </c:pt>
                <c:pt idx="22">
                  <c:v>0.88832054975241026</c:v>
                </c:pt>
                <c:pt idx="23">
                  <c:v>0.90567196724063725</c:v>
                </c:pt>
                <c:pt idx="24">
                  <c:v>0.92127817094720377</c:v>
                </c:pt>
                <c:pt idx="25">
                  <c:v>0.93205463548512957</c:v>
                </c:pt>
                <c:pt idx="26">
                  <c:v>0.94280490972255915</c:v>
                </c:pt>
                <c:pt idx="27">
                  <c:v>0.95311616037590263</c:v>
                </c:pt>
                <c:pt idx="28">
                  <c:v>0.96299955669861081</c:v>
                </c:pt>
                <c:pt idx="29">
                  <c:v>0.97279074242877606</c:v>
                </c:pt>
                <c:pt idx="30">
                  <c:v>0.98228195608428426</c:v>
                </c:pt>
                <c:pt idx="31">
                  <c:v>0.99126570611179343</c:v>
                </c:pt>
                <c:pt idx="32">
                  <c:v>0.99924225853546667</c:v>
                </c:pt>
                <c:pt idx="33">
                  <c:v>1.0057126465187929</c:v>
                </c:pt>
                <c:pt idx="34">
                  <c:v>1.0119909669813774</c:v>
                </c:pt>
                <c:pt idx="35">
                  <c:v>1.0181587340685478</c:v>
                </c:pt>
                <c:pt idx="36">
                  <c:v>1.0238523219355182</c:v>
                </c:pt>
                <c:pt idx="37">
                  <c:v>1.0293749752018209</c:v>
                </c:pt>
                <c:pt idx="38">
                  <c:v>1.0348590121149663</c:v>
                </c:pt>
                <c:pt idx="39">
                  <c:v>1.0395812273158465</c:v>
                </c:pt>
                <c:pt idx="40">
                  <c:v>1.0437236209659522</c:v>
                </c:pt>
                <c:pt idx="41">
                  <c:v>1.0478108982499192</c:v>
                </c:pt>
                <c:pt idx="42">
                  <c:v>1.0517802978666315</c:v>
                </c:pt>
                <c:pt idx="43">
                  <c:v>1.0553988695683467</c:v>
                </c:pt>
                <c:pt idx="44">
                  <c:v>1.0581134059953199</c:v>
                </c:pt>
                <c:pt idx="45">
                  <c:v>1.0598564646709447</c:v>
                </c:pt>
                <c:pt idx="46">
                  <c:v>1.0598564646709447</c:v>
                </c:pt>
                <c:pt idx="47">
                  <c:v>1.0598564646709447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Implicit_Fracs!$A$375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Implicit_Fracs!$B$373:$V$373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Implicit_Fracs!$B$375:$V$375</c:f>
              <c:numCache>
                <c:formatCode>General</c:formatCode>
                <c:ptCount val="21"/>
                <c:pt idx="0">
                  <c:v>3.4780264935597396E-2</c:v>
                </c:pt>
                <c:pt idx="1">
                  <c:v>3.4106397170549502E-2</c:v>
                </c:pt>
                <c:pt idx="2">
                  <c:v>3.2236514187787599E-2</c:v>
                </c:pt>
                <c:pt idx="3">
                  <c:v>3.0191829261269499E-2</c:v>
                </c:pt>
                <c:pt idx="4">
                  <c:v>2.8031563527229297E-2</c:v>
                </c:pt>
                <c:pt idx="5">
                  <c:v>2.5803683431847441E-2</c:v>
                </c:pt>
                <c:pt idx="6">
                  <c:v>2.3588907847767421E-2</c:v>
                </c:pt>
                <c:pt idx="7">
                  <c:v>2.1434344598589179E-2</c:v>
                </c:pt>
                <c:pt idx="8">
                  <c:v>1.9410102480740883E-2</c:v>
                </c:pt>
                <c:pt idx="9">
                  <c:v>1.752241835261293E-2</c:v>
                </c:pt>
                <c:pt idx="10">
                  <c:v>1.5760255236556161E-2</c:v>
                </c:pt>
                <c:pt idx="11">
                  <c:v>1.4116710511654511E-2</c:v>
                </c:pt>
                <c:pt idx="12">
                  <c:v>1.2530582214402831E-2</c:v>
                </c:pt>
                <c:pt idx="13">
                  <c:v>1.0992648597746669E-2</c:v>
                </c:pt>
                <c:pt idx="14">
                  <c:v>9.4184105442012677E-3</c:v>
                </c:pt>
                <c:pt idx="15">
                  <c:v>7.8728808650521901E-3</c:v>
                </c:pt>
                <c:pt idx="16">
                  <c:v>6.2925112624027061E-3</c:v>
                </c:pt>
                <c:pt idx="17">
                  <c:v>4.776947625822401E-3</c:v>
                </c:pt>
                <c:pt idx="18">
                  <c:v>3.4174928005030088E-3</c:v>
                </c:pt>
                <c:pt idx="19">
                  <c:v>2.2610142595927015E-3</c:v>
                </c:pt>
                <c:pt idx="20">
                  <c:v>1.3572082796646839E-3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116.134547250493</c:v>
                </c:pt>
                <c:pt idx="1">
                  <c:v>111.632290992558</c:v>
                </c:pt>
                <c:pt idx="2">
                  <c:v>106.39472649181801</c:v>
                </c:pt>
                <c:pt idx="3">
                  <c:v>102.223782658915</c:v>
                </c:pt>
                <c:pt idx="4">
                  <c:v>93.167160569775902</c:v>
                </c:pt>
                <c:pt idx="5">
                  <c:v>89.571485624983794</c:v>
                </c:pt>
                <c:pt idx="6">
                  <c:v>84.368415850223201</c:v>
                </c:pt>
                <c:pt idx="7">
                  <c:v>71.788483802766393</c:v>
                </c:pt>
                <c:pt idx="8">
                  <c:v>66.664184808620902</c:v>
                </c:pt>
                <c:pt idx="9">
                  <c:v>52.156844895155601</c:v>
                </c:pt>
                <c:pt idx="10">
                  <c:v>48.229370416423002</c:v>
                </c:pt>
                <c:pt idx="11">
                  <c:v>46.5667337236669</c:v>
                </c:pt>
                <c:pt idx="12">
                  <c:v>45.911006835865699</c:v>
                </c:pt>
                <c:pt idx="13">
                  <c:v>45.410190882519501</c:v>
                </c:pt>
                <c:pt idx="14">
                  <c:v>45.194124175383003</c:v>
                </c:pt>
                <c:pt idx="15">
                  <c:v>44.276707844113801</c:v>
                </c:pt>
                <c:pt idx="16">
                  <c:v>42.930874833503402</c:v>
                </c:pt>
                <c:pt idx="17">
                  <c:v>39.891303520462301</c:v>
                </c:pt>
                <c:pt idx="18">
                  <c:v>37.858563375559903</c:v>
                </c:pt>
                <c:pt idx="19">
                  <c:v>35.178066117849703</c:v>
                </c:pt>
                <c:pt idx="20">
                  <c:v>33.3725704669477</c:v>
                </c:pt>
                <c:pt idx="21">
                  <c:v>33.143999563933697</c:v>
                </c:pt>
                <c:pt idx="22">
                  <c:v>29.247444902318101</c:v>
                </c:pt>
                <c:pt idx="23">
                  <c:v>27.762267981163198</c:v>
                </c:pt>
                <c:pt idx="24">
                  <c:v>24.969925930506399</c:v>
                </c:pt>
                <c:pt idx="25">
                  <c:v>17.242343260681199</c:v>
                </c:pt>
                <c:pt idx="26">
                  <c:v>17.2004387798873</c:v>
                </c:pt>
                <c:pt idx="27">
                  <c:v>16.498001045349501</c:v>
                </c:pt>
                <c:pt idx="28">
                  <c:v>15.8134341163331</c:v>
                </c:pt>
                <c:pt idx="29">
                  <c:v>15.665897168264401</c:v>
                </c:pt>
                <c:pt idx="30">
                  <c:v>15.185941848813099</c:v>
                </c:pt>
                <c:pt idx="31">
                  <c:v>14.374000044014601</c:v>
                </c:pt>
                <c:pt idx="32">
                  <c:v>12.7624838778771</c:v>
                </c:pt>
                <c:pt idx="33">
                  <c:v>10.352620773321799</c:v>
                </c:pt>
                <c:pt idx="34">
                  <c:v>10.0453127401352</c:v>
                </c:pt>
                <c:pt idx="35">
                  <c:v>9.8684273394727509</c:v>
                </c:pt>
                <c:pt idx="36">
                  <c:v>9.1097405871526398</c:v>
                </c:pt>
                <c:pt idx="37">
                  <c:v>8.8362452260842694</c:v>
                </c:pt>
                <c:pt idx="38">
                  <c:v>8.7744590610329301</c:v>
                </c:pt>
                <c:pt idx="39">
                  <c:v>7.55554432140831</c:v>
                </c:pt>
                <c:pt idx="40">
                  <c:v>6.62782984016921</c:v>
                </c:pt>
                <c:pt idx="41">
                  <c:v>6.5396436543471896</c:v>
                </c:pt>
                <c:pt idx="42">
                  <c:v>6.3510393867395898</c:v>
                </c:pt>
                <c:pt idx="43">
                  <c:v>5.7897147227441801</c:v>
                </c:pt>
                <c:pt idx="44">
                  <c:v>4.34325828315718</c:v>
                </c:pt>
                <c:pt idx="45">
                  <c:v>2.7888938809998498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Implicit_Fracs!$A$388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Implicit_Fracs!$B$384:$V$384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Implicit_Fracs!$B$388:$V$388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Implicit_Fracs!$A$386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Implicit_Fracs!$B$384:$V$384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Implicit_Fracs!$B$386:$V$386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Implicit_Fracs!$A$378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Implicit_Fracs!$B$373:$V$373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Implicit_Fracs!$B$378:$V$378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Implicit_Fracs!$A$379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Implicit_Fracs!$B$373:$V$373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Implicit_Fracs!$B$379:$V$379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Implicit_Fracs!$A$389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Implicit_Fracs!$B$384:$V$384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Implicit_Fracs!$B$389:$V$389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Implicit_Fracs!$A$390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Implicit_Fracs!$B$384:$V$384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Implicit_Fracs!$B$390:$V$390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Implicit_Fracs!$F$4:$F$314</c:f>
              <c:numCache>
                <c:formatCode>General</c:formatCode>
                <c:ptCount val="311"/>
                <c:pt idx="0">
                  <c:v>-6.5458908507104701E-4</c:v>
                </c:pt>
                <c:pt idx="1">
                  <c:v>-1.31648363356858E-3</c:v>
                </c:pt>
                <c:pt idx="2">
                  <c:v>-1.31748317427849E-3</c:v>
                </c:pt>
                <c:pt idx="3">
                  <c:v>-1.3181432517648799E-3</c:v>
                </c:pt>
                <c:pt idx="4">
                  <c:v>-1.3186377086317801E-3</c:v>
                </c:pt>
                <c:pt idx="5">
                  <c:v>-1.31903365666893E-3</c:v>
                </c:pt>
                <c:pt idx="6">
                  <c:v>-1.3193641917955299E-3</c:v>
                </c:pt>
                <c:pt idx="7">
                  <c:v>-1.3196480990574899E-3</c:v>
                </c:pt>
                <c:pt idx="8">
                  <c:v>-1.3198970756430901E-3</c:v>
                </c:pt>
                <c:pt idx="9">
                  <c:v>-1.3201189025490801E-3</c:v>
                </c:pt>
                <c:pt idx="10">
                  <c:v>-1.3203190190468599E-3</c:v>
                </c:pt>
                <c:pt idx="11">
                  <c:v>-1.3205013775349299E-3</c:v>
                </c:pt>
                <c:pt idx="12">
                  <c:v>-1.3206689406580899E-3</c:v>
                </c:pt>
                <c:pt idx="13">
                  <c:v>-1.3208239865644901E-3</c:v>
                </c:pt>
                <c:pt idx="14">
                  <c:v>-1.32096830483731E-3</c:v>
                </c:pt>
                <c:pt idx="15">
                  <c:v>-1.3211033269671601E-3</c:v>
                </c:pt>
                <c:pt idx="16">
                  <c:v>-1.3212302159759299E-3</c:v>
                </c:pt>
                <c:pt idx="17">
                  <c:v>-1.32134992964054E-3</c:v>
                </c:pt>
                <c:pt idx="18">
                  <c:v>-1.3214632661325599E-3</c:v>
                </c:pt>
                <c:pt idx="19">
                  <c:v>-1.3215708976351899E-3</c:v>
                </c:pt>
                <c:pt idx="20">
                  <c:v>-1.32167339554908E-3</c:v>
                </c:pt>
                <c:pt idx="21">
                  <c:v>-1.32177124969275E-3</c:v>
                </c:pt>
                <c:pt idx="22">
                  <c:v>-1.3218648831370399E-3</c:v>
                </c:pt>
                <c:pt idx="23">
                  <c:v>-1.32195466381343E-3</c:v>
                </c:pt>
                <c:pt idx="24">
                  <c:v>-1.3220409137031E-3</c:v>
                </c:pt>
                <c:pt idx="25">
                  <c:v>-1.322123916188E-3</c:v>
                </c:pt>
                <c:pt idx="26">
                  <c:v>-1.3222039219879099E-3</c:v>
                </c:pt>
                <c:pt idx="27">
                  <c:v>-1.3222811539981001E-3</c:v>
                </c:pt>
                <c:pt idx="28">
                  <c:v>-1.3223558112630499E-3</c:v>
                </c:pt>
                <c:pt idx="29">
                  <c:v>-1.32242807226518E-3</c:v>
                </c:pt>
                <c:pt idx="30">
                  <c:v>-1.3224980976654201E-3</c:v>
                </c:pt>
                <c:pt idx="31">
                  <c:v>-1.3225660326019099E-3</c:v>
                </c:pt>
                <c:pt idx="32">
                  <c:v>-1.32263200862954E-3</c:v>
                </c:pt>
                <c:pt idx="33">
                  <c:v>-1.3226961453657799E-3</c:v>
                </c:pt>
                <c:pt idx="34">
                  <c:v>-1.32275855189441E-3</c:v>
                </c:pt>
                <c:pt idx="35">
                  <c:v>-1.3228193279689101E-3</c:v>
                </c:pt>
                <c:pt idx="36">
                  <c:v>-1.32287856504867E-3</c:v>
                </c:pt>
                <c:pt idx="37">
                  <c:v>-1.3229363471953201E-3</c:v>
                </c:pt>
                <c:pt idx="38">
                  <c:v>-1.32299275185105E-3</c:v>
                </c:pt>
                <c:pt idx="39">
                  <c:v>-1.32304785051899E-3</c:v>
                </c:pt>
                <c:pt idx="40">
                  <c:v>-1.32310170935689E-3</c:v>
                </c:pt>
                <c:pt idx="41">
                  <c:v>-1.3231543896983699E-3</c:v>
                </c:pt>
                <c:pt idx="42">
                  <c:v>-1.3232059485122499E-3</c:v>
                </c:pt>
                <c:pt idx="43">
                  <c:v>-1.32325643880834E-3</c:v>
                </c:pt>
                <c:pt idx="44">
                  <c:v>-1.3233059099973001E-3</c:v>
                </c:pt>
                <c:pt idx="45">
                  <c:v>-1.3233544082104801E-3</c:v>
                </c:pt>
                <c:pt idx="46">
                  <c:v>-1.3234019765849801E-3</c:v>
                </c:pt>
                <c:pt idx="47">
                  <c:v>-1.32344865551851E-3</c:v>
                </c:pt>
                <c:pt idx="48">
                  <c:v>-1.3234944828975899E-3</c:v>
                </c:pt>
                <c:pt idx="49">
                  <c:v>-1.3235394943026E-3</c:v>
                </c:pt>
                <c:pt idx="50">
                  <c:v>-1.3235837231923E-3</c:v>
                </c:pt>
                <c:pt idx="51">
                  <c:v>-1.3236272010702199E-3</c:v>
                </c:pt>
                <c:pt idx="52">
                  <c:v>-1.3236699576351699E-3</c:v>
                </c:pt>
                <c:pt idx="53">
                  <c:v>-1.3237120209174699E-3</c:v>
                </c:pt>
                <c:pt idx="54">
                  <c:v>-1.32375341740263E-3</c:v>
                </c:pt>
                <c:pt idx="55">
                  <c:v>-1.3237941721438E-3</c:v>
                </c:pt>
                <c:pt idx="56">
                  <c:v>-1.3238343088641199E-3</c:v>
                </c:pt>
                <c:pt idx="57">
                  <c:v>-1.32387385005025E-3</c:v>
                </c:pt>
                <c:pt idx="58">
                  <c:v>-1.32391281703765E-3</c:v>
                </c:pt>
                <c:pt idx="59">
                  <c:v>-1.3239512300888101E-3</c:v>
                </c:pt>
                <c:pt idx="60">
                  <c:v>-1.3239891084648901E-3</c:v>
                </c:pt>
                <c:pt idx="61">
                  <c:v>-1.3240264704915E-3</c:v>
                </c:pt>
                <c:pt idx="62">
                  <c:v>-1.3240633336192001E-3</c:v>
                </c:pt>
                <c:pt idx="63">
                  <c:v>-1.32409971447921E-3</c:v>
                </c:pt>
                <c:pt idx="64">
                  <c:v>-1.3241356289347399E-3</c:v>
                </c:pt>
                <c:pt idx="65">
                  <c:v>-1.32417109212841E-3</c:v>
                </c:pt>
                <c:pt idx="66">
                  <c:v>-1.3242061185260901E-3</c:v>
                </c:pt>
                <c:pt idx="67">
                  <c:v>-1.32424072195745E-3</c:v>
                </c:pt>
                <c:pt idx="68">
                  <c:v>-1.32427491565356E-3</c:v>
                </c:pt>
                <c:pt idx="69">
                  <c:v>-1.32430871228175E-3</c:v>
                </c:pt>
                <c:pt idx="70">
                  <c:v>-1.3243421239779701E-3</c:v>
                </c:pt>
                <c:pt idx="71">
                  <c:v>-1.32437516237696E-3</c:v>
                </c:pt>
                <c:pt idx="72">
                  <c:v>-1.3244078386402201E-3</c:v>
                </c:pt>
                <c:pt idx="73">
                  <c:v>-1.3244401634821699E-3</c:v>
                </c:pt>
                <c:pt idx="74">
                  <c:v>-1.3244721471944399E-3</c:v>
                </c:pt>
                <c:pt idx="75">
                  <c:v>-1.3245037996687001E-3</c:v>
                </c:pt>
                <c:pt idx="76">
                  <c:v>-1.3245351304178E-3</c:v>
                </c:pt>
                <c:pt idx="77">
                  <c:v>-1.32456614859575E-3</c:v>
                </c:pt>
                <c:pt idx="78">
                  <c:v>-1.32459686301623E-3</c:v>
                </c:pt>
                <c:pt idx="79">
                  <c:v>-1.3246272821701101E-3</c:v>
                </c:pt>
                <c:pt idx="80">
                  <c:v>-1.32465741424173E-3</c:v>
                </c:pt>
                <c:pt idx="81">
                  <c:v>-1.3246872671243001E-3</c:v>
                </c:pt>
                <c:pt idx="82">
                  <c:v>-1.32471684843428E-3</c:v>
                </c:pt>
                <c:pt idx="83">
                  <c:v>-1.3247461655249699E-3</c:v>
                </c:pt>
                <c:pt idx="84">
                  <c:v>-1.32477522549925E-3</c:v>
                </c:pt>
                <c:pt idx="85">
                  <c:v>-1.32480403522157E-3</c:v>
                </c:pt>
                <c:pt idx="86">
                  <c:v>-1.32483260132934E-3</c:v>
                </c:pt>
                <c:pt idx="87">
                  <c:v>-1.3248609302435E-3</c:v>
                </c:pt>
                <c:pt idx="88">
                  <c:v>-1.3248890281787099E-3</c:v>
                </c:pt>
                <c:pt idx="89">
                  <c:v>-1.32491690115279E-3</c:v>
                </c:pt>
                <c:pt idx="90">
                  <c:v>-1.3249445549957399E-3</c:v>
                </c:pt>
                <c:pt idx="91">
                  <c:v>-1.3249719953582399E-3</c:v>
                </c:pt>
                <c:pt idx="92">
                  <c:v>-1.3249992277197401E-3</c:v>
                </c:pt>
                <c:pt idx="93">
                  <c:v>-1.32502625739603E-3</c:v>
                </c:pt>
                <c:pt idx="94">
                  <c:v>-1.32505308954652E-3</c:v>
                </c:pt>
                <c:pt idx="95">
                  <c:v>-1.32507972918106E-3</c:v>
                </c:pt>
                <c:pt idx="96">
                  <c:v>-1.32510618116647E-3</c:v>
                </c:pt>
                <c:pt idx="97">
                  <c:v>-1.3251324502327299E-3</c:v>
                </c:pt>
                <c:pt idx="98">
                  <c:v>-1.32515854097881E-3</c:v>
                </c:pt>
                <c:pt idx="99">
                  <c:v>-1.3251844578782901E-3</c:v>
                </c:pt>
                <c:pt idx="100">
                  <c:v>-1.32521020528467E-3</c:v>
                </c:pt>
                <c:pt idx="101">
                  <c:v>-1.32523578743641E-3</c:v>
                </c:pt>
                <c:pt idx="102">
                  <c:v>-1.3252612084617801E-3</c:v>
                </c:pt>
                <c:pt idx="103">
                  <c:v>-1.32528647238344E-3</c:v>
                </c:pt>
                <c:pt idx="104">
                  <c:v>-1.3253115831227901E-3</c:v>
                </c:pt>
                <c:pt idx="105">
                  <c:v>-1.32533654450423E-3</c:v>
                </c:pt>
                <c:pt idx="106">
                  <c:v>-1.3253613602590801E-3</c:v>
                </c:pt>
                <c:pt idx="107">
                  <c:v>-1.3253860340294501E-3</c:v>
                </c:pt>
                <c:pt idx="108">
                  <c:v>-1.3254105693718799E-3</c:v>
                </c:pt>
                <c:pt idx="109">
                  <c:v>-1.32543496976081E-3</c:v>
                </c:pt>
                <c:pt idx="110">
                  <c:v>-1.3254592385919699E-3</c:v>
                </c:pt>
                <c:pt idx="111">
                  <c:v>-1.32548337918557E-3</c:v>
                </c:pt>
                <c:pt idx="112">
                  <c:v>-1.3255073947893599E-3</c:v>
                </c:pt>
                <c:pt idx="113">
                  <c:v>-1.32553128858161E-3</c:v>
                </c:pt>
                <c:pt idx="114">
                  <c:v>-1.3255550636739101E-3</c:v>
                </c:pt>
                <c:pt idx="115">
                  <c:v>-1.32557872311394E-3</c:v>
                </c:pt>
                <c:pt idx="116">
                  <c:v>-1.32560226988806E-3</c:v>
                </c:pt>
                <c:pt idx="117">
                  <c:v>-1.3256257069238001E-3</c:v>
                </c:pt>
                <c:pt idx="118">
                  <c:v>-1.3256490370923599E-3</c:v>
                </c:pt>
                <c:pt idx="119">
                  <c:v>-1.3256722632108899E-3</c:v>
                </c:pt>
                <c:pt idx="120">
                  <c:v>-1.32569538804475E-3</c:v>
                </c:pt>
                <c:pt idx="121">
                  <c:v>-1.3257184143097101E-3</c:v>
                </c:pt>
                <c:pt idx="122">
                  <c:v>-1.32574134467404E-3</c:v>
                </c:pt>
                <c:pt idx="123">
                  <c:v>-1.3257641817605401E-3</c:v>
                </c:pt>
                <c:pt idx="124">
                  <c:v>-1.3257869281484999E-3</c:v>
                </c:pt>
                <c:pt idx="125">
                  <c:v>-1.3258095863756399E-3</c:v>
                </c:pt>
                <c:pt idx="126">
                  <c:v>-1.32583215893989E-3</c:v>
                </c:pt>
                <c:pt idx="127">
                  <c:v>-1.32585464830124E-3</c:v>
                </c:pt>
                <c:pt idx="128">
                  <c:v>-1.32587705688346E-3</c:v>
                </c:pt>
                <c:pt idx="129">
                  <c:v>-1.32589938707578E-3</c:v>
                </c:pt>
                <c:pt idx="130">
                  <c:v>-1.3259216412345399E-3</c:v>
                </c:pt>
                <c:pt idx="131">
                  <c:v>-1.3259438216847901E-3</c:v>
                </c:pt>
                <c:pt idx="132">
                  <c:v>-1.3259659307218699E-3</c:v>
                </c:pt>
                <c:pt idx="133">
                  <c:v>-1.32598797061291E-3</c:v>
                </c:pt>
                <c:pt idx="134">
                  <c:v>-1.3260099435983099E-3</c:v>
                </c:pt>
                <c:pt idx="135">
                  <c:v>-1.32603185189326E-3</c:v>
                </c:pt>
                <c:pt idx="136">
                  <c:v>-1.3260536976890799E-3</c:v>
                </c:pt>
                <c:pt idx="137">
                  <c:v>-1.32607548315469E-3</c:v>
                </c:pt>
                <c:pt idx="138">
                  <c:v>-1.3260972104379501E-3</c:v>
                </c:pt>
                <c:pt idx="139">
                  <c:v>-1.32611888166702E-3</c:v>
                </c:pt>
                <c:pt idx="140">
                  <c:v>-1.32614049895171E-3</c:v>
                </c:pt>
                <c:pt idx="141">
                  <c:v>-1.32616206438474E-3</c:v>
                </c:pt>
                <c:pt idx="142">
                  <c:v>-1.3261835800431E-3</c:v>
                </c:pt>
                <c:pt idx="143">
                  <c:v>-1.3262050479892901E-3</c:v>
                </c:pt>
                <c:pt idx="144">
                  <c:v>-1.3262264702726E-3</c:v>
                </c:pt>
                <c:pt idx="145">
                  <c:v>-1.32624784893038E-3</c:v>
                </c:pt>
                <c:pt idx="146">
                  <c:v>-1.3262691859892699E-3</c:v>
                </c:pt>
                <c:pt idx="147">
                  <c:v>-1.32629048346643E-3</c:v>
                </c:pt>
                <c:pt idx="148">
                  <c:v>-1.3263117433708501E-3</c:v>
                </c:pt>
                <c:pt idx="149">
                  <c:v>-1.3263329677044801E-3</c:v>
                </c:pt>
                <c:pt idx="150">
                  <c:v>-1.3263541584635601E-3</c:v>
                </c:pt>
                <c:pt idx="151">
                  <c:v>-1.32637531763978E-3</c:v>
                </c:pt>
                <c:pt idx="152">
                  <c:v>-1.3263964472215999E-3</c:v>
                </c:pt>
                <c:pt idx="153">
                  <c:v>-1.3264175491954E-3</c:v>
                </c:pt>
                <c:pt idx="154">
                  <c:v>-1.3264386255468299E-3</c:v>
                </c:pt>
                <c:pt idx="155">
                  <c:v>-1.3264596782619901E-3</c:v>
                </c:pt>
                <c:pt idx="156">
                  <c:v>-1.3264807093287499E-3</c:v>
                </c:pt>
                <c:pt idx="157">
                  <c:v>-1.3265017207380299E-3</c:v>
                </c:pt>
                <c:pt idx="158">
                  <c:v>-1.3265227144850899E-3</c:v>
                </c:pt>
                <c:pt idx="159">
                  <c:v>-1.3265436925708799E-3</c:v>
                </c:pt>
                <c:pt idx="160">
                  <c:v>-1.3265646570033501E-3</c:v>
                </c:pt>
                <c:pt idx="161">
                  <c:v>-1.32658560979884E-3</c:v>
                </c:pt>
                <c:pt idx="162">
                  <c:v>-1.3266065529834599E-3</c:v>
                </c:pt>
                <c:pt idx="163">
                  <c:v>-1.32662748859454E-3</c:v>
                </c:pt>
                <c:pt idx="164">
                  <c:v>-1.3266484186820499E-3</c:v>
                </c:pt>
                <c:pt idx="165">
                  <c:v>-1.3266693453100999E-3</c:v>
                </c:pt>
                <c:pt idx="166">
                  <c:v>-1.3266902705584801E-3</c:v>
                </c:pt>
                <c:pt idx="167">
                  <c:v>-1.32671119652423E-3</c:v>
                </c:pt>
                <c:pt idx="168">
                  <c:v>-1.32673212532323E-3</c:v>
                </c:pt>
                <c:pt idx="169">
                  <c:v>-1.32675305909189E-3</c:v>
                </c:pt>
                <c:pt idx="170">
                  <c:v>-1.3267739999888401E-3</c:v>
                </c:pt>
                <c:pt idx="171">
                  <c:v>-1.32679495019672E-3</c:v>
                </c:pt>
                <c:pt idx="172">
                  <c:v>-1.3268159119240201E-3</c:v>
                </c:pt>
                <c:pt idx="173">
                  <c:v>-1.3268368874069501E-3</c:v>
                </c:pt>
                <c:pt idx="174">
                  <c:v>-1.32685787891143E-3</c:v>
                </c:pt>
                <c:pt idx="175">
                  <c:v>-1.3268788887351201E-3</c:v>
                </c:pt>
                <c:pt idx="176">
                  <c:v>-1.3268999192095701E-3</c:v>
                </c:pt>
                <c:pt idx="177">
                  <c:v>-1.3269209727024001E-3</c:v>
                </c:pt>
                <c:pt idx="178">
                  <c:v>-1.32694205161962E-3</c:v>
                </c:pt>
                <c:pt idx="179">
                  <c:v>-1.3269631584080599E-3</c:v>
                </c:pt>
                <c:pt idx="180">
                  <c:v>-1.3269842955578701E-3</c:v>
                </c:pt>
                <c:pt idx="181">
                  <c:v>-1.32700546560511E-3</c:v>
                </c:pt>
                <c:pt idx="182">
                  <c:v>-1.32702667113457E-3</c:v>
                </c:pt>
                <c:pt idx="183">
                  <c:v>-1.3270479147826301E-3</c:v>
                </c:pt>
                <c:pt idx="184">
                  <c:v>-1.32706919924029E-3</c:v>
                </c:pt>
                <c:pt idx="185">
                  <c:v>-1.3270905272563601E-3</c:v>
                </c:pt>
                <c:pt idx="186">
                  <c:v>-1.32711190164078E-3</c:v>
                </c:pt>
                <c:pt idx="187">
                  <c:v>-1.32713332526822E-3</c:v>
                </c:pt>
                <c:pt idx="188">
                  <c:v>-1.3271548010817299E-3</c:v>
                </c:pt>
                <c:pt idx="189">
                  <c:v>-1.32717633209669E-3</c:v>
                </c:pt>
                <c:pt idx="190">
                  <c:v>-1.3271979214049599E-3</c:v>
                </c:pt>
                <c:pt idx="191">
                  <c:v>-1.3272195721792501E-3</c:v>
                </c:pt>
                <c:pt idx="192">
                  <c:v>-1.3272412876777801E-3</c:v>
                </c:pt>
                <c:pt idx="193">
                  <c:v>-1.3272630712491799E-3</c:v>
                </c:pt>
                <c:pt idx="194">
                  <c:v>-1.3272849263376899E-3</c:v>
                </c:pt>
                <c:pt idx="195">
                  <c:v>-1.32730685648876E-3</c:v>
                </c:pt>
                <c:pt idx="196">
                  <c:v>-1.3273288653548501E-3</c:v>
                </c:pt>
                <c:pt idx="197">
                  <c:v>-1.32735095670178E-3</c:v>
                </c:pt>
                <c:pt idx="198">
                  <c:v>-1.32737313441533E-3</c:v>
                </c:pt>
                <c:pt idx="199">
                  <c:v>-1.3273954025084099E-3</c:v>
                </c:pt>
                <c:pt idx="200">
                  <c:v>-1.3274177651286601E-3</c:v>
                </c:pt>
                <c:pt idx="201">
                  <c:v>-1.3274402265665E-3</c:v>
                </c:pt>
                <c:pt idx="202">
                  <c:v>-1.32746279126393E-3</c:v>
                </c:pt>
                <c:pt idx="203">
                  <c:v>-1.32748546382376E-3</c:v>
                </c:pt>
                <c:pt idx="204">
                  <c:v>-1.3275082490196101E-3</c:v>
                </c:pt>
                <c:pt idx="205">
                  <c:v>-1.32753115180666E-3</c:v>
                </c:pt>
                <c:pt idx="206">
                  <c:v>-1.32755417733315E-3</c:v>
                </c:pt>
                <c:pt idx="207">
                  <c:v>-1.3275773309527901E-3</c:v>
                </c:pt>
                <c:pt idx="208">
                  <c:v>-1.32760061823818E-3</c:v>
                </c:pt>
                <c:pt idx="209">
                  <c:v>-1.3276240449951601E-3</c:v>
                </c:pt>
                <c:pt idx="210">
                  <c:v>-1.32764761727849E-3</c:v>
                </c:pt>
                <c:pt idx="211">
                  <c:v>-1.3276713414086801E-3</c:v>
                </c:pt>
                <c:pt idx="212">
                  <c:v>-1.3276952239903001E-3</c:v>
                </c:pt>
                <c:pt idx="213">
                  <c:v>-1.3277192719318501E-3</c:v>
                </c:pt>
                <c:pt idx="214">
                  <c:v>-1.32774349246729E-3</c:v>
                </c:pt>
                <c:pt idx="215">
                  <c:v>-1.3277678931795699E-3</c:v>
                </c:pt>
                <c:pt idx="216">
                  <c:v>-1.3277924820261999E-3</c:v>
                </c:pt>
                <c:pt idx="217">
                  <c:v>-1.3278172673672501E-3</c:v>
                </c:pt>
                <c:pt idx="218">
                  <c:v>-1.32784225799593E-3</c:v>
                </c:pt>
                <c:pt idx="219">
                  <c:v>-1.3278674631720601E-3</c:v>
                </c:pt>
                <c:pt idx="220">
                  <c:v>-1.32789289265896E-3</c:v>
                </c:pt>
                <c:pt idx="221">
                  <c:v>-1.3279185567638299E-3</c:v>
                </c:pt>
                <c:pt idx="222">
                  <c:v>-1.32794446638243E-3</c:v>
                </c:pt>
                <c:pt idx="223">
                  <c:v>-1.3279706330482899E-3</c:v>
                </c:pt>
                <c:pt idx="224">
                  <c:v>-1.32799706898722E-3</c:v>
                </c:pt>
                <c:pt idx="225">
                  <c:v>-1.32802378717778E-3</c:v>
                </c:pt>
                <c:pt idx="226">
                  <c:v>-1.3280508014184499E-3</c:v>
                </c:pt>
                <c:pt idx="227">
                  <c:v>-1.3280781264025201E-3</c:v>
                </c:pt>
                <c:pt idx="228">
                  <c:v>-1.3281057778017199E-3</c:v>
                </c:pt>
                <c:pt idx="229">
                  <c:v>-1.3281337723598601E-3</c:v>
                </c:pt>
                <c:pt idx="230">
                  <c:v>-1.32816212799804E-3</c:v>
                </c:pt>
                <c:pt idx="231">
                  <c:v>-1.3281908639331101E-3</c:v>
                </c:pt>
                <c:pt idx="232">
                  <c:v>-1.32822000081147E-3</c:v>
                </c:pt>
                <c:pt idx="233">
                  <c:v>-1.3282495608607501E-3</c:v>
                </c:pt>
                <c:pt idx="234">
                  <c:v>-1.32827956806213E-3</c:v>
                </c:pt>
                <c:pt idx="235">
                  <c:v>-1.32831004834714E-3</c:v>
                </c:pt>
                <c:pt idx="236">
                  <c:v>-1.32834102982284E-3</c:v>
                </c:pt>
                <c:pt idx="237">
                  <c:v>-1.3283725430308E-3</c:v>
                </c:pt>
                <c:pt idx="238">
                  <c:v>-1.3284046212460199E-3</c:v>
                </c:pt>
                <c:pt idx="239">
                  <c:v>-1.3284373008234701E-3</c:v>
                </c:pt>
                <c:pt idx="240">
                  <c:v>-1.3284706216018199E-3</c:v>
                </c:pt>
                <c:pt idx="241">
                  <c:v>-1.3285046273759499E-3</c:v>
                </c:pt>
                <c:pt idx="242">
                  <c:v>-1.328539366453E-3</c:v>
                </c:pt>
                <c:pt idx="243">
                  <c:v>-1.32857489231038E-3</c:v>
                </c:pt>
                <c:pt idx="244">
                  <c:v>-1.32861126437914E-3</c:v>
                </c:pt>
                <c:pt idx="245">
                  <c:v>-1.3286485489825499E-3</c:v>
                </c:pt>
                <c:pt idx="246">
                  <c:v>-1.3286868204686001E-3</c:v>
                </c:pt>
                <c:pt idx="247">
                  <c:v>-1.32872616258664E-3</c:v>
                </c:pt>
                <c:pt idx="248">
                  <c:v>-1.3287666701744299E-3</c:v>
                </c:pt>
                <c:pt idx="249">
                  <c:v>-1.32880845124389E-3</c:v>
                </c:pt>
                <c:pt idx="250">
                  <c:v>-1.3288516295844801E-3</c:v>
                </c:pt>
                <c:pt idx="251">
                  <c:v>-1.32889634804693E-3</c:v>
                </c:pt>
                <c:pt idx="252">
                  <c:v>-1.3289427727328901E-3</c:v>
                </c:pt>
                <c:pt idx="253">
                  <c:v>-1.3289910984085401E-3</c:v>
                </c:pt>
                <c:pt idx="254">
                  <c:v>-1.3290415555984899E-3</c:v>
                </c:pt>
                <c:pt idx="255">
                  <c:v>-1.3290944200277299E-3</c:v>
                </c:pt>
                <c:pt idx="256">
                  <c:v>-1.3291500254108701E-3</c:v>
                </c:pt>
                <c:pt idx="257">
                  <c:v>-1.32920878112043E-3</c:v>
                </c:pt>
                <c:pt idx="258">
                  <c:v>-1.32927119714949E-3</c:v>
                </c:pt>
                <c:pt idx="259">
                  <c:v>-1.32933792029893E-3</c:v>
                </c:pt>
                <c:pt idx="260">
                  <c:v>-1.32940978822192E-3</c:v>
                </c:pt>
                <c:pt idx="261">
                  <c:v>-1.3294879130005999E-3</c:v>
                </c:pt>
                <c:pt idx="262">
                  <c:v>-1.32957381584934E-3</c:v>
                </c:pt>
                <c:pt idx="263">
                  <c:v>-1.32966965531238E-3</c:v>
                </c:pt>
                <c:pt idx="264">
                  <c:v>-1.32977863823844E-3</c:v>
                </c:pt>
                <c:pt idx="265">
                  <c:v>-1.3299058190696001E-3</c:v>
                </c:pt>
                <c:pt idx="266">
                  <c:v>-1.3300598168556701E-3</c:v>
                </c:pt>
                <c:pt idx="267">
                  <c:v>-1.3302570306129599E-3</c:v>
                </c:pt>
                <c:pt idx="268">
                  <c:v>-1.3305341366285799E-3</c:v>
                </c:pt>
                <c:pt idx="269">
                  <c:v>-1.3309974144758499E-3</c:v>
                </c:pt>
                <c:pt idx="270">
                  <c:v>-1.33213781546533E-3</c:v>
                </c:pt>
                <c:pt idx="271">
                  <c:v>-1.3336682861826901E-3</c:v>
                </c:pt>
                <c:pt idx="272">
                  <c:v>-1.3351953708365301E-3</c:v>
                </c:pt>
                <c:pt idx="273">
                  <c:v>-1.33672756082719E-3</c:v>
                </c:pt>
                <c:pt idx="274">
                  <c:v>-1.3382654271445E-3</c:v>
                </c:pt>
                <c:pt idx="275">
                  <c:v>-1.3398092704739999E-3</c:v>
                </c:pt>
                <c:pt idx="276">
                  <c:v>-1.34135926369352E-3</c:v>
                </c:pt>
                <c:pt idx="277">
                  <c:v>-1.3429155195651E-3</c:v>
                </c:pt>
                <c:pt idx="278">
                  <c:v>-2.2910828055574799E-3</c:v>
                </c:pt>
                <c:pt idx="279">
                  <c:v>-2.2910828280913501E-3</c:v>
                </c:pt>
                <c:pt idx="280">
                  <c:v>-3.8305732976120898E-3</c:v>
                </c:pt>
                <c:pt idx="281">
                  <c:v>-3.8333587250425701E-3</c:v>
                </c:pt>
                <c:pt idx="282">
                  <c:v>-3.8357840372985701E-3</c:v>
                </c:pt>
                <c:pt idx="283">
                  <c:v>-3.8379485836785199E-3</c:v>
                </c:pt>
                <c:pt idx="284">
                  <c:v>-3.8399180760400201E-3</c:v>
                </c:pt>
                <c:pt idx="285">
                  <c:v>-3.8417380705684902E-3</c:v>
                </c:pt>
                <c:pt idx="286">
                  <c:v>-3.8434416321224598E-3</c:v>
                </c:pt>
                <c:pt idx="287">
                  <c:v>-3.8450537598643101E-3</c:v>
                </c:pt>
                <c:pt idx="288">
                  <c:v>-3.8465940776560401E-3</c:v>
                </c:pt>
                <c:pt idx="289">
                  <c:v>-3.8480785573939101E-3</c:v>
                </c:pt>
                <c:pt idx="290">
                  <c:v>-3.84952068264445E-3</c:v>
                </c:pt>
                <c:pt idx="291">
                  <c:v>-3.85093228129378E-3</c:v>
                </c:pt>
                <c:pt idx="292">
                  <c:v>-3.8523241647347999E-3</c:v>
                </c:pt>
                <c:pt idx="293">
                  <c:v>-3.8537066644189098E-3</c:v>
                </c:pt>
                <c:pt idx="294">
                  <c:v>-3.8550901349958702E-3</c:v>
                </c:pt>
                <c:pt idx="295">
                  <c:v>-3.85648548886702E-3</c:v>
                </c:pt>
                <c:pt idx="296">
                  <c:v>-3.8579048389859199E-3</c:v>
                </c:pt>
                <c:pt idx="297">
                  <c:v>-3.85936236141441E-3</c:v>
                </c:pt>
                <c:pt idx="298">
                  <c:v>-3.8608755645093301E-3</c:v>
                </c:pt>
                <c:pt idx="299">
                  <c:v>-3.8624673120118799E-3</c:v>
                </c:pt>
                <c:pt idx="300">
                  <c:v>-3.8641693053499898E-3</c:v>
                </c:pt>
                <c:pt idx="301">
                  <c:v>-3.8660285978242E-3</c:v>
                </c:pt>
                <c:pt idx="302">
                  <c:v>-3.8681210620158399E-3</c:v>
                </c:pt>
                <c:pt idx="303">
                  <c:v>-3.8705831096616898E-3</c:v>
                </c:pt>
                <c:pt idx="304">
                  <c:v>-3.87370140988222E-3</c:v>
                </c:pt>
                <c:pt idx="305">
                  <c:v>-3.8782486586522902E-3</c:v>
                </c:pt>
                <c:pt idx="306">
                  <c:v>-3.8875106087786901E-3</c:v>
                </c:pt>
                <c:pt idx="307">
                  <c:v>-3.9343249839230198E-3</c:v>
                </c:pt>
                <c:pt idx="308">
                  <c:v>-4.0121720513367799E-3</c:v>
                </c:pt>
                <c:pt idx="309">
                  <c:v>-6.01217205133678E-3</c:v>
                </c:pt>
                <c:pt idx="310">
                  <c:v>-6.01217205133678E-3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Implicit_Fracs!$C$4:$C$314</c:f>
              <c:numCache>
                <c:formatCode>General</c:formatCode>
                <c:ptCount val="311"/>
                <c:pt idx="0">
                  <c:v>6.5458908507104702E-2</c:v>
                </c:pt>
                <c:pt idx="1">
                  <c:v>0.13164836335685801</c:v>
                </c:pt>
                <c:pt idx="2">
                  <c:v>0.13174831742784901</c:v>
                </c:pt>
                <c:pt idx="3">
                  <c:v>0.131814325176488</c:v>
                </c:pt>
                <c:pt idx="4">
                  <c:v>0.13186377086317799</c:v>
                </c:pt>
                <c:pt idx="5">
                  <c:v>0.13190336566689301</c:v>
                </c:pt>
                <c:pt idx="6">
                  <c:v>0.13193641917955301</c:v>
                </c:pt>
                <c:pt idx="7">
                  <c:v>0.13196480990574899</c:v>
                </c:pt>
                <c:pt idx="8">
                  <c:v>0.131989707564308</c:v>
                </c:pt>
                <c:pt idx="9">
                  <c:v>0.132011890254908</c:v>
                </c:pt>
                <c:pt idx="10">
                  <c:v>0.132031901904686</c:v>
                </c:pt>
                <c:pt idx="11">
                  <c:v>0.132050137753493</c:v>
                </c:pt>
                <c:pt idx="12">
                  <c:v>0.13206689406580899</c:v>
                </c:pt>
                <c:pt idx="13">
                  <c:v>0.132082398656449</c:v>
                </c:pt>
                <c:pt idx="14">
                  <c:v>0.132096830483731</c:v>
                </c:pt>
                <c:pt idx="15">
                  <c:v>0.13211033269671599</c:v>
                </c:pt>
                <c:pt idx="16">
                  <c:v>0.13212302159759301</c:v>
                </c:pt>
                <c:pt idx="17">
                  <c:v>0.13213499296405401</c:v>
                </c:pt>
                <c:pt idx="18">
                  <c:v>0.13214632661325601</c:v>
                </c:pt>
                <c:pt idx="19">
                  <c:v>0.132157089763519</c:v>
                </c:pt>
                <c:pt idx="20">
                  <c:v>0.132167339554908</c:v>
                </c:pt>
                <c:pt idx="21">
                  <c:v>0.132177124969275</c:v>
                </c:pt>
                <c:pt idx="22">
                  <c:v>0.132186488313704</c:v>
                </c:pt>
                <c:pt idx="23">
                  <c:v>0.132195466381343</c:v>
                </c:pt>
                <c:pt idx="24">
                  <c:v>0.13220409137031</c:v>
                </c:pt>
                <c:pt idx="25">
                  <c:v>0.1322123916188</c:v>
                </c:pt>
                <c:pt idx="26">
                  <c:v>0.132220392198791</c:v>
                </c:pt>
                <c:pt idx="27">
                  <c:v>0.13222811539981</c:v>
                </c:pt>
                <c:pt idx="28">
                  <c:v>0.13223558112630501</c:v>
                </c:pt>
                <c:pt idx="29">
                  <c:v>0.13224280722651799</c:v>
                </c:pt>
                <c:pt idx="30">
                  <c:v>0.13224980976654199</c:v>
                </c:pt>
                <c:pt idx="31">
                  <c:v>0.13225660326019101</c:v>
                </c:pt>
                <c:pt idx="32">
                  <c:v>0.13226320086295401</c:v>
                </c:pt>
                <c:pt idx="33">
                  <c:v>0.13226961453657801</c:v>
                </c:pt>
                <c:pt idx="34">
                  <c:v>0.13227585518944099</c:v>
                </c:pt>
                <c:pt idx="35">
                  <c:v>0.13228193279689099</c:v>
                </c:pt>
                <c:pt idx="36">
                  <c:v>0.13228785650486699</c:v>
                </c:pt>
                <c:pt idx="37">
                  <c:v>0.13229363471953201</c:v>
                </c:pt>
                <c:pt idx="38">
                  <c:v>0.13229927518510501</c:v>
                </c:pt>
                <c:pt idx="39">
                  <c:v>0.13230478505189899</c:v>
                </c:pt>
                <c:pt idx="40">
                  <c:v>0.132310170935689</c:v>
                </c:pt>
                <c:pt idx="41">
                  <c:v>0.132315438969837</c:v>
                </c:pt>
                <c:pt idx="42">
                  <c:v>0.13232059485122499</c:v>
                </c:pt>
                <c:pt idx="43">
                  <c:v>0.13232564388083301</c:v>
                </c:pt>
                <c:pt idx="44">
                  <c:v>0.13233059099972999</c:v>
                </c:pt>
                <c:pt idx="45">
                  <c:v>0.13233544082104801</c:v>
                </c:pt>
                <c:pt idx="46">
                  <c:v>0.132340197658498</c:v>
                </c:pt>
                <c:pt idx="47">
                  <c:v>0.13234486555185099</c:v>
                </c:pt>
                <c:pt idx="48">
                  <c:v>0.132349448289759</c:v>
                </c:pt>
                <c:pt idx="49">
                  <c:v>0.13235394943025999</c:v>
                </c:pt>
                <c:pt idx="50">
                  <c:v>0.13235837231923001</c:v>
                </c:pt>
                <c:pt idx="51">
                  <c:v>0.13236272010702199</c:v>
                </c:pt>
                <c:pt idx="52">
                  <c:v>0.13236699576351699</c:v>
                </c:pt>
                <c:pt idx="53">
                  <c:v>0.13237120209174699</c:v>
                </c:pt>
                <c:pt idx="54">
                  <c:v>0.132375341740263</c:v>
                </c:pt>
                <c:pt idx="55">
                  <c:v>0.13237941721437901</c:v>
                </c:pt>
                <c:pt idx="56">
                  <c:v>0.132383430886412</c:v>
                </c:pt>
                <c:pt idx="57">
                  <c:v>0.132387385005025</c:v>
                </c:pt>
                <c:pt idx="58">
                  <c:v>0.13239128170376399</c:v>
                </c:pt>
                <c:pt idx="59">
                  <c:v>0.13239512300888101</c:v>
                </c:pt>
                <c:pt idx="60">
                  <c:v>0.132398910846489</c:v>
                </c:pt>
                <c:pt idx="61">
                  <c:v>0.13240264704915</c:v>
                </c:pt>
                <c:pt idx="62">
                  <c:v>0.13240633336192001</c:v>
                </c:pt>
                <c:pt idx="63">
                  <c:v>0.13240997144792099</c:v>
                </c:pt>
                <c:pt idx="64">
                  <c:v>0.132413562893474</c:v>
                </c:pt>
                <c:pt idx="65">
                  <c:v>0.132417109212841</c:v>
                </c:pt>
                <c:pt idx="66">
                  <c:v>0.132420611852609</c:v>
                </c:pt>
                <c:pt idx="67">
                  <c:v>0.13242407219574501</c:v>
                </c:pt>
                <c:pt idx="68">
                  <c:v>0.13242749156535599</c:v>
                </c:pt>
                <c:pt idx="69">
                  <c:v>0.13243087122817501</c:v>
                </c:pt>
                <c:pt idx="70">
                  <c:v>0.13243421239779701</c:v>
                </c:pt>
                <c:pt idx="71">
                  <c:v>0.13243751623769601</c:v>
                </c:pt>
                <c:pt idx="72">
                  <c:v>0.132440783864022</c:v>
                </c:pt>
                <c:pt idx="73">
                  <c:v>0.13244401634821701</c:v>
                </c:pt>
                <c:pt idx="74">
                  <c:v>0.13244721471944401</c:v>
                </c:pt>
                <c:pt idx="75">
                  <c:v>0.13245037996687001</c:v>
                </c:pt>
                <c:pt idx="76">
                  <c:v>0.13245351304177999</c:v>
                </c:pt>
                <c:pt idx="77">
                  <c:v>0.13245661485957499</c:v>
                </c:pt>
                <c:pt idx="78">
                  <c:v>0.132459686301623</c:v>
                </c:pt>
                <c:pt idx="79">
                  <c:v>0.13246272821701099</c:v>
                </c:pt>
                <c:pt idx="80">
                  <c:v>0.132465741424173</c:v>
                </c:pt>
                <c:pt idx="81">
                  <c:v>0.13246872671243001</c:v>
                </c:pt>
                <c:pt idx="82">
                  <c:v>0.132471684843428</c:v>
                </c:pt>
                <c:pt idx="83">
                  <c:v>0.13247461655249701</c:v>
                </c:pt>
                <c:pt idx="84">
                  <c:v>0.13247752254992401</c:v>
                </c:pt>
                <c:pt idx="85">
                  <c:v>0.13248040352215701</c:v>
                </c:pt>
                <c:pt idx="86">
                  <c:v>0.13248326013293299</c:v>
                </c:pt>
                <c:pt idx="87">
                  <c:v>0.13248609302434999</c:v>
                </c:pt>
                <c:pt idx="88">
                  <c:v>0.13248890281787101</c:v>
                </c:pt>
                <c:pt idx="89">
                  <c:v>0.132491690115279</c:v>
                </c:pt>
                <c:pt idx="90">
                  <c:v>0.132494455499574</c:v>
                </c:pt>
                <c:pt idx="91">
                  <c:v>0.13249719953582401</c:v>
                </c:pt>
                <c:pt idx="92">
                  <c:v>0.132499922771974</c:v>
                </c:pt>
                <c:pt idx="93">
                  <c:v>0.132502625739603</c:v>
                </c:pt>
                <c:pt idx="94">
                  <c:v>0.13250530895465101</c:v>
                </c:pt>
                <c:pt idx="95">
                  <c:v>0.13250797291810601</c:v>
                </c:pt>
                <c:pt idx="96">
                  <c:v>0.13251061811664699</c:v>
                </c:pt>
                <c:pt idx="97">
                  <c:v>0.132513245023273</c:v>
                </c:pt>
                <c:pt idx="98">
                  <c:v>0.132515854097881</c:v>
                </c:pt>
                <c:pt idx="99">
                  <c:v>0.13251844578782901</c:v>
                </c:pt>
                <c:pt idx="100">
                  <c:v>0.13252102052846701</c:v>
                </c:pt>
                <c:pt idx="101">
                  <c:v>0.13252357874364101</c:v>
                </c:pt>
                <c:pt idx="102">
                  <c:v>0.13252612084617801</c:v>
                </c:pt>
                <c:pt idx="103">
                  <c:v>0.13252864723834301</c:v>
                </c:pt>
                <c:pt idx="104">
                  <c:v>0.13253115831227899</c:v>
                </c:pt>
                <c:pt idx="105">
                  <c:v>0.13253365445042301</c:v>
                </c:pt>
                <c:pt idx="106">
                  <c:v>0.132536136025908</c:v>
                </c:pt>
                <c:pt idx="107">
                  <c:v>0.13253860340294499</c:v>
                </c:pt>
                <c:pt idx="108">
                  <c:v>0.13254105693718801</c:v>
                </c:pt>
                <c:pt idx="109">
                  <c:v>0.132543496976081</c:v>
                </c:pt>
                <c:pt idx="110">
                  <c:v>0.132545923859197</c:v>
                </c:pt>
                <c:pt idx="111">
                  <c:v>0.132548337918557</c:v>
                </c:pt>
                <c:pt idx="112">
                  <c:v>0.132550739478936</c:v>
                </c:pt>
                <c:pt idx="113">
                  <c:v>0.13255312885816001</c:v>
                </c:pt>
                <c:pt idx="114">
                  <c:v>0.132555506367391</c:v>
                </c:pt>
                <c:pt idx="115">
                  <c:v>0.13255787231139399</c:v>
                </c:pt>
                <c:pt idx="116">
                  <c:v>0.13256022698880601</c:v>
                </c:pt>
                <c:pt idx="117">
                  <c:v>0.13256257069238001</c:v>
                </c:pt>
                <c:pt idx="118">
                  <c:v>0.13256490370923599</c:v>
                </c:pt>
                <c:pt idx="119">
                  <c:v>0.132567226321089</c:v>
                </c:pt>
                <c:pt idx="120">
                  <c:v>0.132569538804475</c:v>
                </c:pt>
                <c:pt idx="121">
                  <c:v>0.132571841430971</c:v>
                </c:pt>
                <c:pt idx="122">
                  <c:v>0.13257413446740399</c:v>
                </c:pt>
                <c:pt idx="123">
                  <c:v>0.13257641817605401</c:v>
                </c:pt>
                <c:pt idx="124">
                  <c:v>0.13257869281484999</c:v>
                </c:pt>
                <c:pt idx="125">
                  <c:v>0.132580958637564</c:v>
                </c:pt>
                <c:pt idx="126">
                  <c:v>0.132583215893989</c:v>
                </c:pt>
                <c:pt idx="127">
                  <c:v>0.13258546483012401</c:v>
                </c:pt>
                <c:pt idx="128">
                  <c:v>0.13258770568834599</c:v>
                </c:pt>
                <c:pt idx="129">
                  <c:v>0.13258993870757799</c:v>
                </c:pt>
                <c:pt idx="130">
                  <c:v>0.13259216412345401</c:v>
                </c:pt>
                <c:pt idx="131">
                  <c:v>0.13259438216847899</c:v>
                </c:pt>
                <c:pt idx="132">
                  <c:v>0.13259659307218699</c:v>
                </c:pt>
                <c:pt idx="133">
                  <c:v>0.13259879706128999</c:v>
                </c:pt>
                <c:pt idx="134">
                  <c:v>0.132600994359831</c:v>
                </c:pt>
                <c:pt idx="135">
                  <c:v>0.13260318518932601</c:v>
                </c:pt>
                <c:pt idx="136">
                  <c:v>0.13260536976890799</c:v>
                </c:pt>
                <c:pt idx="137">
                  <c:v>0.132607548315469</c:v>
                </c:pt>
                <c:pt idx="138">
                  <c:v>0.13260972104379501</c:v>
                </c:pt>
                <c:pt idx="139">
                  <c:v>0.132611888166702</c:v>
                </c:pt>
                <c:pt idx="140">
                  <c:v>0.13261404989517001</c:v>
                </c:pt>
                <c:pt idx="141">
                  <c:v>0.13261620643847399</c:v>
                </c:pt>
                <c:pt idx="142">
                  <c:v>0.13261835800430899</c:v>
                </c:pt>
                <c:pt idx="143">
                  <c:v>0.13262050479892901</c:v>
                </c:pt>
                <c:pt idx="144">
                  <c:v>0.13262264702726001</c:v>
                </c:pt>
                <c:pt idx="145">
                  <c:v>0.132624784893038</c:v>
                </c:pt>
                <c:pt idx="146">
                  <c:v>0.132626918598926</c:v>
                </c:pt>
                <c:pt idx="147">
                  <c:v>0.13262904834664299</c:v>
                </c:pt>
                <c:pt idx="148">
                  <c:v>0.13263117433708499</c:v>
                </c:pt>
                <c:pt idx="149">
                  <c:v>0.13263329677044799</c:v>
                </c:pt>
                <c:pt idx="150">
                  <c:v>0.13263541584635499</c:v>
                </c:pt>
                <c:pt idx="151">
                  <c:v>0.13263753176397799</c:v>
                </c:pt>
                <c:pt idx="152">
                  <c:v>0.13263964472216</c:v>
                </c:pt>
                <c:pt idx="153">
                  <c:v>0.13264175491954</c:v>
                </c:pt>
                <c:pt idx="154">
                  <c:v>0.132643862554683</c:v>
                </c:pt>
                <c:pt idx="155">
                  <c:v>0.132645967826199</c:v>
                </c:pt>
                <c:pt idx="156">
                  <c:v>0.13264807093287501</c:v>
                </c:pt>
                <c:pt idx="157">
                  <c:v>0.132650172073802</c:v>
                </c:pt>
                <c:pt idx="158">
                  <c:v>0.132652271448509</c:v>
                </c:pt>
                <c:pt idx="159">
                  <c:v>0.13265436925708801</c:v>
                </c:pt>
                <c:pt idx="160">
                  <c:v>0.13265646570033501</c:v>
                </c:pt>
                <c:pt idx="161">
                  <c:v>0.13265856097988399</c:v>
                </c:pt>
                <c:pt idx="162">
                  <c:v>0.132660655298346</c:v>
                </c:pt>
                <c:pt idx="163">
                  <c:v>0.132662748859454</c:v>
                </c:pt>
                <c:pt idx="164">
                  <c:v>0.13266484186820501</c:v>
                </c:pt>
                <c:pt idx="165">
                  <c:v>0.13266693453101</c:v>
                </c:pt>
                <c:pt idx="166">
                  <c:v>0.13266902705584799</c:v>
                </c:pt>
                <c:pt idx="167">
                  <c:v>0.13267111965242301</c:v>
                </c:pt>
                <c:pt idx="168">
                  <c:v>0.132673212532323</c:v>
                </c:pt>
                <c:pt idx="169">
                  <c:v>0.132675305909189</c:v>
                </c:pt>
                <c:pt idx="170">
                  <c:v>0.132677399998884</c:v>
                </c:pt>
                <c:pt idx="171">
                  <c:v>0.13267949501967199</c:v>
                </c:pt>
                <c:pt idx="172">
                  <c:v>0.132681591192402</c:v>
                </c:pt>
                <c:pt idx="173">
                  <c:v>0.132683688740695</c:v>
                </c:pt>
                <c:pt idx="174">
                  <c:v>0.13268578789114299</c:v>
                </c:pt>
                <c:pt idx="175">
                  <c:v>0.13268788887351199</c:v>
                </c:pt>
                <c:pt idx="176">
                  <c:v>0.13268999192095701</c:v>
                </c:pt>
                <c:pt idx="177">
                  <c:v>0.13269209727023901</c:v>
                </c:pt>
                <c:pt idx="178">
                  <c:v>0.13269420516196201</c:v>
                </c:pt>
                <c:pt idx="179">
                  <c:v>0.13269631584080599</c:v>
                </c:pt>
                <c:pt idx="180">
                  <c:v>0.13269842955578601</c:v>
                </c:pt>
                <c:pt idx="181">
                  <c:v>0.132700546560511</c:v>
                </c:pt>
                <c:pt idx="182">
                  <c:v>0.13270266711345699</c:v>
                </c:pt>
                <c:pt idx="183">
                  <c:v>0.132704791478263</c:v>
                </c:pt>
                <c:pt idx="184">
                  <c:v>0.132706919924029</c:v>
                </c:pt>
                <c:pt idx="185">
                  <c:v>0.13270905272563599</c:v>
                </c:pt>
                <c:pt idx="186">
                  <c:v>0.13271119016407801</c:v>
                </c:pt>
                <c:pt idx="187">
                  <c:v>0.13271333252682199</c:v>
                </c:pt>
                <c:pt idx="188">
                  <c:v>0.132715480108173</c:v>
                </c:pt>
                <c:pt idx="189">
                  <c:v>0.13271763320966901</c:v>
                </c:pt>
                <c:pt idx="190">
                  <c:v>0.13271979214049601</c:v>
                </c:pt>
                <c:pt idx="191">
                  <c:v>0.13272195721792501</c:v>
                </c:pt>
                <c:pt idx="192">
                  <c:v>0.132724128767778</c:v>
                </c:pt>
                <c:pt idx="193">
                  <c:v>0.13272630712491701</c:v>
                </c:pt>
                <c:pt idx="194">
                  <c:v>0.13272849263376901</c:v>
                </c:pt>
                <c:pt idx="195">
                  <c:v>0.132730685648876</c:v>
                </c:pt>
                <c:pt idx="196">
                  <c:v>0.13273288653548501</c:v>
                </c:pt>
                <c:pt idx="197">
                  <c:v>0.13273509567017699</c:v>
                </c:pt>
                <c:pt idx="198">
                  <c:v>0.132737313441533</c:v>
                </c:pt>
                <c:pt idx="199">
                  <c:v>0.132739540250841</c:v>
                </c:pt>
                <c:pt idx="200">
                  <c:v>0.13274177651286501</c:v>
                </c:pt>
                <c:pt idx="201">
                  <c:v>0.13274402265665</c:v>
                </c:pt>
                <c:pt idx="202">
                  <c:v>0.132746279126393</c:v>
                </c:pt>
                <c:pt idx="203">
                  <c:v>0.13274854638237599</c:v>
                </c:pt>
                <c:pt idx="204">
                  <c:v>0.132750824901961</c:v>
                </c:pt>
                <c:pt idx="205">
                  <c:v>0.13275311518066599</c:v>
                </c:pt>
                <c:pt idx="206">
                  <c:v>0.13275541773331401</c:v>
                </c:pt>
                <c:pt idx="207">
                  <c:v>0.132757733095279</c:v>
                </c:pt>
                <c:pt idx="208">
                  <c:v>0.132760061823818</c:v>
                </c:pt>
                <c:pt idx="209">
                  <c:v>0.13276240449951601</c:v>
                </c:pt>
                <c:pt idx="210">
                  <c:v>0.13276476172784801</c:v>
                </c:pt>
                <c:pt idx="211">
                  <c:v>0.13276713414086799</c:v>
                </c:pt>
                <c:pt idx="212">
                  <c:v>0.13276952239903</c:v>
                </c:pt>
                <c:pt idx="213">
                  <c:v>0.13277192719318501</c:v>
                </c:pt>
                <c:pt idx="214">
                  <c:v>0.13277434924672901</c:v>
                </c:pt>
                <c:pt idx="215">
                  <c:v>0.132776789317957</c:v>
                </c:pt>
                <c:pt idx="216">
                  <c:v>0.13277924820261999</c:v>
                </c:pt>
                <c:pt idx="217">
                  <c:v>0.132781726736725</c:v>
                </c:pt>
                <c:pt idx="218">
                  <c:v>0.13278422579959301</c:v>
                </c:pt>
                <c:pt idx="219">
                  <c:v>0.13278674631720599</c:v>
                </c:pt>
                <c:pt idx="220">
                  <c:v>0.132789289265896</c:v>
                </c:pt>
                <c:pt idx="221">
                  <c:v>0.13279185567638299</c:v>
                </c:pt>
                <c:pt idx="222">
                  <c:v>0.132794446638243</c:v>
                </c:pt>
                <c:pt idx="223">
                  <c:v>0.13279706330482899</c:v>
                </c:pt>
                <c:pt idx="224">
                  <c:v>0.132799706898722</c:v>
                </c:pt>
                <c:pt idx="225">
                  <c:v>0.132802378717778</c:v>
                </c:pt>
                <c:pt idx="226">
                  <c:v>0.132805080141845</c:v>
                </c:pt>
                <c:pt idx="227">
                  <c:v>0.13280781264025199</c:v>
                </c:pt>
                <c:pt idx="228">
                  <c:v>0.132810577780172</c:v>
                </c:pt>
                <c:pt idx="229">
                  <c:v>0.13281337723598599</c:v>
                </c:pt>
                <c:pt idx="230">
                  <c:v>0.13281621279980399</c:v>
                </c:pt>
                <c:pt idx="231">
                  <c:v>0.132819086393311</c:v>
                </c:pt>
                <c:pt idx="232">
                  <c:v>0.132822000081147</c:v>
                </c:pt>
                <c:pt idx="233">
                  <c:v>0.132824956086074</c:v>
                </c:pt>
                <c:pt idx="234">
                  <c:v>0.13282795680621301</c:v>
                </c:pt>
                <c:pt idx="235">
                  <c:v>0.13283100483471399</c:v>
                </c:pt>
                <c:pt idx="236">
                  <c:v>0.13283410298228401</c:v>
                </c:pt>
                <c:pt idx="237">
                  <c:v>0.13283725430307999</c:v>
                </c:pt>
                <c:pt idx="238">
                  <c:v>0.13284046212460199</c:v>
                </c:pt>
                <c:pt idx="239">
                  <c:v>0.13284373008234701</c:v>
                </c:pt>
                <c:pt idx="240">
                  <c:v>0.13284706216018199</c:v>
                </c:pt>
                <c:pt idx="241">
                  <c:v>0.13285046273759499</c:v>
                </c:pt>
                <c:pt idx="242">
                  <c:v>0.13285393664530001</c:v>
                </c:pt>
                <c:pt idx="243">
                  <c:v>0.13285748923103799</c:v>
                </c:pt>
                <c:pt idx="244">
                  <c:v>0.13286112643791401</c:v>
                </c:pt>
                <c:pt idx="245">
                  <c:v>0.132864854898255</c:v>
                </c:pt>
                <c:pt idx="246">
                  <c:v>0.13286868204686</c:v>
                </c:pt>
                <c:pt idx="247">
                  <c:v>0.13287261625866401</c:v>
                </c:pt>
                <c:pt idx="248">
                  <c:v>0.132876667017443</c:v>
                </c:pt>
                <c:pt idx="249">
                  <c:v>0.132880845124389</c:v>
                </c:pt>
                <c:pt idx="250">
                  <c:v>0.13288516295844799</c:v>
                </c:pt>
                <c:pt idx="251">
                  <c:v>0.13288963480469199</c:v>
                </c:pt>
                <c:pt idx="252">
                  <c:v>0.13289427727328901</c:v>
                </c:pt>
                <c:pt idx="253">
                  <c:v>0.13289910984085401</c:v>
                </c:pt>
                <c:pt idx="254">
                  <c:v>0.132904155559849</c:v>
                </c:pt>
                <c:pt idx="255">
                  <c:v>0.13290944200277299</c:v>
                </c:pt>
                <c:pt idx="256">
                  <c:v>0.13291500254108701</c:v>
                </c:pt>
                <c:pt idx="257">
                  <c:v>0.13292087811204301</c:v>
                </c:pt>
                <c:pt idx="258">
                  <c:v>0.132927119714948</c:v>
                </c:pt>
                <c:pt idx="259">
                  <c:v>0.132933792029892</c:v>
                </c:pt>
                <c:pt idx="260">
                  <c:v>0.132940978822192</c:v>
                </c:pt>
                <c:pt idx="261">
                  <c:v>0.13294879130005999</c:v>
                </c:pt>
                <c:pt idx="262">
                  <c:v>0.132957381584934</c:v>
                </c:pt>
                <c:pt idx="263">
                  <c:v>0.13296696553123799</c:v>
                </c:pt>
                <c:pt idx="264">
                  <c:v>0.13297786382384399</c:v>
                </c:pt>
                <c:pt idx="265">
                  <c:v>0.132990581906959</c:v>
                </c:pt>
                <c:pt idx="266">
                  <c:v>0.13300598168556699</c:v>
                </c:pt>
                <c:pt idx="267">
                  <c:v>0.13302570306129599</c:v>
                </c:pt>
                <c:pt idx="268">
                  <c:v>0.133053413662858</c:v>
                </c:pt>
                <c:pt idx="269">
                  <c:v>0.13309974144758499</c:v>
                </c:pt>
                <c:pt idx="270">
                  <c:v>0.13321378154653299</c:v>
                </c:pt>
                <c:pt idx="271">
                  <c:v>0.13336682861826901</c:v>
                </c:pt>
                <c:pt idx="272">
                  <c:v>0.13351953708365299</c:v>
                </c:pt>
                <c:pt idx="273">
                  <c:v>0.133672756082719</c:v>
                </c:pt>
                <c:pt idx="274">
                  <c:v>0.13382654271444999</c:v>
                </c:pt>
                <c:pt idx="275">
                  <c:v>0.1339809270474</c:v>
                </c:pt>
                <c:pt idx="276">
                  <c:v>0.13413592636935101</c:v>
                </c:pt>
                <c:pt idx="277">
                  <c:v>0.13429155195650999</c:v>
                </c:pt>
                <c:pt idx="278">
                  <c:v>0.229108280555748</c:v>
                </c:pt>
                <c:pt idx="279">
                  <c:v>0.22910828280913501</c:v>
                </c:pt>
                <c:pt idx="280">
                  <c:v>0.38305732976120799</c:v>
                </c:pt>
                <c:pt idx="281">
                  <c:v>0.38333587250425699</c:v>
                </c:pt>
                <c:pt idx="282">
                  <c:v>0.38357840372985702</c:v>
                </c:pt>
                <c:pt idx="283">
                  <c:v>0.38379485836785199</c:v>
                </c:pt>
                <c:pt idx="284">
                  <c:v>0.38399180760400198</c:v>
                </c:pt>
                <c:pt idx="285">
                  <c:v>0.384173807056849</c:v>
                </c:pt>
                <c:pt idx="286">
                  <c:v>0.38434416321224601</c:v>
                </c:pt>
                <c:pt idx="287">
                  <c:v>0.38450537598643098</c:v>
                </c:pt>
                <c:pt idx="288">
                  <c:v>0.38465940776560398</c:v>
                </c:pt>
                <c:pt idx="289">
                  <c:v>0.38480785573939102</c:v>
                </c:pt>
                <c:pt idx="290">
                  <c:v>0.384952068264445</c:v>
                </c:pt>
                <c:pt idx="291">
                  <c:v>0.38509322812937802</c:v>
                </c:pt>
                <c:pt idx="292">
                  <c:v>0.38523241647348</c:v>
                </c:pt>
                <c:pt idx="293">
                  <c:v>0.385370666441891</c:v>
                </c:pt>
                <c:pt idx="294">
                  <c:v>0.385509013499586</c:v>
                </c:pt>
                <c:pt idx="295">
                  <c:v>0.38564854888670203</c:v>
                </c:pt>
                <c:pt idx="296">
                  <c:v>0.385790483898592</c:v>
                </c:pt>
                <c:pt idx="297">
                  <c:v>0.38593623614144101</c:v>
                </c:pt>
                <c:pt idx="298">
                  <c:v>0.38608755645093301</c:v>
                </c:pt>
                <c:pt idx="299">
                  <c:v>0.38624673120118802</c:v>
                </c:pt>
                <c:pt idx="300">
                  <c:v>0.38641693053499898</c:v>
                </c:pt>
                <c:pt idx="301">
                  <c:v>0.38660285978241898</c:v>
                </c:pt>
                <c:pt idx="302">
                  <c:v>0.38681210620158402</c:v>
                </c:pt>
                <c:pt idx="303">
                  <c:v>0.38705831096616899</c:v>
                </c:pt>
                <c:pt idx="304">
                  <c:v>0.38737014098822098</c:v>
                </c:pt>
                <c:pt idx="305">
                  <c:v>0.38782486586522802</c:v>
                </c:pt>
                <c:pt idx="306">
                  <c:v>0.38875106087786898</c:v>
                </c:pt>
                <c:pt idx="307">
                  <c:v>0.39343249839230199</c:v>
                </c:pt>
                <c:pt idx="308">
                  <c:v>0.40121720513367698</c:v>
                </c:pt>
                <c:pt idx="309">
                  <c:v>0.60121720513367705</c:v>
                </c:pt>
                <c:pt idx="310">
                  <c:v>0.60121720513367705</c:v>
                </c:pt>
              </c:numCache>
            </c:numRef>
          </c:xVal>
          <c:yVal>
            <c:numRef>
              <c:f>Implicit_Fracs!$G$4:$G$314</c:f>
              <c:numCache>
                <c:formatCode>0.00E+00</c:formatCode>
                <c:ptCount val="311"/>
                <c:pt idx="0">
                  <c:v>5.4210108624275198E-20</c:v>
                </c:pt>
                <c:pt idx="1">
                  <c:v>2.1684043449710098E-19</c:v>
                </c:pt>
                <c:pt idx="2">
                  <c:v>2.1684043449710098E-19</c:v>
                </c:pt>
                <c:pt idx="3">
                  <c:v>2.1684043449710098E-19</c:v>
                </c:pt>
                <c:pt idx="4">
                  <c:v>1.0842021724855E-19</c:v>
                </c:pt>
                <c:pt idx="5">
                  <c:v>1.0842021724855E-19</c:v>
                </c:pt>
                <c:pt idx="6">
                  <c:v>2.1684043449710098E-19</c:v>
                </c:pt>
                <c:pt idx="7">
                  <c:v>2.1684043449710098E-19</c:v>
                </c:pt>
                <c:pt idx="8">
                  <c:v>1.0842021724855E-19</c:v>
                </c:pt>
                <c:pt idx="9">
                  <c:v>2.1684043449710098E-19</c:v>
                </c:pt>
                <c:pt idx="10">
                  <c:v>1.0842021724855E-19</c:v>
                </c:pt>
                <c:pt idx="11">
                  <c:v>1.0842021724855E-19</c:v>
                </c:pt>
                <c:pt idx="12">
                  <c:v>1.0842021724855E-19</c:v>
                </c:pt>
                <c:pt idx="13">
                  <c:v>1.0842021724855E-19</c:v>
                </c:pt>
                <c:pt idx="14">
                  <c:v>1.0842021724855E-19</c:v>
                </c:pt>
                <c:pt idx="15">
                  <c:v>2.1684043449710098E-19</c:v>
                </c:pt>
                <c:pt idx="16">
                  <c:v>2.1684043449710098E-19</c:v>
                </c:pt>
                <c:pt idx="17">
                  <c:v>2.1684043449710098E-19</c:v>
                </c:pt>
                <c:pt idx="18">
                  <c:v>1.0842021724855E-19</c:v>
                </c:pt>
                <c:pt idx="19">
                  <c:v>2.1684043449710098E-19</c:v>
                </c:pt>
                <c:pt idx="20">
                  <c:v>2.1684043449710098E-19</c:v>
                </c:pt>
                <c:pt idx="21">
                  <c:v>2.1684043449710098E-19</c:v>
                </c:pt>
                <c:pt idx="22">
                  <c:v>2.1684043449710098E-19</c:v>
                </c:pt>
                <c:pt idx="23">
                  <c:v>1.0842021724855E-19</c:v>
                </c:pt>
                <c:pt idx="24">
                  <c:v>1.0842021724855E-19</c:v>
                </c:pt>
                <c:pt idx="25">
                  <c:v>2.1684043449710098E-19</c:v>
                </c:pt>
                <c:pt idx="26">
                  <c:v>2.1684043449710098E-19</c:v>
                </c:pt>
                <c:pt idx="27">
                  <c:v>1.0842021724855E-19</c:v>
                </c:pt>
                <c:pt idx="28">
                  <c:v>1.0842021724855E-19</c:v>
                </c:pt>
                <c:pt idx="29">
                  <c:v>2.1684043449710098E-19</c:v>
                </c:pt>
                <c:pt idx="30">
                  <c:v>2.1684043449710098E-19</c:v>
                </c:pt>
                <c:pt idx="31">
                  <c:v>1.0842021724855E-19</c:v>
                </c:pt>
                <c:pt idx="32">
                  <c:v>1.0842021724855E-19</c:v>
                </c:pt>
                <c:pt idx="33">
                  <c:v>2.1684043449710098E-19</c:v>
                </c:pt>
                <c:pt idx="34">
                  <c:v>2.1684043449710098E-19</c:v>
                </c:pt>
                <c:pt idx="35">
                  <c:v>1.0842021724855E-19</c:v>
                </c:pt>
                <c:pt idx="36">
                  <c:v>2.1684043449710098E-19</c:v>
                </c:pt>
                <c:pt idx="37">
                  <c:v>2.1684043449710098E-19</c:v>
                </c:pt>
                <c:pt idx="38">
                  <c:v>2.1684043449710098E-19</c:v>
                </c:pt>
                <c:pt idx="39">
                  <c:v>2.1684043449710098E-19</c:v>
                </c:pt>
                <c:pt idx="40">
                  <c:v>2.1684043449710098E-19</c:v>
                </c:pt>
                <c:pt idx="41">
                  <c:v>1.0842021724855E-19</c:v>
                </c:pt>
                <c:pt idx="42">
                  <c:v>2.1684043449710098E-19</c:v>
                </c:pt>
                <c:pt idx="43">
                  <c:v>1.0842021724855E-19</c:v>
                </c:pt>
                <c:pt idx="44">
                  <c:v>1.0842021724855E-19</c:v>
                </c:pt>
                <c:pt idx="45">
                  <c:v>2.1684043449710098E-19</c:v>
                </c:pt>
                <c:pt idx="46">
                  <c:v>2.1684043449710098E-19</c:v>
                </c:pt>
                <c:pt idx="47">
                  <c:v>2.1684043449710098E-19</c:v>
                </c:pt>
                <c:pt idx="48">
                  <c:v>1.0842021724855E-19</c:v>
                </c:pt>
                <c:pt idx="49">
                  <c:v>1.0842021724855E-19</c:v>
                </c:pt>
                <c:pt idx="50">
                  <c:v>2.1684043449710098E-19</c:v>
                </c:pt>
                <c:pt idx="51">
                  <c:v>1.0842021724855E-19</c:v>
                </c:pt>
                <c:pt idx="52">
                  <c:v>1.0842021724855E-19</c:v>
                </c:pt>
                <c:pt idx="53">
                  <c:v>1.0842021724855E-19</c:v>
                </c:pt>
                <c:pt idx="54">
                  <c:v>1.0842021724855E-19</c:v>
                </c:pt>
                <c:pt idx="55">
                  <c:v>2.1684043449710098E-19</c:v>
                </c:pt>
                <c:pt idx="56">
                  <c:v>2.1684043449710098E-19</c:v>
                </c:pt>
                <c:pt idx="57">
                  <c:v>1.0842021724855E-19</c:v>
                </c:pt>
                <c:pt idx="58">
                  <c:v>2.1684043449710098E-19</c:v>
                </c:pt>
                <c:pt idx="59">
                  <c:v>2.1684043449710098E-19</c:v>
                </c:pt>
                <c:pt idx="60">
                  <c:v>2.1684043449710098E-19</c:v>
                </c:pt>
                <c:pt idx="61">
                  <c:v>1.0842021724855E-19</c:v>
                </c:pt>
                <c:pt idx="62">
                  <c:v>1.0842021724855E-19</c:v>
                </c:pt>
                <c:pt idx="63">
                  <c:v>2.1684043449710098E-19</c:v>
                </c:pt>
                <c:pt idx="64">
                  <c:v>2.1684043449710098E-19</c:v>
                </c:pt>
                <c:pt idx="65">
                  <c:v>1.0842021724855E-19</c:v>
                </c:pt>
                <c:pt idx="66">
                  <c:v>2.1684043449710098E-19</c:v>
                </c:pt>
                <c:pt idx="67">
                  <c:v>2.1684043449710098E-19</c:v>
                </c:pt>
                <c:pt idx="68">
                  <c:v>1.0842021724855E-19</c:v>
                </c:pt>
                <c:pt idx="69">
                  <c:v>2.1684043449710098E-19</c:v>
                </c:pt>
                <c:pt idx="70">
                  <c:v>1.0842021724855E-19</c:v>
                </c:pt>
                <c:pt idx="71">
                  <c:v>2.1684043449710098E-19</c:v>
                </c:pt>
                <c:pt idx="72">
                  <c:v>2.1684043449710098E-19</c:v>
                </c:pt>
                <c:pt idx="73">
                  <c:v>1.0842021724855E-19</c:v>
                </c:pt>
                <c:pt idx="74">
                  <c:v>2.1684043449710098E-19</c:v>
                </c:pt>
                <c:pt idx="75">
                  <c:v>1.0842021724855E-19</c:v>
                </c:pt>
                <c:pt idx="76">
                  <c:v>1.0842021724855E-19</c:v>
                </c:pt>
                <c:pt idx="77">
                  <c:v>1.0842021724855E-19</c:v>
                </c:pt>
                <c:pt idx="78">
                  <c:v>2.1684043449710098E-19</c:v>
                </c:pt>
                <c:pt idx="79">
                  <c:v>1.0842021724855E-19</c:v>
                </c:pt>
                <c:pt idx="80">
                  <c:v>2.1684043449710098E-19</c:v>
                </c:pt>
                <c:pt idx="81">
                  <c:v>1.0842021724855E-19</c:v>
                </c:pt>
                <c:pt idx="82">
                  <c:v>2.1684043449710098E-19</c:v>
                </c:pt>
                <c:pt idx="83">
                  <c:v>2.1684043449710098E-19</c:v>
                </c:pt>
                <c:pt idx="84">
                  <c:v>2.1684043449710098E-19</c:v>
                </c:pt>
                <c:pt idx="85">
                  <c:v>1.0842021724855E-19</c:v>
                </c:pt>
                <c:pt idx="86">
                  <c:v>1.0842021724855E-19</c:v>
                </c:pt>
                <c:pt idx="87">
                  <c:v>2.1684043449710098E-19</c:v>
                </c:pt>
                <c:pt idx="88">
                  <c:v>2.1684043449710098E-19</c:v>
                </c:pt>
                <c:pt idx="89">
                  <c:v>2.1684043449710098E-19</c:v>
                </c:pt>
                <c:pt idx="90">
                  <c:v>1.0842021724855E-19</c:v>
                </c:pt>
                <c:pt idx="91">
                  <c:v>2.1684043449710098E-19</c:v>
                </c:pt>
                <c:pt idx="92">
                  <c:v>2.1684043449710098E-19</c:v>
                </c:pt>
                <c:pt idx="93">
                  <c:v>2.1684043449710098E-19</c:v>
                </c:pt>
                <c:pt idx="94">
                  <c:v>2.1684043449710098E-19</c:v>
                </c:pt>
                <c:pt idx="95">
                  <c:v>1.0842021724855E-19</c:v>
                </c:pt>
                <c:pt idx="96">
                  <c:v>2.1684043449710098E-19</c:v>
                </c:pt>
                <c:pt idx="97">
                  <c:v>1.0842021724855E-19</c:v>
                </c:pt>
                <c:pt idx="98">
                  <c:v>2.1684043449710098E-19</c:v>
                </c:pt>
                <c:pt idx="99">
                  <c:v>2.1684043449710098E-19</c:v>
                </c:pt>
                <c:pt idx="100">
                  <c:v>1.0842021724855E-19</c:v>
                </c:pt>
                <c:pt idx="101">
                  <c:v>1.0842021724855E-19</c:v>
                </c:pt>
                <c:pt idx="102">
                  <c:v>1.0842021724855E-19</c:v>
                </c:pt>
                <c:pt idx="103">
                  <c:v>2.1684043449710098E-19</c:v>
                </c:pt>
                <c:pt idx="104">
                  <c:v>1.0842021724855E-19</c:v>
                </c:pt>
                <c:pt idx="105">
                  <c:v>2.1684043449710098E-19</c:v>
                </c:pt>
                <c:pt idx="106">
                  <c:v>1.0842021724855E-19</c:v>
                </c:pt>
                <c:pt idx="107">
                  <c:v>1.0842021724855E-19</c:v>
                </c:pt>
                <c:pt idx="108">
                  <c:v>2.1684043449710098E-19</c:v>
                </c:pt>
                <c:pt idx="109">
                  <c:v>2.1684043449710098E-19</c:v>
                </c:pt>
                <c:pt idx="110">
                  <c:v>1.0842021724855E-19</c:v>
                </c:pt>
                <c:pt idx="111">
                  <c:v>2.1684043449710098E-19</c:v>
                </c:pt>
                <c:pt idx="112">
                  <c:v>2.1684043449710098E-19</c:v>
                </c:pt>
                <c:pt idx="113">
                  <c:v>1.0842021724855E-19</c:v>
                </c:pt>
                <c:pt idx="114">
                  <c:v>2.1684043449710098E-19</c:v>
                </c:pt>
                <c:pt idx="115">
                  <c:v>1.0842021724855E-19</c:v>
                </c:pt>
                <c:pt idx="116">
                  <c:v>2.1684043449710098E-19</c:v>
                </c:pt>
                <c:pt idx="117">
                  <c:v>2.1684043449710098E-19</c:v>
                </c:pt>
                <c:pt idx="118">
                  <c:v>2.1684043449710098E-19</c:v>
                </c:pt>
                <c:pt idx="119">
                  <c:v>2.1684043449710098E-19</c:v>
                </c:pt>
                <c:pt idx="120">
                  <c:v>2.1684043449710098E-19</c:v>
                </c:pt>
                <c:pt idx="121">
                  <c:v>2.1684043449710098E-19</c:v>
                </c:pt>
                <c:pt idx="122">
                  <c:v>1.0842021724855E-19</c:v>
                </c:pt>
                <c:pt idx="123">
                  <c:v>2.1684043449710098E-19</c:v>
                </c:pt>
                <c:pt idx="124">
                  <c:v>2.1684043449710098E-19</c:v>
                </c:pt>
                <c:pt idx="125">
                  <c:v>2.1684043449710098E-19</c:v>
                </c:pt>
                <c:pt idx="126">
                  <c:v>1.0842021724855E-19</c:v>
                </c:pt>
                <c:pt idx="127">
                  <c:v>2.1684043449710098E-19</c:v>
                </c:pt>
                <c:pt idx="128">
                  <c:v>2.1684043449710098E-19</c:v>
                </c:pt>
                <c:pt idx="129">
                  <c:v>2.1684043449710098E-19</c:v>
                </c:pt>
                <c:pt idx="130">
                  <c:v>1.0842021724855E-19</c:v>
                </c:pt>
                <c:pt idx="131">
                  <c:v>1.0842021724855E-19</c:v>
                </c:pt>
                <c:pt idx="132">
                  <c:v>2.1684043449710098E-19</c:v>
                </c:pt>
                <c:pt idx="133">
                  <c:v>1.0842021724855E-19</c:v>
                </c:pt>
                <c:pt idx="134">
                  <c:v>2.1684043449710098E-19</c:v>
                </c:pt>
                <c:pt idx="135">
                  <c:v>1.0842021724855E-19</c:v>
                </c:pt>
                <c:pt idx="136">
                  <c:v>2.1684043449710098E-19</c:v>
                </c:pt>
                <c:pt idx="137">
                  <c:v>2.1684043449710098E-19</c:v>
                </c:pt>
                <c:pt idx="138">
                  <c:v>2.1684043449710098E-19</c:v>
                </c:pt>
                <c:pt idx="139">
                  <c:v>2.1684043449710098E-19</c:v>
                </c:pt>
                <c:pt idx="140">
                  <c:v>1.0842021724855E-19</c:v>
                </c:pt>
                <c:pt idx="141">
                  <c:v>2.1684043449710098E-19</c:v>
                </c:pt>
                <c:pt idx="142">
                  <c:v>1.0842021724855E-19</c:v>
                </c:pt>
                <c:pt idx="143">
                  <c:v>2.1684043449710098E-19</c:v>
                </c:pt>
                <c:pt idx="144">
                  <c:v>2.1684043449710098E-19</c:v>
                </c:pt>
                <c:pt idx="145">
                  <c:v>2.1684043449710098E-19</c:v>
                </c:pt>
                <c:pt idx="146">
                  <c:v>1.0842021724855E-19</c:v>
                </c:pt>
                <c:pt idx="147">
                  <c:v>1.0842021724855E-19</c:v>
                </c:pt>
                <c:pt idx="148">
                  <c:v>1.0842021724855E-19</c:v>
                </c:pt>
                <c:pt idx="149">
                  <c:v>2.1684043449710098E-19</c:v>
                </c:pt>
                <c:pt idx="150">
                  <c:v>2.1684043449710098E-19</c:v>
                </c:pt>
                <c:pt idx="151">
                  <c:v>1.0842021724855E-19</c:v>
                </c:pt>
                <c:pt idx="152">
                  <c:v>1.0842021724855E-19</c:v>
                </c:pt>
                <c:pt idx="153">
                  <c:v>1.0842021724855E-19</c:v>
                </c:pt>
                <c:pt idx="154">
                  <c:v>2.1684043449710098E-19</c:v>
                </c:pt>
                <c:pt idx="155">
                  <c:v>1.0842021724855E-19</c:v>
                </c:pt>
                <c:pt idx="156">
                  <c:v>2.1684043449710098E-19</c:v>
                </c:pt>
                <c:pt idx="157">
                  <c:v>1.0842021724855E-19</c:v>
                </c:pt>
                <c:pt idx="158">
                  <c:v>2.1684043449710098E-19</c:v>
                </c:pt>
                <c:pt idx="159">
                  <c:v>2.1684043449710098E-19</c:v>
                </c:pt>
                <c:pt idx="160">
                  <c:v>2.1684043449710098E-19</c:v>
                </c:pt>
                <c:pt idx="161">
                  <c:v>1.0842021724855E-19</c:v>
                </c:pt>
                <c:pt idx="162">
                  <c:v>2.1684043449710098E-19</c:v>
                </c:pt>
                <c:pt idx="163">
                  <c:v>1.0842021724855E-19</c:v>
                </c:pt>
                <c:pt idx="164">
                  <c:v>1.0842021724855E-19</c:v>
                </c:pt>
                <c:pt idx="165">
                  <c:v>2.1684043449710098E-19</c:v>
                </c:pt>
                <c:pt idx="166">
                  <c:v>2.1684043449710098E-19</c:v>
                </c:pt>
                <c:pt idx="167">
                  <c:v>2.1684043449710098E-19</c:v>
                </c:pt>
                <c:pt idx="168">
                  <c:v>2.1684043449710098E-19</c:v>
                </c:pt>
                <c:pt idx="169">
                  <c:v>2.1684043449710098E-19</c:v>
                </c:pt>
                <c:pt idx="170">
                  <c:v>2.1684043449710098E-19</c:v>
                </c:pt>
                <c:pt idx="171">
                  <c:v>2.1684043449710098E-19</c:v>
                </c:pt>
                <c:pt idx="172">
                  <c:v>2.1684043449710098E-19</c:v>
                </c:pt>
                <c:pt idx="173">
                  <c:v>2.1684043449710098E-19</c:v>
                </c:pt>
                <c:pt idx="174">
                  <c:v>2.1684043449710098E-19</c:v>
                </c:pt>
                <c:pt idx="175">
                  <c:v>1.0842021724855E-19</c:v>
                </c:pt>
                <c:pt idx="176">
                  <c:v>1.0842021724855E-19</c:v>
                </c:pt>
                <c:pt idx="177">
                  <c:v>2.1684043449710098E-19</c:v>
                </c:pt>
                <c:pt idx="178">
                  <c:v>2.1684043449710098E-19</c:v>
                </c:pt>
                <c:pt idx="179">
                  <c:v>1.0842021724855E-19</c:v>
                </c:pt>
                <c:pt idx="180">
                  <c:v>2.1684043449710098E-19</c:v>
                </c:pt>
                <c:pt idx="181">
                  <c:v>2.1684043449710098E-19</c:v>
                </c:pt>
                <c:pt idx="182">
                  <c:v>1.0842021724855E-19</c:v>
                </c:pt>
                <c:pt idx="183">
                  <c:v>1.0842021724855E-19</c:v>
                </c:pt>
                <c:pt idx="184">
                  <c:v>1.0842021724855E-19</c:v>
                </c:pt>
                <c:pt idx="185">
                  <c:v>2.1684043449710098E-19</c:v>
                </c:pt>
                <c:pt idx="186">
                  <c:v>1.0842021724855E-19</c:v>
                </c:pt>
                <c:pt idx="187">
                  <c:v>2.1684043449710098E-19</c:v>
                </c:pt>
                <c:pt idx="188">
                  <c:v>1.0842021724855E-19</c:v>
                </c:pt>
                <c:pt idx="189">
                  <c:v>1.0842021724855E-19</c:v>
                </c:pt>
                <c:pt idx="190">
                  <c:v>2.1684043449710098E-19</c:v>
                </c:pt>
                <c:pt idx="191">
                  <c:v>2.1684043449710098E-19</c:v>
                </c:pt>
                <c:pt idx="192">
                  <c:v>2.1684043449710098E-19</c:v>
                </c:pt>
                <c:pt idx="193">
                  <c:v>1.0842021724855E-19</c:v>
                </c:pt>
                <c:pt idx="194">
                  <c:v>2.1684043449710098E-19</c:v>
                </c:pt>
                <c:pt idx="195">
                  <c:v>1.0842021724855E-19</c:v>
                </c:pt>
                <c:pt idx="196">
                  <c:v>2.1684043449710098E-19</c:v>
                </c:pt>
                <c:pt idx="197">
                  <c:v>1.0842021724855E-19</c:v>
                </c:pt>
                <c:pt idx="198">
                  <c:v>1.0842021724855E-19</c:v>
                </c:pt>
                <c:pt idx="199">
                  <c:v>1.0842021724855E-19</c:v>
                </c:pt>
                <c:pt idx="200">
                  <c:v>2.1684043449710098E-19</c:v>
                </c:pt>
                <c:pt idx="201">
                  <c:v>2.1684043449710098E-19</c:v>
                </c:pt>
                <c:pt idx="202">
                  <c:v>1.0842021724855E-19</c:v>
                </c:pt>
                <c:pt idx="203">
                  <c:v>2.1684043449710098E-19</c:v>
                </c:pt>
                <c:pt idx="204">
                  <c:v>1.0842021724855E-19</c:v>
                </c:pt>
                <c:pt idx="205">
                  <c:v>2.1684043449710098E-19</c:v>
                </c:pt>
                <c:pt idx="206">
                  <c:v>1.0842021724855E-19</c:v>
                </c:pt>
                <c:pt idx="207">
                  <c:v>1.0842021724855E-19</c:v>
                </c:pt>
                <c:pt idx="208">
                  <c:v>2.1684043449710098E-19</c:v>
                </c:pt>
                <c:pt idx="209">
                  <c:v>1.0842021724855E-19</c:v>
                </c:pt>
                <c:pt idx="210">
                  <c:v>1.0842021724855E-19</c:v>
                </c:pt>
                <c:pt idx="211">
                  <c:v>1.0842021724855E-19</c:v>
                </c:pt>
                <c:pt idx="212">
                  <c:v>2.1684043449710098E-19</c:v>
                </c:pt>
                <c:pt idx="213">
                  <c:v>2.1684043449710098E-19</c:v>
                </c:pt>
                <c:pt idx="214">
                  <c:v>1.0842021724855E-19</c:v>
                </c:pt>
                <c:pt idx="215">
                  <c:v>1.0842021724855E-19</c:v>
                </c:pt>
                <c:pt idx="216">
                  <c:v>2.1684043449710098E-19</c:v>
                </c:pt>
                <c:pt idx="217">
                  <c:v>1.0842021724855E-19</c:v>
                </c:pt>
                <c:pt idx="218">
                  <c:v>1.0842021724855E-19</c:v>
                </c:pt>
                <c:pt idx="219">
                  <c:v>2.1684043449710098E-19</c:v>
                </c:pt>
                <c:pt idx="220">
                  <c:v>1.0842021724855E-19</c:v>
                </c:pt>
                <c:pt idx="221">
                  <c:v>1.0842021724855E-19</c:v>
                </c:pt>
                <c:pt idx="222">
                  <c:v>1.0842021724855E-19</c:v>
                </c:pt>
                <c:pt idx="223">
                  <c:v>1.0842021724855E-19</c:v>
                </c:pt>
                <c:pt idx="224">
                  <c:v>2.1684043449710098E-19</c:v>
                </c:pt>
                <c:pt idx="225">
                  <c:v>2.1684043449710098E-19</c:v>
                </c:pt>
                <c:pt idx="226">
                  <c:v>2.1684043449710098E-19</c:v>
                </c:pt>
                <c:pt idx="227">
                  <c:v>1.0842021724855E-19</c:v>
                </c:pt>
                <c:pt idx="228">
                  <c:v>2.1684043449710098E-19</c:v>
                </c:pt>
                <c:pt idx="229">
                  <c:v>1.0842021724855E-19</c:v>
                </c:pt>
                <c:pt idx="230">
                  <c:v>1.0842021724855E-19</c:v>
                </c:pt>
                <c:pt idx="231">
                  <c:v>2.1684043449710098E-19</c:v>
                </c:pt>
                <c:pt idx="232">
                  <c:v>2.1684043449710098E-19</c:v>
                </c:pt>
                <c:pt idx="233">
                  <c:v>2.1684043449710098E-19</c:v>
                </c:pt>
                <c:pt idx="234">
                  <c:v>2.1684043449710098E-19</c:v>
                </c:pt>
                <c:pt idx="235">
                  <c:v>1.0842021724855E-19</c:v>
                </c:pt>
                <c:pt idx="236">
                  <c:v>1.0842021724855E-19</c:v>
                </c:pt>
                <c:pt idx="237">
                  <c:v>2.1684043449710098E-19</c:v>
                </c:pt>
                <c:pt idx="238">
                  <c:v>1.0842021724855E-19</c:v>
                </c:pt>
                <c:pt idx="239">
                  <c:v>1.0842021724855E-19</c:v>
                </c:pt>
                <c:pt idx="240">
                  <c:v>2.1684043449710098E-19</c:v>
                </c:pt>
                <c:pt idx="241">
                  <c:v>1.0842021724855E-19</c:v>
                </c:pt>
                <c:pt idx="242">
                  <c:v>1.0842021724855E-19</c:v>
                </c:pt>
                <c:pt idx="243">
                  <c:v>2.1684043449710098E-19</c:v>
                </c:pt>
                <c:pt idx="244">
                  <c:v>1.0842021724855E-19</c:v>
                </c:pt>
                <c:pt idx="245">
                  <c:v>2.1684043449710098E-19</c:v>
                </c:pt>
                <c:pt idx="246">
                  <c:v>1.0842021724855E-19</c:v>
                </c:pt>
                <c:pt idx="247">
                  <c:v>1.0842021724855E-19</c:v>
                </c:pt>
                <c:pt idx="248">
                  <c:v>2.1684043449710098E-19</c:v>
                </c:pt>
                <c:pt idx="249">
                  <c:v>1.0842021724855E-19</c:v>
                </c:pt>
                <c:pt idx="250">
                  <c:v>1.0842021724855E-19</c:v>
                </c:pt>
                <c:pt idx="251">
                  <c:v>1.0842021724855E-19</c:v>
                </c:pt>
                <c:pt idx="252">
                  <c:v>1.0842021724855E-19</c:v>
                </c:pt>
                <c:pt idx="253">
                  <c:v>1.0842021724855E-19</c:v>
                </c:pt>
                <c:pt idx="254">
                  <c:v>1.0842021724855E-19</c:v>
                </c:pt>
                <c:pt idx="255">
                  <c:v>1.0842021724855E-19</c:v>
                </c:pt>
                <c:pt idx="256">
                  <c:v>2.1684043449710098E-19</c:v>
                </c:pt>
                <c:pt idx="257">
                  <c:v>2.1684043449710098E-19</c:v>
                </c:pt>
                <c:pt idx="258">
                  <c:v>1.0842021724855E-19</c:v>
                </c:pt>
                <c:pt idx="259">
                  <c:v>1.0842021724855E-19</c:v>
                </c:pt>
                <c:pt idx="260">
                  <c:v>2.1684043449710098E-19</c:v>
                </c:pt>
                <c:pt idx="261">
                  <c:v>2.1684043449710098E-19</c:v>
                </c:pt>
                <c:pt idx="262">
                  <c:v>2.1684043449710098E-19</c:v>
                </c:pt>
                <c:pt idx="263">
                  <c:v>1.0842021724855E-19</c:v>
                </c:pt>
                <c:pt idx="264">
                  <c:v>2.1684043449710098E-19</c:v>
                </c:pt>
                <c:pt idx="265">
                  <c:v>1.0842021724855E-19</c:v>
                </c:pt>
                <c:pt idx="266">
                  <c:v>1.0842021724855E-19</c:v>
                </c:pt>
                <c:pt idx="267">
                  <c:v>1.0842021724855E-19</c:v>
                </c:pt>
                <c:pt idx="268">
                  <c:v>2.1684043449710098E-19</c:v>
                </c:pt>
                <c:pt idx="269">
                  <c:v>2.1684043449710098E-19</c:v>
                </c:pt>
                <c:pt idx="270">
                  <c:v>1.0842021724855E-19</c:v>
                </c:pt>
                <c:pt idx="271">
                  <c:v>1.0842021724855E-19</c:v>
                </c:pt>
                <c:pt idx="272">
                  <c:v>1.0842021724855E-19</c:v>
                </c:pt>
                <c:pt idx="273">
                  <c:v>2.1684043449710098E-19</c:v>
                </c:pt>
                <c:pt idx="274">
                  <c:v>1.0842021724855E-19</c:v>
                </c:pt>
                <c:pt idx="275">
                  <c:v>2.1684043449710098E-19</c:v>
                </c:pt>
                <c:pt idx="276">
                  <c:v>1.0842021724855E-19</c:v>
                </c:pt>
                <c:pt idx="277">
                  <c:v>2.1684043449710098E-19</c:v>
                </c:pt>
                <c:pt idx="278">
                  <c:v>2.1684043449710098E-19</c:v>
                </c:pt>
                <c:pt idx="279">
                  <c:v>2.1684043449710098E-19</c:v>
                </c:pt>
                <c:pt idx="280">
                  <c:v>4.3368086899420197E-19</c:v>
                </c:pt>
                <c:pt idx="281">
                  <c:v>4.3368086899420197E-19</c:v>
                </c:pt>
                <c:pt idx="282">
                  <c:v>4.3368086899420197E-19</c:v>
                </c:pt>
                <c:pt idx="283">
                  <c:v>4.3368086899420197E-19</c:v>
                </c:pt>
                <c:pt idx="284">
                  <c:v>4.3368086899420197E-19</c:v>
                </c:pt>
                <c:pt idx="285">
                  <c:v>4.3368086899420197E-19</c:v>
                </c:pt>
                <c:pt idx="286">
                  <c:v>4.3368086899420197E-19</c:v>
                </c:pt>
                <c:pt idx="287">
                  <c:v>4.3368086899420197E-19</c:v>
                </c:pt>
                <c:pt idx="288">
                  <c:v>4.3368086899420197E-19</c:v>
                </c:pt>
                <c:pt idx="289">
                  <c:v>4.3368086899420197E-19</c:v>
                </c:pt>
                <c:pt idx="290">
                  <c:v>4.3368086899420197E-19</c:v>
                </c:pt>
                <c:pt idx="291">
                  <c:v>4.3368086899420197E-19</c:v>
                </c:pt>
                <c:pt idx="292">
                  <c:v>4.3368086899420197E-19</c:v>
                </c:pt>
                <c:pt idx="293">
                  <c:v>4.3368086899420197E-19</c:v>
                </c:pt>
                <c:pt idx="294">
                  <c:v>4.3368086899420197E-19</c:v>
                </c:pt>
                <c:pt idx="295">
                  <c:v>4.3368086899420197E-19</c:v>
                </c:pt>
                <c:pt idx="296">
                  <c:v>4.3368086899420197E-19</c:v>
                </c:pt>
                <c:pt idx="297">
                  <c:v>2.1684043449710098E-19</c:v>
                </c:pt>
                <c:pt idx="298">
                  <c:v>4.3368086899420197E-19</c:v>
                </c:pt>
                <c:pt idx="299">
                  <c:v>4.3368086899420197E-19</c:v>
                </c:pt>
                <c:pt idx="300">
                  <c:v>4.3368086899420197E-19</c:v>
                </c:pt>
                <c:pt idx="301">
                  <c:v>4.3368086899420197E-19</c:v>
                </c:pt>
                <c:pt idx="302">
                  <c:v>4.3368086899420197E-19</c:v>
                </c:pt>
                <c:pt idx="303">
                  <c:v>4.3368086899420197E-19</c:v>
                </c:pt>
                <c:pt idx="304">
                  <c:v>2.1684043449710098E-19</c:v>
                </c:pt>
                <c:pt idx="305">
                  <c:v>4.3368086899420197E-19</c:v>
                </c:pt>
                <c:pt idx="306">
                  <c:v>4.3368086899420197E-19</c:v>
                </c:pt>
                <c:pt idx="307">
                  <c:v>4.3368086899420197E-19</c:v>
                </c:pt>
                <c:pt idx="308">
                  <c:v>4.3368086899420197E-19</c:v>
                </c:pt>
                <c:pt idx="309">
                  <c:v>4.3368086899420197E-19</c:v>
                </c:pt>
                <c:pt idx="310">
                  <c:v>4.3368086899420197E-19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Dip 90deg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Implicit_Fracs!$C$3:$C$314</c:f>
              <c:numCache>
                <c:formatCode>General</c:formatCode>
                <c:ptCount val="312"/>
                <c:pt idx="0">
                  <c:v>0</c:v>
                </c:pt>
                <c:pt idx="1">
                  <c:v>6.5458908507104702E-2</c:v>
                </c:pt>
                <c:pt idx="2">
                  <c:v>0.13164836335685801</c:v>
                </c:pt>
                <c:pt idx="3">
                  <c:v>0.13174831742784901</c:v>
                </c:pt>
                <c:pt idx="4">
                  <c:v>0.131814325176488</c:v>
                </c:pt>
                <c:pt idx="5">
                  <c:v>0.13186377086317799</c:v>
                </c:pt>
                <c:pt idx="6">
                  <c:v>0.13190336566689301</c:v>
                </c:pt>
                <c:pt idx="7">
                  <c:v>0.13193641917955301</c:v>
                </c:pt>
                <c:pt idx="8">
                  <c:v>0.13196480990574899</c:v>
                </c:pt>
                <c:pt idx="9">
                  <c:v>0.131989707564308</c:v>
                </c:pt>
                <c:pt idx="10">
                  <c:v>0.132011890254908</c:v>
                </c:pt>
                <c:pt idx="11">
                  <c:v>0.132031901904686</c:v>
                </c:pt>
                <c:pt idx="12">
                  <c:v>0.132050137753493</c:v>
                </c:pt>
                <c:pt idx="13">
                  <c:v>0.13206689406580899</c:v>
                </c:pt>
                <c:pt idx="14">
                  <c:v>0.132082398656449</c:v>
                </c:pt>
                <c:pt idx="15">
                  <c:v>0.132096830483731</c:v>
                </c:pt>
                <c:pt idx="16">
                  <c:v>0.13211033269671599</c:v>
                </c:pt>
                <c:pt idx="17">
                  <c:v>0.13212302159759301</c:v>
                </c:pt>
                <c:pt idx="18">
                  <c:v>0.13213499296405401</c:v>
                </c:pt>
                <c:pt idx="19">
                  <c:v>0.13214632661325601</c:v>
                </c:pt>
                <c:pt idx="20">
                  <c:v>0.132157089763519</c:v>
                </c:pt>
                <c:pt idx="21">
                  <c:v>0.132167339554908</c:v>
                </c:pt>
                <c:pt idx="22">
                  <c:v>0.132177124969275</c:v>
                </c:pt>
                <c:pt idx="23">
                  <c:v>0.132186488313704</c:v>
                </c:pt>
                <c:pt idx="24">
                  <c:v>0.132195466381343</c:v>
                </c:pt>
                <c:pt idx="25">
                  <c:v>0.13220409137031</c:v>
                </c:pt>
                <c:pt idx="26">
                  <c:v>0.1322123916188</c:v>
                </c:pt>
                <c:pt idx="27">
                  <c:v>0.132220392198791</c:v>
                </c:pt>
                <c:pt idx="28">
                  <c:v>0.13222811539981</c:v>
                </c:pt>
                <c:pt idx="29">
                  <c:v>0.13223558112630501</c:v>
                </c:pt>
                <c:pt idx="30">
                  <c:v>0.13224280722651799</c:v>
                </c:pt>
                <c:pt idx="31">
                  <c:v>0.13224980976654199</c:v>
                </c:pt>
                <c:pt idx="32">
                  <c:v>0.13225660326019101</c:v>
                </c:pt>
                <c:pt idx="33">
                  <c:v>0.13226320086295401</c:v>
                </c:pt>
                <c:pt idx="34">
                  <c:v>0.13226961453657801</c:v>
                </c:pt>
                <c:pt idx="35">
                  <c:v>0.13227585518944099</c:v>
                </c:pt>
                <c:pt idx="36">
                  <c:v>0.13228193279689099</c:v>
                </c:pt>
                <c:pt idx="37">
                  <c:v>0.13228785650486699</c:v>
                </c:pt>
                <c:pt idx="38">
                  <c:v>0.13229363471953201</c:v>
                </c:pt>
                <c:pt idx="39">
                  <c:v>0.13229927518510501</c:v>
                </c:pt>
                <c:pt idx="40">
                  <c:v>0.13230478505189899</c:v>
                </c:pt>
                <c:pt idx="41">
                  <c:v>0.132310170935689</c:v>
                </c:pt>
                <c:pt idx="42">
                  <c:v>0.132315438969837</c:v>
                </c:pt>
                <c:pt idx="43">
                  <c:v>0.13232059485122499</c:v>
                </c:pt>
                <c:pt idx="44">
                  <c:v>0.13232564388083301</c:v>
                </c:pt>
                <c:pt idx="45">
                  <c:v>0.13233059099972999</c:v>
                </c:pt>
                <c:pt idx="46">
                  <c:v>0.13233544082104801</c:v>
                </c:pt>
                <c:pt idx="47">
                  <c:v>0.132340197658498</c:v>
                </c:pt>
                <c:pt idx="48">
                  <c:v>0.13234486555185099</c:v>
                </c:pt>
                <c:pt idx="49">
                  <c:v>0.132349448289759</c:v>
                </c:pt>
                <c:pt idx="50">
                  <c:v>0.13235394943025999</c:v>
                </c:pt>
                <c:pt idx="51">
                  <c:v>0.13235837231923001</c:v>
                </c:pt>
                <c:pt idx="52">
                  <c:v>0.13236272010702199</c:v>
                </c:pt>
                <c:pt idx="53">
                  <c:v>0.13236699576351699</c:v>
                </c:pt>
                <c:pt idx="54">
                  <c:v>0.13237120209174699</c:v>
                </c:pt>
                <c:pt idx="55">
                  <c:v>0.132375341740263</c:v>
                </c:pt>
                <c:pt idx="56">
                  <c:v>0.13237941721437901</c:v>
                </c:pt>
                <c:pt idx="57">
                  <c:v>0.132383430886412</c:v>
                </c:pt>
                <c:pt idx="58">
                  <c:v>0.132387385005025</c:v>
                </c:pt>
                <c:pt idx="59">
                  <c:v>0.13239128170376399</c:v>
                </c:pt>
                <c:pt idx="60">
                  <c:v>0.13239512300888101</c:v>
                </c:pt>
                <c:pt idx="61">
                  <c:v>0.132398910846489</c:v>
                </c:pt>
                <c:pt idx="62">
                  <c:v>0.13240264704915</c:v>
                </c:pt>
                <c:pt idx="63">
                  <c:v>0.13240633336192001</c:v>
                </c:pt>
                <c:pt idx="64">
                  <c:v>0.13240997144792099</c:v>
                </c:pt>
                <c:pt idx="65">
                  <c:v>0.132413562893474</c:v>
                </c:pt>
                <c:pt idx="66">
                  <c:v>0.132417109212841</c:v>
                </c:pt>
                <c:pt idx="67">
                  <c:v>0.132420611852609</c:v>
                </c:pt>
                <c:pt idx="68">
                  <c:v>0.13242407219574501</c:v>
                </c:pt>
                <c:pt idx="69">
                  <c:v>0.13242749156535599</c:v>
                </c:pt>
                <c:pt idx="70">
                  <c:v>0.13243087122817501</c:v>
                </c:pt>
                <c:pt idx="71">
                  <c:v>0.13243421239779701</c:v>
                </c:pt>
                <c:pt idx="72">
                  <c:v>0.13243751623769601</c:v>
                </c:pt>
                <c:pt idx="73">
                  <c:v>0.132440783864022</c:v>
                </c:pt>
                <c:pt idx="74">
                  <c:v>0.13244401634821701</c:v>
                </c:pt>
                <c:pt idx="75">
                  <c:v>0.13244721471944401</c:v>
                </c:pt>
                <c:pt idx="76">
                  <c:v>0.13245037996687001</c:v>
                </c:pt>
                <c:pt idx="77">
                  <c:v>0.13245351304177999</c:v>
                </c:pt>
                <c:pt idx="78">
                  <c:v>0.13245661485957499</c:v>
                </c:pt>
                <c:pt idx="79">
                  <c:v>0.132459686301623</c:v>
                </c:pt>
                <c:pt idx="80">
                  <c:v>0.13246272821701099</c:v>
                </c:pt>
                <c:pt idx="81">
                  <c:v>0.132465741424173</c:v>
                </c:pt>
                <c:pt idx="82">
                  <c:v>0.13246872671243001</c:v>
                </c:pt>
                <c:pt idx="83">
                  <c:v>0.132471684843428</c:v>
                </c:pt>
                <c:pt idx="84">
                  <c:v>0.13247461655249701</c:v>
                </c:pt>
                <c:pt idx="85">
                  <c:v>0.13247752254992401</c:v>
                </c:pt>
                <c:pt idx="86">
                  <c:v>0.13248040352215701</c:v>
                </c:pt>
                <c:pt idx="87">
                  <c:v>0.13248326013293299</c:v>
                </c:pt>
                <c:pt idx="88">
                  <c:v>0.13248609302434999</c:v>
                </c:pt>
                <c:pt idx="89">
                  <c:v>0.13248890281787101</c:v>
                </c:pt>
                <c:pt idx="90">
                  <c:v>0.132491690115279</c:v>
                </c:pt>
                <c:pt idx="91">
                  <c:v>0.132494455499574</c:v>
                </c:pt>
                <c:pt idx="92">
                  <c:v>0.13249719953582401</c:v>
                </c:pt>
                <c:pt idx="93">
                  <c:v>0.132499922771974</c:v>
                </c:pt>
                <c:pt idx="94">
                  <c:v>0.132502625739603</c:v>
                </c:pt>
                <c:pt idx="95">
                  <c:v>0.13250530895465101</c:v>
                </c:pt>
                <c:pt idx="96">
                  <c:v>0.13250797291810601</c:v>
                </c:pt>
                <c:pt idx="97">
                  <c:v>0.13251061811664699</c:v>
                </c:pt>
                <c:pt idx="98">
                  <c:v>0.132513245023273</c:v>
                </c:pt>
                <c:pt idx="99">
                  <c:v>0.132515854097881</c:v>
                </c:pt>
                <c:pt idx="100">
                  <c:v>0.13251844578782901</c:v>
                </c:pt>
                <c:pt idx="101">
                  <c:v>0.13252102052846701</c:v>
                </c:pt>
                <c:pt idx="102">
                  <c:v>0.13252357874364101</c:v>
                </c:pt>
                <c:pt idx="103">
                  <c:v>0.13252612084617801</c:v>
                </c:pt>
                <c:pt idx="104">
                  <c:v>0.13252864723834301</c:v>
                </c:pt>
                <c:pt idx="105">
                  <c:v>0.13253115831227899</c:v>
                </c:pt>
                <c:pt idx="106">
                  <c:v>0.13253365445042301</c:v>
                </c:pt>
                <c:pt idx="107">
                  <c:v>0.132536136025908</c:v>
                </c:pt>
                <c:pt idx="108">
                  <c:v>0.13253860340294499</c:v>
                </c:pt>
                <c:pt idx="109">
                  <c:v>0.13254105693718801</c:v>
                </c:pt>
                <c:pt idx="110">
                  <c:v>0.132543496976081</c:v>
                </c:pt>
                <c:pt idx="111">
                  <c:v>0.132545923859197</c:v>
                </c:pt>
                <c:pt idx="112">
                  <c:v>0.132548337918557</c:v>
                </c:pt>
                <c:pt idx="113">
                  <c:v>0.132550739478936</c:v>
                </c:pt>
                <c:pt idx="114">
                  <c:v>0.13255312885816001</c:v>
                </c:pt>
                <c:pt idx="115">
                  <c:v>0.132555506367391</c:v>
                </c:pt>
                <c:pt idx="116">
                  <c:v>0.13255787231139399</c:v>
                </c:pt>
                <c:pt idx="117">
                  <c:v>0.13256022698880601</c:v>
                </c:pt>
                <c:pt idx="118">
                  <c:v>0.13256257069238001</c:v>
                </c:pt>
                <c:pt idx="119">
                  <c:v>0.13256490370923599</c:v>
                </c:pt>
                <c:pt idx="120">
                  <c:v>0.132567226321089</c:v>
                </c:pt>
                <c:pt idx="121">
                  <c:v>0.132569538804475</c:v>
                </c:pt>
                <c:pt idx="122">
                  <c:v>0.132571841430971</c:v>
                </c:pt>
                <c:pt idx="123">
                  <c:v>0.13257413446740399</c:v>
                </c:pt>
                <c:pt idx="124">
                  <c:v>0.13257641817605401</c:v>
                </c:pt>
                <c:pt idx="125">
                  <c:v>0.13257869281484999</c:v>
                </c:pt>
                <c:pt idx="126">
                  <c:v>0.132580958637564</c:v>
                </c:pt>
                <c:pt idx="127">
                  <c:v>0.132583215893989</c:v>
                </c:pt>
                <c:pt idx="128">
                  <c:v>0.13258546483012401</c:v>
                </c:pt>
                <c:pt idx="129">
                  <c:v>0.13258770568834599</c:v>
                </c:pt>
                <c:pt idx="130">
                  <c:v>0.13258993870757799</c:v>
                </c:pt>
                <c:pt idx="131">
                  <c:v>0.13259216412345401</c:v>
                </c:pt>
                <c:pt idx="132">
                  <c:v>0.13259438216847899</c:v>
                </c:pt>
                <c:pt idx="133">
                  <c:v>0.13259659307218699</c:v>
                </c:pt>
                <c:pt idx="134">
                  <c:v>0.13259879706128999</c:v>
                </c:pt>
                <c:pt idx="135">
                  <c:v>0.132600994359831</c:v>
                </c:pt>
                <c:pt idx="136">
                  <c:v>0.13260318518932601</c:v>
                </c:pt>
                <c:pt idx="137">
                  <c:v>0.13260536976890799</c:v>
                </c:pt>
                <c:pt idx="138">
                  <c:v>0.132607548315469</c:v>
                </c:pt>
                <c:pt idx="139">
                  <c:v>0.13260972104379501</c:v>
                </c:pt>
                <c:pt idx="140">
                  <c:v>0.132611888166702</c:v>
                </c:pt>
                <c:pt idx="141">
                  <c:v>0.13261404989517001</c:v>
                </c:pt>
                <c:pt idx="142">
                  <c:v>0.13261620643847399</c:v>
                </c:pt>
                <c:pt idx="143">
                  <c:v>0.13261835800430899</c:v>
                </c:pt>
                <c:pt idx="144">
                  <c:v>0.13262050479892901</c:v>
                </c:pt>
                <c:pt idx="145">
                  <c:v>0.13262264702726001</c:v>
                </c:pt>
                <c:pt idx="146">
                  <c:v>0.132624784893038</c:v>
                </c:pt>
                <c:pt idx="147">
                  <c:v>0.132626918598926</c:v>
                </c:pt>
                <c:pt idx="148">
                  <c:v>0.13262904834664299</c:v>
                </c:pt>
                <c:pt idx="149">
                  <c:v>0.13263117433708499</c:v>
                </c:pt>
                <c:pt idx="150">
                  <c:v>0.13263329677044799</c:v>
                </c:pt>
                <c:pt idx="151">
                  <c:v>0.13263541584635499</c:v>
                </c:pt>
                <c:pt idx="152">
                  <c:v>0.13263753176397799</c:v>
                </c:pt>
                <c:pt idx="153">
                  <c:v>0.13263964472216</c:v>
                </c:pt>
                <c:pt idx="154">
                  <c:v>0.13264175491954</c:v>
                </c:pt>
                <c:pt idx="155">
                  <c:v>0.132643862554683</c:v>
                </c:pt>
                <c:pt idx="156">
                  <c:v>0.132645967826199</c:v>
                </c:pt>
                <c:pt idx="157">
                  <c:v>0.13264807093287501</c:v>
                </c:pt>
                <c:pt idx="158">
                  <c:v>0.132650172073802</c:v>
                </c:pt>
                <c:pt idx="159">
                  <c:v>0.132652271448509</c:v>
                </c:pt>
                <c:pt idx="160">
                  <c:v>0.13265436925708801</c:v>
                </c:pt>
                <c:pt idx="161">
                  <c:v>0.13265646570033501</c:v>
                </c:pt>
                <c:pt idx="162">
                  <c:v>0.13265856097988399</c:v>
                </c:pt>
                <c:pt idx="163">
                  <c:v>0.132660655298346</c:v>
                </c:pt>
                <c:pt idx="164">
                  <c:v>0.132662748859454</c:v>
                </c:pt>
                <c:pt idx="165">
                  <c:v>0.13266484186820501</c:v>
                </c:pt>
                <c:pt idx="166">
                  <c:v>0.13266693453101</c:v>
                </c:pt>
                <c:pt idx="167">
                  <c:v>0.13266902705584799</c:v>
                </c:pt>
                <c:pt idx="168">
                  <c:v>0.13267111965242301</c:v>
                </c:pt>
                <c:pt idx="169">
                  <c:v>0.132673212532323</c:v>
                </c:pt>
                <c:pt idx="170">
                  <c:v>0.132675305909189</c:v>
                </c:pt>
                <c:pt idx="171">
                  <c:v>0.132677399998884</c:v>
                </c:pt>
                <c:pt idx="172">
                  <c:v>0.13267949501967199</c:v>
                </c:pt>
                <c:pt idx="173">
                  <c:v>0.132681591192402</c:v>
                </c:pt>
                <c:pt idx="174">
                  <c:v>0.132683688740695</c:v>
                </c:pt>
                <c:pt idx="175">
                  <c:v>0.13268578789114299</c:v>
                </c:pt>
                <c:pt idx="176">
                  <c:v>0.13268788887351199</c:v>
                </c:pt>
                <c:pt idx="177">
                  <c:v>0.13268999192095701</c:v>
                </c:pt>
                <c:pt idx="178">
                  <c:v>0.13269209727023901</c:v>
                </c:pt>
                <c:pt idx="179">
                  <c:v>0.13269420516196201</c:v>
                </c:pt>
                <c:pt idx="180">
                  <c:v>0.13269631584080599</c:v>
                </c:pt>
                <c:pt idx="181">
                  <c:v>0.13269842955578601</c:v>
                </c:pt>
                <c:pt idx="182">
                  <c:v>0.132700546560511</c:v>
                </c:pt>
                <c:pt idx="183">
                  <c:v>0.13270266711345699</c:v>
                </c:pt>
                <c:pt idx="184">
                  <c:v>0.132704791478263</c:v>
                </c:pt>
                <c:pt idx="185">
                  <c:v>0.132706919924029</c:v>
                </c:pt>
                <c:pt idx="186">
                  <c:v>0.13270905272563599</c:v>
                </c:pt>
                <c:pt idx="187">
                  <c:v>0.13271119016407801</c:v>
                </c:pt>
                <c:pt idx="188">
                  <c:v>0.13271333252682199</c:v>
                </c:pt>
                <c:pt idx="189">
                  <c:v>0.132715480108173</c:v>
                </c:pt>
                <c:pt idx="190">
                  <c:v>0.13271763320966901</c:v>
                </c:pt>
                <c:pt idx="191">
                  <c:v>0.13271979214049601</c:v>
                </c:pt>
                <c:pt idx="192">
                  <c:v>0.13272195721792501</c:v>
                </c:pt>
                <c:pt idx="193">
                  <c:v>0.132724128767778</c:v>
                </c:pt>
                <c:pt idx="194">
                  <c:v>0.13272630712491701</c:v>
                </c:pt>
                <c:pt idx="195">
                  <c:v>0.13272849263376901</c:v>
                </c:pt>
                <c:pt idx="196">
                  <c:v>0.132730685648876</c:v>
                </c:pt>
                <c:pt idx="197">
                  <c:v>0.13273288653548501</c:v>
                </c:pt>
                <c:pt idx="198">
                  <c:v>0.13273509567017699</c:v>
                </c:pt>
                <c:pt idx="199">
                  <c:v>0.132737313441533</c:v>
                </c:pt>
                <c:pt idx="200">
                  <c:v>0.132739540250841</c:v>
                </c:pt>
                <c:pt idx="201">
                  <c:v>0.13274177651286501</c:v>
                </c:pt>
                <c:pt idx="202">
                  <c:v>0.13274402265665</c:v>
                </c:pt>
                <c:pt idx="203">
                  <c:v>0.132746279126393</c:v>
                </c:pt>
                <c:pt idx="204">
                  <c:v>0.13274854638237599</c:v>
                </c:pt>
                <c:pt idx="205">
                  <c:v>0.132750824901961</c:v>
                </c:pt>
                <c:pt idx="206">
                  <c:v>0.13275311518066599</c:v>
                </c:pt>
                <c:pt idx="207">
                  <c:v>0.13275541773331401</c:v>
                </c:pt>
                <c:pt idx="208">
                  <c:v>0.132757733095279</c:v>
                </c:pt>
                <c:pt idx="209">
                  <c:v>0.132760061823818</c:v>
                </c:pt>
                <c:pt idx="210">
                  <c:v>0.13276240449951601</c:v>
                </c:pt>
                <c:pt idx="211">
                  <c:v>0.13276476172784801</c:v>
                </c:pt>
                <c:pt idx="212">
                  <c:v>0.13276713414086799</c:v>
                </c:pt>
                <c:pt idx="213">
                  <c:v>0.13276952239903</c:v>
                </c:pt>
                <c:pt idx="214">
                  <c:v>0.13277192719318501</c:v>
                </c:pt>
                <c:pt idx="215">
                  <c:v>0.13277434924672901</c:v>
                </c:pt>
                <c:pt idx="216">
                  <c:v>0.132776789317957</c:v>
                </c:pt>
                <c:pt idx="217">
                  <c:v>0.13277924820261999</c:v>
                </c:pt>
                <c:pt idx="218">
                  <c:v>0.132781726736725</c:v>
                </c:pt>
                <c:pt idx="219">
                  <c:v>0.13278422579959301</c:v>
                </c:pt>
                <c:pt idx="220">
                  <c:v>0.13278674631720599</c:v>
                </c:pt>
                <c:pt idx="221">
                  <c:v>0.132789289265896</c:v>
                </c:pt>
                <c:pt idx="222">
                  <c:v>0.13279185567638299</c:v>
                </c:pt>
                <c:pt idx="223">
                  <c:v>0.132794446638243</c:v>
                </c:pt>
                <c:pt idx="224">
                  <c:v>0.13279706330482899</c:v>
                </c:pt>
                <c:pt idx="225">
                  <c:v>0.132799706898722</c:v>
                </c:pt>
                <c:pt idx="226">
                  <c:v>0.132802378717778</c:v>
                </c:pt>
                <c:pt idx="227">
                  <c:v>0.132805080141845</c:v>
                </c:pt>
                <c:pt idx="228">
                  <c:v>0.13280781264025199</c:v>
                </c:pt>
                <c:pt idx="229">
                  <c:v>0.132810577780172</c:v>
                </c:pt>
                <c:pt idx="230">
                  <c:v>0.13281337723598599</c:v>
                </c:pt>
                <c:pt idx="231">
                  <c:v>0.13281621279980399</c:v>
                </c:pt>
                <c:pt idx="232">
                  <c:v>0.132819086393311</c:v>
                </c:pt>
                <c:pt idx="233">
                  <c:v>0.132822000081147</c:v>
                </c:pt>
                <c:pt idx="234">
                  <c:v>0.132824956086074</c:v>
                </c:pt>
                <c:pt idx="235">
                  <c:v>0.13282795680621301</c:v>
                </c:pt>
                <c:pt idx="236">
                  <c:v>0.13283100483471399</c:v>
                </c:pt>
                <c:pt idx="237">
                  <c:v>0.13283410298228401</c:v>
                </c:pt>
                <c:pt idx="238">
                  <c:v>0.13283725430307999</c:v>
                </c:pt>
                <c:pt idx="239">
                  <c:v>0.13284046212460199</c:v>
                </c:pt>
                <c:pt idx="240">
                  <c:v>0.13284373008234701</c:v>
                </c:pt>
                <c:pt idx="241">
                  <c:v>0.13284706216018199</c:v>
                </c:pt>
                <c:pt idx="242">
                  <c:v>0.13285046273759499</c:v>
                </c:pt>
                <c:pt idx="243">
                  <c:v>0.13285393664530001</c:v>
                </c:pt>
                <c:pt idx="244">
                  <c:v>0.13285748923103799</c:v>
                </c:pt>
                <c:pt idx="245">
                  <c:v>0.13286112643791401</c:v>
                </c:pt>
                <c:pt idx="246">
                  <c:v>0.132864854898255</c:v>
                </c:pt>
                <c:pt idx="247">
                  <c:v>0.13286868204686</c:v>
                </c:pt>
                <c:pt idx="248">
                  <c:v>0.13287261625866401</c:v>
                </c:pt>
                <c:pt idx="249">
                  <c:v>0.132876667017443</c:v>
                </c:pt>
                <c:pt idx="250">
                  <c:v>0.132880845124389</c:v>
                </c:pt>
                <c:pt idx="251">
                  <c:v>0.13288516295844799</c:v>
                </c:pt>
                <c:pt idx="252">
                  <c:v>0.13288963480469199</c:v>
                </c:pt>
                <c:pt idx="253">
                  <c:v>0.13289427727328901</c:v>
                </c:pt>
                <c:pt idx="254">
                  <c:v>0.13289910984085401</c:v>
                </c:pt>
                <c:pt idx="255">
                  <c:v>0.132904155559849</c:v>
                </c:pt>
                <c:pt idx="256">
                  <c:v>0.13290944200277299</c:v>
                </c:pt>
                <c:pt idx="257">
                  <c:v>0.13291500254108701</c:v>
                </c:pt>
                <c:pt idx="258">
                  <c:v>0.13292087811204301</c:v>
                </c:pt>
                <c:pt idx="259">
                  <c:v>0.132927119714948</c:v>
                </c:pt>
                <c:pt idx="260">
                  <c:v>0.132933792029892</c:v>
                </c:pt>
                <c:pt idx="261">
                  <c:v>0.132940978822192</c:v>
                </c:pt>
                <c:pt idx="262">
                  <c:v>0.13294879130005999</c:v>
                </c:pt>
                <c:pt idx="263">
                  <c:v>0.132957381584934</c:v>
                </c:pt>
                <c:pt idx="264">
                  <c:v>0.13296696553123799</c:v>
                </c:pt>
                <c:pt idx="265">
                  <c:v>0.13297786382384399</c:v>
                </c:pt>
                <c:pt idx="266">
                  <c:v>0.132990581906959</c:v>
                </c:pt>
                <c:pt idx="267">
                  <c:v>0.13300598168556699</c:v>
                </c:pt>
                <c:pt idx="268">
                  <c:v>0.13302570306129599</c:v>
                </c:pt>
                <c:pt idx="269">
                  <c:v>0.133053413662858</c:v>
                </c:pt>
                <c:pt idx="270">
                  <c:v>0.13309974144758499</c:v>
                </c:pt>
                <c:pt idx="271">
                  <c:v>0.13321378154653299</c:v>
                </c:pt>
                <c:pt idx="272">
                  <c:v>0.13336682861826901</c:v>
                </c:pt>
                <c:pt idx="273">
                  <c:v>0.13351953708365299</c:v>
                </c:pt>
                <c:pt idx="274">
                  <c:v>0.133672756082719</c:v>
                </c:pt>
                <c:pt idx="275">
                  <c:v>0.13382654271444999</c:v>
                </c:pt>
                <c:pt idx="276">
                  <c:v>0.1339809270474</c:v>
                </c:pt>
                <c:pt idx="277">
                  <c:v>0.13413592636935101</c:v>
                </c:pt>
                <c:pt idx="278">
                  <c:v>0.13429155195650999</c:v>
                </c:pt>
                <c:pt idx="279">
                  <c:v>0.229108280555748</c:v>
                </c:pt>
                <c:pt idx="280">
                  <c:v>0.22910828280913501</c:v>
                </c:pt>
                <c:pt idx="281">
                  <c:v>0.38305732976120799</c:v>
                </c:pt>
                <c:pt idx="282">
                  <c:v>0.38333587250425699</c:v>
                </c:pt>
                <c:pt idx="283">
                  <c:v>0.38357840372985702</c:v>
                </c:pt>
                <c:pt idx="284">
                  <c:v>0.38379485836785199</c:v>
                </c:pt>
                <c:pt idx="285">
                  <c:v>0.38399180760400198</c:v>
                </c:pt>
                <c:pt idx="286">
                  <c:v>0.384173807056849</c:v>
                </c:pt>
                <c:pt idx="287">
                  <c:v>0.38434416321224601</c:v>
                </c:pt>
                <c:pt idx="288">
                  <c:v>0.38450537598643098</c:v>
                </c:pt>
                <c:pt idx="289">
                  <c:v>0.38465940776560398</c:v>
                </c:pt>
                <c:pt idx="290">
                  <c:v>0.38480785573939102</c:v>
                </c:pt>
                <c:pt idx="291">
                  <c:v>0.384952068264445</c:v>
                </c:pt>
                <c:pt idx="292">
                  <c:v>0.38509322812937802</c:v>
                </c:pt>
                <c:pt idx="293">
                  <c:v>0.38523241647348</c:v>
                </c:pt>
                <c:pt idx="294">
                  <c:v>0.385370666441891</c:v>
                </c:pt>
                <c:pt idx="295">
                  <c:v>0.385509013499586</c:v>
                </c:pt>
                <c:pt idx="296">
                  <c:v>0.38564854888670203</c:v>
                </c:pt>
                <c:pt idx="297">
                  <c:v>0.385790483898592</c:v>
                </c:pt>
                <c:pt idx="298">
                  <c:v>0.38593623614144101</c:v>
                </c:pt>
                <c:pt idx="299">
                  <c:v>0.38608755645093301</c:v>
                </c:pt>
                <c:pt idx="300">
                  <c:v>0.38624673120118802</c:v>
                </c:pt>
                <c:pt idx="301">
                  <c:v>0.38641693053499898</c:v>
                </c:pt>
                <c:pt idx="302">
                  <c:v>0.38660285978241898</c:v>
                </c:pt>
                <c:pt idx="303">
                  <c:v>0.38681210620158402</c:v>
                </c:pt>
                <c:pt idx="304">
                  <c:v>0.38705831096616899</c:v>
                </c:pt>
                <c:pt idx="305">
                  <c:v>0.38737014098822098</c:v>
                </c:pt>
                <c:pt idx="306">
                  <c:v>0.38782486586522802</c:v>
                </c:pt>
                <c:pt idx="307">
                  <c:v>0.38875106087786898</c:v>
                </c:pt>
                <c:pt idx="308">
                  <c:v>0.39343249839230199</c:v>
                </c:pt>
                <c:pt idx="309">
                  <c:v>0.40121720513367698</c:v>
                </c:pt>
                <c:pt idx="310">
                  <c:v>0.60121720513367705</c:v>
                </c:pt>
                <c:pt idx="311">
                  <c:v>0.60121720513367705</c:v>
                </c:pt>
              </c:numCache>
            </c:numRef>
          </c:xVal>
          <c:yVal>
            <c:numRef>
              <c:f>Implicit_Fracs!$I$3:$I$314</c:f>
              <c:numCache>
                <c:formatCode>General</c:formatCode>
                <c:ptCount val="3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3835897.0865558302</c:v>
                </c:pt>
                <c:pt idx="282">
                  <c:v>3837495.13675409</c:v>
                </c:pt>
                <c:pt idx="283">
                  <c:v>3838884.6444648602</c:v>
                </c:pt>
                <c:pt idx="284">
                  <c:v>3840123.2505981298</c:v>
                </c:pt>
                <c:pt idx="285">
                  <c:v>3841249.0223609</c:v>
                </c:pt>
                <c:pt idx="286">
                  <c:v>3842288.3159594098</c:v>
                </c:pt>
                <c:pt idx="287">
                  <c:v>3843260.23617088</c:v>
                </c:pt>
                <c:pt idx="288">
                  <c:v>3844179.2079047202</c:v>
                </c:pt>
                <c:pt idx="289">
                  <c:v>3845056.53758818</c:v>
                </c:pt>
                <c:pt idx="290">
                  <c:v>3845901.4120078702</c:v>
                </c:pt>
                <c:pt idx="291">
                  <c:v>3846721.5716551198</c:v>
                </c:pt>
                <c:pt idx="292">
                  <c:v>3847523.7914689202</c:v>
                </c:pt>
                <c:pt idx="293">
                  <c:v>3848314.2487156601</c:v>
                </c:pt>
                <c:pt idx="294">
                  <c:v>3849098.83047863</c:v>
                </c:pt>
                <c:pt idx="295">
                  <c:v>3849883.4205096602</c:v>
                </c:pt>
                <c:pt idx="296">
                  <c:v>3850674.2023714702</c:v>
                </c:pt>
                <c:pt idx="297">
                  <c:v>3851478.0223075701</c:v>
                </c:pt>
                <c:pt idx="298">
                  <c:v>3852302.8745583901</c:v>
                </c:pt>
                <c:pt idx="299">
                  <c:v>3853158.6139537198</c:v>
                </c:pt>
                <c:pt idx="300">
                  <c:v>3854058.09034723</c:v>
                </c:pt>
                <c:pt idx="301">
                  <c:v>3855019.0998174502</c:v>
                </c:pt>
                <c:pt idx="302">
                  <c:v>3856068.0328989099</c:v>
                </c:pt>
                <c:pt idx="303">
                  <c:v>3857247.4140367401</c:v>
                </c:pt>
                <c:pt idx="304">
                  <c:v>3858633.6526300502</c:v>
                </c:pt>
                <c:pt idx="305">
                  <c:v>3860387.22826123</c:v>
                </c:pt>
                <c:pt idx="306">
                  <c:v>3862940.3859088002</c:v>
                </c:pt>
                <c:pt idx="307">
                  <c:v>3868128.8977093101</c:v>
                </c:pt>
                <c:pt idx="308">
                  <c:v>3894232.6971152802</c:v>
                </c:pt>
                <c:pt idx="309">
                  <c:v>3936624.3424392901</c:v>
                </c:pt>
                <c:pt idx="310">
                  <c:v>4983333.3333333395</c:v>
                </c:pt>
                <c:pt idx="311">
                  <c:v>4983333.3333333395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HMax Dip 90deg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Implicit_Fracs!$C$3:$C$314</c:f>
              <c:numCache>
                <c:formatCode>General</c:formatCode>
                <c:ptCount val="312"/>
                <c:pt idx="0">
                  <c:v>0</c:v>
                </c:pt>
                <c:pt idx="1">
                  <c:v>6.5458908507104702E-2</c:v>
                </c:pt>
                <c:pt idx="2">
                  <c:v>0.13164836335685801</c:v>
                </c:pt>
                <c:pt idx="3">
                  <c:v>0.13174831742784901</c:v>
                </c:pt>
                <c:pt idx="4">
                  <c:v>0.131814325176488</c:v>
                </c:pt>
                <c:pt idx="5">
                  <c:v>0.13186377086317799</c:v>
                </c:pt>
                <c:pt idx="6">
                  <c:v>0.13190336566689301</c:v>
                </c:pt>
                <c:pt idx="7">
                  <c:v>0.13193641917955301</c:v>
                </c:pt>
                <c:pt idx="8">
                  <c:v>0.13196480990574899</c:v>
                </c:pt>
                <c:pt idx="9">
                  <c:v>0.131989707564308</c:v>
                </c:pt>
                <c:pt idx="10">
                  <c:v>0.132011890254908</c:v>
                </c:pt>
                <c:pt idx="11">
                  <c:v>0.132031901904686</c:v>
                </c:pt>
                <c:pt idx="12">
                  <c:v>0.132050137753493</c:v>
                </c:pt>
                <c:pt idx="13">
                  <c:v>0.13206689406580899</c:v>
                </c:pt>
                <c:pt idx="14">
                  <c:v>0.132082398656449</c:v>
                </c:pt>
                <c:pt idx="15">
                  <c:v>0.132096830483731</c:v>
                </c:pt>
                <c:pt idx="16">
                  <c:v>0.13211033269671599</c:v>
                </c:pt>
                <c:pt idx="17">
                  <c:v>0.13212302159759301</c:v>
                </c:pt>
                <c:pt idx="18">
                  <c:v>0.13213499296405401</c:v>
                </c:pt>
                <c:pt idx="19">
                  <c:v>0.13214632661325601</c:v>
                </c:pt>
                <c:pt idx="20">
                  <c:v>0.132157089763519</c:v>
                </c:pt>
                <c:pt idx="21">
                  <c:v>0.132167339554908</c:v>
                </c:pt>
                <c:pt idx="22">
                  <c:v>0.132177124969275</c:v>
                </c:pt>
                <c:pt idx="23">
                  <c:v>0.132186488313704</c:v>
                </c:pt>
                <c:pt idx="24">
                  <c:v>0.132195466381343</c:v>
                </c:pt>
                <c:pt idx="25">
                  <c:v>0.13220409137031</c:v>
                </c:pt>
                <c:pt idx="26">
                  <c:v>0.1322123916188</c:v>
                </c:pt>
                <c:pt idx="27">
                  <c:v>0.132220392198791</c:v>
                </c:pt>
                <c:pt idx="28">
                  <c:v>0.13222811539981</c:v>
                </c:pt>
                <c:pt idx="29">
                  <c:v>0.13223558112630501</c:v>
                </c:pt>
                <c:pt idx="30">
                  <c:v>0.13224280722651799</c:v>
                </c:pt>
                <c:pt idx="31">
                  <c:v>0.13224980976654199</c:v>
                </c:pt>
                <c:pt idx="32">
                  <c:v>0.13225660326019101</c:v>
                </c:pt>
                <c:pt idx="33">
                  <c:v>0.13226320086295401</c:v>
                </c:pt>
                <c:pt idx="34">
                  <c:v>0.13226961453657801</c:v>
                </c:pt>
                <c:pt idx="35">
                  <c:v>0.13227585518944099</c:v>
                </c:pt>
                <c:pt idx="36">
                  <c:v>0.13228193279689099</c:v>
                </c:pt>
                <c:pt idx="37">
                  <c:v>0.13228785650486699</c:v>
                </c:pt>
                <c:pt idx="38">
                  <c:v>0.13229363471953201</c:v>
                </c:pt>
                <c:pt idx="39">
                  <c:v>0.13229927518510501</c:v>
                </c:pt>
                <c:pt idx="40">
                  <c:v>0.13230478505189899</c:v>
                </c:pt>
                <c:pt idx="41">
                  <c:v>0.132310170935689</c:v>
                </c:pt>
                <c:pt idx="42">
                  <c:v>0.132315438969837</c:v>
                </c:pt>
                <c:pt idx="43">
                  <c:v>0.13232059485122499</c:v>
                </c:pt>
                <c:pt idx="44">
                  <c:v>0.13232564388083301</c:v>
                </c:pt>
                <c:pt idx="45">
                  <c:v>0.13233059099972999</c:v>
                </c:pt>
                <c:pt idx="46">
                  <c:v>0.13233544082104801</c:v>
                </c:pt>
                <c:pt idx="47">
                  <c:v>0.132340197658498</c:v>
                </c:pt>
                <c:pt idx="48">
                  <c:v>0.13234486555185099</c:v>
                </c:pt>
                <c:pt idx="49">
                  <c:v>0.132349448289759</c:v>
                </c:pt>
                <c:pt idx="50">
                  <c:v>0.13235394943025999</c:v>
                </c:pt>
                <c:pt idx="51">
                  <c:v>0.13235837231923001</c:v>
                </c:pt>
                <c:pt idx="52">
                  <c:v>0.13236272010702199</c:v>
                </c:pt>
                <c:pt idx="53">
                  <c:v>0.13236699576351699</c:v>
                </c:pt>
                <c:pt idx="54">
                  <c:v>0.13237120209174699</c:v>
                </c:pt>
                <c:pt idx="55">
                  <c:v>0.132375341740263</c:v>
                </c:pt>
                <c:pt idx="56">
                  <c:v>0.13237941721437901</c:v>
                </c:pt>
                <c:pt idx="57">
                  <c:v>0.132383430886412</c:v>
                </c:pt>
                <c:pt idx="58">
                  <c:v>0.132387385005025</c:v>
                </c:pt>
                <c:pt idx="59">
                  <c:v>0.13239128170376399</c:v>
                </c:pt>
                <c:pt idx="60">
                  <c:v>0.13239512300888101</c:v>
                </c:pt>
                <c:pt idx="61">
                  <c:v>0.132398910846489</c:v>
                </c:pt>
                <c:pt idx="62">
                  <c:v>0.13240264704915</c:v>
                </c:pt>
                <c:pt idx="63">
                  <c:v>0.13240633336192001</c:v>
                </c:pt>
                <c:pt idx="64">
                  <c:v>0.13240997144792099</c:v>
                </c:pt>
                <c:pt idx="65">
                  <c:v>0.132413562893474</c:v>
                </c:pt>
                <c:pt idx="66">
                  <c:v>0.132417109212841</c:v>
                </c:pt>
                <c:pt idx="67">
                  <c:v>0.132420611852609</c:v>
                </c:pt>
                <c:pt idx="68">
                  <c:v>0.13242407219574501</c:v>
                </c:pt>
                <c:pt idx="69">
                  <c:v>0.13242749156535599</c:v>
                </c:pt>
                <c:pt idx="70">
                  <c:v>0.13243087122817501</c:v>
                </c:pt>
                <c:pt idx="71">
                  <c:v>0.13243421239779701</c:v>
                </c:pt>
                <c:pt idx="72">
                  <c:v>0.13243751623769601</c:v>
                </c:pt>
                <c:pt idx="73">
                  <c:v>0.132440783864022</c:v>
                </c:pt>
                <c:pt idx="74">
                  <c:v>0.13244401634821701</c:v>
                </c:pt>
                <c:pt idx="75">
                  <c:v>0.13244721471944401</c:v>
                </c:pt>
                <c:pt idx="76">
                  <c:v>0.13245037996687001</c:v>
                </c:pt>
                <c:pt idx="77">
                  <c:v>0.13245351304177999</c:v>
                </c:pt>
                <c:pt idx="78">
                  <c:v>0.13245661485957499</c:v>
                </c:pt>
                <c:pt idx="79">
                  <c:v>0.132459686301623</c:v>
                </c:pt>
                <c:pt idx="80">
                  <c:v>0.13246272821701099</c:v>
                </c:pt>
                <c:pt idx="81">
                  <c:v>0.132465741424173</c:v>
                </c:pt>
                <c:pt idx="82">
                  <c:v>0.13246872671243001</c:v>
                </c:pt>
                <c:pt idx="83">
                  <c:v>0.132471684843428</c:v>
                </c:pt>
                <c:pt idx="84">
                  <c:v>0.13247461655249701</c:v>
                </c:pt>
                <c:pt idx="85">
                  <c:v>0.13247752254992401</c:v>
                </c:pt>
                <c:pt idx="86">
                  <c:v>0.13248040352215701</c:v>
                </c:pt>
                <c:pt idx="87">
                  <c:v>0.13248326013293299</c:v>
                </c:pt>
                <c:pt idx="88">
                  <c:v>0.13248609302434999</c:v>
                </c:pt>
                <c:pt idx="89">
                  <c:v>0.13248890281787101</c:v>
                </c:pt>
                <c:pt idx="90">
                  <c:v>0.132491690115279</c:v>
                </c:pt>
                <c:pt idx="91">
                  <c:v>0.132494455499574</c:v>
                </c:pt>
                <c:pt idx="92">
                  <c:v>0.13249719953582401</c:v>
                </c:pt>
                <c:pt idx="93">
                  <c:v>0.132499922771974</c:v>
                </c:pt>
                <c:pt idx="94">
                  <c:v>0.132502625739603</c:v>
                </c:pt>
                <c:pt idx="95">
                  <c:v>0.13250530895465101</c:v>
                </c:pt>
                <c:pt idx="96">
                  <c:v>0.13250797291810601</c:v>
                </c:pt>
                <c:pt idx="97">
                  <c:v>0.13251061811664699</c:v>
                </c:pt>
                <c:pt idx="98">
                  <c:v>0.132513245023273</c:v>
                </c:pt>
                <c:pt idx="99">
                  <c:v>0.132515854097881</c:v>
                </c:pt>
                <c:pt idx="100">
                  <c:v>0.13251844578782901</c:v>
                </c:pt>
                <c:pt idx="101">
                  <c:v>0.13252102052846701</c:v>
                </c:pt>
                <c:pt idx="102">
                  <c:v>0.13252357874364101</c:v>
                </c:pt>
                <c:pt idx="103">
                  <c:v>0.13252612084617801</c:v>
                </c:pt>
                <c:pt idx="104">
                  <c:v>0.13252864723834301</c:v>
                </c:pt>
                <c:pt idx="105">
                  <c:v>0.13253115831227899</c:v>
                </c:pt>
                <c:pt idx="106">
                  <c:v>0.13253365445042301</c:v>
                </c:pt>
                <c:pt idx="107">
                  <c:v>0.132536136025908</c:v>
                </c:pt>
                <c:pt idx="108">
                  <c:v>0.13253860340294499</c:v>
                </c:pt>
                <c:pt idx="109">
                  <c:v>0.13254105693718801</c:v>
                </c:pt>
                <c:pt idx="110">
                  <c:v>0.132543496976081</c:v>
                </c:pt>
                <c:pt idx="111">
                  <c:v>0.132545923859197</c:v>
                </c:pt>
                <c:pt idx="112">
                  <c:v>0.132548337918557</c:v>
                </c:pt>
                <c:pt idx="113">
                  <c:v>0.132550739478936</c:v>
                </c:pt>
                <c:pt idx="114">
                  <c:v>0.13255312885816001</c:v>
                </c:pt>
                <c:pt idx="115">
                  <c:v>0.132555506367391</c:v>
                </c:pt>
                <c:pt idx="116">
                  <c:v>0.13255787231139399</c:v>
                </c:pt>
                <c:pt idx="117">
                  <c:v>0.13256022698880601</c:v>
                </c:pt>
                <c:pt idx="118">
                  <c:v>0.13256257069238001</c:v>
                </c:pt>
                <c:pt idx="119">
                  <c:v>0.13256490370923599</c:v>
                </c:pt>
                <c:pt idx="120">
                  <c:v>0.132567226321089</c:v>
                </c:pt>
                <c:pt idx="121">
                  <c:v>0.132569538804475</c:v>
                </c:pt>
                <c:pt idx="122">
                  <c:v>0.132571841430971</c:v>
                </c:pt>
                <c:pt idx="123">
                  <c:v>0.13257413446740399</c:v>
                </c:pt>
                <c:pt idx="124">
                  <c:v>0.13257641817605401</c:v>
                </c:pt>
                <c:pt idx="125">
                  <c:v>0.13257869281484999</c:v>
                </c:pt>
                <c:pt idx="126">
                  <c:v>0.132580958637564</c:v>
                </c:pt>
                <c:pt idx="127">
                  <c:v>0.132583215893989</c:v>
                </c:pt>
                <c:pt idx="128">
                  <c:v>0.13258546483012401</c:v>
                </c:pt>
                <c:pt idx="129">
                  <c:v>0.13258770568834599</c:v>
                </c:pt>
                <c:pt idx="130">
                  <c:v>0.13258993870757799</c:v>
                </c:pt>
                <c:pt idx="131">
                  <c:v>0.13259216412345401</c:v>
                </c:pt>
                <c:pt idx="132">
                  <c:v>0.13259438216847899</c:v>
                </c:pt>
                <c:pt idx="133">
                  <c:v>0.13259659307218699</c:v>
                </c:pt>
                <c:pt idx="134">
                  <c:v>0.13259879706128999</c:v>
                </c:pt>
                <c:pt idx="135">
                  <c:v>0.132600994359831</c:v>
                </c:pt>
                <c:pt idx="136">
                  <c:v>0.13260318518932601</c:v>
                </c:pt>
                <c:pt idx="137">
                  <c:v>0.13260536976890799</c:v>
                </c:pt>
                <c:pt idx="138">
                  <c:v>0.132607548315469</c:v>
                </c:pt>
                <c:pt idx="139">
                  <c:v>0.13260972104379501</c:v>
                </c:pt>
                <c:pt idx="140">
                  <c:v>0.132611888166702</c:v>
                </c:pt>
                <c:pt idx="141">
                  <c:v>0.13261404989517001</c:v>
                </c:pt>
                <c:pt idx="142">
                  <c:v>0.13261620643847399</c:v>
                </c:pt>
                <c:pt idx="143">
                  <c:v>0.13261835800430899</c:v>
                </c:pt>
                <c:pt idx="144">
                  <c:v>0.13262050479892901</c:v>
                </c:pt>
                <c:pt idx="145">
                  <c:v>0.13262264702726001</c:v>
                </c:pt>
                <c:pt idx="146">
                  <c:v>0.132624784893038</c:v>
                </c:pt>
                <c:pt idx="147">
                  <c:v>0.132626918598926</c:v>
                </c:pt>
                <c:pt idx="148">
                  <c:v>0.13262904834664299</c:v>
                </c:pt>
                <c:pt idx="149">
                  <c:v>0.13263117433708499</c:v>
                </c:pt>
                <c:pt idx="150">
                  <c:v>0.13263329677044799</c:v>
                </c:pt>
                <c:pt idx="151">
                  <c:v>0.13263541584635499</c:v>
                </c:pt>
                <c:pt idx="152">
                  <c:v>0.13263753176397799</c:v>
                </c:pt>
                <c:pt idx="153">
                  <c:v>0.13263964472216</c:v>
                </c:pt>
                <c:pt idx="154">
                  <c:v>0.13264175491954</c:v>
                </c:pt>
                <c:pt idx="155">
                  <c:v>0.132643862554683</c:v>
                </c:pt>
                <c:pt idx="156">
                  <c:v>0.132645967826199</c:v>
                </c:pt>
                <c:pt idx="157">
                  <c:v>0.13264807093287501</c:v>
                </c:pt>
                <c:pt idx="158">
                  <c:v>0.132650172073802</c:v>
                </c:pt>
                <c:pt idx="159">
                  <c:v>0.132652271448509</c:v>
                </c:pt>
                <c:pt idx="160">
                  <c:v>0.13265436925708801</c:v>
                </c:pt>
                <c:pt idx="161">
                  <c:v>0.13265646570033501</c:v>
                </c:pt>
                <c:pt idx="162">
                  <c:v>0.13265856097988399</c:v>
                </c:pt>
                <c:pt idx="163">
                  <c:v>0.132660655298346</c:v>
                </c:pt>
                <c:pt idx="164">
                  <c:v>0.132662748859454</c:v>
                </c:pt>
                <c:pt idx="165">
                  <c:v>0.13266484186820501</c:v>
                </c:pt>
                <c:pt idx="166">
                  <c:v>0.13266693453101</c:v>
                </c:pt>
                <c:pt idx="167">
                  <c:v>0.13266902705584799</c:v>
                </c:pt>
                <c:pt idx="168">
                  <c:v>0.13267111965242301</c:v>
                </c:pt>
                <c:pt idx="169">
                  <c:v>0.132673212532323</c:v>
                </c:pt>
                <c:pt idx="170">
                  <c:v>0.132675305909189</c:v>
                </c:pt>
                <c:pt idx="171">
                  <c:v>0.132677399998884</c:v>
                </c:pt>
                <c:pt idx="172">
                  <c:v>0.13267949501967199</c:v>
                </c:pt>
                <c:pt idx="173">
                  <c:v>0.132681591192402</c:v>
                </c:pt>
                <c:pt idx="174">
                  <c:v>0.132683688740695</c:v>
                </c:pt>
                <c:pt idx="175">
                  <c:v>0.13268578789114299</c:v>
                </c:pt>
                <c:pt idx="176">
                  <c:v>0.13268788887351199</c:v>
                </c:pt>
                <c:pt idx="177">
                  <c:v>0.13268999192095701</c:v>
                </c:pt>
                <c:pt idx="178">
                  <c:v>0.13269209727023901</c:v>
                </c:pt>
                <c:pt idx="179">
                  <c:v>0.13269420516196201</c:v>
                </c:pt>
                <c:pt idx="180">
                  <c:v>0.13269631584080599</c:v>
                </c:pt>
                <c:pt idx="181">
                  <c:v>0.13269842955578601</c:v>
                </c:pt>
                <c:pt idx="182">
                  <c:v>0.132700546560511</c:v>
                </c:pt>
                <c:pt idx="183">
                  <c:v>0.13270266711345699</c:v>
                </c:pt>
                <c:pt idx="184">
                  <c:v>0.132704791478263</c:v>
                </c:pt>
                <c:pt idx="185">
                  <c:v>0.132706919924029</c:v>
                </c:pt>
                <c:pt idx="186">
                  <c:v>0.13270905272563599</c:v>
                </c:pt>
                <c:pt idx="187">
                  <c:v>0.13271119016407801</c:v>
                </c:pt>
                <c:pt idx="188">
                  <c:v>0.13271333252682199</c:v>
                </c:pt>
                <c:pt idx="189">
                  <c:v>0.132715480108173</c:v>
                </c:pt>
                <c:pt idx="190">
                  <c:v>0.13271763320966901</c:v>
                </c:pt>
                <c:pt idx="191">
                  <c:v>0.13271979214049601</c:v>
                </c:pt>
                <c:pt idx="192">
                  <c:v>0.13272195721792501</c:v>
                </c:pt>
                <c:pt idx="193">
                  <c:v>0.132724128767778</c:v>
                </c:pt>
                <c:pt idx="194">
                  <c:v>0.13272630712491701</c:v>
                </c:pt>
                <c:pt idx="195">
                  <c:v>0.13272849263376901</c:v>
                </c:pt>
                <c:pt idx="196">
                  <c:v>0.132730685648876</c:v>
                </c:pt>
                <c:pt idx="197">
                  <c:v>0.13273288653548501</c:v>
                </c:pt>
                <c:pt idx="198">
                  <c:v>0.13273509567017699</c:v>
                </c:pt>
                <c:pt idx="199">
                  <c:v>0.132737313441533</c:v>
                </c:pt>
                <c:pt idx="200">
                  <c:v>0.132739540250841</c:v>
                </c:pt>
                <c:pt idx="201">
                  <c:v>0.13274177651286501</c:v>
                </c:pt>
                <c:pt idx="202">
                  <c:v>0.13274402265665</c:v>
                </c:pt>
                <c:pt idx="203">
                  <c:v>0.132746279126393</c:v>
                </c:pt>
                <c:pt idx="204">
                  <c:v>0.13274854638237599</c:v>
                </c:pt>
                <c:pt idx="205">
                  <c:v>0.132750824901961</c:v>
                </c:pt>
                <c:pt idx="206">
                  <c:v>0.13275311518066599</c:v>
                </c:pt>
                <c:pt idx="207">
                  <c:v>0.13275541773331401</c:v>
                </c:pt>
                <c:pt idx="208">
                  <c:v>0.132757733095279</c:v>
                </c:pt>
                <c:pt idx="209">
                  <c:v>0.132760061823818</c:v>
                </c:pt>
                <c:pt idx="210">
                  <c:v>0.13276240449951601</c:v>
                </c:pt>
                <c:pt idx="211">
                  <c:v>0.13276476172784801</c:v>
                </c:pt>
                <c:pt idx="212">
                  <c:v>0.13276713414086799</c:v>
                </c:pt>
                <c:pt idx="213">
                  <c:v>0.13276952239903</c:v>
                </c:pt>
                <c:pt idx="214">
                  <c:v>0.13277192719318501</c:v>
                </c:pt>
                <c:pt idx="215">
                  <c:v>0.13277434924672901</c:v>
                </c:pt>
                <c:pt idx="216">
                  <c:v>0.132776789317957</c:v>
                </c:pt>
                <c:pt idx="217">
                  <c:v>0.13277924820261999</c:v>
                </c:pt>
                <c:pt idx="218">
                  <c:v>0.132781726736725</c:v>
                </c:pt>
                <c:pt idx="219">
                  <c:v>0.13278422579959301</c:v>
                </c:pt>
                <c:pt idx="220">
                  <c:v>0.13278674631720599</c:v>
                </c:pt>
                <c:pt idx="221">
                  <c:v>0.132789289265896</c:v>
                </c:pt>
                <c:pt idx="222">
                  <c:v>0.13279185567638299</c:v>
                </c:pt>
                <c:pt idx="223">
                  <c:v>0.132794446638243</c:v>
                </c:pt>
                <c:pt idx="224">
                  <c:v>0.13279706330482899</c:v>
                </c:pt>
                <c:pt idx="225">
                  <c:v>0.132799706898722</c:v>
                </c:pt>
                <c:pt idx="226">
                  <c:v>0.132802378717778</c:v>
                </c:pt>
                <c:pt idx="227">
                  <c:v>0.132805080141845</c:v>
                </c:pt>
                <c:pt idx="228">
                  <c:v>0.13280781264025199</c:v>
                </c:pt>
                <c:pt idx="229">
                  <c:v>0.132810577780172</c:v>
                </c:pt>
                <c:pt idx="230">
                  <c:v>0.13281337723598599</c:v>
                </c:pt>
                <c:pt idx="231">
                  <c:v>0.13281621279980399</c:v>
                </c:pt>
                <c:pt idx="232">
                  <c:v>0.132819086393311</c:v>
                </c:pt>
                <c:pt idx="233">
                  <c:v>0.132822000081147</c:v>
                </c:pt>
                <c:pt idx="234">
                  <c:v>0.132824956086074</c:v>
                </c:pt>
                <c:pt idx="235">
                  <c:v>0.13282795680621301</c:v>
                </c:pt>
                <c:pt idx="236">
                  <c:v>0.13283100483471399</c:v>
                </c:pt>
                <c:pt idx="237">
                  <c:v>0.13283410298228401</c:v>
                </c:pt>
                <c:pt idx="238">
                  <c:v>0.13283725430307999</c:v>
                </c:pt>
                <c:pt idx="239">
                  <c:v>0.13284046212460199</c:v>
                </c:pt>
                <c:pt idx="240">
                  <c:v>0.13284373008234701</c:v>
                </c:pt>
                <c:pt idx="241">
                  <c:v>0.13284706216018199</c:v>
                </c:pt>
                <c:pt idx="242">
                  <c:v>0.13285046273759499</c:v>
                </c:pt>
                <c:pt idx="243">
                  <c:v>0.13285393664530001</c:v>
                </c:pt>
                <c:pt idx="244">
                  <c:v>0.13285748923103799</c:v>
                </c:pt>
                <c:pt idx="245">
                  <c:v>0.13286112643791401</c:v>
                </c:pt>
                <c:pt idx="246">
                  <c:v>0.132864854898255</c:v>
                </c:pt>
                <c:pt idx="247">
                  <c:v>0.13286868204686</c:v>
                </c:pt>
                <c:pt idx="248">
                  <c:v>0.13287261625866401</c:v>
                </c:pt>
                <c:pt idx="249">
                  <c:v>0.132876667017443</c:v>
                </c:pt>
                <c:pt idx="250">
                  <c:v>0.132880845124389</c:v>
                </c:pt>
                <c:pt idx="251">
                  <c:v>0.13288516295844799</c:v>
                </c:pt>
                <c:pt idx="252">
                  <c:v>0.13288963480469199</c:v>
                </c:pt>
                <c:pt idx="253">
                  <c:v>0.13289427727328901</c:v>
                </c:pt>
                <c:pt idx="254">
                  <c:v>0.13289910984085401</c:v>
                </c:pt>
                <c:pt idx="255">
                  <c:v>0.132904155559849</c:v>
                </c:pt>
                <c:pt idx="256">
                  <c:v>0.13290944200277299</c:v>
                </c:pt>
                <c:pt idx="257">
                  <c:v>0.13291500254108701</c:v>
                </c:pt>
                <c:pt idx="258">
                  <c:v>0.13292087811204301</c:v>
                </c:pt>
                <c:pt idx="259">
                  <c:v>0.132927119714948</c:v>
                </c:pt>
                <c:pt idx="260">
                  <c:v>0.132933792029892</c:v>
                </c:pt>
                <c:pt idx="261">
                  <c:v>0.132940978822192</c:v>
                </c:pt>
                <c:pt idx="262">
                  <c:v>0.13294879130005999</c:v>
                </c:pt>
                <c:pt idx="263">
                  <c:v>0.132957381584934</c:v>
                </c:pt>
                <c:pt idx="264">
                  <c:v>0.13296696553123799</c:v>
                </c:pt>
                <c:pt idx="265">
                  <c:v>0.13297786382384399</c:v>
                </c:pt>
                <c:pt idx="266">
                  <c:v>0.132990581906959</c:v>
                </c:pt>
                <c:pt idx="267">
                  <c:v>0.13300598168556699</c:v>
                </c:pt>
                <c:pt idx="268">
                  <c:v>0.13302570306129599</c:v>
                </c:pt>
                <c:pt idx="269">
                  <c:v>0.133053413662858</c:v>
                </c:pt>
                <c:pt idx="270">
                  <c:v>0.13309974144758499</c:v>
                </c:pt>
                <c:pt idx="271">
                  <c:v>0.13321378154653299</c:v>
                </c:pt>
                <c:pt idx="272">
                  <c:v>0.13336682861826901</c:v>
                </c:pt>
                <c:pt idx="273">
                  <c:v>0.13351953708365299</c:v>
                </c:pt>
                <c:pt idx="274">
                  <c:v>0.133672756082719</c:v>
                </c:pt>
                <c:pt idx="275">
                  <c:v>0.13382654271444999</c:v>
                </c:pt>
                <c:pt idx="276">
                  <c:v>0.1339809270474</c:v>
                </c:pt>
                <c:pt idx="277">
                  <c:v>0.13413592636935101</c:v>
                </c:pt>
                <c:pt idx="278">
                  <c:v>0.13429155195650999</c:v>
                </c:pt>
                <c:pt idx="279">
                  <c:v>0.229108280555748</c:v>
                </c:pt>
                <c:pt idx="280">
                  <c:v>0.22910828280913501</c:v>
                </c:pt>
                <c:pt idx="281">
                  <c:v>0.38305732976120799</c:v>
                </c:pt>
                <c:pt idx="282">
                  <c:v>0.38333587250425699</c:v>
                </c:pt>
                <c:pt idx="283">
                  <c:v>0.38357840372985702</c:v>
                </c:pt>
                <c:pt idx="284">
                  <c:v>0.38379485836785199</c:v>
                </c:pt>
                <c:pt idx="285">
                  <c:v>0.38399180760400198</c:v>
                </c:pt>
                <c:pt idx="286">
                  <c:v>0.384173807056849</c:v>
                </c:pt>
                <c:pt idx="287">
                  <c:v>0.38434416321224601</c:v>
                </c:pt>
                <c:pt idx="288">
                  <c:v>0.38450537598643098</c:v>
                </c:pt>
                <c:pt idx="289">
                  <c:v>0.38465940776560398</c:v>
                </c:pt>
                <c:pt idx="290">
                  <c:v>0.38480785573939102</c:v>
                </c:pt>
                <c:pt idx="291">
                  <c:v>0.384952068264445</c:v>
                </c:pt>
                <c:pt idx="292">
                  <c:v>0.38509322812937802</c:v>
                </c:pt>
                <c:pt idx="293">
                  <c:v>0.38523241647348</c:v>
                </c:pt>
                <c:pt idx="294">
                  <c:v>0.385370666441891</c:v>
                </c:pt>
                <c:pt idx="295">
                  <c:v>0.385509013499586</c:v>
                </c:pt>
                <c:pt idx="296">
                  <c:v>0.38564854888670203</c:v>
                </c:pt>
                <c:pt idx="297">
                  <c:v>0.385790483898592</c:v>
                </c:pt>
                <c:pt idx="298">
                  <c:v>0.38593623614144101</c:v>
                </c:pt>
                <c:pt idx="299">
                  <c:v>0.38608755645093301</c:v>
                </c:pt>
                <c:pt idx="300">
                  <c:v>0.38624673120118802</c:v>
                </c:pt>
                <c:pt idx="301">
                  <c:v>0.38641693053499898</c:v>
                </c:pt>
                <c:pt idx="302">
                  <c:v>0.38660285978241898</c:v>
                </c:pt>
                <c:pt idx="303">
                  <c:v>0.38681210620158402</c:v>
                </c:pt>
                <c:pt idx="304">
                  <c:v>0.38705831096616899</c:v>
                </c:pt>
                <c:pt idx="305">
                  <c:v>0.38737014098822098</c:v>
                </c:pt>
                <c:pt idx="306">
                  <c:v>0.38782486586522802</c:v>
                </c:pt>
                <c:pt idx="307">
                  <c:v>0.38875106087786898</c:v>
                </c:pt>
                <c:pt idx="308">
                  <c:v>0.39343249839230199</c:v>
                </c:pt>
                <c:pt idx="309">
                  <c:v>0.40121720513367698</c:v>
                </c:pt>
                <c:pt idx="310">
                  <c:v>0.60121720513367705</c:v>
                </c:pt>
                <c:pt idx="311">
                  <c:v>0.60121720513367705</c:v>
                </c:pt>
              </c:numCache>
            </c:numRef>
          </c:xVal>
          <c:yVal>
            <c:numRef>
              <c:f>Implicit_Fracs!$AK$3:$AK$314</c:f>
              <c:numCache>
                <c:formatCode>General</c:formatCode>
                <c:ptCount val="3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HMin Dip 58deg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Implicit_Fracs!$C$3:$C$314</c:f>
              <c:numCache>
                <c:formatCode>General</c:formatCode>
                <c:ptCount val="312"/>
                <c:pt idx="0">
                  <c:v>0</c:v>
                </c:pt>
                <c:pt idx="1">
                  <c:v>6.5458908507104702E-2</c:v>
                </c:pt>
                <c:pt idx="2">
                  <c:v>0.13164836335685801</c:v>
                </c:pt>
                <c:pt idx="3">
                  <c:v>0.13174831742784901</c:v>
                </c:pt>
                <c:pt idx="4">
                  <c:v>0.131814325176488</c:v>
                </c:pt>
                <c:pt idx="5">
                  <c:v>0.13186377086317799</c:v>
                </c:pt>
                <c:pt idx="6">
                  <c:v>0.13190336566689301</c:v>
                </c:pt>
                <c:pt idx="7">
                  <c:v>0.13193641917955301</c:v>
                </c:pt>
                <c:pt idx="8">
                  <c:v>0.13196480990574899</c:v>
                </c:pt>
                <c:pt idx="9">
                  <c:v>0.131989707564308</c:v>
                </c:pt>
                <c:pt idx="10">
                  <c:v>0.132011890254908</c:v>
                </c:pt>
                <c:pt idx="11">
                  <c:v>0.132031901904686</c:v>
                </c:pt>
                <c:pt idx="12">
                  <c:v>0.132050137753493</c:v>
                </c:pt>
                <c:pt idx="13">
                  <c:v>0.13206689406580899</c:v>
                </c:pt>
                <c:pt idx="14">
                  <c:v>0.132082398656449</c:v>
                </c:pt>
                <c:pt idx="15">
                  <c:v>0.132096830483731</c:v>
                </c:pt>
                <c:pt idx="16">
                  <c:v>0.13211033269671599</c:v>
                </c:pt>
                <c:pt idx="17">
                  <c:v>0.13212302159759301</c:v>
                </c:pt>
                <c:pt idx="18">
                  <c:v>0.13213499296405401</c:v>
                </c:pt>
                <c:pt idx="19">
                  <c:v>0.13214632661325601</c:v>
                </c:pt>
                <c:pt idx="20">
                  <c:v>0.132157089763519</c:v>
                </c:pt>
                <c:pt idx="21">
                  <c:v>0.132167339554908</c:v>
                </c:pt>
                <c:pt idx="22">
                  <c:v>0.132177124969275</c:v>
                </c:pt>
                <c:pt idx="23">
                  <c:v>0.132186488313704</c:v>
                </c:pt>
                <c:pt idx="24">
                  <c:v>0.132195466381343</c:v>
                </c:pt>
                <c:pt idx="25">
                  <c:v>0.13220409137031</c:v>
                </c:pt>
                <c:pt idx="26">
                  <c:v>0.1322123916188</c:v>
                </c:pt>
                <c:pt idx="27">
                  <c:v>0.132220392198791</c:v>
                </c:pt>
                <c:pt idx="28">
                  <c:v>0.13222811539981</c:v>
                </c:pt>
                <c:pt idx="29">
                  <c:v>0.13223558112630501</c:v>
                </c:pt>
                <c:pt idx="30">
                  <c:v>0.13224280722651799</c:v>
                </c:pt>
                <c:pt idx="31">
                  <c:v>0.13224980976654199</c:v>
                </c:pt>
                <c:pt idx="32">
                  <c:v>0.13225660326019101</c:v>
                </c:pt>
                <c:pt idx="33">
                  <c:v>0.13226320086295401</c:v>
                </c:pt>
                <c:pt idx="34">
                  <c:v>0.13226961453657801</c:v>
                </c:pt>
                <c:pt idx="35">
                  <c:v>0.13227585518944099</c:v>
                </c:pt>
                <c:pt idx="36">
                  <c:v>0.13228193279689099</c:v>
                </c:pt>
                <c:pt idx="37">
                  <c:v>0.13228785650486699</c:v>
                </c:pt>
                <c:pt idx="38">
                  <c:v>0.13229363471953201</c:v>
                </c:pt>
                <c:pt idx="39">
                  <c:v>0.13229927518510501</c:v>
                </c:pt>
                <c:pt idx="40">
                  <c:v>0.13230478505189899</c:v>
                </c:pt>
                <c:pt idx="41">
                  <c:v>0.132310170935689</c:v>
                </c:pt>
                <c:pt idx="42">
                  <c:v>0.132315438969837</c:v>
                </c:pt>
                <c:pt idx="43">
                  <c:v>0.13232059485122499</c:v>
                </c:pt>
                <c:pt idx="44">
                  <c:v>0.13232564388083301</c:v>
                </c:pt>
                <c:pt idx="45">
                  <c:v>0.13233059099972999</c:v>
                </c:pt>
                <c:pt idx="46">
                  <c:v>0.13233544082104801</c:v>
                </c:pt>
                <c:pt idx="47">
                  <c:v>0.132340197658498</c:v>
                </c:pt>
                <c:pt idx="48">
                  <c:v>0.13234486555185099</c:v>
                </c:pt>
                <c:pt idx="49">
                  <c:v>0.132349448289759</c:v>
                </c:pt>
                <c:pt idx="50">
                  <c:v>0.13235394943025999</c:v>
                </c:pt>
                <c:pt idx="51">
                  <c:v>0.13235837231923001</c:v>
                </c:pt>
                <c:pt idx="52">
                  <c:v>0.13236272010702199</c:v>
                </c:pt>
                <c:pt idx="53">
                  <c:v>0.13236699576351699</c:v>
                </c:pt>
                <c:pt idx="54">
                  <c:v>0.13237120209174699</c:v>
                </c:pt>
                <c:pt idx="55">
                  <c:v>0.132375341740263</c:v>
                </c:pt>
                <c:pt idx="56">
                  <c:v>0.13237941721437901</c:v>
                </c:pt>
                <c:pt idx="57">
                  <c:v>0.132383430886412</c:v>
                </c:pt>
                <c:pt idx="58">
                  <c:v>0.132387385005025</c:v>
                </c:pt>
                <c:pt idx="59">
                  <c:v>0.13239128170376399</c:v>
                </c:pt>
                <c:pt idx="60">
                  <c:v>0.13239512300888101</c:v>
                </c:pt>
                <c:pt idx="61">
                  <c:v>0.132398910846489</c:v>
                </c:pt>
                <c:pt idx="62">
                  <c:v>0.13240264704915</c:v>
                </c:pt>
                <c:pt idx="63">
                  <c:v>0.13240633336192001</c:v>
                </c:pt>
                <c:pt idx="64">
                  <c:v>0.13240997144792099</c:v>
                </c:pt>
                <c:pt idx="65">
                  <c:v>0.132413562893474</c:v>
                </c:pt>
                <c:pt idx="66">
                  <c:v>0.132417109212841</c:v>
                </c:pt>
                <c:pt idx="67">
                  <c:v>0.132420611852609</c:v>
                </c:pt>
                <c:pt idx="68">
                  <c:v>0.13242407219574501</c:v>
                </c:pt>
                <c:pt idx="69">
                  <c:v>0.13242749156535599</c:v>
                </c:pt>
                <c:pt idx="70">
                  <c:v>0.13243087122817501</c:v>
                </c:pt>
                <c:pt idx="71">
                  <c:v>0.13243421239779701</c:v>
                </c:pt>
                <c:pt idx="72">
                  <c:v>0.13243751623769601</c:v>
                </c:pt>
                <c:pt idx="73">
                  <c:v>0.132440783864022</c:v>
                </c:pt>
                <c:pt idx="74">
                  <c:v>0.13244401634821701</c:v>
                </c:pt>
                <c:pt idx="75">
                  <c:v>0.13244721471944401</c:v>
                </c:pt>
                <c:pt idx="76">
                  <c:v>0.13245037996687001</c:v>
                </c:pt>
                <c:pt idx="77">
                  <c:v>0.13245351304177999</c:v>
                </c:pt>
                <c:pt idx="78">
                  <c:v>0.13245661485957499</c:v>
                </c:pt>
                <c:pt idx="79">
                  <c:v>0.132459686301623</c:v>
                </c:pt>
                <c:pt idx="80">
                  <c:v>0.13246272821701099</c:v>
                </c:pt>
                <c:pt idx="81">
                  <c:v>0.132465741424173</c:v>
                </c:pt>
                <c:pt idx="82">
                  <c:v>0.13246872671243001</c:v>
                </c:pt>
                <c:pt idx="83">
                  <c:v>0.132471684843428</c:v>
                </c:pt>
                <c:pt idx="84">
                  <c:v>0.13247461655249701</c:v>
                </c:pt>
                <c:pt idx="85">
                  <c:v>0.13247752254992401</c:v>
                </c:pt>
                <c:pt idx="86">
                  <c:v>0.13248040352215701</c:v>
                </c:pt>
                <c:pt idx="87">
                  <c:v>0.13248326013293299</c:v>
                </c:pt>
                <c:pt idx="88">
                  <c:v>0.13248609302434999</c:v>
                </c:pt>
                <c:pt idx="89">
                  <c:v>0.13248890281787101</c:v>
                </c:pt>
                <c:pt idx="90">
                  <c:v>0.132491690115279</c:v>
                </c:pt>
                <c:pt idx="91">
                  <c:v>0.132494455499574</c:v>
                </c:pt>
                <c:pt idx="92">
                  <c:v>0.13249719953582401</c:v>
                </c:pt>
                <c:pt idx="93">
                  <c:v>0.132499922771974</c:v>
                </c:pt>
                <c:pt idx="94">
                  <c:v>0.132502625739603</c:v>
                </c:pt>
                <c:pt idx="95">
                  <c:v>0.13250530895465101</c:v>
                </c:pt>
                <c:pt idx="96">
                  <c:v>0.13250797291810601</c:v>
                </c:pt>
                <c:pt idx="97">
                  <c:v>0.13251061811664699</c:v>
                </c:pt>
                <c:pt idx="98">
                  <c:v>0.132513245023273</c:v>
                </c:pt>
                <c:pt idx="99">
                  <c:v>0.132515854097881</c:v>
                </c:pt>
                <c:pt idx="100">
                  <c:v>0.13251844578782901</c:v>
                </c:pt>
                <c:pt idx="101">
                  <c:v>0.13252102052846701</c:v>
                </c:pt>
                <c:pt idx="102">
                  <c:v>0.13252357874364101</c:v>
                </c:pt>
                <c:pt idx="103">
                  <c:v>0.13252612084617801</c:v>
                </c:pt>
                <c:pt idx="104">
                  <c:v>0.13252864723834301</c:v>
                </c:pt>
                <c:pt idx="105">
                  <c:v>0.13253115831227899</c:v>
                </c:pt>
                <c:pt idx="106">
                  <c:v>0.13253365445042301</c:v>
                </c:pt>
                <c:pt idx="107">
                  <c:v>0.132536136025908</c:v>
                </c:pt>
                <c:pt idx="108">
                  <c:v>0.13253860340294499</c:v>
                </c:pt>
                <c:pt idx="109">
                  <c:v>0.13254105693718801</c:v>
                </c:pt>
                <c:pt idx="110">
                  <c:v>0.132543496976081</c:v>
                </c:pt>
                <c:pt idx="111">
                  <c:v>0.132545923859197</c:v>
                </c:pt>
                <c:pt idx="112">
                  <c:v>0.132548337918557</c:v>
                </c:pt>
                <c:pt idx="113">
                  <c:v>0.132550739478936</c:v>
                </c:pt>
                <c:pt idx="114">
                  <c:v>0.13255312885816001</c:v>
                </c:pt>
                <c:pt idx="115">
                  <c:v>0.132555506367391</c:v>
                </c:pt>
                <c:pt idx="116">
                  <c:v>0.13255787231139399</c:v>
                </c:pt>
                <c:pt idx="117">
                  <c:v>0.13256022698880601</c:v>
                </c:pt>
                <c:pt idx="118">
                  <c:v>0.13256257069238001</c:v>
                </c:pt>
                <c:pt idx="119">
                  <c:v>0.13256490370923599</c:v>
                </c:pt>
                <c:pt idx="120">
                  <c:v>0.132567226321089</c:v>
                </c:pt>
                <c:pt idx="121">
                  <c:v>0.132569538804475</c:v>
                </c:pt>
                <c:pt idx="122">
                  <c:v>0.132571841430971</c:v>
                </c:pt>
                <c:pt idx="123">
                  <c:v>0.13257413446740399</c:v>
                </c:pt>
                <c:pt idx="124">
                  <c:v>0.13257641817605401</c:v>
                </c:pt>
                <c:pt idx="125">
                  <c:v>0.13257869281484999</c:v>
                </c:pt>
                <c:pt idx="126">
                  <c:v>0.132580958637564</c:v>
                </c:pt>
                <c:pt idx="127">
                  <c:v>0.132583215893989</c:v>
                </c:pt>
                <c:pt idx="128">
                  <c:v>0.13258546483012401</c:v>
                </c:pt>
                <c:pt idx="129">
                  <c:v>0.13258770568834599</c:v>
                </c:pt>
                <c:pt idx="130">
                  <c:v>0.13258993870757799</c:v>
                </c:pt>
                <c:pt idx="131">
                  <c:v>0.13259216412345401</c:v>
                </c:pt>
                <c:pt idx="132">
                  <c:v>0.13259438216847899</c:v>
                </c:pt>
                <c:pt idx="133">
                  <c:v>0.13259659307218699</c:v>
                </c:pt>
                <c:pt idx="134">
                  <c:v>0.13259879706128999</c:v>
                </c:pt>
                <c:pt idx="135">
                  <c:v>0.132600994359831</c:v>
                </c:pt>
                <c:pt idx="136">
                  <c:v>0.13260318518932601</c:v>
                </c:pt>
                <c:pt idx="137">
                  <c:v>0.13260536976890799</c:v>
                </c:pt>
                <c:pt idx="138">
                  <c:v>0.132607548315469</c:v>
                </c:pt>
                <c:pt idx="139">
                  <c:v>0.13260972104379501</c:v>
                </c:pt>
                <c:pt idx="140">
                  <c:v>0.132611888166702</c:v>
                </c:pt>
                <c:pt idx="141">
                  <c:v>0.13261404989517001</c:v>
                </c:pt>
                <c:pt idx="142">
                  <c:v>0.13261620643847399</c:v>
                </c:pt>
                <c:pt idx="143">
                  <c:v>0.13261835800430899</c:v>
                </c:pt>
                <c:pt idx="144">
                  <c:v>0.13262050479892901</c:v>
                </c:pt>
                <c:pt idx="145">
                  <c:v>0.13262264702726001</c:v>
                </c:pt>
                <c:pt idx="146">
                  <c:v>0.132624784893038</c:v>
                </c:pt>
                <c:pt idx="147">
                  <c:v>0.132626918598926</c:v>
                </c:pt>
                <c:pt idx="148">
                  <c:v>0.13262904834664299</c:v>
                </c:pt>
                <c:pt idx="149">
                  <c:v>0.13263117433708499</c:v>
                </c:pt>
                <c:pt idx="150">
                  <c:v>0.13263329677044799</c:v>
                </c:pt>
                <c:pt idx="151">
                  <c:v>0.13263541584635499</c:v>
                </c:pt>
                <c:pt idx="152">
                  <c:v>0.13263753176397799</c:v>
                </c:pt>
                <c:pt idx="153">
                  <c:v>0.13263964472216</c:v>
                </c:pt>
                <c:pt idx="154">
                  <c:v>0.13264175491954</c:v>
                </c:pt>
                <c:pt idx="155">
                  <c:v>0.132643862554683</c:v>
                </c:pt>
                <c:pt idx="156">
                  <c:v>0.132645967826199</c:v>
                </c:pt>
                <c:pt idx="157">
                  <c:v>0.13264807093287501</c:v>
                </c:pt>
                <c:pt idx="158">
                  <c:v>0.132650172073802</c:v>
                </c:pt>
                <c:pt idx="159">
                  <c:v>0.132652271448509</c:v>
                </c:pt>
                <c:pt idx="160">
                  <c:v>0.13265436925708801</c:v>
                </c:pt>
                <c:pt idx="161">
                  <c:v>0.13265646570033501</c:v>
                </c:pt>
                <c:pt idx="162">
                  <c:v>0.13265856097988399</c:v>
                </c:pt>
                <c:pt idx="163">
                  <c:v>0.132660655298346</c:v>
                </c:pt>
                <c:pt idx="164">
                  <c:v>0.132662748859454</c:v>
                </c:pt>
                <c:pt idx="165">
                  <c:v>0.13266484186820501</c:v>
                </c:pt>
                <c:pt idx="166">
                  <c:v>0.13266693453101</c:v>
                </c:pt>
                <c:pt idx="167">
                  <c:v>0.13266902705584799</c:v>
                </c:pt>
                <c:pt idx="168">
                  <c:v>0.13267111965242301</c:v>
                </c:pt>
                <c:pt idx="169">
                  <c:v>0.132673212532323</c:v>
                </c:pt>
                <c:pt idx="170">
                  <c:v>0.132675305909189</c:v>
                </c:pt>
                <c:pt idx="171">
                  <c:v>0.132677399998884</c:v>
                </c:pt>
                <c:pt idx="172">
                  <c:v>0.13267949501967199</c:v>
                </c:pt>
                <c:pt idx="173">
                  <c:v>0.132681591192402</c:v>
                </c:pt>
                <c:pt idx="174">
                  <c:v>0.132683688740695</c:v>
                </c:pt>
                <c:pt idx="175">
                  <c:v>0.13268578789114299</c:v>
                </c:pt>
                <c:pt idx="176">
                  <c:v>0.13268788887351199</c:v>
                </c:pt>
                <c:pt idx="177">
                  <c:v>0.13268999192095701</c:v>
                </c:pt>
                <c:pt idx="178">
                  <c:v>0.13269209727023901</c:v>
                </c:pt>
                <c:pt idx="179">
                  <c:v>0.13269420516196201</c:v>
                </c:pt>
                <c:pt idx="180">
                  <c:v>0.13269631584080599</c:v>
                </c:pt>
                <c:pt idx="181">
                  <c:v>0.13269842955578601</c:v>
                </c:pt>
                <c:pt idx="182">
                  <c:v>0.132700546560511</c:v>
                </c:pt>
                <c:pt idx="183">
                  <c:v>0.13270266711345699</c:v>
                </c:pt>
                <c:pt idx="184">
                  <c:v>0.132704791478263</c:v>
                </c:pt>
                <c:pt idx="185">
                  <c:v>0.132706919924029</c:v>
                </c:pt>
                <c:pt idx="186">
                  <c:v>0.13270905272563599</c:v>
                </c:pt>
                <c:pt idx="187">
                  <c:v>0.13271119016407801</c:v>
                </c:pt>
                <c:pt idx="188">
                  <c:v>0.13271333252682199</c:v>
                </c:pt>
                <c:pt idx="189">
                  <c:v>0.132715480108173</c:v>
                </c:pt>
                <c:pt idx="190">
                  <c:v>0.13271763320966901</c:v>
                </c:pt>
                <c:pt idx="191">
                  <c:v>0.13271979214049601</c:v>
                </c:pt>
                <c:pt idx="192">
                  <c:v>0.13272195721792501</c:v>
                </c:pt>
                <c:pt idx="193">
                  <c:v>0.132724128767778</c:v>
                </c:pt>
                <c:pt idx="194">
                  <c:v>0.13272630712491701</c:v>
                </c:pt>
                <c:pt idx="195">
                  <c:v>0.13272849263376901</c:v>
                </c:pt>
                <c:pt idx="196">
                  <c:v>0.132730685648876</c:v>
                </c:pt>
                <c:pt idx="197">
                  <c:v>0.13273288653548501</c:v>
                </c:pt>
                <c:pt idx="198">
                  <c:v>0.13273509567017699</c:v>
                </c:pt>
                <c:pt idx="199">
                  <c:v>0.132737313441533</c:v>
                </c:pt>
                <c:pt idx="200">
                  <c:v>0.132739540250841</c:v>
                </c:pt>
                <c:pt idx="201">
                  <c:v>0.13274177651286501</c:v>
                </c:pt>
                <c:pt idx="202">
                  <c:v>0.13274402265665</c:v>
                </c:pt>
                <c:pt idx="203">
                  <c:v>0.132746279126393</c:v>
                </c:pt>
                <c:pt idx="204">
                  <c:v>0.13274854638237599</c:v>
                </c:pt>
                <c:pt idx="205">
                  <c:v>0.132750824901961</c:v>
                </c:pt>
                <c:pt idx="206">
                  <c:v>0.13275311518066599</c:v>
                </c:pt>
                <c:pt idx="207">
                  <c:v>0.13275541773331401</c:v>
                </c:pt>
                <c:pt idx="208">
                  <c:v>0.132757733095279</c:v>
                </c:pt>
                <c:pt idx="209">
                  <c:v>0.132760061823818</c:v>
                </c:pt>
                <c:pt idx="210">
                  <c:v>0.13276240449951601</c:v>
                </c:pt>
                <c:pt idx="211">
                  <c:v>0.13276476172784801</c:v>
                </c:pt>
                <c:pt idx="212">
                  <c:v>0.13276713414086799</c:v>
                </c:pt>
                <c:pt idx="213">
                  <c:v>0.13276952239903</c:v>
                </c:pt>
                <c:pt idx="214">
                  <c:v>0.13277192719318501</c:v>
                </c:pt>
                <c:pt idx="215">
                  <c:v>0.13277434924672901</c:v>
                </c:pt>
                <c:pt idx="216">
                  <c:v>0.132776789317957</c:v>
                </c:pt>
                <c:pt idx="217">
                  <c:v>0.13277924820261999</c:v>
                </c:pt>
                <c:pt idx="218">
                  <c:v>0.132781726736725</c:v>
                </c:pt>
                <c:pt idx="219">
                  <c:v>0.13278422579959301</c:v>
                </c:pt>
                <c:pt idx="220">
                  <c:v>0.13278674631720599</c:v>
                </c:pt>
                <c:pt idx="221">
                  <c:v>0.132789289265896</c:v>
                </c:pt>
                <c:pt idx="222">
                  <c:v>0.13279185567638299</c:v>
                </c:pt>
                <c:pt idx="223">
                  <c:v>0.132794446638243</c:v>
                </c:pt>
                <c:pt idx="224">
                  <c:v>0.13279706330482899</c:v>
                </c:pt>
                <c:pt idx="225">
                  <c:v>0.132799706898722</c:v>
                </c:pt>
                <c:pt idx="226">
                  <c:v>0.132802378717778</c:v>
                </c:pt>
                <c:pt idx="227">
                  <c:v>0.132805080141845</c:v>
                </c:pt>
                <c:pt idx="228">
                  <c:v>0.13280781264025199</c:v>
                </c:pt>
                <c:pt idx="229">
                  <c:v>0.132810577780172</c:v>
                </c:pt>
                <c:pt idx="230">
                  <c:v>0.13281337723598599</c:v>
                </c:pt>
                <c:pt idx="231">
                  <c:v>0.13281621279980399</c:v>
                </c:pt>
                <c:pt idx="232">
                  <c:v>0.132819086393311</c:v>
                </c:pt>
                <c:pt idx="233">
                  <c:v>0.132822000081147</c:v>
                </c:pt>
                <c:pt idx="234">
                  <c:v>0.132824956086074</c:v>
                </c:pt>
                <c:pt idx="235">
                  <c:v>0.13282795680621301</c:v>
                </c:pt>
                <c:pt idx="236">
                  <c:v>0.13283100483471399</c:v>
                </c:pt>
                <c:pt idx="237">
                  <c:v>0.13283410298228401</c:v>
                </c:pt>
                <c:pt idx="238">
                  <c:v>0.13283725430307999</c:v>
                </c:pt>
                <c:pt idx="239">
                  <c:v>0.13284046212460199</c:v>
                </c:pt>
                <c:pt idx="240">
                  <c:v>0.13284373008234701</c:v>
                </c:pt>
                <c:pt idx="241">
                  <c:v>0.13284706216018199</c:v>
                </c:pt>
                <c:pt idx="242">
                  <c:v>0.13285046273759499</c:v>
                </c:pt>
                <c:pt idx="243">
                  <c:v>0.13285393664530001</c:v>
                </c:pt>
                <c:pt idx="244">
                  <c:v>0.13285748923103799</c:v>
                </c:pt>
                <c:pt idx="245">
                  <c:v>0.13286112643791401</c:v>
                </c:pt>
                <c:pt idx="246">
                  <c:v>0.132864854898255</c:v>
                </c:pt>
                <c:pt idx="247">
                  <c:v>0.13286868204686</c:v>
                </c:pt>
                <c:pt idx="248">
                  <c:v>0.13287261625866401</c:v>
                </c:pt>
                <c:pt idx="249">
                  <c:v>0.132876667017443</c:v>
                </c:pt>
                <c:pt idx="250">
                  <c:v>0.132880845124389</c:v>
                </c:pt>
                <c:pt idx="251">
                  <c:v>0.13288516295844799</c:v>
                </c:pt>
                <c:pt idx="252">
                  <c:v>0.13288963480469199</c:v>
                </c:pt>
                <c:pt idx="253">
                  <c:v>0.13289427727328901</c:v>
                </c:pt>
                <c:pt idx="254">
                  <c:v>0.13289910984085401</c:v>
                </c:pt>
                <c:pt idx="255">
                  <c:v>0.132904155559849</c:v>
                </c:pt>
                <c:pt idx="256">
                  <c:v>0.13290944200277299</c:v>
                </c:pt>
                <c:pt idx="257">
                  <c:v>0.13291500254108701</c:v>
                </c:pt>
                <c:pt idx="258">
                  <c:v>0.13292087811204301</c:v>
                </c:pt>
                <c:pt idx="259">
                  <c:v>0.132927119714948</c:v>
                </c:pt>
                <c:pt idx="260">
                  <c:v>0.132933792029892</c:v>
                </c:pt>
                <c:pt idx="261">
                  <c:v>0.132940978822192</c:v>
                </c:pt>
                <c:pt idx="262">
                  <c:v>0.13294879130005999</c:v>
                </c:pt>
                <c:pt idx="263">
                  <c:v>0.132957381584934</c:v>
                </c:pt>
                <c:pt idx="264">
                  <c:v>0.13296696553123799</c:v>
                </c:pt>
                <c:pt idx="265">
                  <c:v>0.13297786382384399</c:v>
                </c:pt>
                <c:pt idx="266">
                  <c:v>0.132990581906959</c:v>
                </c:pt>
                <c:pt idx="267">
                  <c:v>0.13300598168556699</c:v>
                </c:pt>
                <c:pt idx="268">
                  <c:v>0.13302570306129599</c:v>
                </c:pt>
                <c:pt idx="269">
                  <c:v>0.133053413662858</c:v>
                </c:pt>
                <c:pt idx="270">
                  <c:v>0.13309974144758499</c:v>
                </c:pt>
                <c:pt idx="271">
                  <c:v>0.13321378154653299</c:v>
                </c:pt>
                <c:pt idx="272">
                  <c:v>0.13336682861826901</c:v>
                </c:pt>
                <c:pt idx="273">
                  <c:v>0.13351953708365299</c:v>
                </c:pt>
                <c:pt idx="274">
                  <c:v>0.133672756082719</c:v>
                </c:pt>
                <c:pt idx="275">
                  <c:v>0.13382654271444999</c:v>
                </c:pt>
                <c:pt idx="276">
                  <c:v>0.1339809270474</c:v>
                </c:pt>
                <c:pt idx="277">
                  <c:v>0.13413592636935101</c:v>
                </c:pt>
                <c:pt idx="278">
                  <c:v>0.13429155195650999</c:v>
                </c:pt>
                <c:pt idx="279">
                  <c:v>0.229108280555748</c:v>
                </c:pt>
                <c:pt idx="280">
                  <c:v>0.22910828280913501</c:v>
                </c:pt>
                <c:pt idx="281">
                  <c:v>0.38305732976120799</c:v>
                </c:pt>
                <c:pt idx="282">
                  <c:v>0.38333587250425699</c:v>
                </c:pt>
                <c:pt idx="283">
                  <c:v>0.38357840372985702</c:v>
                </c:pt>
                <c:pt idx="284">
                  <c:v>0.38379485836785199</c:v>
                </c:pt>
                <c:pt idx="285">
                  <c:v>0.38399180760400198</c:v>
                </c:pt>
                <c:pt idx="286">
                  <c:v>0.384173807056849</c:v>
                </c:pt>
                <c:pt idx="287">
                  <c:v>0.38434416321224601</c:v>
                </c:pt>
                <c:pt idx="288">
                  <c:v>0.38450537598643098</c:v>
                </c:pt>
                <c:pt idx="289">
                  <c:v>0.38465940776560398</c:v>
                </c:pt>
                <c:pt idx="290">
                  <c:v>0.38480785573939102</c:v>
                </c:pt>
                <c:pt idx="291">
                  <c:v>0.384952068264445</c:v>
                </c:pt>
                <c:pt idx="292">
                  <c:v>0.38509322812937802</c:v>
                </c:pt>
                <c:pt idx="293">
                  <c:v>0.38523241647348</c:v>
                </c:pt>
                <c:pt idx="294">
                  <c:v>0.385370666441891</c:v>
                </c:pt>
                <c:pt idx="295">
                  <c:v>0.385509013499586</c:v>
                </c:pt>
                <c:pt idx="296">
                  <c:v>0.38564854888670203</c:v>
                </c:pt>
                <c:pt idx="297">
                  <c:v>0.385790483898592</c:v>
                </c:pt>
                <c:pt idx="298">
                  <c:v>0.38593623614144101</c:v>
                </c:pt>
                <c:pt idx="299">
                  <c:v>0.38608755645093301</c:v>
                </c:pt>
                <c:pt idx="300">
                  <c:v>0.38624673120118802</c:v>
                </c:pt>
                <c:pt idx="301">
                  <c:v>0.38641693053499898</c:v>
                </c:pt>
                <c:pt idx="302">
                  <c:v>0.38660285978241898</c:v>
                </c:pt>
                <c:pt idx="303">
                  <c:v>0.38681210620158402</c:v>
                </c:pt>
                <c:pt idx="304">
                  <c:v>0.38705831096616899</c:v>
                </c:pt>
                <c:pt idx="305">
                  <c:v>0.38737014098822098</c:v>
                </c:pt>
                <c:pt idx="306">
                  <c:v>0.38782486586522802</c:v>
                </c:pt>
                <c:pt idx="307">
                  <c:v>0.38875106087786898</c:v>
                </c:pt>
                <c:pt idx="308">
                  <c:v>0.39343249839230199</c:v>
                </c:pt>
                <c:pt idx="309">
                  <c:v>0.40121720513367698</c:v>
                </c:pt>
                <c:pt idx="310">
                  <c:v>0.60121720513367705</c:v>
                </c:pt>
                <c:pt idx="311">
                  <c:v>0.60121720513367705</c:v>
                </c:pt>
              </c:numCache>
            </c:numRef>
          </c:xVal>
          <c:yVal>
            <c:numRef>
              <c:f>Implicit_Fracs!$W$3:$W$314</c:f>
              <c:numCache>
                <c:formatCode>General</c:formatCode>
                <c:ptCount val="312"/>
                <c:pt idx="0">
                  <c:v>0</c:v>
                </c:pt>
                <c:pt idx="1">
                  <c:v>0</c:v>
                </c:pt>
                <c:pt idx="2">
                  <c:v>3842378.3213252798</c:v>
                </c:pt>
                <c:pt idx="3">
                  <c:v>3846260.4698841502</c:v>
                </c:pt>
                <c:pt idx="4">
                  <c:v>3848822.8849675599</c:v>
                </c:pt>
                <c:pt idx="5">
                  <c:v>3850741.7287391098</c:v>
                </c:pt>
                <c:pt idx="6">
                  <c:v>3852277.9084160998</c:v>
                </c:pt>
                <c:pt idx="7">
                  <c:v>3853560.0484264898</c:v>
                </c:pt>
                <c:pt idx="8">
                  <c:v>3854661.1377560501</c:v>
                </c:pt>
                <c:pt idx="9">
                  <c:v>3855626.6169194402</c:v>
                </c:pt>
                <c:pt idx="10">
                  <c:v>3856486.7082149601</c:v>
                </c:pt>
                <c:pt idx="11">
                  <c:v>3857262.5355060599</c:v>
                </c:pt>
                <c:pt idx="12">
                  <c:v>3857969.4464168102</c:v>
                </c:pt>
                <c:pt idx="13">
                  <c:v>3858618.9440128501</c:v>
                </c:pt>
                <c:pt idx="14">
                  <c:v>3859219.8728128099</c:v>
                </c:pt>
                <c:pt idx="15">
                  <c:v>3859779.1799582401</c:v>
                </c:pt>
                <c:pt idx="16">
                  <c:v>3860302.4220339898</c:v>
                </c:pt>
                <c:pt idx="17">
                  <c:v>3860794.1131819999</c:v>
                </c:pt>
                <c:pt idx="18">
                  <c:v>3861257.9706529998</c:v>
                </c:pt>
                <c:pt idx="19">
                  <c:v>3861697.0920510399</c:v>
                </c:pt>
                <c:pt idx="20">
                  <c:v>3862114.0858783498</c:v>
                </c:pt>
                <c:pt idx="21">
                  <c:v>3862511.1694107498</c:v>
                </c:pt>
                <c:pt idx="22">
                  <c:v>3862890.2432495402</c:v>
                </c:pt>
                <c:pt idx="23">
                  <c:v>3863252.9489176101</c:v>
                </c:pt>
                <c:pt idx="24">
                  <c:v>3863600.71392735</c:v>
                </c:pt>
                <c:pt idx="25">
                  <c:v>3863934.7874547401</c:v>
                </c:pt>
                <c:pt idx="26">
                  <c:v>3864256.2688758601</c:v>
                </c:pt>
                <c:pt idx="27">
                  <c:v>3864566.1308138198</c:v>
                </c:pt>
                <c:pt idx="28">
                  <c:v>3864865.2379167601</c:v>
                </c:pt>
                <c:pt idx="29">
                  <c:v>3865154.36228196</c:v>
                </c:pt>
                <c:pt idx="30">
                  <c:v>3865434.1962203798</c:v>
                </c:pt>
                <c:pt idx="31">
                  <c:v>3865705.3628934901</c:v>
                </c:pt>
                <c:pt idx="32">
                  <c:v>3865968.4252345702</c:v>
                </c:pt>
                <c:pt idx="33">
                  <c:v>3866223.8934759502</c:v>
                </c:pt>
                <c:pt idx="34">
                  <c:v>3866472.23153594</c:v>
                </c:pt>
                <c:pt idx="35">
                  <c:v>3866713.8624664601</c:v>
                </c:pt>
                <c:pt idx="36">
                  <c:v>3866949.17312265</c:v>
                </c:pt>
                <c:pt idx="37">
                  <c:v>3867178.5181839</c:v>
                </c:pt>
                <c:pt idx="38">
                  <c:v>3867402.2236317</c:v>
                </c:pt>
                <c:pt idx="39">
                  <c:v>3867620.5897699101</c:v>
                </c:pt>
                <c:pt idx="40">
                  <c:v>3867833.8938644198</c:v>
                </c:pt>
                <c:pt idx="41">
                  <c:v>3868042.3924467298</c:v>
                </c:pt>
                <c:pt idx="42">
                  <c:v>3868246.3233364099</c:v>
                </c:pt>
                <c:pt idx="43">
                  <c:v>3868445.90742291</c:v>
                </c:pt>
                <c:pt idx="44">
                  <c:v>3868641.3502402399</c:v>
                </c:pt>
                <c:pt idx="45">
                  <c:v>3868832.8433628101</c:v>
                </c:pt>
                <c:pt idx="46">
                  <c:v>3869020.5656463001</c:v>
                </c:pt>
                <c:pt idx="47">
                  <c:v>3869204.6843336299</c:v>
                </c:pt>
                <c:pt idx="48">
                  <c:v>3869385.35604343</c:v>
                </c:pt>
                <c:pt idx="49">
                  <c:v>3869562.72765551</c:v>
                </c:pt>
                <c:pt idx="50">
                  <c:v>3869736.9371061302</c:v>
                </c:pt>
                <c:pt idx="51">
                  <c:v>3869908.1141037098</c:v>
                </c:pt>
                <c:pt idx="52">
                  <c:v>3870076.3807744202</c:v>
                </c:pt>
                <c:pt idx="53">
                  <c:v>3870241.85224585</c:v>
                </c:pt>
                <c:pt idx="54">
                  <c:v>3870404.6371754799</c:v>
                </c:pt>
                <c:pt idx="55">
                  <c:v>3870564.8382303999</c:v>
                </c:pt>
                <c:pt idx="56">
                  <c:v>3870722.5525233801</c:v>
                </c:pt>
                <c:pt idx="57">
                  <c:v>3870877.8720100801</c:v>
                </c:pt>
                <c:pt idx="58">
                  <c:v>3871030.8838514001</c:v>
                </c:pt>
                <c:pt idx="59">
                  <c:v>3871181.6707446701</c:v>
                </c:pt>
                <c:pt idx="60">
                  <c:v>3871330.3112267898</c:v>
                </c:pt>
                <c:pt idx="61">
                  <c:v>3871476.8799521299</c:v>
                </c:pt>
                <c:pt idx="62">
                  <c:v>3871621.4479476502</c:v>
                </c:pt>
                <c:pt idx="63">
                  <c:v>3871764.0828475398</c:v>
                </c:pt>
                <c:pt idx="64">
                  <c:v>3871904.8491092101</c:v>
                </c:pt>
                <c:pt idx="65">
                  <c:v>3872043.8082124498</c:v>
                </c:pt>
                <c:pt idx="66">
                  <c:v>3872181.0188432601</c:v>
                </c:pt>
                <c:pt idx="67">
                  <c:v>3872316.5370638701</c:v>
                </c:pt>
                <c:pt idx="68">
                  <c:v>3872450.41646996</c:v>
                </c:pt>
                <c:pt idx="69">
                  <c:v>3872582.7083364902</c:v>
                </c:pt>
                <c:pt idx="70">
                  <c:v>3872713.4617528399</c:v>
                </c:pt>
                <c:pt idx="71">
                  <c:v>3872842.7237484399</c:v>
                </c:pt>
                <c:pt idx="72">
                  <c:v>3872970.5394095201</c:v>
                </c:pt>
                <c:pt idx="73">
                  <c:v>3873096.9519877899</c:v>
                </c:pt>
                <c:pt idx="74">
                  <c:v>3873222.0030016298</c:v>
                </c:pt>
                <c:pt idx="75">
                  <c:v>3873345.7323306398</c:v>
                </c:pt>
                <c:pt idx="76">
                  <c:v>3873468.1783036701</c:v>
                </c:pt>
                <c:pt idx="77">
                  <c:v>3873589.3777813101</c:v>
                </c:pt>
                <c:pt idx="78">
                  <c:v>3873709.3662328999</c:v>
                </c:pt>
                <c:pt idx="79">
                  <c:v>3873828.1778086498</c:v>
                </c:pt>
                <c:pt idx="80">
                  <c:v>3873945.8454072801</c:v>
                </c:pt>
                <c:pt idx="81">
                  <c:v>3874062.4007394002</c:v>
                </c:pt>
                <c:pt idx="82">
                  <c:v>3874177.8743870002</c:v>
                </c:pt>
                <c:pt idx="83">
                  <c:v>3874292.2958593601</c:v>
                </c:pt>
                <c:pt idx="84">
                  <c:v>3874405.69364563</c:v>
                </c:pt>
                <c:pt idx="85">
                  <c:v>3874518.0952642602</c:v>
                </c:pt>
                <c:pt idx="86">
                  <c:v>3874629.5273095602</c:v>
                </c:pt>
                <c:pt idx="87">
                  <c:v>3874740.0154956202</c:v>
                </c:pt>
                <c:pt idx="88">
                  <c:v>3874849.5846976899</c:v>
                </c:pt>
                <c:pt idx="89">
                  <c:v>3874958.2589912</c:v>
                </c:pt>
                <c:pt idx="90">
                  <c:v>3875066.06168871</c:v>
                </c:pt>
                <c:pt idx="91">
                  <c:v>3875173.0153747802</c:v>
                </c:pt>
                <c:pt idx="92">
                  <c:v>3875279.1419389201</c:v>
                </c:pt>
                <c:pt idx="93">
                  <c:v>3875384.4626068398</c:v>
                </c:pt>
                <c:pt idx="94">
                  <c:v>3875488.9979699701</c:v>
                </c:pt>
                <c:pt idx="95">
                  <c:v>3875592.7680135602</c:v>
                </c:pt>
                <c:pt idx="96">
                  <c:v>3875695.7921432001</c:v>
                </c:pt>
                <c:pt idx="97">
                  <c:v>3875798.08921006</c:v>
                </c:pt>
                <c:pt idx="98">
                  <c:v>3875899.6775348401</c:v>
                </c:pt>
                <c:pt idx="99">
                  <c:v>3876000.5749305501</c:v>
                </c:pt>
                <c:pt idx="100">
                  <c:v>3876100.79872414</c:v>
                </c:pt>
                <c:pt idx="101">
                  <c:v>3876200.3657770902</c:v>
                </c:pt>
                <c:pt idx="102">
                  <c:v>3876299.2925050398</c:v>
                </c:pt>
                <c:pt idx="103">
                  <c:v>3876397.59489646</c:v>
                </c:pt>
                <c:pt idx="104">
                  <c:v>3876495.2885304498</c:v>
                </c:pt>
                <c:pt idx="105">
                  <c:v>3876592.3885937501</c:v>
                </c:pt>
                <c:pt idx="106">
                  <c:v>3876688.9098969302</c:v>
                </c:pt>
                <c:pt idx="107">
                  <c:v>3876784.8668899098</c:v>
                </c:pt>
                <c:pt idx="108">
                  <c:v>3876880.2736767498</c:v>
                </c:pt>
                <c:pt idx="109">
                  <c:v>3876975.1440297901</c:v>
                </c:pt>
                <c:pt idx="110">
                  <c:v>3877069.49140323</c:v>
                </c:pt>
                <c:pt idx="111">
                  <c:v>3877163.3289460698</c:v>
                </c:pt>
                <c:pt idx="112">
                  <c:v>3877256.6695145899</c:v>
                </c:pt>
                <c:pt idx="113">
                  <c:v>3877349.52568421</c:v>
                </c:pt>
                <c:pt idx="114">
                  <c:v>3877441.9097609799</c:v>
                </c:pt>
                <c:pt idx="115">
                  <c:v>3877533.8337925202</c:v>
                </c:pt>
                <c:pt idx="116">
                  <c:v>3877625.3095786101</c:v>
                </c:pt>
                <c:pt idx="117">
                  <c:v>3877716.3486813102</c:v>
                </c:pt>
                <c:pt idx="118">
                  <c:v>3877806.9624347501</c:v>
                </c:pt>
                <c:pt idx="119">
                  <c:v>3877897.1619544802</c:v>
                </c:pt>
                <c:pt idx="120">
                  <c:v>3877986.9581465898</c:v>
                </c:pt>
                <c:pt idx="121">
                  <c:v>3878076.3617163999</c:v>
                </c:pt>
                <c:pt idx="122">
                  <c:v>3878165.3831769</c:v>
                </c:pt>
                <c:pt idx="123">
                  <c:v>3878254.0328569198</c:v>
                </c:pt>
                <c:pt idx="124">
                  <c:v>3878342.3209089702</c:v>
                </c:pt>
                <c:pt idx="125">
                  <c:v>3878430.2573168701</c:v>
                </c:pt>
                <c:pt idx="126">
                  <c:v>3878517.8519031298</c:v>
                </c:pt>
                <c:pt idx="127">
                  <c:v>3878605.1143360701</c:v>
                </c:pt>
                <c:pt idx="128">
                  <c:v>3878692.0541368001</c:v>
                </c:pt>
                <c:pt idx="129">
                  <c:v>3878778.68068593</c:v>
                </c:pt>
                <c:pt idx="130">
                  <c:v>3878865.0032300898</c:v>
                </c:pt>
                <c:pt idx="131">
                  <c:v>3878951.0308883502</c:v>
                </c:pt>
                <c:pt idx="132">
                  <c:v>3879036.77265839</c:v>
                </c:pt>
                <c:pt idx="133">
                  <c:v>3879122.2374225399</c:v>
                </c:pt>
                <c:pt idx="134">
                  <c:v>3879207.4339537001</c:v>
                </c:pt>
                <c:pt idx="135">
                  <c:v>3879292.3709211098</c:v>
                </c:pt>
                <c:pt idx="136">
                  <c:v>3879377.0568959601</c:v>
                </c:pt>
                <c:pt idx="137">
                  <c:v>3879461.5003569699</c:v>
                </c:pt>
                <c:pt idx="138">
                  <c:v>3879545.7096957699</c:v>
                </c:pt>
                <c:pt idx="139">
                  <c:v>3879629.6932222298</c:v>
                </c:pt>
                <c:pt idx="140">
                  <c:v>3879713.4591696998</c:v>
                </c:pt>
                <c:pt idx="141">
                  <c:v>3879797.0157001498</c:v>
                </c:pt>
                <c:pt idx="142">
                  <c:v>3879880.3709092699</c:v>
                </c:pt>
                <c:pt idx="143">
                  <c:v>3879963.5328314598</c:v>
                </c:pt>
                <c:pt idx="144">
                  <c:v>3880046.50944481</c:v>
                </c:pt>
                <c:pt idx="145">
                  <c:v>3880129.30867599</c:v>
                </c:pt>
                <c:pt idx="146">
                  <c:v>3880211.93840511</c:v>
                </c:pt>
                <c:pt idx="147">
                  <c:v>3880294.4064706</c:v>
                </c:pt>
                <c:pt idx="148">
                  <c:v>3880376.7206739602</c:v>
                </c:pt>
                <c:pt idx="149">
                  <c:v>3880458.8887845902</c:v>
                </c:pt>
                <c:pt idx="150">
                  <c:v>3880540.9185445402</c:v>
                </c:pt>
                <c:pt idx="151">
                  <c:v>3880622.8176733102</c:v>
                </c:pt>
                <c:pt idx="152">
                  <c:v>3880704.5938726198</c:v>
                </c:pt>
                <c:pt idx="153">
                  <c:v>3880786.2548311902</c:v>
                </c:pt>
                <c:pt idx="154">
                  <c:v>3880867.8082295801</c:v>
                </c:pt>
                <c:pt idx="155">
                  <c:v>3880949.2617449998</c:v>
                </c:pt>
                <c:pt idx="156">
                  <c:v>3881030.6230562301</c:v>
                </c:pt>
                <c:pt idx="157">
                  <c:v>3881111.89984847</c:v>
                </c:pt>
                <c:pt idx="158">
                  <c:v>3881193.0998184299</c:v>
                </c:pt>
                <c:pt idx="159">
                  <c:v>3881274.2306792499</c:v>
                </c:pt>
                <c:pt idx="160">
                  <c:v>3881355.3001656998</c:v>
                </c:pt>
                <c:pt idx="161">
                  <c:v>3881436.3160393098</c:v>
                </c:pt>
                <c:pt idx="162">
                  <c:v>3881517.28609371</c:v>
                </c:pt>
                <c:pt idx="163">
                  <c:v>3881598.2181599801</c:v>
                </c:pt>
                <c:pt idx="164">
                  <c:v>3881679.12011213</c:v>
                </c:pt>
                <c:pt idx="165">
                  <c:v>3881759.9998727702</c:v>
                </c:pt>
                <c:pt idx="166">
                  <c:v>3881840.86541883</c:v>
                </c:pt>
                <c:pt idx="167">
                  <c:v>3881921.7247874602</c:v>
                </c:pt>
                <c:pt idx="168">
                  <c:v>3882002.5860820999</c:v>
                </c:pt>
                <c:pt idx="169">
                  <c:v>3882083.45747871</c:v>
                </c:pt>
                <c:pt idx="170">
                  <c:v>3882164.3472322002</c:v>
                </c:pt>
                <c:pt idx="171">
                  <c:v>3882245.2636830299</c:v>
                </c:pt>
                <c:pt idx="172">
                  <c:v>3882326.2152640801</c:v>
                </c:pt>
                <c:pt idx="173">
                  <c:v>3882407.21050769</c:v>
                </c:pt>
                <c:pt idx="174">
                  <c:v>3882488.2580530299</c:v>
                </c:pt>
                <c:pt idx="175">
                  <c:v>3882569.3666536598</c:v>
                </c:pt>
                <c:pt idx="176">
                  <c:v>3882650.54518545</c:v>
                </c:pt>
                <c:pt idx="177">
                  <c:v>3882731.8026547702</c:v>
                </c:pt>
                <c:pt idx="178">
                  <c:v>3882813.14820704</c:v>
                </c:pt>
                <c:pt idx="179">
                  <c:v>3882894.5911356499</c:v>
                </c:pt>
                <c:pt idx="180">
                  <c:v>3882976.1408911999</c:v>
                </c:pt>
                <c:pt idx="181">
                  <c:v>3883057.8070912799</c:v>
                </c:pt>
                <c:pt idx="182">
                  <c:v>3883139.59953058</c:v>
                </c:pt>
                <c:pt idx="183">
                  <c:v>3883221.5281914999</c:v>
                </c:pt>
                <c:pt idx="184">
                  <c:v>3883303.6032553799</c:v>
                </c:pt>
                <c:pt idx="185">
                  <c:v>3883385.8351141098</c:v>
                </c:pt>
                <c:pt idx="186">
                  <c:v>3883468.2343824902</c:v>
                </c:pt>
                <c:pt idx="187">
                  <c:v>3883550.8119111201</c:v>
                </c:pt>
                <c:pt idx="188">
                  <c:v>3883633.5788000301</c:v>
                </c:pt>
                <c:pt idx="189">
                  <c:v>3883716.54641305</c:v>
                </c:pt>
                <c:pt idx="190">
                  <c:v>3883799.7263929099</c:v>
                </c:pt>
                <c:pt idx="191">
                  <c:v>3883883.1306772698</c:v>
                </c:pt>
                <c:pt idx="192">
                  <c:v>3883966.7715156302</c:v>
                </c:pt>
                <c:pt idx="193">
                  <c:v>3884050.6614872199</c:v>
                </c:pt>
                <c:pt idx="194">
                  <c:v>3884134.81351997</c:v>
                </c:pt>
                <c:pt idx="195">
                  <c:v>3884219.24091068</c:v>
                </c:pt>
                <c:pt idx="196">
                  <c:v>3884303.9573463299</c:v>
                </c:pt>
                <c:pt idx="197">
                  <c:v>3884388.9769268101</c:v>
                </c:pt>
                <c:pt idx="198">
                  <c:v>3884474.3141891402</c:v>
                </c:pt>
                <c:pt idx="199">
                  <c:v>3884559.9841331602</c:v>
                </c:pt>
                <c:pt idx="200">
                  <c:v>3884646.0022490202</c:v>
                </c:pt>
                <c:pt idx="201">
                  <c:v>3884732.3845465099</c:v>
                </c:pt>
                <c:pt idx="202">
                  <c:v>3884819.1475863801</c:v>
                </c:pt>
                <c:pt idx="203">
                  <c:v>3884906.3085138602</c:v>
                </c:pt>
                <c:pt idx="204">
                  <c:v>3884993.8850946301</c:v>
                </c:pt>
                <c:pt idx="205">
                  <c:v>3885081.89575329</c:v>
                </c:pt>
                <c:pt idx="206">
                  <c:v>3885170.3596147601</c:v>
                </c:pt>
                <c:pt idx="207">
                  <c:v>3885259.2965487498</c:v>
                </c:pt>
                <c:pt idx="208">
                  <c:v>3885348.72721763</c:v>
                </c:pt>
                <c:pt idx="209">
                  <c:v>3885438.6731280298</c:v>
                </c:pt>
                <c:pt idx="210">
                  <c:v>3885529.1566865402</c:v>
                </c:pt>
                <c:pt idx="211">
                  <c:v>3885620.2012598901</c:v>
                </c:pt>
                <c:pt idx="212">
                  <c:v>3885711.83124005</c:v>
                </c:pt>
                <c:pt idx="213">
                  <c:v>3885804.0721148299</c:v>
                </c:pt>
                <c:pt idx="214">
                  <c:v>3885896.9505444602</c:v>
                </c:pt>
                <c:pt idx="215">
                  <c:v>3885990.4944448099</c:v>
                </c:pt>
                <c:pt idx="216">
                  <c:v>3886084.7330780099</c:v>
                </c:pt>
                <c:pt idx="217">
                  <c:v>3886179.6971512502</c:v>
                </c:pt>
                <c:pt idx="218">
                  <c:v>3886275.4189246702</c:v>
                </c:pt>
                <c:pt idx="219">
                  <c:v>3886371.9323292901</c:v>
                </c:pt>
                <c:pt idx="220">
                  <c:v>3886469.2730964501</c:v>
                </c:pt>
                <c:pt idx="221">
                  <c:v>3886567.47889964</c:v>
                </c:pt>
                <c:pt idx="222">
                  <c:v>3886666.5895107598</c:v>
                </c:pt>
                <c:pt idx="223">
                  <c:v>3886766.6469721198</c:v>
                </c:pt>
                <c:pt idx="224">
                  <c:v>3886867.6957864701</c:v>
                </c:pt>
                <c:pt idx="225">
                  <c:v>3886969.7831272902</c:v>
                </c:pt>
                <c:pt idx="226">
                  <c:v>3887072.9590719598</c:v>
                </c:pt>
                <c:pt idx="227">
                  <c:v>3887177.2768609999</c:v>
                </c:pt>
                <c:pt idx="228">
                  <c:v>3887282.79318689</c:v>
                </c:pt>
                <c:pt idx="229">
                  <c:v>3887389.56851668</c:v>
                </c:pt>
                <c:pt idx="230">
                  <c:v>3887497.6674533598</c:v>
                </c:pt>
                <c:pt idx="231">
                  <c:v>3887607.1591415899</c:v>
                </c:pt>
                <c:pt idx="232">
                  <c:v>3887718.1177246799</c:v>
                </c:pt>
                <c:pt idx="233">
                  <c:v>3887830.6228608401</c:v>
                </c:pt>
                <c:pt idx="234">
                  <c:v>3887944.7603081199</c:v>
                </c:pt>
                <c:pt idx="235">
                  <c:v>3888060.6225894699</c:v>
                </c:pt>
                <c:pt idx="236">
                  <c:v>3888178.3097515102</c:v>
                </c:pt>
                <c:pt idx="237">
                  <c:v>3888297.9302335</c:v>
                </c:pt>
                <c:pt idx="238">
                  <c:v>3888419.6018661801</c:v>
                </c:pt>
                <c:pt idx="239">
                  <c:v>3888543.4530248698</c:v>
                </c:pt>
                <c:pt idx="240">
                  <c:v>3888669.6239664</c:v>
                </c:pt>
                <c:pt idx="241">
                  <c:v>3888798.2683862699</c:v>
                </c:pt>
                <c:pt idx="242">
                  <c:v>3888929.55524144</c:v>
                </c:pt>
                <c:pt idx="243">
                  <c:v>3889063.6708952398</c:v>
                </c:pt>
                <c:pt idx="244">
                  <c:v>3889200.8216556101</c:v>
                </c:pt>
                <c:pt idx="245">
                  <c:v>3889341.2367966999</c:v>
                </c:pt>
                <c:pt idx="246">
                  <c:v>3889485.1721794601</c:v>
                </c:pt>
                <c:pt idx="247">
                  <c:v>3889632.9146199399</c:v>
                </c:pt>
                <c:pt idx="248">
                  <c:v>3889784.7871993999</c:v>
                </c:pt>
                <c:pt idx="249">
                  <c:v>3889941.1557717002</c:v>
                </c:pt>
                <c:pt idx="250">
                  <c:v>3890102.4370084698</c:v>
                </c:pt>
                <c:pt idx="251">
                  <c:v>3890269.1084408499</c:v>
                </c:pt>
                <c:pt idx="252">
                  <c:v>3890441.7211253098</c:v>
                </c:pt>
                <c:pt idx="253">
                  <c:v>3890620.9158036499</c:v>
                </c:pt>
                <c:pt idx="254">
                  <c:v>3890807.4437836101</c:v>
                </c:pt>
                <c:pt idx="255">
                  <c:v>3891002.1943002702</c:v>
                </c:pt>
                <c:pt idx="256">
                  <c:v>3891206.23093371</c:v>
                </c:pt>
                <c:pt idx="257">
                  <c:v>3891420.84093617</c:v>
                </c:pt>
                <c:pt idx="258">
                  <c:v>3891647.60337681</c:v>
                </c:pt>
                <c:pt idx="259">
                  <c:v>3891888.4854185302</c:v>
                </c:pt>
                <c:pt idx="260">
                  <c:v>3892145.9818841298</c:v>
                </c:pt>
                <c:pt idx="261">
                  <c:v>3892423.3236903199</c:v>
                </c:pt>
                <c:pt idx="262">
                  <c:v>3892724.8001729501</c:v>
                </c:pt>
                <c:pt idx="263">
                  <c:v>3893056.2785783401</c:v>
                </c:pt>
                <c:pt idx="264">
                  <c:v>3893426.0841009598</c:v>
                </c:pt>
                <c:pt idx="265">
                  <c:v>3893846.5847523799</c:v>
                </c:pt>
                <c:pt idx="266">
                  <c:v>3894337.2736162301</c:v>
                </c:pt>
                <c:pt idx="267">
                  <c:v>3894931.3898269101</c:v>
                </c:pt>
                <c:pt idx="268">
                  <c:v>3895692.1726366002</c:v>
                </c:pt>
                <c:pt idx="269">
                  <c:v>3896761.0468773502</c:v>
                </c:pt>
                <c:pt idx="270">
                  <c:v>3898547.78956743</c:v>
                </c:pt>
                <c:pt idx="271">
                  <c:v>3902945.00207286</c:v>
                </c:pt>
                <c:pt idx="272">
                  <c:v>3908842.8991296901</c:v>
                </c:pt>
                <c:pt idx="273">
                  <c:v>3914723.2441919302</c:v>
                </c:pt>
                <c:pt idx="274">
                  <c:v>3920618.7434724001</c:v>
                </c:pt>
                <c:pt idx="275">
                  <c:v>3926531.5506502902</c:v>
                </c:pt>
                <c:pt idx="276">
                  <c:v>3932462.7740936</c:v>
                </c:pt>
                <c:pt idx="277">
                  <c:v>3938413.02784946</c:v>
                </c:pt>
                <c:pt idx="278">
                  <c:v>3944382.69318021</c:v>
                </c:pt>
                <c:pt idx="279">
                  <c:v>7578641.7416217905</c:v>
                </c:pt>
                <c:pt idx="280">
                  <c:v>7578641.7870455803</c:v>
                </c:pt>
                <c:pt idx="281">
                  <c:v>10681947.7187426</c:v>
                </c:pt>
                <c:pt idx="282">
                  <c:v>10683240.568510899</c:v>
                </c:pt>
                <c:pt idx="283">
                  <c:v>10684364.703862701</c:v>
                </c:pt>
                <c:pt idx="284">
                  <c:v>10685366.757273801</c:v>
                </c:pt>
                <c:pt idx="285">
                  <c:v>10686277.525761699</c:v>
                </c:pt>
                <c:pt idx="286">
                  <c:v>10687118.331945</c:v>
                </c:pt>
                <c:pt idx="287">
                  <c:v>10687904.631913301</c:v>
                </c:pt>
                <c:pt idx="288">
                  <c:v>10688648.0956633</c:v>
                </c:pt>
                <c:pt idx="289">
                  <c:v>10689357.870286901</c:v>
                </c:pt>
                <c:pt idx="290">
                  <c:v>10690041.388050601</c:v>
                </c:pt>
                <c:pt idx="291">
                  <c:v>10690704.911143299</c:v>
                </c:pt>
                <c:pt idx="292">
                  <c:v>10691353.9206059</c:v>
                </c:pt>
                <c:pt idx="293">
                  <c:v>10691993.413951799</c:v>
                </c:pt>
                <c:pt idx="294">
                  <c:v>10692628.1539315</c:v>
                </c:pt>
                <c:pt idx="295">
                  <c:v>10693262.900600299</c:v>
                </c:pt>
                <c:pt idx="296">
                  <c:v>10693902.656565299</c:v>
                </c:pt>
                <c:pt idx="297">
                  <c:v>10694552.960554</c:v>
                </c:pt>
                <c:pt idx="298">
                  <c:v>10695220.280042799</c:v>
                </c:pt>
                <c:pt idx="299">
                  <c:v>10695912.587756401</c:v>
                </c:pt>
                <c:pt idx="300">
                  <c:v>10696640.2794447</c:v>
                </c:pt>
                <c:pt idx="301">
                  <c:v>10697417.752437901</c:v>
                </c:pt>
                <c:pt idx="302">
                  <c:v>10698266.3571268</c:v>
                </c:pt>
                <c:pt idx="303">
                  <c:v>10699220.4965101</c:v>
                </c:pt>
                <c:pt idx="304">
                  <c:v>10700341.987090399</c:v>
                </c:pt>
                <c:pt idx="305">
                  <c:v>10701760.6595769</c:v>
                </c:pt>
                <c:pt idx="306">
                  <c:v>10703826.207503101</c:v>
                </c:pt>
                <c:pt idx="307">
                  <c:v>10708023.8017253</c:v>
                </c:pt>
                <c:pt idx="308">
                  <c:v>10729142.219062399</c:v>
                </c:pt>
                <c:pt idx="309">
                  <c:v>10763437.7805491</c:v>
                </c:pt>
                <c:pt idx="310">
                  <c:v>11610243.142347399</c:v>
                </c:pt>
                <c:pt idx="311">
                  <c:v>11610243.142347399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HMax Dip 58deg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Implicit_Fracs!$C$3:$C$314</c:f>
              <c:numCache>
                <c:formatCode>General</c:formatCode>
                <c:ptCount val="312"/>
                <c:pt idx="0">
                  <c:v>0</c:v>
                </c:pt>
                <c:pt idx="1">
                  <c:v>6.5458908507104702E-2</c:v>
                </c:pt>
                <c:pt idx="2">
                  <c:v>0.13164836335685801</c:v>
                </c:pt>
                <c:pt idx="3">
                  <c:v>0.13174831742784901</c:v>
                </c:pt>
                <c:pt idx="4">
                  <c:v>0.131814325176488</c:v>
                </c:pt>
                <c:pt idx="5">
                  <c:v>0.13186377086317799</c:v>
                </c:pt>
                <c:pt idx="6">
                  <c:v>0.13190336566689301</c:v>
                </c:pt>
                <c:pt idx="7">
                  <c:v>0.13193641917955301</c:v>
                </c:pt>
                <c:pt idx="8">
                  <c:v>0.13196480990574899</c:v>
                </c:pt>
                <c:pt idx="9">
                  <c:v>0.131989707564308</c:v>
                </c:pt>
                <c:pt idx="10">
                  <c:v>0.132011890254908</c:v>
                </c:pt>
                <c:pt idx="11">
                  <c:v>0.132031901904686</c:v>
                </c:pt>
                <c:pt idx="12">
                  <c:v>0.132050137753493</c:v>
                </c:pt>
                <c:pt idx="13">
                  <c:v>0.13206689406580899</c:v>
                </c:pt>
                <c:pt idx="14">
                  <c:v>0.132082398656449</c:v>
                </c:pt>
                <c:pt idx="15">
                  <c:v>0.132096830483731</c:v>
                </c:pt>
                <c:pt idx="16">
                  <c:v>0.13211033269671599</c:v>
                </c:pt>
                <c:pt idx="17">
                  <c:v>0.13212302159759301</c:v>
                </c:pt>
                <c:pt idx="18">
                  <c:v>0.13213499296405401</c:v>
                </c:pt>
                <c:pt idx="19">
                  <c:v>0.13214632661325601</c:v>
                </c:pt>
                <c:pt idx="20">
                  <c:v>0.132157089763519</c:v>
                </c:pt>
                <c:pt idx="21">
                  <c:v>0.132167339554908</c:v>
                </c:pt>
                <c:pt idx="22">
                  <c:v>0.132177124969275</c:v>
                </c:pt>
                <c:pt idx="23">
                  <c:v>0.132186488313704</c:v>
                </c:pt>
                <c:pt idx="24">
                  <c:v>0.132195466381343</c:v>
                </c:pt>
                <c:pt idx="25">
                  <c:v>0.13220409137031</c:v>
                </c:pt>
                <c:pt idx="26">
                  <c:v>0.1322123916188</c:v>
                </c:pt>
                <c:pt idx="27">
                  <c:v>0.132220392198791</c:v>
                </c:pt>
                <c:pt idx="28">
                  <c:v>0.13222811539981</c:v>
                </c:pt>
                <c:pt idx="29">
                  <c:v>0.13223558112630501</c:v>
                </c:pt>
                <c:pt idx="30">
                  <c:v>0.13224280722651799</c:v>
                </c:pt>
                <c:pt idx="31">
                  <c:v>0.13224980976654199</c:v>
                </c:pt>
                <c:pt idx="32">
                  <c:v>0.13225660326019101</c:v>
                </c:pt>
                <c:pt idx="33">
                  <c:v>0.13226320086295401</c:v>
                </c:pt>
                <c:pt idx="34">
                  <c:v>0.13226961453657801</c:v>
                </c:pt>
                <c:pt idx="35">
                  <c:v>0.13227585518944099</c:v>
                </c:pt>
                <c:pt idx="36">
                  <c:v>0.13228193279689099</c:v>
                </c:pt>
                <c:pt idx="37">
                  <c:v>0.13228785650486699</c:v>
                </c:pt>
                <c:pt idx="38">
                  <c:v>0.13229363471953201</c:v>
                </c:pt>
                <c:pt idx="39">
                  <c:v>0.13229927518510501</c:v>
                </c:pt>
                <c:pt idx="40">
                  <c:v>0.13230478505189899</c:v>
                </c:pt>
                <c:pt idx="41">
                  <c:v>0.132310170935689</c:v>
                </c:pt>
                <c:pt idx="42">
                  <c:v>0.132315438969837</c:v>
                </c:pt>
                <c:pt idx="43">
                  <c:v>0.13232059485122499</c:v>
                </c:pt>
                <c:pt idx="44">
                  <c:v>0.13232564388083301</c:v>
                </c:pt>
                <c:pt idx="45">
                  <c:v>0.13233059099972999</c:v>
                </c:pt>
                <c:pt idx="46">
                  <c:v>0.13233544082104801</c:v>
                </c:pt>
                <c:pt idx="47">
                  <c:v>0.132340197658498</c:v>
                </c:pt>
                <c:pt idx="48">
                  <c:v>0.13234486555185099</c:v>
                </c:pt>
                <c:pt idx="49">
                  <c:v>0.132349448289759</c:v>
                </c:pt>
                <c:pt idx="50">
                  <c:v>0.13235394943025999</c:v>
                </c:pt>
                <c:pt idx="51">
                  <c:v>0.13235837231923001</c:v>
                </c:pt>
                <c:pt idx="52">
                  <c:v>0.13236272010702199</c:v>
                </c:pt>
                <c:pt idx="53">
                  <c:v>0.13236699576351699</c:v>
                </c:pt>
                <c:pt idx="54">
                  <c:v>0.13237120209174699</c:v>
                </c:pt>
                <c:pt idx="55">
                  <c:v>0.132375341740263</c:v>
                </c:pt>
                <c:pt idx="56">
                  <c:v>0.13237941721437901</c:v>
                </c:pt>
                <c:pt idx="57">
                  <c:v>0.132383430886412</c:v>
                </c:pt>
                <c:pt idx="58">
                  <c:v>0.132387385005025</c:v>
                </c:pt>
                <c:pt idx="59">
                  <c:v>0.13239128170376399</c:v>
                </c:pt>
                <c:pt idx="60">
                  <c:v>0.13239512300888101</c:v>
                </c:pt>
                <c:pt idx="61">
                  <c:v>0.132398910846489</c:v>
                </c:pt>
                <c:pt idx="62">
                  <c:v>0.13240264704915</c:v>
                </c:pt>
                <c:pt idx="63">
                  <c:v>0.13240633336192001</c:v>
                </c:pt>
                <c:pt idx="64">
                  <c:v>0.13240997144792099</c:v>
                </c:pt>
                <c:pt idx="65">
                  <c:v>0.132413562893474</c:v>
                </c:pt>
                <c:pt idx="66">
                  <c:v>0.132417109212841</c:v>
                </c:pt>
                <c:pt idx="67">
                  <c:v>0.132420611852609</c:v>
                </c:pt>
                <c:pt idx="68">
                  <c:v>0.13242407219574501</c:v>
                </c:pt>
                <c:pt idx="69">
                  <c:v>0.13242749156535599</c:v>
                </c:pt>
                <c:pt idx="70">
                  <c:v>0.13243087122817501</c:v>
                </c:pt>
                <c:pt idx="71">
                  <c:v>0.13243421239779701</c:v>
                </c:pt>
                <c:pt idx="72">
                  <c:v>0.13243751623769601</c:v>
                </c:pt>
                <c:pt idx="73">
                  <c:v>0.132440783864022</c:v>
                </c:pt>
                <c:pt idx="74">
                  <c:v>0.13244401634821701</c:v>
                </c:pt>
                <c:pt idx="75">
                  <c:v>0.13244721471944401</c:v>
                </c:pt>
                <c:pt idx="76">
                  <c:v>0.13245037996687001</c:v>
                </c:pt>
                <c:pt idx="77">
                  <c:v>0.13245351304177999</c:v>
                </c:pt>
                <c:pt idx="78">
                  <c:v>0.13245661485957499</c:v>
                </c:pt>
                <c:pt idx="79">
                  <c:v>0.132459686301623</c:v>
                </c:pt>
                <c:pt idx="80">
                  <c:v>0.13246272821701099</c:v>
                </c:pt>
                <c:pt idx="81">
                  <c:v>0.132465741424173</c:v>
                </c:pt>
                <c:pt idx="82">
                  <c:v>0.13246872671243001</c:v>
                </c:pt>
                <c:pt idx="83">
                  <c:v>0.132471684843428</c:v>
                </c:pt>
                <c:pt idx="84">
                  <c:v>0.13247461655249701</c:v>
                </c:pt>
                <c:pt idx="85">
                  <c:v>0.13247752254992401</c:v>
                </c:pt>
                <c:pt idx="86">
                  <c:v>0.13248040352215701</c:v>
                </c:pt>
                <c:pt idx="87">
                  <c:v>0.13248326013293299</c:v>
                </c:pt>
                <c:pt idx="88">
                  <c:v>0.13248609302434999</c:v>
                </c:pt>
                <c:pt idx="89">
                  <c:v>0.13248890281787101</c:v>
                </c:pt>
                <c:pt idx="90">
                  <c:v>0.132491690115279</c:v>
                </c:pt>
                <c:pt idx="91">
                  <c:v>0.132494455499574</c:v>
                </c:pt>
                <c:pt idx="92">
                  <c:v>0.13249719953582401</c:v>
                </c:pt>
                <c:pt idx="93">
                  <c:v>0.132499922771974</c:v>
                </c:pt>
                <c:pt idx="94">
                  <c:v>0.132502625739603</c:v>
                </c:pt>
                <c:pt idx="95">
                  <c:v>0.13250530895465101</c:v>
                </c:pt>
                <c:pt idx="96">
                  <c:v>0.13250797291810601</c:v>
                </c:pt>
                <c:pt idx="97">
                  <c:v>0.13251061811664699</c:v>
                </c:pt>
                <c:pt idx="98">
                  <c:v>0.132513245023273</c:v>
                </c:pt>
                <c:pt idx="99">
                  <c:v>0.132515854097881</c:v>
                </c:pt>
                <c:pt idx="100">
                  <c:v>0.13251844578782901</c:v>
                </c:pt>
                <c:pt idx="101">
                  <c:v>0.13252102052846701</c:v>
                </c:pt>
                <c:pt idx="102">
                  <c:v>0.13252357874364101</c:v>
                </c:pt>
                <c:pt idx="103">
                  <c:v>0.13252612084617801</c:v>
                </c:pt>
                <c:pt idx="104">
                  <c:v>0.13252864723834301</c:v>
                </c:pt>
                <c:pt idx="105">
                  <c:v>0.13253115831227899</c:v>
                </c:pt>
                <c:pt idx="106">
                  <c:v>0.13253365445042301</c:v>
                </c:pt>
                <c:pt idx="107">
                  <c:v>0.132536136025908</c:v>
                </c:pt>
                <c:pt idx="108">
                  <c:v>0.13253860340294499</c:v>
                </c:pt>
                <c:pt idx="109">
                  <c:v>0.13254105693718801</c:v>
                </c:pt>
                <c:pt idx="110">
                  <c:v>0.132543496976081</c:v>
                </c:pt>
                <c:pt idx="111">
                  <c:v>0.132545923859197</c:v>
                </c:pt>
                <c:pt idx="112">
                  <c:v>0.132548337918557</c:v>
                </c:pt>
                <c:pt idx="113">
                  <c:v>0.132550739478936</c:v>
                </c:pt>
                <c:pt idx="114">
                  <c:v>0.13255312885816001</c:v>
                </c:pt>
                <c:pt idx="115">
                  <c:v>0.132555506367391</c:v>
                </c:pt>
                <c:pt idx="116">
                  <c:v>0.13255787231139399</c:v>
                </c:pt>
                <c:pt idx="117">
                  <c:v>0.13256022698880601</c:v>
                </c:pt>
                <c:pt idx="118">
                  <c:v>0.13256257069238001</c:v>
                </c:pt>
                <c:pt idx="119">
                  <c:v>0.13256490370923599</c:v>
                </c:pt>
                <c:pt idx="120">
                  <c:v>0.132567226321089</c:v>
                </c:pt>
                <c:pt idx="121">
                  <c:v>0.132569538804475</c:v>
                </c:pt>
                <c:pt idx="122">
                  <c:v>0.132571841430971</c:v>
                </c:pt>
                <c:pt idx="123">
                  <c:v>0.13257413446740399</c:v>
                </c:pt>
                <c:pt idx="124">
                  <c:v>0.13257641817605401</c:v>
                </c:pt>
                <c:pt idx="125">
                  <c:v>0.13257869281484999</c:v>
                </c:pt>
                <c:pt idx="126">
                  <c:v>0.132580958637564</c:v>
                </c:pt>
                <c:pt idx="127">
                  <c:v>0.132583215893989</c:v>
                </c:pt>
                <c:pt idx="128">
                  <c:v>0.13258546483012401</c:v>
                </c:pt>
                <c:pt idx="129">
                  <c:v>0.13258770568834599</c:v>
                </c:pt>
                <c:pt idx="130">
                  <c:v>0.13258993870757799</c:v>
                </c:pt>
                <c:pt idx="131">
                  <c:v>0.13259216412345401</c:v>
                </c:pt>
                <c:pt idx="132">
                  <c:v>0.13259438216847899</c:v>
                </c:pt>
                <c:pt idx="133">
                  <c:v>0.13259659307218699</c:v>
                </c:pt>
                <c:pt idx="134">
                  <c:v>0.13259879706128999</c:v>
                </c:pt>
                <c:pt idx="135">
                  <c:v>0.132600994359831</c:v>
                </c:pt>
                <c:pt idx="136">
                  <c:v>0.13260318518932601</c:v>
                </c:pt>
                <c:pt idx="137">
                  <c:v>0.13260536976890799</c:v>
                </c:pt>
                <c:pt idx="138">
                  <c:v>0.132607548315469</c:v>
                </c:pt>
                <c:pt idx="139">
                  <c:v>0.13260972104379501</c:v>
                </c:pt>
                <c:pt idx="140">
                  <c:v>0.132611888166702</c:v>
                </c:pt>
                <c:pt idx="141">
                  <c:v>0.13261404989517001</c:v>
                </c:pt>
                <c:pt idx="142">
                  <c:v>0.13261620643847399</c:v>
                </c:pt>
                <c:pt idx="143">
                  <c:v>0.13261835800430899</c:v>
                </c:pt>
                <c:pt idx="144">
                  <c:v>0.13262050479892901</c:v>
                </c:pt>
                <c:pt idx="145">
                  <c:v>0.13262264702726001</c:v>
                </c:pt>
                <c:pt idx="146">
                  <c:v>0.132624784893038</c:v>
                </c:pt>
                <c:pt idx="147">
                  <c:v>0.132626918598926</c:v>
                </c:pt>
                <c:pt idx="148">
                  <c:v>0.13262904834664299</c:v>
                </c:pt>
                <c:pt idx="149">
                  <c:v>0.13263117433708499</c:v>
                </c:pt>
                <c:pt idx="150">
                  <c:v>0.13263329677044799</c:v>
                </c:pt>
                <c:pt idx="151">
                  <c:v>0.13263541584635499</c:v>
                </c:pt>
                <c:pt idx="152">
                  <c:v>0.13263753176397799</c:v>
                </c:pt>
                <c:pt idx="153">
                  <c:v>0.13263964472216</c:v>
                </c:pt>
                <c:pt idx="154">
                  <c:v>0.13264175491954</c:v>
                </c:pt>
                <c:pt idx="155">
                  <c:v>0.132643862554683</c:v>
                </c:pt>
                <c:pt idx="156">
                  <c:v>0.132645967826199</c:v>
                </c:pt>
                <c:pt idx="157">
                  <c:v>0.13264807093287501</c:v>
                </c:pt>
                <c:pt idx="158">
                  <c:v>0.132650172073802</c:v>
                </c:pt>
                <c:pt idx="159">
                  <c:v>0.132652271448509</c:v>
                </c:pt>
                <c:pt idx="160">
                  <c:v>0.13265436925708801</c:v>
                </c:pt>
                <c:pt idx="161">
                  <c:v>0.13265646570033501</c:v>
                </c:pt>
                <c:pt idx="162">
                  <c:v>0.13265856097988399</c:v>
                </c:pt>
                <c:pt idx="163">
                  <c:v>0.132660655298346</c:v>
                </c:pt>
                <c:pt idx="164">
                  <c:v>0.132662748859454</c:v>
                </c:pt>
                <c:pt idx="165">
                  <c:v>0.13266484186820501</c:v>
                </c:pt>
                <c:pt idx="166">
                  <c:v>0.13266693453101</c:v>
                </c:pt>
                <c:pt idx="167">
                  <c:v>0.13266902705584799</c:v>
                </c:pt>
                <c:pt idx="168">
                  <c:v>0.13267111965242301</c:v>
                </c:pt>
                <c:pt idx="169">
                  <c:v>0.132673212532323</c:v>
                </c:pt>
                <c:pt idx="170">
                  <c:v>0.132675305909189</c:v>
                </c:pt>
                <c:pt idx="171">
                  <c:v>0.132677399998884</c:v>
                </c:pt>
                <c:pt idx="172">
                  <c:v>0.13267949501967199</c:v>
                </c:pt>
                <c:pt idx="173">
                  <c:v>0.132681591192402</c:v>
                </c:pt>
                <c:pt idx="174">
                  <c:v>0.132683688740695</c:v>
                </c:pt>
                <c:pt idx="175">
                  <c:v>0.13268578789114299</c:v>
                </c:pt>
                <c:pt idx="176">
                  <c:v>0.13268788887351199</c:v>
                </c:pt>
                <c:pt idx="177">
                  <c:v>0.13268999192095701</c:v>
                </c:pt>
                <c:pt idx="178">
                  <c:v>0.13269209727023901</c:v>
                </c:pt>
                <c:pt idx="179">
                  <c:v>0.13269420516196201</c:v>
                </c:pt>
                <c:pt idx="180">
                  <c:v>0.13269631584080599</c:v>
                </c:pt>
                <c:pt idx="181">
                  <c:v>0.13269842955578601</c:v>
                </c:pt>
                <c:pt idx="182">
                  <c:v>0.132700546560511</c:v>
                </c:pt>
                <c:pt idx="183">
                  <c:v>0.13270266711345699</c:v>
                </c:pt>
                <c:pt idx="184">
                  <c:v>0.132704791478263</c:v>
                </c:pt>
                <c:pt idx="185">
                  <c:v>0.132706919924029</c:v>
                </c:pt>
                <c:pt idx="186">
                  <c:v>0.13270905272563599</c:v>
                </c:pt>
                <c:pt idx="187">
                  <c:v>0.13271119016407801</c:v>
                </c:pt>
                <c:pt idx="188">
                  <c:v>0.13271333252682199</c:v>
                </c:pt>
                <c:pt idx="189">
                  <c:v>0.132715480108173</c:v>
                </c:pt>
                <c:pt idx="190">
                  <c:v>0.13271763320966901</c:v>
                </c:pt>
                <c:pt idx="191">
                  <c:v>0.13271979214049601</c:v>
                </c:pt>
                <c:pt idx="192">
                  <c:v>0.13272195721792501</c:v>
                </c:pt>
                <c:pt idx="193">
                  <c:v>0.132724128767778</c:v>
                </c:pt>
                <c:pt idx="194">
                  <c:v>0.13272630712491701</c:v>
                </c:pt>
                <c:pt idx="195">
                  <c:v>0.13272849263376901</c:v>
                </c:pt>
                <c:pt idx="196">
                  <c:v>0.132730685648876</c:v>
                </c:pt>
                <c:pt idx="197">
                  <c:v>0.13273288653548501</c:v>
                </c:pt>
                <c:pt idx="198">
                  <c:v>0.13273509567017699</c:v>
                </c:pt>
                <c:pt idx="199">
                  <c:v>0.132737313441533</c:v>
                </c:pt>
                <c:pt idx="200">
                  <c:v>0.132739540250841</c:v>
                </c:pt>
                <c:pt idx="201">
                  <c:v>0.13274177651286501</c:v>
                </c:pt>
                <c:pt idx="202">
                  <c:v>0.13274402265665</c:v>
                </c:pt>
                <c:pt idx="203">
                  <c:v>0.132746279126393</c:v>
                </c:pt>
                <c:pt idx="204">
                  <c:v>0.13274854638237599</c:v>
                </c:pt>
                <c:pt idx="205">
                  <c:v>0.132750824901961</c:v>
                </c:pt>
                <c:pt idx="206">
                  <c:v>0.13275311518066599</c:v>
                </c:pt>
                <c:pt idx="207">
                  <c:v>0.13275541773331401</c:v>
                </c:pt>
                <c:pt idx="208">
                  <c:v>0.132757733095279</c:v>
                </c:pt>
                <c:pt idx="209">
                  <c:v>0.132760061823818</c:v>
                </c:pt>
                <c:pt idx="210">
                  <c:v>0.13276240449951601</c:v>
                </c:pt>
                <c:pt idx="211">
                  <c:v>0.13276476172784801</c:v>
                </c:pt>
                <c:pt idx="212">
                  <c:v>0.13276713414086799</c:v>
                </c:pt>
                <c:pt idx="213">
                  <c:v>0.13276952239903</c:v>
                </c:pt>
                <c:pt idx="214">
                  <c:v>0.13277192719318501</c:v>
                </c:pt>
                <c:pt idx="215">
                  <c:v>0.13277434924672901</c:v>
                </c:pt>
                <c:pt idx="216">
                  <c:v>0.132776789317957</c:v>
                </c:pt>
                <c:pt idx="217">
                  <c:v>0.13277924820261999</c:v>
                </c:pt>
                <c:pt idx="218">
                  <c:v>0.132781726736725</c:v>
                </c:pt>
                <c:pt idx="219">
                  <c:v>0.13278422579959301</c:v>
                </c:pt>
                <c:pt idx="220">
                  <c:v>0.13278674631720599</c:v>
                </c:pt>
                <c:pt idx="221">
                  <c:v>0.132789289265896</c:v>
                </c:pt>
                <c:pt idx="222">
                  <c:v>0.13279185567638299</c:v>
                </c:pt>
                <c:pt idx="223">
                  <c:v>0.132794446638243</c:v>
                </c:pt>
                <c:pt idx="224">
                  <c:v>0.13279706330482899</c:v>
                </c:pt>
                <c:pt idx="225">
                  <c:v>0.132799706898722</c:v>
                </c:pt>
                <c:pt idx="226">
                  <c:v>0.132802378717778</c:v>
                </c:pt>
                <c:pt idx="227">
                  <c:v>0.132805080141845</c:v>
                </c:pt>
                <c:pt idx="228">
                  <c:v>0.13280781264025199</c:v>
                </c:pt>
                <c:pt idx="229">
                  <c:v>0.132810577780172</c:v>
                </c:pt>
                <c:pt idx="230">
                  <c:v>0.13281337723598599</c:v>
                </c:pt>
                <c:pt idx="231">
                  <c:v>0.13281621279980399</c:v>
                </c:pt>
                <c:pt idx="232">
                  <c:v>0.132819086393311</c:v>
                </c:pt>
                <c:pt idx="233">
                  <c:v>0.132822000081147</c:v>
                </c:pt>
                <c:pt idx="234">
                  <c:v>0.132824956086074</c:v>
                </c:pt>
                <c:pt idx="235">
                  <c:v>0.13282795680621301</c:v>
                </c:pt>
                <c:pt idx="236">
                  <c:v>0.13283100483471399</c:v>
                </c:pt>
                <c:pt idx="237">
                  <c:v>0.13283410298228401</c:v>
                </c:pt>
                <c:pt idx="238">
                  <c:v>0.13283725430307999</c:v>
                </c:pt>
                <c:pt idx="239">
                  <c:v>0.13284046212460199</c:v>
                </c:pt>
                <c:pt idx="240">
                  <c:v>0.13284373008234701</c:v>
                </c:pt>
                <c:pt idx="241">
                  <c:v>0.13284706216018199</c:v>
                </c:pt>
                <c:pt idx="242">
                  <c:v>0.13285046273759499</c:v>
                </c:pt>
                <c:pt idx="243">
                  <c:v>0.13285393664530001</c:v>
                </c:pt>
                <c:pt idx="244">
                  <c:v>0.13285748923103799</c:v>
                </c:pt>
                <c:pt idx="245">
                  <c:v>0.13286112643791401</c:v>
                </c:pt>
                <c:pt idx="246">
                  <c:v>0.132864854898255</c:v>
                </c:pt>
                <c:pt idx="247">
                  <c:v>0.13286868204686</c:v>
                </c:pt>
                <c:pt idx="248">
                  <c:v>0.13287261625866401</c:v>
                </c:pt>
                <c:pt idx="249">
                  <c:v>0.132876667017443</c:v>
                </c:pt>
                <c:pt idx="250">
                  <c:v>0.132880845124389</c:v>
                </c:pt>
                <c:pt idx="251">
                  <c:v>0.13288516295844799</c:v>
                </c:pt>
                <c:pt idx="252">
                  <c:v>0.13288963480469199</c:v>
                </c:pt>
                <c:pt idx="253">
                  <c:v>0.13289427727328901</c:v>
                </c:pt>
                <c:pt idx="254">
                  <c:v>0.13289910984085401</c:v>
                </c:pt>
                <c:pt idx="255">
                  <c:v>0.132904155559849</c:v>
                </c:pt>
                <c:pt idx="256">
                  <c:v>0.13290944200277299</c:v>
                </c:pt>
                <c:pt idx="257">
                  <c:v>0.13291500254108701</c:v>
                </c:pt>
                <c:pt idx="258">
                  <c:v>0.13292087811204301</c:v>
                </c:pt>
                <c:pt idx="259">
                  <c:v>0.132927119714948</c:v>
                </c:pt>
                <c:pt idx="260">
                  <c:v>0.132933792029892</c:v>
                </c:pt>
                <c:pt idx="261">
                  <c:v>0.132940978822192</c:v>
                </c:pt>
                <c:pt idx="262">
                  <c:v>0.13294879130005999</c:v>
                </c:pt>
                <c:pt idx="263">
                  <c:v>0.132957381584934</c:v>
                </c:pt>
                <c:pt idx="264">
                  <c:v>0.13296696553123799</c:v>
                </c:pt>
                <c:pt idx="265">
                  <c:v>0.13297786382384399</c:v>
                </c:pt>
                <c:pt idx="266">
                  <c:v>0.132990581906959</c:v>
                </c:pt>
                <c:pt idx="267">
                  <c:v>0.13300598168556699</c:v>
                </c:pt>
                <c:pt idx="268">
                  <c:v>0.13302570306129599</c:v>
                </c:pt>
                <c:pt idx="269">
                  <c:v>0.133053413662858</c:v>
                </c:pt>
                <c:pt idx="270">
                  <c:v>0.13309974144758499</c:v>
                </c:pt>
                <c:pt idx="271">
                  <c:v>0.13321378154653299</c:v>
                </c:pt>
                <c:pt idx="272">
                  <c:v>0.13336682861826901</c:v>
                </c:pt>
                <c:pt idx="273">
                  <c:v>0.13351953708365299</c:v>
                </c:pt>
                <c:pt idx="274">
                  <c:v>0.133672756082719</c:v>
                </c:pt>
                <c:pt idx="275">
                  <c:v>0.13382654271444999</c:v>
                </c:pt>
                <c:pt idx="276">
                  <c:v>0.1339809270474</c:v>
                </c:pt>
                <c:pt idx="277">
                  <c:v>0.13413592636935101</c:v>
                </c:pt>
                <c:pt idx="278">
                  <c:v>0.13429155195650999</c:v>
                </c:pt>
                <c:pt idx="279">
                  <c:v>0.229108280555748</c:v>
                </c:pt>
                <c:pt idx="280">
                  <c:v>0.22910828280913501</c:v>
                </c:pt>
                <c:pt idx="281">
                  <c:v>0.38305732976120799</c:v>
                </c:pt>
                <c:pt idx="282">
                  <c:v>0.38333587250425699</c:v>
                </c:pt>
                <c:pt idx="283">
                  <c:v>0.38357840372985702</c:v>
                </c:pt>
                <c:pt idx="284">
                  <c:v>0.38379485836785199</c:v>
                </c:pt>
                <c:pt idx="285">
                  <c:v>0.38399180760400198</c:v>
                </c:pt>
                <c:pt idx="286">
                  <c:v>0.384173807056849</c:v>
                </c:pt>
                <c:pt idx="287">
                  <c:v>0.38434416321224601</c:v>
                </c:pt>
                <c:pt idx="288">
                  <c:v>0.38450537598643098</c:v>
                </c:pt>
                <c:pt idx="289">
                  <c:v>0.38465940776560398</c:v>
                </c:pt>
                <c:pt idx="290">
                  <c:v>0.38480785573939102</c:v>
                </c:pt>
                <c:pt idx="291">
                  <c:v>0.384952068264445</c:v>
                </c:pt>
                <c:pt idx="292">
                  <c:v>0.38509322812937802</c:v>
                </c:pt>
                <c:pt idx="293">
                  <c:v>0.38523241647348</c:v>
                </c:pt>
                <c:pt idx="294">
                  <c:v>0.385370666441891</c:v>
                </c:pt>
                <c:pt idx="295">
                  <c:v>0.385509013499586</c:v>
                </c:pt>
                <c:pt idx="296">
                  <c:v>0.38564854888670203</c:v>
                </c:pt>
                <c:pt idx="297">
                  <c:v>0.385790483898592</c:v>
                </c:pt>
                <c:pt idx="298">
                  <c:v>0.38593623614144101</c:v>
                </c:pt>
                <c:pt idx="299">
                  <c:v>0.38608755645093301</c:v>
                </c:pt>
                <c:pt idx="300">
                  <c:v>0.38624673120118802</c:v>
                </c:pt>
                <c:pt idx="301">
                  <c:v>0.38641693053499898</c:v>
                </c:pt>
                <c:pt idx="302">
                  <c:v>0.38660285978241898</c:v>
                </c:pt>
                <c:pt idx="303">
                  <c:v>0.38681210620158402</c:v>
                </c:pt>
                <c:pt idx="304">
                  <c:v>0.38705831096616899</c:v>
                </c:pt>
                <c:pt idx="305">
                  <c:v>0.38737014098822098</c:v>
                </c:pt>
                <c:pt idx="306">
                  <c:v>0.38782486586522802</c:v>
                </c:pt>
                <c:pt idx="307">
                  <c:v>0.38875106087786898</c:v>
                </c:pt>
                <c:pt idx="308">
                  <c:v>0.39343249839230199</c:v>
                </c:pt>
                <c:pt idx="309">
                  <c:v>0.40121720513367698</c:v>
                </c:pt>
                <c:pt idx="310">
                  <c:v>0.60121720513367705</c:v>
                </c:pt>
                <c:pt idx="311">
                  <c:v>0.60121720513367705</c:v>
                </c:pt>
              </c:numCache>
            </c:numRef>
          </c:xVal>
          <c:yVal>
            <c:numRef>
              <c:f>Implicit_Fracs!$AY$3:$AY$314</c:f>
              <c:numCache>
                <c:formatCode>General</c:formatCode>
                <c:ptCount val="3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Implicit_Fracs!$C$5:$C$314</c:f>
              <c:numCache>
                <c:formatCode>General</c:formatCode>
                <c:ptCount val="310"/>
                <c:pt idx="0">
                  <c:v>0.13164836335685801</c:v>
                </c:pt>
                <c:pt idx="1">
                  <c:v>0.13174831742784901</c:v>
                </c:pt>
                <c:pt idx="2">
                  <c:v>0.131814325176488</c:v>
                </c:pt>
                <c:pt idx="3">
                  <c:v>0.13186377086317799</c:v>
                </c:pt>
                <c:pt idx="4">
                  <c:v>0.13190336566689301</c:v>
                </c:pt>
                <c:pt idx="5">
                  <c:v>0.13193641917955301</c:v>
                </c:pt>
                <c:pt idx="6">
                  <c:v>0.13196480990574899</c:v>
                </c:pt>
                <c:pt idx="7">
                  <c:v>0.131989707564308</c:v>
                </c:pt>
                <c:pt idx="8">
                  <c:v>0.132011890254908</c:v>
                </c:pt>
                <c:pt idx="9">
                  <c:v>0.132031901904686</c:v>
                </c:pt>
                <c:pt idx="10">
                  <c:v>0.132050137753493</c:v>
                </c:pt>
                <c:pt idx="11">
                  <c:v>0.13206689406580899</c:v>
                </c:pt>
                <c:pt idx="12">
                  <c:v>0.132082398656449</c:v>
                </c:pt>
                <c:pt idx="13">
                  <c:v>0.132096830483731</c:v>
                </c:pt>
                <c:pt idx="14">
                  <c:v>0.13211033269671599</c:v>
                </c:pt>
                <c:pt idx="15">
                  <c:v>0.13212302159759301</c:v>
                </c:pt>
                <c:pt idx="16">
                  <c:v>0.13213499296405401</c:v>
                </c:pt>
                <c:pt idx="17">
                  <c:v>0.13214632661325601</c:v>
                </c:pt>
                <c:pt idx="18">
                  <c:v>0.132157089763519</c:v>
                </c:pt>
                <c:pt idx="19">
                  <c:v>0.132167339554908</c:v>
                </c:pt>
                <c:pt idx="20">
                  <c:v>0.132177124969275</c:v>
                </c:pt>
                <c:pt idx="21">
                  <c:v>0.132186488313704</c:v>
                </c:pt>
                <c:pt idx="22">
                  <c:v>0.132195466381343</c:v>
                </c:pt>
                <c:pt idx="23">
                  <c:v>0.13220409137031</c:v>
                </c:pt>
                <c:pt idx="24">
                  <c:v>0.1322123916188</c:v>
                </c:pt>
                <c:pt idx="25">
                  <c:v>0.132220392198791</c:v>
                </c:pt>
                <c:pt idx="26">
                  <c:v>0.13222811539981</c:v>
                </c:pt>
                <c:pt idx="27">
                  <c:v>0.13223558112630501</c:v>
                </c:pt>
                <c:pt idx="28">
                  <c:v>0.13224280722651799</c:v>
                </c:pt>
                <c:pt idx="29">
                  <c:v>0.13224980976654199</c:v>
                </c:pt>
                <c:pt idx="30">
                  <c:v>0.13225660326019101</c:v>
                </c:pt>
                <c:pt idx="31">
                  <c:v>0.13226320086295401</c:v>
                </c:pt>
                <c:pt idx="32">
                  <c:v>0.13226961453657801</c:v>
                </c:pt>
                <c:pt idx="33">
                  <c:v>0.13227585518944099</c:v>
                </c:pt>
                <c:pt idx="34">
                  <c:v>0.13228193279689099</c:v>
                </c:pt>
                <c:pt idx="35">
                  <c:v>0.13228785650486699</c:v>
                </c:pt>
                <c:pt idx="36">
                  <c:v>0.13229363471953201</c:v>
                </c:pt>
                <c:pt idx="37">
                  <c:v>0.13229927518510501</c:v>
                </c:pt>
                <c:pt idx="38">
                  <c:v>0.13230478505189899</c:v>
                </c:pt>
                <c:pt idx="39">
                  <c:v>0.132310170935689</c:v>
                </c:pt>
                <c:pt idx="40">
                  <c:v>0.132315438969837</c:v>
                </c:pt>
                <c:pt idx="41">
                  <c:v>0.13232059485122499</c:v>
                </c:pt>
                <c:pt idx="42">
                  <c:v>0.13232564388083301</c:v>
                </c:pt>
                <c:pt idx="43">
                  <c:v>0.13233059099972999</c:v>
                </c:pt>
                <c:pt idx="44">
                  <c:v>0.13233544082104801</c:v>
                </c:pt>
                <c:pt idx="45">
                  <c:v>0.132340197658498</c:v>
                </c:pt>
                <c:pt idx="46">
                  <c:v>0.13234486555185099</c:v>
                </c:pt>
                <c:pt idx="47">
                  <c:v>0.132349448289759</c:v>
                </c:pt>
                <c:pt idx="48">
                  <c:v>0.13235394943025999</c:v>
                </c:pt>
                <c:pt idx="49">
                  <c:v>0.13235837231923001</c:v>
                </c:pt>
                <c:pt idx="50">
                  <c:v>0.13236272010702199</c:v>
                </c:pt>
                <c:pt idx="51">
                  <c:v>0.13236699576351699</c:v>
                </c:pt>
                <c:pt idx="52">
                  <c:v>0.13237120209174699</c:v>
                </c:pt>
                <c:pt idx="53">
                  <c:v>0.132375341740263</c:v>
                </c:pt>
                <c:pt idx="54">
                  <c:v>0.13237941721437901</c:v>
                </c:pt>
                <c:pt idx="55">
                  <c:v>0.132383430886412</c:v>
                </c:pt>
                <c:pt idx="56">
                  <c:v>0.132387385005025</c:v>
                </c:pt>
                <c:pt idx="57">
                  <c:v>0.13239128170376399</c:v>
                </c:pt>
                <c:pt idx="58">
                  <c:v>0.13239512300888101</c:v>
                </c:pt>
                <c:pt idx="59">
                  <c:v>0.132398910846489</c:v>
                </c:pt>
                <c:pt idx="60">
                  <c:v>0.13240264704915</c:v>
                </c:pt>
                <c:pt idx="61">
                  <c:v>0.13240633336192001</c:v>
                </c:pt>
                <c:pt idx="62">
                  <c:v>0.13240997144792099</c:v>
                </c:pt>
                <c:pt idx="63">
                  <c:v>0.132413562893474</c:v>
                </c:pt>
                <c:pt idx="64">
                  <c:v>0.132417109212841</c:v>
                </c:pt>
                <c:pt idx="65">
                  <c:v>0.132420611852609</c:v>
                </c:pt>
                <c:pt idx="66">
                  <c:v>0.13242407219574501</c:v>
                </c:pt>
                <c:pt idx="67">
                  <c:v>0.13242749156535599</c:v>
                </c:pt>
                <c:pt idx="68">
                  <c:v>0.13243087122817501</c:v>
                </c:pt>
                <c:pt idx="69">
                  <c:v>0.13243421239779701</c:v>
                </c:pt>
                <c:pt idx="70">
                  <c:v>0.13243751623769601</c:v>
                </c:pt>
                <c:pt idx="71">
                  <c:v>0.132440783864022</c:v>
                </c:pt>
                <c:pt idx="72">
                  <c:v>0.13244401634821701</c:v>
                </c:pt>
                <c:pt idx="73">
                  <c:v>0.13244721471944401</c:v>
                </c:pt>
                <c:pt idx="74">
                  <c:v>0.13245037996687001</c:v>
                </c:pt>
                <c:pt idx="75">
                  <c:v>0.13245351304177999</c:v>
                </c:pt>
                <c:pt idx="76">
                  <c:v>0.13245661485957499</c:v>
                </c:pt>
                <c:pt idx="77">
                  <c:v>0.132459686301623</c:v>
                </c:pt>
                <c:pt idx="78">
                  <c:v>0.13246272821701099</c:v>
                </c:pt>
                <c:pt idx="79">
                  <c:v>0.132465741424173</c:v>
                </c:pt>
                <c:pt idx="80">
                  <c:v>0.13246872671243001</c:v>
                </c:pt>
                <c:pt idx="81">
                  <c:v>0.132471684843428</c:v>
                </c:pt>
                <c:pt idx="82">
                  <c:v>0.13247461655249701</c:v>
                </c:pt>
                <c:pt idx="83">
                  <c:v>0.13247752254992401</c:v>
                </c:pt>
                <c:pt idx="84">
                  <c:v>0.13248040352215701</c:v>
                </c:pt>
                <c:pt idx="85">
                  <c:v>0.13248326013293299</c:v>
                </c:pt>
                <c:pt idx="86">
                  <c:v>0.13248609302434999</c:v>
                </c:pt>
                <c:pt idx="87">
                  <c:v>0.13248890281787101</c:v>
                </c:pt>
                <c:pt idx="88">
                  <c:v>0.132491690115279</c:v>
                </c:pt>
                <c:pt idx="89">
                  <c:v>0.132494455499574</c:v>
                </c:pt>
                <c:pt idx="90">
                  <c:v>0.13249719953582401</c:v>
                </c:pt>
                <c:pt idx="91">
                  <c:v>0.132499922771974</c:v>
                </c:pt>
                <c:pt idx="92">
                  <c:v>0.132502625739603</c:v>
                </c:pt>
                <c:pt idx="93">
                  <c:v>0.13250530895465101</c:v>
                </c:pt>
                <c:pt idx="94">
                  <c:v>0.13250797291810601</c:v>
                </c:pt>
                <c:pt idx="95">
                  <c:v>0.13251061811664699</c:v>
                </c:pt>
                <c:pt idx="96">
                  <c:v>0.132513245023273</c:v>
                </c:pt>
                <c:pt idx="97">
                  <c:v>0.132515854097881</c:v>
                </c:pt>
                <c:pt idx="98">
                  <c:v>0.13251844578782901</c:v>
                </c:pt>
                <c:pt idx="99">
                  <c:v>0.13252102052846701</c:v>
                </c:pt>
                <c:pt idx="100">
                  <c:v>0.13252357874364101</c:v>
                </c:pt>
                <c:pt idx="101">
                  <c:v>0.13252612084617801</c:v>
                </c:pt>
                <c:pt idx="102">
                  <c:v>0.13252864723834301</c:v>
                </c:pt>
                <c:pt idx="103">
                  <c:v>0.13253115831227899</c:v>
                </c:pt>
                <c:pt idx="104">
                  <c:v>0.13253365445042301</c:v>
                </c:pt>
                <c:pt idx="105">
                  <c:v>0.132536136025908</c:v>
                </c:pt>
                <c:pt idx="106">
                  <c:v>0.13253860340294499</c:v>
                </c:pt>
                <c:pt idx="107">
                  <c:v>0.13254105693718801</c:v>
                </c:pt>
                <c:pt idx="108">
                  <c:v>0.132543496976081</c:v>
                </c:pt>
                <c:pt idx="109">
                  <c:v>0.132545923859197</c:v>
                </c:pt>
                <c:pt idx="110">
                  <c:v>0.132548337918557</c:v>
                </c:pt>
                <c:pt idx="111">
                  <c:v>0.132550739478936</c:v>
                </c:pt>
                <c:pt idx="112">
                  <c:v>0.13255312885816001</c:v>
                </c:pt>
                <c:pt idx="113">
                  <c:v>0.132555506367391</c:v>
                </c:pt>
                <c:pt idx="114">
                  <c:v>0.13255787231139399</c:v>
                </c:pt>
                <c:pt idx="115">
                  <c:v>0.13256022698880601</c:v>
                </c:pt>
                <c:pt idx="116">
                  <c:v>0.13256257069238001</c:v>
                </c:pt>
                <c:pt idx="117">
                  <c:v>0.13256490370923599</c:v>
                </c:pt>
                <c:pt idx="118">
                  <c:v>0.132567226321089</c:v>
                </c:pt>
                <c:pt idx="119">
                  <c:v>0.132569538804475</c:v>
                </c:pt>
                <c:pt idx="120">
                  <c:v>0.132571841430971</c:v>
                </c:pt>
                <c:pt idx="121">
                  <c:v>0.13257413446740399</c:v>
                </c:pt>
                <c:pt idx="122">
                  <c:v>0.13257641817605401</c:v>
                </c:pt>
                <c:pt idx="123">
                  <c:v>0.13257869281484999</c:v>
                </c:pt>
                <c:pt idx="124">
                  <c:v>0.132580958637564</c:v>
                </c:pt>
                <c:pt idx="125">
                  <c:v>0.132583215893989</c:v>
                </c:pt>
                <c:pt idx="126">
                  <c:v>0.13258546483012401</c:v>
                </c:pt>
                <c:pt idx="127">
                  <c:v>0.13258770568834599</c:v>
                </c:pt>
                <c:pt idx="128">
                  <c:v>0.13258993870757799</c:v>
                </c:pt>
                <c:pt idx="129">
                  <c:v>0.13259216412345401</c:v>
                </c:pt>
                <c:pt idx="130">
                  <c:v>0.13259438216847899</c:v>
                </c:pt>
                <c:pt idx="131">
                  <c:v>0.13259659307218699</c:v>
                </c:pt>
                <c:pt idx="132">
                  <c:v>0.13259879706128999</c:v>
                </c:pt>
                <c:pt idx="133">
                  <c:v>0.132600994359831</c:v>
                </c:pt>
                <c:pt idx="134">
                  <c:v>0.13260318518932601</c:v>
                </c:pt>
                <c:pt idx="135">
                  <c:v>0.13260536976890799</c:v>
                </c:pt>
                <c:pt idx="136">
                  <c:v>0.132607548315469</c:v>
                </c:pt>
                <c:pt idx="137">
                  <c:v>0.13260972104379501</c:v>
                </c:pt>
                <c:pt idx="138">
                  <c:v>0.132611888166702</c:v>
                </c:pt>
                <c:pt idx="139">
                  <c:v>0.13261404989517001</c:v>
                </c:pt>
                <c:pt idx="140">
                  <c:v>0.13261620643847399</c:v>
                </c:pt>
                <c:pt idx="141">
                  <c:v>0.13261835800430899</c:v>
                </c:pt>
                <c:pt idx="142">
                  <c:v>0.13262050479892901</c:v>
                </c:pt>
                <c:pt idx="143">
                  <c:v>0.13262264702726001</c:v>
                </c:pt>
                <c:pt idx="144">
                  <c:v>0.132624784893038</c:v>
                </c:pt>
                <c:pt idx="145">
                  <c:v>0.132626918598926</c:v>
                </c:pt>
                <c:pt idx="146">
                  <c:v>0.13262904834664299</c:v>
                </c:pt>
                <c:pt idx="147">
                  <c:v>0.13263117433708499</c:v>
                </c:pt>
                <c:pt idx="148">
                  <c:v>0.13263329677044799</c:v>
                </c:pt>
                <c:pt idx="149">
                  <c:v>0.13263541584635499</c:v>
                </c:pt>
                <c:pt idx="150">
                  <c:v>0.13263753176397799</c:v>
                </c:pt>
                <c:pt idx="151">
                  <c:v>0.13263964472216</c:v>
                </c:pt>
                <c:pt idx="152">
                  <c:v>0.13264175491954</c:v>
                </c:pt>
                <c:pt idx="153">
                  <c:v>0.132643862554683</c:v>
                </c:pt>
                <c:pt idx="154">
                  <c:v>0.132645967826199</c:v>
                </c:pt>
                <c:pt idx="155">
                  <c:v>0.13264807093287501</c:v>
                </c:pt>
                <c:pt idx="156">
                  <c:v>0.132650172073802</c:v>
                </c:pt>
                <c:pt idx="157">
                  <c:v>0.132652271448509</c:v>
                </c:pt>
                <c:pt idx="158">
                  <c:v>0.13265436925708801</c:v>
                </c:pt>
                <c:pt idx="159">
                  <c:v>0.13265646570033501</c:v>
                </c:pt>
                <c:pt idx="160">
                  <c:v>0.13265856097988399</c:v>
                </c:pt>
                <c:pt idx="161">
                  <c:v>0.132660655298346</c:v>
                </c:pt>
                <c:pt idx="162">
                  <c:v>0.132662748859454</c:v>
                </c:pt>
                <c:pt idx="163">
                  <c:v>0.13266484186820501</c:v>
                </c:pt>
                <c:pt idx="164">
                  <c:v>0.13266693453101</c:v>
                </c:pt>
                <c:pt idx="165">
                  <c:v>0.13266902705584799</c:v>
                </c:pt>
                <c:pt idx="166">
                  <c:v>0.13267111965242301</c:v>
                </c:pt>
                <c:pt idx="167">
                  <c:v>0.132673212532323</c:v>
                </c:pt>
                <c:pt idx="168">
                  <c:v>0.132675305909189</c:v>
                </c:pt>
                <c:pt idx="169">
                  <c:v>0.132677399998884</c:v>
                </c:pt>
                <c:pt idx="170">
                  <c:v>0.13267949501967199</c:v>
                </c:pt>
                <c:pt idx="171">
                  <c:v>0.132681591192402</c:v>
                </c:pt>
                <c:pt idx="172">
                  <c:v>0.132683688740695</c:v>
                </c:pt>
                <c:pt idx="173">
                  <c:v>0.13268578789114299</c:v>
                </c:pt>
                <c:pt idx="174">
                  <c:v>0.13268788887351199</c:v>
                </c:pt>
                <c:pt idx="175">
                  <c:v>0.13268999192095701</c:v>
                </c:pt>
                <c:pt idx="176">
                  <c:v>0.13269209727023901</c:v>
                </c:pt>
                <c:pt idx="177">
                  <c:v>0.13269420516196201</c:v>
                </c:pt>
                <c:pt idx="178">
                  <c:v>0.13269631584080599</c:v>
                </c:pt>
                <c:pt idx="179">
                  <c:v>0.13269842955578601</c:v>
                </c:pt>
                <c:pt idx="180">
                  <c:v>0.132700546560511</c:v>
                </c:pt>
                <c:pt idx="181">
                  <c:v>0.13270266711345699</c:v>
                </c:pt>
                <c:pt idx="182">
                  <c:v>0.132704791478263</c:v>
                </c:pt>
                <c:pt idx="183">
                  <c:v>0.132706919924029</c:v>
                </c:pt>
                <c:pt idx="184">
                  <c:v>0.13270905272563599</c:v>
                </c:pt>
                <c:pt idx="185">
                  <c:v>0.13271119016407801</c:v>
                </c:pt>
                <c:pt idx="186">
                  <c:v>0.13271333252682199</c:v>
                </c:pt>
                <c:pt idx="187">
                  <c:v>0.132715480108173</c:v>
                </c:pt>
                <c:pt idx="188">
                  <c:v>0.13271763320966901</c:v>
                </c:pt>
                <c:pt idx="189">
                  <c:v>0.13271979214049601</c:v>
                </c:pt>
                <c:pt idx="190">
                  <c:v>0.13272195721792501</c:v>
                </c:pt>
                <c:pt idx="191">
                  <c:v>0.132724128767778</c:v>
                </c:pt>
                <c:pt idx="192">
                  <c:v>0.13272630712491701</c:v>
                </c:pt>
                <c:pt idx="193">
                  <c:v>0.13272849263376901</c:v>
                </c:pt>
                <c:pt idx="194">
                  <c:v>0.132730685648876</c:v>
                </c:pt>
                <c:pt idx="195">
                  <c:v>0.13273288653548501</c:v>
                </c:pt>
                <c:pt idx="196">
                  <c:v>0.13273509567017699</c:v>
                </c:pt>
                <c:pt idx="197">
                  <c:v>0.132737313441533</c:v>
                </c:pt>
                <c:pt idx="198">
                  <c:v>0.132739540250841</c:v>
                </c:pt>
                <c:pt idx="199">
                  <c:v>0.13274177651286501</c:v>
                </c:pt>
                <c:pt idx="200">
                  <c:v>0.13274402265665</c:v>
                </c:pt>
                <c:pt idx="201">
                  <c:v>0.132746279126393</c:v>
                </c:pt>
                <c:pt idx="202">
                  <c:v>0.13274854638237599</c:v>
                </c:pt>
                <c:pt idx="203">
                  <c:v>0.132750824901961</c:v>
                </c:pt>
                <c:pt idx="204">
                  <c:v>0.13275311518066599</c:v>
                </c:pt>
                <c:pt idx="205">
                  <c:v>0.13275541773331401</c:v>
                </c:pt>
                <c:pt idx="206">
                  <c:v>0.132757733095279</c:v>
                </c:pt>
                <c:pt idx="207">
                  <c:v>0.132760061823818</c:v>
                </c:pt>
                <c:pt idx="208">
                  <c:v>0.13276240449951601</c:v>
                </c:pt>
                <c:pt idx="209">
                  <c:v>0.13276476172784801</c:v>
                </c:pt>
                <c:pt idx="210">
                  <c:v>0.13276713414086799</c:v>
                </c:pt>
                <c:pt idx="211">
                  <c:v>0.13276952239903</c:v>
                </c:pt>
                <c:pt idx="212">
                  <c:v>0.13277192719318501</c:v>
                </c:pt>
                <c:pt idx="213">
                  <c:v>0.13277434924672901</c:v>
                </c:pt>
                <c:pt idx="214">
                  <c:v>0.132776789317957</c:v>
                </c:pt>
                <c:pt idx="215">
                  <c:v>0.13277924820261999</c:v>
                </c:pt>
                <c:pt idx="216">
                  <c:v>0.132781726736725</c:v>
                </c:pt>
                <c:pt idx="217">
                  <c:v>0.13278422579959301</c:v>
                </c:pt>
                <c:pt idx="218">
                  <c:v>0.13278674631720599</c:v>
                </c:pt>
                <c:pt idx="219">
                  <c:v>0.132789289265896</c:v>
                </c:pt>
                <c:pt idx="220">
                  <c:v>0.13279185567638299</c:v>
                </c:pt>
                <c:pt idx="221">
                  <c:v>0.132794446638243</c:v>
                </c:pt>
                <c:pt idx="222">
                  <c:v>0.13279706330482899</c:v>
                </c:pt>
                <c:pt idx="223">
                  <c:v>0.132799706898722</c:v>
                </c:pt>
                <c:pt idx="224">
                  <c:v>0.132802378717778</c:v>
                </c:pt>
                <c:pt idx="225">
                  <c:v>0.132805080141845</c:v>
                </c:pt>
                <c:pt idx="226">
                  <c:v>0.13280781264025199</c:v>
                </c:pt>
                <c:pt idx="227">
                  <c:v>0.132810577780172</c:v>
                </c:pt>
                <c:pt idx="228">
                  <c:v>0.13281337723598599</c:v>
                </c:pt>
                <c:pt idx="229">
                  <c:v>0.13281621279980399</c:v>
                </c:pt>
                <c:pt idx="230">
                  <c:v>0.132819086393311</c:v>
                </c:pt>
                <c:pt idx="231">
                  <c:v>0.132822000081147</c:v>
                </c:pt>
                <c:pt idx="232">
                  <c:v>0.132824956086074</c:v>
                </c:pt>
                <c:pt idx="233">
                  <c:v>0.13282795680621301</c:v>
                </c:pt>
                <c:pt idx="234">
                  <c:v>0.13283100483471399</c:v>
                </c:pt>
                <c:pt idx="235">
                  <c:v>0.13283410298228401</c:v>
                </c:pt>
                <c:pt idx="236">
                  <c:v>0.13283725430307999</c:v>
                </c:pt>
                <c:pt idx="237">
                  <c:v>0.13284046212460199</c:v>
                </c:pt>
                <c:pt idx="238">
                  <c:v>0.13284373008234701</c:v>
                </c:pt>
                <c:pt idx="239">
                  <c:v>0.13284706216018199</c:v>
                </c:pt>
                <c:pt idx="240">
                  <c:v>0.13285046273759499</c:v>
                </c:pt>
                <c:pt idx="241">
                  <c:v>0.13285393664530001</c:v>
                </c:pt>
                <c:pt idx="242">
                  <c:v>0.13285748923103799</c:v>
                </c:pt>
                <c:pt idx="243">
                  <c:v>0.13286112643791401</c:v>
                </c:pt>
                <c:pt idx="244">
                  <c:v>0.132864854898255</c:v>
                </c:pt>
                <c:pt idx="245">
                  <c:v>0.13286868204686</c:v>
                </c:pt>
                <c:pt idx="246">
                  <c:v>0.13287261625866401</c:v>
                </c:pt>
                <c:pt idx="247">
                  <c:v>0.132876667017443</c:v>
                </c:pt>
                <c:pt idx="248">
                  <c:v>0.132880845124389</c:v>
                </c:pt>
                <c:pt idx="249">
                  <c:v>0.13288516295844799</c:v>
                </c:pt>
                <c:pt idx="250">
                  <c:v>0.13288963480469199</c:v>
                </c:pt>
                <c:pt idx="251">
                  <c:v>0.13289427727328901</c:v>
                </c:pt>
                <c:pt idx="252">
                  <c:v>0.13289910984085401</c:v>
                </c:pt>
                <c:pt idx="253">
                  <c:v>0.132904155559849</c:v>
                </c:pt>
                <c:pt idx="254">
                  <c:v>0.13290944200277299</c:v>
                </c:pt>
                <c:pt idx="255">
                  <c:v>0.13291500254108701</c:v>
                </c:pt>
                <c:pt idx="256">
                  <c:v>0.13292087811204301</c:v>
                </c:pt>
                <c:pt idx="257">
                  <c:v>0.132927119714948</c:v>
                </c:pt>
                <c:pt idx="258">
                  <c:v>0.132933792029892</c:v>
                </c:pt>
                <c:pt idx="259">
                  <c:v>0.132940978822192</c:v>
                </c:pt>
                <c:pt idx="260">
                  <c:v>0.13294879130005999</c:v>
                </c:pt>
                <c:pt idx="261">
                  <c:v>0.132957381584934</c:v>
                </c:pt>
                <c:pt idx="262">
                  <c:v>0.13296696553123799</c:v>
                </c:pt>
                <c:pt idx="263">
                  <c:v>0.13297786382384399</c:v>
                </c:pt>
                <c:pt idx="264">
                  <c:v>0.132990581906959</c:v>
                </c:pt>
                <c:pt idx="265">
                  <c:v>0.13300598168556699</c:v>
                </c:pt>
                <c:pt idx="266">
                  <c:v>0.13302570306129599</c:v>
                </c:pt>
                <c:pt idx="267">
                  <c:v>0.133053413662858</c:v>
                </c:pt>
                <c:pt idx="268">
                  <c:v>0.13309974144758499</c:v>
                </c:pt>
                <c:pt idx="269">
                  <c:v>0.13321378154653299</c:v>
                </c:pt>
                <c:pt idx="270">
                  <c:v>0.13336682861826901</c:v>
                </c:pt>
                <c:pt idx="271">
                  <c:v>0.13351953708365299</c:v>
                </c:pt>
                <c:pt idx="272">
                  <c:v>0.133672756082719</c:v>
                </c:pt>
                <c:pt idx="273">
                  <c:v>0.13382654271444999</c:v>
                </c:pt>
                <c:pt idx="274">
                  <c:v>0.1339809270474</c:v>
                </c:pt>
                <c:pt idx="275">
                  <c:v>0.13413592636935101</c:v>
                </c:pt>
                <c:pt idx="276">
                  <c:v>0.13429155195650999</c:v>
                </c:pt>
                <c:pt idx="277">
                  <c:v>0.229108280555748</c:v>
                </c:pt>
                <c:pt idx="278">
                  <c:v>0.22910828280913501</c:v>
                </c:pt>
                <c:pt idx="279">
                  <c:v>0.38305732976120799</c:v>
                </c:pt>
                <c:pt idx="280">
                  <c:v>0.38333587250425699</c:v>
                </c:pt>
                <c:pt idx="281">
                  <c:v>0.38357840372985702</c:v>
                </c:pt>
                <c:pt idx="282">
                  <c:v>0.38379485836785199</c:v>
                </c:pt>
                <c:pt idx="283">
                  <c:v>0.38399180760400198</c:v>
                </c:pt>
                <c:pt idx="284">
                  <c:v>0.384173807056849</c:v>
                </c:pt>
                <c:pt idx="285">
                  <c:v>0.38434416321224601</c:v>
                </c:pt>
                <c:pt idx="286">
                  <c:v>0.38450537598643098</c:v>
                </c:pt>
                <c:pt idx="287">
                  <c:v>0.38465940776560398</c:v>
                </c:pt>
                <c:pt idx="288">
                  <c:v>0.38480785573939102</c:v>
                </c:pt>
                <c:pt idx="289">
                  <c:v>0.384952068264445</c:v>
                </c:pt>
                <c:pt idx="290">
                  <c:v>0.38509322812937802</c:v>
                </c:pt>
                <c:pt idx="291">
                  <c:v>0.38523241647348</c:v>
                </c:pt>
                <c:pt idx="292">
                  <c:v>0.385370666441891</c:v>
                </c:pt>
                <c:pt idx="293">
                  <c:v>0.385509013499586</c:v>
                </c:pt>
                <c:pt idx="294">
                  <c:v>0.38564854888670203</c:v>
                </c:pt>
                <c:pt idx="295">
                  <c:v>0.385790483898592</c:v>
                </c:pt>
                <c:pt idx="296">
                  <c:v>0.38593623614144101</c:v>
                </c:pt>
                <c:pt idx="297">
                  <c:v>0.38608755645093301</c:v>
                </c:pt>
                <c:pt idx="298">
                  <c:v>0.38624673120118802</c:v>
                </c:pt>
                <c:pt idx="299">
                  <c:v>0.38641693053499898</c:v>
                </c:pt>
                <c:pt idx="300">
                  <c:v>0.38660285978241898</c:v>
                </c:pt>
                <c:pt idx="301">
                  <c:v>0.38681210620158402</c:v>
                </c:pt>
                <c:pt idx="302">
                  <c:v>0.38705831096616899</c:v>
                </c:pt>
                <c:pt idx="303">
                  <c:v>0.38737014098822098</c:v>
                </c:pt>
                <c:pt idx="304">
                  <c:v>0.38782486586522802</c:v>
                </c:pt>
                <c:pt idx="305">
                  <c:v>0.38875106087786898</c:v>
                </c:pt>
                <c:pt idx="306">
                  <c:v>0.39343249839230199</c:v>
                </c:pt>
                <c:pt idx="307">
                  <c:v>0.40121720513367698</c:v>
                </c:pt>
                <c:pt idx="308">
                  <c:v>0.60121720513367705</c:v>
                </c:pt>
                <c:pt idx="309">
                  <c:v>0.60121720513367705</c:v>
                </c:pt>
              </c:numCache>
            </c:numRef>
          </c:xVal>
          <c:yVal>
            <c:numRef>
              <c:f>Implicit_Fracs!$BL$5:$BL$314</c:f>
              <c:numCache>
                <c:formatCode>General</c:formatCode>
                <c:ptCount val="310"/>
                <c:pt idx="0">
                  <c:v>1.16255079111391E-4</c:v>
                </c:pt>
                <c:pt idx="1">
                  <c:v>1.16134482258843E-4</c:v>
                </c:pt>
                <c:pt idx="2">
                  <c:v>1.16022874653549E-4</c:v>
                </c:pt>
                <c:pt idx="3">
                  <c:v>1.15915003366613E-4</c:v>
                </c:pt>
                <c:pt idx="4">
                  <c:v>1.15809197429463E-4</c:v>
                </c:pt>
                <c:pt idx="5">
                  <c:v>1.15704706405744E-4</c:v>
                </c:pt>
                <c:pt idx="6">
                  <c:v>1.15601127682334E-4</c:v>
                </c:pt>
                <c:pt idx="7">
                  <c:v>1.15498219857818E-4</c:v>
                </c:pt>
                <c:pt idx="8">
                  <c:v>1.153958266461E-4</c:v>
                </c:pt>
                <c:pt idx="9">
                  <c:v>1.15293840995654E-4</c:v>
                </c:pt>
                <c:pt idx="10">
                  <c:v>1.1519218633541E-4</c:v>
                </c:pt>
                <c:pt idx="11">
                  <c:v>1.1509080598402201E-4</c:v>
                </c:pt>
                <c:pt idx="12">
                  <c:v>1.1498965679650001E-4</c:v>
                </c:pt>
                <c:pt idx="13">
                  <c:v>1.1488870516294099E-4</c:v>
                </c:pt>
                <c:pt idx="14">
                  <c:v>1.14787924385656E-4</c:v>
                </c:pt>
                <c:pt idx="15">
                  <c:v>1.14687292901193E-4</c:v>
                </c:pt>
                <c:pt idx="16">
                  <c:v>1.14586793040177E-4</c:v>
                </c:pt>
                <c:pt idx="17">
                  <c:v>1.1448641014073699E-4</c:v>
                </c:pt>
                <c:pt idx="18">
                  <c:v>1.1438613190098099E-4</c:v>
                </c:pt>
                <c:pt idx="19">
                  <c:v>1.14285947897067E-4</c:v>
                </c:pt>
                <c:pt idx="20">
                  <c:v>1.14185849218491E-4</c:v>
                </c:pt>
                <c:pt idx="21">
                  <c:v>1.14085828187927E-4</c:v>
                </c:pt>
                <c:pt idx="22">
                  <c:v>1.13985878143135E-4</c:v>
                </c:pt>
                <c:pt idx="23">
                  <c:v>1.1388599326511E-4</c:v>
                </c:pt>
                <c:pt idx="24">
                  <c:v>1.13786168441181E-4</c:v>
                </c:pt>
                <c:pt idx="25">
                  <c:v>1.13686399154855E-4</c:v>
                </c:pt>
                <c:pt idx="26">
                  <c:v>1.13586681396367E-4</c:v>
                </c:pt>
                <c:pt idx="27">
                  <c:v>1.1348701158943301E-4</c:v>
                </c:pt>
                <c:pt idx="28">
                  <c:v>1.13387386530793E-4</c:v>
                </c:pt>
                <c:pt idx="29">
                  <c:v>1.1328780333996799E-4</c:v>
                </c:pt>
                <c:pt idx="30">
                  <c:v>1.13188259417214E-4</c:v>
                </c:pt>
                <c:pt idx="31">
                  <c:v>1.13088752408121E-4</c:v>
                </c:pt>
                <c:pt idx="32">
                  <c:v>1.12989280173635E-4</c:v>
                </c:pt>
                <c:pt idx="33">
                  <c:v>1.12889840764529E-4</c:v>
                </c:pt>
                <c:pt idx="34">
                  <c:v>1.12790432399569E-4</c:v>
                </c:pt>
                <c:pt idx="35">
                  <c:v>1.1269105344672701E-4</c:v>
                </c:pt>
                <c:pt idx="36">
                  <c:v>1.12591702406961E-4</c:v>
                </c:pt>
                <c:pt idx="37">
                  <c:v>1.12492377901673E-4</c:v>
                </c:pt>
                <c:pt idx="38">
                  <c:v>1.12393078658958E-4</c:v>
                </c:pt>
                <c:pt idx="39">
                  <c:v>1.12293803502835E-4</c:v>
                </c:pt>
                <c:pt idx="40">
                  <c:v>1.1219455134386199E-4</c:v>
                </c:pt>
                <c:pt idx="41">
                  <c:v>1.12095321170875E-4</c:v>
                </c:pt>
                <c:pt idx="42">
                  <c:v>1.11996112043694E-4</c:v>
                </c:pt>
                <c:pt idx="43">
                  <c:v>1.1189692308666401E-4</c:v>
                </c:pt>
                <c:pt idx="44">
                  <c:v>1.11797753482913E-4</c:v>
                </c:pt>
                <c:pt idx="45">
                  <c:v>1.11698602469246E-4</c:v>
                </c:pt>
                <c:pt idx="46">
                  <c:v>1.11599469331575E-4</c:v>
                </c:pt>
                <c:pt idx="47">
                  <c:v>1.11500353400837E-4</c:v>
                </c:pt>
                <c:pt idx="48">
                  <c:v>1.11401254049326E-4</c:v>
                </c:pt>
                <c:pt idx="49">
                  <c:v>1.1130217068739E-4</c:v>
                </c:pt>
                <c:pt idx="50">
                  <c:v>1.1120310276046E-4</c:v>
                </c:pt>
                <c:pt idx="51">
                  <c:v>1.11104049746361E-4</c:v>
                </c:pt>
                <c:pt idx="52">
                  <c:v>1.11005011152881E-4</c:v>
                </c:pt>
                <c:pt idx="53">
                  <c:v>1.10905986515564E-4</c:v>
                </c:pt>
                <c:pt idx="54">
                  <c:v>1.10806975395706E-4</c:v>
                </c:pt>
                <c:pt idx="55">
                  <c:v>1.10707977378524E-4</c:v>
                </c:pt>
                <c:pt idx="56">
                  <c:v>1.1060899207150099E-4</c:v>
                </c:pt>
                <c:pt idx="57">
                  <c:v>1.10510019102857E-4</c:v>
                </c:pt>
                <c:pt idx="58">
                  <c:v>1.10411058120162E-4</c:v>
                </c:pt>
                <c:pt idx="59">
                  <c:v>1.10312108789058E-4</c:v>
                </c:pt>
                <c:pt idx="60">
                  <c:v>1.1021317079209401E-4</c:v>
                </c:pt>
                <c:pt idx="61">
                  <c:v>1.10114243827644E-4</c:v>
                </c:pt>
                <c:pt idx="62">
                  <c:v>1.10015327608925E-4</c:v>
                </c:pt>
                <c:pt idx="63">
                  <c:v>1.09916421863078E-4</c:v>
                </c:pt>
                <c:pt idx="64">
                  <c:v>1.09817526330331E-4</c:v>
                </c:pt>
                <c:pt idx="65">
                  <c:v>1.09718640763219E-4</c:v>
                </c:pt>
                <c:pt idx="66">
                  <c:v>1.09619764925868E-4</c:v>
                </c:pt>
                <c:pt idx="67">
                  <c:v>1.09520898593326E-4</c:v>
                </c:pt>
                <c:pt idx="68">
                  <c:v>1.09422041550948E-4</c:v>
                </c:pt>
                <c:pt idx="69">
                  <c:v>1.0932319359381999E-4</c:v>
                </c:pt>
                <c:pt idx="70">
                  <c:v>1.0922435452622899E-4</c:v>
                </c:pt>
                <c:pt idx="71">
                  <c:v>1.09125524161169E-4</c:v>
                </c:pt>
                <c:pt idx="72">
                  <c:v>1.09026702319878E-4</c:v>
                </c:pt>
                <c:pt idx="73">
                  <c:v>1.08927888831405E-4</c:v>
                </c:pt>
                <c:pt idx="74">
                  <c:v>1.08829083532221E-4</c:v>
                </c:pt>
                <c:pt idx="75">
                  <c:v>1.08730286265832E-4</c:v>
                </c:pt>
                <c:pt idx="76">
                  <c:v>1.0863149688243699E-4</c:v>
                </c:pt>
                <c:pt idx="77">
                  <c:v>1.08532715238601E-4</c:v>
                </c:pt>
                <c:pt idx="78">
                  <c:v>1.0843394119694601E-4</c:v>
                </c:pt>
                <c:pt idx="79">
                  <c:v>1.0833517462587E-4</c:v>
                </c:pt>
                <c:pt idx="80">
                  <c:v>1.08236415399273E-4</c:v>
                </c:pt>
                <c:pt idx="81">
                  <c:v>1.08137663396312E-4</c:v>
                </c:pt>
                <c:pt idx="82">
                  <c:v>1.0803891850116E-4</c:v>
                </c:pt>
                <c:pt idx="83">
                  <c:v>1.0794018060278501E-4</c:v>
                </c:pt>
                <c:pt idx="84">
                  <c:v>1.0784144959474501E-4</c:v>
                </c:pt>
                <c:pt idx="85">
                  <c:v>1.0774272537499E-4</c:v>
                </c:pt>
                <c:pt idx="86">
                  <c:v>1.07644007845677E-4</c:v>
                </c:pt>
                <c:pt idx="87">
                  <c:v>1.07545296913001E-4</c:v>
                </c:pt>
                <c:pt idx="88">
                  <c:v>1.07446592487027E-4</c:v>
                </c:pt>
                <c:pt idx="89">
                  <c:v>1.0734789448154E-4</c:v>
                </c:pt>
                <c:pt idx="90">
                  <c:v>1.072492028139E-4</c:v>
                </c:pt>
                <c:pt idx="91">
                  <c:v>1.0715051740490201E-4</c:v>
                </c:pt>
                <c:pt idx="92">
                  <c:v>1.0705183817865399E-4</c:v>
                </c:pt>
                <c:pt idx="93">
                  <c:v>1.06953165062451E-4</c:v>
                </c:pt>
                <c:pt idx="94">
                  <c:v>1.06854497986661E-4</c:v>
                </c:pt>
                <c:pt idx="95">
                  <c:v>1.06755836884617E-4</c:v>
                </c:pt>
                <c:pt idx="96">
                  <c:v>1.0665718169252101E-4</c:v>
                </c:pt>
                <c:pt idx="97">
                  <c:v>1.06558532349338E-4</c:v>
                </c:pt>
                <c:pt idx="98">
                  <c:v>1.06459888796711E-4</c:v>
                </c:pt>
                <c:pt idx="99">
                  <c:v>1.06361250978879E-4</c:v>
                </c:pt>
                <c:pt idx="100">
                  <c:v>1.06262618842589E-4</c:v>
                </c:pt>
                <c:pt idx="101">
                  <c:v>1.0616399233702101E-4</c:v>
                </c:pt>
                <c:pt idx="102">
                  <c:v>1.06065371413722E-4</c:v>
                </c:pt>
                <c:pt idx="103">
                  <c:v>1.05966756026532E-4</c:v>
                </c:pt>
                <c:pt idx="104">
                  <c:v>1.05868146131522E-4</c:v>
                </c:pt>
                <c:pt idx="105">
                  <c:v>1.05769541686936E-4</c:v>
                </c:pt>
                <c:pt idx="106">
                  <c:v>1.0567094265313199E-4</c:v>
                </c:pt>
                <c:pt idx="107">
                  <c:v>1.0557234899252499E-4</c:v>
                </c:pt>
                <c:pt idx="108">
                  <c:v>1.05473760669546E-4</c:v>
                </c:pt>
                <c:pt idx="109">
                  <c:v>1.05375177650586E-4</c:v>
                </c:pt>
                <c:pt idx="110">
                  <c:v>1.05276599903954E-4</c:v>
                </c:pt>
                <c:pt idx="111">
                  <c:v>1.05178027399841E-4</c:v>
                </c:pt>
                <c:pt idx="112">
                  <c:v>1.05079460110272E-4</c:v>
                </c:pt>
                <c:pt idx="113">
                  <c:v>1.04980898009078E-4</c:v>
                </c:pt>
                <c:pt idx="114">
                  <c:v>1.04882341071856E-4</c:v>
                </c:pt>
                <c:pt idx="115">
                  <c:v>1.0478378927594E-4</c:v>
                </c:pt>
                <c:pt idx="116">
                  <c:v>1.04685242600373E-4</c:v>
                </c:pt>
                <c:pt idx="117">
                  <c:v>1.04586701025878E-4</c:v>
                </c:pt>
                <c:pt idx="118">
                  <c:v>1.0448816453483401E-4</c:v>
                </c:pt>
                <c:pt idx="119">
                  <c:v>1.04389633111253E-4</c:v>
                </c:pt>
                <c:pt idx="120">
                  <c:v>1.04291106740757E-4</c:v>
                </c:pt>
                <c:pt idx="121">
                  <c:v>1.04192585410563E-4</c:v>
                </c:pt>
                <c:pt idx="122">
                  <c:v>1.0409406910946299E-4</c:v>
                </c:pt>
                <c:pt idx="123">
                  <c:v>1.03995557827812E-4</c:v>
                </c:pt>
                <c:pt idx="124">
                  <c:v>1.0389705155750901E-4</c:v>
                </c:pt>
                <c:pt idx="125">
                  <c:v>1.03798550291991E-4</c:v>
                </c:pt>
                <c:pt idx="126">
                  <c:v>1.0370005402621999E-4</c:v>
                </c:pt>
                <c:pt idx="127">
                  <c:v>1.0360156275667799E-4</c:v>
                </c:pt>
                <c:pt idx="128">
                  <c:v>1.03503076481355E-4</c:v>
                </c:pt>
                <c:pt idx="129">
                  <c:v>1.0340459519975E-4</c:v>
                </c:pt>
                <c:pt idx="130">
                  <c:v>1.03306118912864E-4</c:v>
                </c:pt>
                <c:pt idx="131">
                  <c:v>1.03207647623202E-4</c:v>
                </c:pt>
                <c:pt idx="132">
                  <c:v>1.03109181334769E-4</c:v>
                </c:pt>
                <c:pt idx="133">
                  <c:v>1.0301072005307599E-4</c:v>
                </c:pt>
                <c:pt idx="134">
                  <c:v>1.02912263785139E-4</c:v>
                </c:pt>
                <c:pt idx="135">
                  <c:v>1.02813812539489E-4</c:v>
                </c:pt>
                <c:pt idx="136">
                  <c:v>1.02715366326176E-4</c:v>
                </c:pt>
                <c:pt idx="137">
                  <c:v>1.02616925156777E-4</c:v>
                </c:pt>
                <c:pt idx="138">
                  <c:v>1.0251848904440799E-4</c:v>
                </c:pt>
                <c:pt idx="139">
                  <c:v>1.02420058003733E-4</c:v>
                </c:pt>
                <c:pt idx="140">
                  <c:v>1.02321632050982E-4</c:v>
                </c:pt>
                <c:pt idx="141">
                  <c:v>1.02223211203961E-4</c:v>
                </c:pt>
                <c:pt idx="142">
                  <c:v>1.02124795482074E-4</c:v>
                </c:pt>
                <c:pt idx="143">
                  <c:v>1.02026384906337E-4</c:v>
                </c:pt>
                <c:pt idx="144">
                  <c:v>1.0192797949940499E-4</c:v>
                </c:pt>
                <c:pt idx="145">
                  <c:v>1.0182957928558799E-4</c:v>
                </c:pt>
                <c:pt idx="146">
                  <c:v>1.01731184290881E-4</c:v>
                </c:pt>
                <c:pt idx="147">
                  <c:v>1.0163279454298799E-4</c:v>
                </c:pt>
                <c:pt idx="148">
                  <c:v>1.01534410071351E-4</c:v>
                </c:pt>
                <c:pt idx="149">
                  <c:v>1.01436030907181E-4</c:v>
                </c:pt>
                <c:pt idx="150">
                  <c:v>1.0133765708349501E-4</c:v>
                </c:pt>
                <c:pt idx="151">
                  <c:v>1.0123928863514301E-4</c:v>
                </c:pt>
                <c:pt idx="152">
                  <c:v>1.01140925598854E-4</c:v>
                </c:pt>
                <c:pt idx="153">
                  <c:v>1.0104256801327099E-4</c:v>
                </c:pt>
                <c:pt idx="154">
                  <c:v>1.0094421591900001E-4</c:v>
                </c:pt>
                <c:pt idx="155">
                  <c:v>1.00845869358647E-4</c:v>
                </c:pt>
                <c:pt idx="156">
                  <c:v>1.0074752837687301E-4</c:v>
                </c:pt>
                <c:pt idx="157">
                  <c:v>1.00649193020445E-4</c:v>
                </c:pt>
                <c:pt idx="158">
                  <c:v>1.00550863338286E-4</c:v>
                </c:pt>
                <c:pt idx="159">
                  <c:v>1.00452539381537E-4</c:v>
                </c:pt>
                <c:pt idx="160">
                  <c:v>1.0035422120361599E-4</c:v>
                </c:pt>
                <c:pt idx="161">
                  <c:v>1.00255908860282E-4</c:v>
                </c:pt>
                <c:pt idx="162">
                  <c:v>1.00157602409704E-4</c:v>
                </c:pt>
                <c:pt idx="163">
                  <c:v>1.0005930191253399E-4</c:v>
                </c:pt>
                <c:pt idx="164" formatCode="0.00E+00">
                  <c:v>9.99610074319792E-5</c:v>
                </c:pt>
                <c:pt idx="165" formatCode="0.00E+00">
                  <c:v>9.98627190338851E-5</c:v>
                </c:pt>
                <c:pt idx="166" formatCode="0.00E+00">
                  <c:v>9.9764436786823604E-5</c:v>
                </c:pt>
                <c:pt idx="167" formatCode="0.00E+00">
                  <c:v>9.9666160762175806E-5</c:v>
                </c:pt>
                <c:pt idx="168" formatCode="0.00E+00">
                  <c:v>9.9567891034230493E-5</c:v>
                </c:pt>
                <c:pt idx="169" formatCode="0.00E+00">
                  <c:v>9.9469627680284098E-5</c:v>
                </c:pt>
                <c:pt idx="170" formatCode="0.00E+00">
                  <c:v>9.9371370780745795E-5</c:v>
                </c:pt>
                <c:pt idx="171" formatCode="0.00E+00">
                  <c:v>9.9273120419249601E-5</c:v>
                </c:pt>
                <c:pt idx="172" formatCode="0.00E+00">
                  <c:v>9.9174876682772597E-5</c:v>
                </c:pt>
                <c:pt idx="173" formatCode="0.00E+00">
                  <c:v>9.9076639661756002E-5</c:v>
                </c:pt>
                <c:pt idx="174" formatCode="0.00E+00">
                  <c:v>9.8978409450243296E-5</c:v>
                </c:pt>
                <c:pt idx="175" formatCode="0.00E+00">
                  <c:v>9.8880186146012994E-5</c:v>
                </c:pt>
                <c:pt idx="176" formatCode="0.00E+00">
                  <c:v>9.8781969850730706E-5</c:v>
                </c:pt>
                <c:pt idx="177" formatCode="0.00E+00">
                  <c:v>9.8683760670102499E-5</c:v>
                </c:pt>
                <c:pt idx="178" formatCode="0.00E+00">
                  <c:v>9.8585558714042498E-5</c:v>
                </c:pt>
                <c:pt idx="179" formatCode="0.00E+00">
                  <c:v>9.8487364096843394E-5</c:v>
                </c:pt>
                <c:pt idx="180" formatCode="0.00E+00">
                  <c:v>9.8389176937364794E-5</c:v>
                </c:pt>
                <c:pt idx="181" formatCode="0.00E+00">
                  <c:v>9.8290997359231196E-5</c:v>
                </c:pt>
                <c:pt idx="182" formatCode="0.00E+00">
                  <c:v>9.8192825491033004E-5</c:v>
                </c:pt>
                <c:pt idx="183" formatCode="0.00E+00">
                  <c:v>9.8094661466555994E-5</c:v>
                </c:pt>
                <c:pt idx="184" formatCode="0.00E+00">
                  <c:v>9.7996505425006699E-5</c:v>
                </c:pt>
                <c:pt idx="185" formatCode="0.00E+00">
                  <c:v>9.7898357511270103E-5</c:v>
                </c:pt>
                <c:pt idx="186" formatCode="0.00E+00">
                  <c:v>9.7800217876165696E-5</c:v>
                </c:pt>
                <c:pt idx="187" formatCode="0.00E+00">
                  <c:v>9.7702086676734604E-5</c:v>
                </c:pt>
                <c:pt idx="188" formatCode="0.00E+00">
                  <c:v>9.7603964076535503E-5</c:v>
                </c:pt>
                <c:pt idx="189" formatCode="0.00E+00">
                  <c:v>9.7505850245962905E-5</c:v>
                </c:pt>
                <c:pt idx="190" formatCode="0.00E+00">
                  <c:v>9.7407745362587404E-5</c:v>
                </c:pt>
                <c:pt idx="191" formatCode="0.00E+00">
                  <c:v>9.7309649611515905E-5</c:v>
                </c:pt>
                <c:pt idx="192" formatCode="0.00E+00">
                  <c:v>9.72115631857786E-5</c:v>
                </c:pt>
                <c:pt idx="193" formatCode="0.00E+00">
                  <c:v>9.7113486286739002E-5</c:v>
                </c:pt>
                <c:pt idx="194" formatCode="0.00E+00">
                  <c:v>9.7015419124536406E-5</c:v>
                </c:pt>
                <c:pt idx="195" formatCode="0.00E+00">
                  <c:v>9.6917361918552399E-5</c:v>
                </c:pt>
                <c:pt idx="196" formatCode="0.00E+00">
                  <c:v>9.6819314897917498E-5</c:v>
                </c:pt>
                <c:pt idx="197" formatCode="0.00E+00">
                  <c:v>9.6721278302048695E-5</c:v>
                </c:pt>
                <c:pt idx="198" formatCode="0.00E+00">
                  <c:v>9.6623252381229007E-5</c:v>
                </c:pt>
                <c:pt idx="199" formatCode="0.00E+00">
                  <c:v>9.6525237397225401E-5</c:v>
                </c:pt>
                <c:pt idx="200" formatCode="0.00E+00">
                  <c:v>9.6427233623957003E-5</c:v>
                </c:pt>
                <c:pt idx="201" formatCode="0.00E+00">
                  <c:v>9.6329241348210804E-5</c:v>
                </c:pt>
                <c:pt idx="202" formatCode="0.00E+00">
                  <c:v>9.6231260870413007E-5</c:v>
                </c:pt>
                <c:pt idx="203" formatCode="0.00E+00">
                  <c:v>9.6133292505457202E-5</c:v>
                </c:pt>
                <c:pt idx="204" formatCode="0.00E+00">
                  <c:v>9.6035336583604193E-5</c:v>
                </c:pt>
                <c:pt idx="205" formatCode="0.00E+00">
                  <c:v>9.5937393451446106E-5</c:v>
                </c:pt>
                <c:pt idx="206" formatCode="0.00E+00">
                  <c:v>9.5839463472950301E-5</c:v>
                </c:pt>
                <c:pt idx="207" formatCode="0.00E+00">
                  <c:v>9.57415470305946E-5</c:v>
                </c:pt>
                <c:pt idx="208" formatCode="0.00E+00">
                  <c:v>9.5643644526591704E-5</c:v>
                </c:pt>
                <c:pt idx="209" formatCode="0.00E+00">
                  <c:v>9.5545756384217203E-5</c:v>
                </c:pt>
                <c:pt idx="210" formatCode="0.00E+00">
                  <c:v>9.5447883049256001E-5</c:v>
                </c:pt>
                <c:pt idx="211" formatCode="0.00E+00">
                  <c:v>9.5350024991573806E-5</c:v>
                </c:pt>
                <c:pt idx="212" formatCode="0.00E+00">
                  <c:v>9.52521827068287E-5</c:v>
                </c:pt>
                <c:pt idx="213" formatCode="0.00E+00">
                  <c:v>9.5154356718339794E-5</c:v>
                </c:pt>
                <c:pt idx="214" formatCode="0.00E+00">
                  <c:v>9.5056547579126498E-5</c:v>
                </c:pt>
                <c:pt idx="215" formatCode="0.00E+00">
                  <c:v>9.4958755874141796E-5</c:v>
                </c:pt>
                <c:pt idx="216" formatCode="0.00E+00">
                  <c:v>9.4860982222718995E-5</c:v>
                </c:pt>
                <c:pt idx="217" formatCode="0.00E+00">
                  <c:v>9.4763227281259799E-5</c:v>
                </c:pt>
                <c:pt idx="218" formatCode="0.00E+00">
                  <c:v>9.4665491746190198E-5</c:v>
                </c:pt>
                <c:pt idx="219" formatCode="0.00E+00">
                  <c:v>9.4567776357211203E-5</c:v>
                </c:pt>
                <c:pt idx="220" formatCode="0.00E+00">
                  <c:v>9.4470081900898005E-5</c:v>
                </c:pt>
                <c:pt idx="221" formatCode="0.00E+00">
                  <c:v>9.4372409214671396E-5</c:v>
                </c:pt>
                <c:pt idx="222" formatCode="0.00E+00">
                  <c:v>9.4274759191203798E-5</c:v>
                </c:pt>
                <c:pt idx="223" formatCode="0.00E+00">
                  <c:v>9.4177132783309104E-5</c:v>
                </c:pt>
                <c:pt idx="224" formatCode="0.00E+00">
                  <c:v>9.4079531009389595E-5</c:v>
                </c:pt>
                <c:pt idx="225" formatCode="0.00E+00">
                  <c:v>9.3981954959508206E-5</c:v>
                </c:pt>
                <c:pt idx="226" formatCode="0.00E+00">
                  <c:v>9.3884405802180702E-5</c:v>
                </c:pt>
                <c:pt idx="227" formatCode="0.00E+00">
                  <c:v>9.3786884791989702E-5</c:v>
                </c:pt>
                <c:pt idx="228" formatCode="0.00E+00">
                  <c:v>9.3689393278144104E-5</c:v>
                </c:pt>
                <c:pt idx="229" formatCode="0.00E+00">
                  <c:v>9.3591932714121194E-5</c:v>
                </c:pt>
                <c:pt idx="230" formatCode="0.00E+00">
                  <c:v>9.3494504668574803E-5</c:v>
                </c:pt>
                <c:pt idx="231" formatCode="0.00E+00">
                  <c:v>9.3397110837688705E-5</c:v>
                </c:pt>
                <c:pt idx="232" formatCode="0.00E+00">
                  <c:v>9.3299753059239494E-5</c:v>
                </c:pt>
                <c:pt idx="233" formatCode="0.00E+00">
                  <c:v>9.3202433328634293E-5</c:v>
                </c:pt>
                <c:pt idx="234" formatCode="0.00E+00">
                  <c:v>9.3105153817277204E-5</c:v>
                </c:pt>
                <c:pt idx="235" formatCode="0.00E+00">
                  <c:v>9.3007916893681299E-5</c:v>
                </c:pt>
                <c:pt idx="236" formatCode="0.00E+00">
                  <c:v>9.2910725147822204E-5</c:v>
                </c:pt>
                <c:pt idx="237" formatCode="0.00E+00">
                  <c:v>9.2813581419352504E-5</c:v>
                </c:pt>
                <c:pt idx="238" formatCode="0.00E+00">
                  <c:v>9.2716488830437295E-5</c:v>
                </c:pt>
                <c:pt idx="239" formatCode="0.00E+00">
                  <c:v>9.26194508241286E-5</c:v>
                </c:pt>
                <c:pt idx="240" formatCode="0.00E+00">
                  <c:v>9.2522471209445804E-5</c:v>
                </c:pt>
                <c:pt idx="241" formatCode="0.00E+00">
                  <c:v>9.2425554214607702E-5</c:v>
                </c:pt>
                <c:pt idx="242" formatCode="0.00E+00">
                  <c:v>9.2328704550238301E-5</c:v>
                </c:pt>
                <c:pt idx="243" formatCode="0.00E+00">
                  <c:v>9.2231927484858601E-5</c:v>
                </c:pt>
                <c:pt idx="244" formatCode="0.00E+00">
                  <c:v>9.2135228935631897E-5</c:v>
                </c:pt>
                <c:pt idx="245" formatCode="0.00E+00">
                  <c:v>9.2038615578181299E-5</c:v>
                </c:pt>
                <c:pt idx="246" formatCode="0.00E+00">
                  <c:v>9.1942094980472104E-5</c:v>
                </c:pt>
                <c:pt idx="247" formatCode="0.00E+00">
                  <c:v>9.1845675767316995E-5</c:v>
                </c:pt>
                <c:pt idx="248" formatCode="0.00E+00">
                  <c:v>9.1749367824237504E-5</c:v>
                </c:pt>
                <c:pt idx="249" formatCode="0.00E+00">
                  <c:v>9.1653182552451398E-5</c:v>
                </c:pt>
                <c:pt idx="250" formatCode="0.00E+00">
                  <c:v>9.1557133191011799E-5</c:v>
                </c:pt>
                <c:pt idx="251" formatCode="0.00E+00">
                  <c:v>9.1461235228284304E-5</c:v>
                </c:pt>
                <c:pt idx="252" formatCode="0.00E+00">
                  <c:v>9.1365506933877597E-5</c:v>
                </c:pt>
                <c:pt idx="253" formatCode="0.00E+00">
                  <c:v>9.1269970055428206E-5</c:v>
                </c:pt>
                <c:pt idx="254" formatCode="0.00E+00">
                  <c:v>9.1174650744730703E-5</c:v>
                </c:pt>
                <c:pt idx="255" formatCode="0.00E+00">
                  <c:v>9.1079580808747397E-5</c:v>
                </c:pt>
                <c:pt idx="256" formatCode="0.00E+00">
                  <c:v>9.0984799430162105E-5</c:v>
                </c:pt>
                <c:pt idx="257" formatCode="0.00E+00">
                  <c:v>9.08903555818491E-5</c:v>
                </c:pt>
                <c:pt idx="258" formatCode="0.00E+00">
                  <c:v>9.0796311492721403E-5</c:v>
                </c:pt>
                <c:pt idx="259" formatCode="0.00E+00">
                  <c:v>9.0702747751609194E-5</c:v>
                </c:pt>
                <c:pt idx="260" formatCode="0.00E+00">
                  <c:v>9.06097710440823E-5</c:v>
                </c:pt>
                <c:pt idx="261" formatCode="0.00E+00">
                  <c:v>9.0517526271232906E-5</c:v>
                </c:pt>
                <c:pt idx="262" formatCode="0.00E+00">
                  <c:v>9.0426216244811504E-5</c:v>
                </c:pt>
                <c:pt idx="263" formatCode="0.00E+00">
                  <c:v>9.0336135014964104E-5</c:v>
                </c:pt>
                <c:pt idx="264" formatCode="0.00E+00">
                  <c:v>9.0247726619281201E-5</c:v>
                </c:pt>
                <c:pt idx="265" formatCode="0.00E+00">
                  <c:v>9.0161691687545801E-5</c:v>
                </c:pt>
                <c:pt idx="266" formatCode="0.00E+00">
                  <c:v>9.0079173646528095E-5</c:v>
                </c:pt>
                <c:pt idx="267" formatCode="0.00E+00">
                  <c:v>9.0001939389215999E-5</c:v>
                </c:pt>
                <c:pt idx="268" formatCode="0.00E+00">
                  <c:v>8.9931077019754307E-5</c:v>
                </c:pt>
                <c:pt idx="269" formatCode="0.00E+00">
                  <c:v>8.99278130048458E-5</c:v>
                </c:pt>
                <c:pt idx="270" formatCode="0.00E+00">
                  <c:v>8.9858139536758795E-5</c:v>
                </c:pt>
                <c:pt idx="271" formatCode="0.00E+00">
                  <c:v>8.9787079318219405E-5</c:v>
                </c:pt>
                <c:pt idx="272" formatCode="0.00E+00">
                  <c:v>8.9715201011755801E-5</c:v>
                </c:pt>
                <c:pt idx="273" formatCode="0.00E+00">
                  <c:v>8.9642963945619797E-5</c:v>
                </c:pt>
                <c:pt idx="274" formatCode="0.00E+00">
                  <c:v>8.9570584251085498E-5</c:v>
                </c:pt>
                <c:pt idx="275" formatCode="0.00E+00">
                  <c:v>8.94981636633752E-5</c:v>
                </c:pt>
                <c:pt idx="276" formatCode="0.00E+00">
                  <c:v>8.9493761643080099E-5</c:v>
                </c:pt>
                <c:pt idx="277" formatCode="0.00E+00">
                  <c:v>8.9493761643080099E-5</c:v>
                </c:pt>
                <c:pt idx="278" formatCode="0.00E+00">
                  <c:v>8.9493761643080099E-5</c:v>
                </c:pt>
                <c:pt idx="279" formatCode="0.00E+00">
                  <c:v>8.9194033550568194E-5</c:v>
                </c:pt>
                <c:pt idx="280" formatCode="0.00E+00">
                  <c:v>8.8964689234531899E-5</c:v>
                </c:pt>
                <c:pt idx="281" formatCode="0.00E+00">
                  <c:v>8.8734795252188206E-5</c:v>
                </c:pt>
                <c:pt idx="282" formatCode="0.00E+00">
                  <c:v>8.85065930865244E-5</c:v>
                </c:pt>
                <c:pt idx="283" formatCode="0.00E+00">
                  <c:v>8.8279708811685994E-5</c:v>
                </c:pt>
                <c:pt idx="284" formatCode="0.00E+00">
                  <c:v>8.8053794195192906E-5</c:v>
                </c:pt>
                <c:pt idx="285" formatCode="0.00E+00">
                  <c:v>8.7828674592561106E-5</c:v>
                </c:pt>
                <c:pt idx="286" formatCode="0.00E+00">
                  <c:v>8.7604259278154594E-5</c:v>
                </c:pt>
                <c:pt idx="287" formatCode="0.00E+00">
                  <c:v>8.7380505031554507E-5</c:v>
                </c:pt>
                <c:pt idx="288" formatCode="0.00E+00">
                  <c:v>8.7157399545458004E-5</c:v>
                </c:pt>
                <c:pt idx="289" formatCode="0.00E+00">
                  <c:v>8.6934953597557003E-5</c:v>
                </c:pt>
                <c:pt idx="290" formatCode="0.00E+00">
                  <c:v>8.6713197754087406E-5</c:v>
                </c:pt>
                <c:pt idx="291" formatCode="0.00E+00">
                  <c:v>8.6492181883300994E-5</c:v>
                </c:pt>
                <c:pt idx="292" formatCode="0.00E+00">
                  <c:v>8.6271976862224603E-5</c:v>
                </c:pt>
                <c:pt idx="293" formatCode="0.00E+00">
                  <c:v>8.6052678484734902E-5</c:v>
                </c:pt>
                <c:pt idx="294" formatCode="0.00E+00">
                  <c:v>8.5834414094159195E-5</c:v>
                </c:pt>
                <c:pt idx="295" formatCode="0.00E+00">
                  <c:v>8.5617353096027396E-5</c:v>
                </c:pt>
                <c:pt idx="296" formatCode="0.00E+00">
                  <c:v>8.5401723512982996E-5</c:v>
                </c:pt>
                <c:pt idx="297" formatCode="0.00E+00">
                  <c:v>8.5187838576097704E-5</c:v>
                </c:pt>
                <c:pt idx="298" formatCode="0.00E+00">
                  <c:v>8.4976140966532996E-5</c:v>
                </c:pt>
                <c:pt idx="299" formatCode="0.00E+00">
                  <c:v>8.4767279978230199E-5</c:v>
                </c:pt>
                <c:pt idx="300" formatCode="0.00E+00">
                  <c:v>8.45622542233879E-5</c:v>
                </c:pt>
                <c:pt idx="301" formatCode="0.00E+00">
                  <c:v>8.4362694667501598E-5</c:v>
                </c:pt>
                <c:pt idx="302" formatCode="0.00E+00">
                  <c:v>8.4171470639896105E-5</c:v>
                </c:pt>
                <c:pt idx="303" formatCode="0.00E+00">
                  <c:v>8.3994053507423301E-5</c:v>
                </c:pt>
                <c:pt idx="304" formatCode="0.00E+00">
                  <c:v>8.3841738886228202E-5</c:v>
                </c:pt>
                <c:pt idx="305" formatCode="0.00E+00">
                  <c:v>8.3723049222801898E-5</c:v>
                </c:pt>
                <c:pt idx="306" formatCode="0.00E+00">
                  <c:v>8.3734187988937305E-5</c:v>
                </c:pt>
                <c:pt idx="307" formatCode="0.00E+00">
                  <c:v>8.3753081114185595E-5</c:v>
                </c:pt>
                <c:pt idx="308" formatCode="0.00E+00">
                  <c:v>8.3753081114185595E-5</c:v>
                </c:pt>
                <c:pt idx="309" formatCode="0.00E+00">
                  <c:v>8.3753081114185595E-5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Implicit_Fracs!$C$5:$C$314</c:f>
              <c:numCache>
                <c:formatCode>General</c:formatCode>
                <c:ptCount val="310"/>
                <c:pt idx="0">
                  <c:v>0.13164836335685801</c:v>
                </c:pt>
                <c:pt idx="1">
                  <c:v>0.13174831742784901</c:v>
                </c:pt>
                <c:pt idx="2">
                  <c:v>0.131814325176488</c:v>
                </c:pt>
                <c:pt idx="3">
                  <c:v>0.13186377086317799</c:v>
                </c:pt>
                <c:pt idx="4">
                  <c:v>0.13190336566689301</c:v>
                </c:pt>
                <c:pt idx="5">
                  <c:v>0.13193641917955301</c:v>
                </c:pt>
                <c:pt idx="6">
                  <c:v>0.13196480990574899</c:v>
                </c:pt>
                <c:pt idx="7">
                  <c:v>0.131989707564308</c:v>
                </c:pt>
                <c:pt idx="8">
                  <c:v>0.132011890254908</c:v>
                </c:pt>
                <c:pt idx="9">
                  <c:v>0.132031901904686</c:v>
                </c:pt>
                <c:pt idx="10">
                  <c:v>0.132050137753493</c:v>
                </c:pt>
                <c:pt idx="11">
                  <c:v>0.13206689406580899</c:v>
                </c:pt>
                <c:pt idx="12">
                  <c:v>0.132082398656449</c:v>
                </c:pt>
                <c:pt idx="13">
                  <c:v>0.132096830483731</c:v>
                </c:pt>
                <c:pt idx="14">
                  <c:v>0.13211033269671599</c:v>
                </c:pt>
                <c:pt idx="15">
                  <c:v>0.13212302159759301</c:v>
                </c:pt>
                <c:pt idx="16">
                  <c:v>0.13213499296405401</c:v>
                </c:pt>
                <c:pt idx="17">
                  <c:v>0.13214632661325601</c:v>
                </c:pt>
                <c:pt idx="18">
                  <c:v>0.132157089763519</c:v>
                </c:pt>
                <c:pt idx="19">
                  <c:v>0.132167339554908</c:v>
                </c:pt>
                <c:pt idx="20">
                  <c:v>0.132177124969275</c:v>
                </c:pt>
                <c:pt idx="21">
                  <c:v>0.132186488313704</c:v>
                </c:pt>
                <c:pt idx="22">
                  <c:v>0.132195466381343</c:v>
                </c:pt>
                <c:pt idx="23">
                  <c:v>0.13220409137031</c:v>
                </c:pt>
                <c:pt idx="24">
                  <c:v>0.1322123916188</c:v>
                </c:pt>
                <c:pt idx="25">
                  <c:v>0.132220392198791</c:v>
                </c:pt>
                <c:pt idx="26">
                  <c:v>0.13222811539981</c:v>
                </c:pt>
                <c:pt idx="27">
                  <c:v>0.13223558112630501</c:v>
                </c:pt>
                <c:pt idx="28">
                  <c:v>0.13224280722651799</c:v>
                </c:pt>
                <c:pt idx="29">
                  <c:v>0.13224980976654199</c:v>
                </c:pt>
                <c:pt idx="30">
                  <c:v>0.13225660326019101</c:v>
                </c:pt>
                <c:pt idx="31">
                  <c:v>0.13226320086295401</c:v>
                </c:pt>
                <c:pt idx="32">
                  <c:v>0.13226961453657801</c:v>
                </c:pt>
                <c:pt idx="33">
                  <c:v>0.13227585518944099</c:v>
                </c:pt>
                <c:pt idx="34">
                  <c:v>0.13228193279689099</c:v>
                </c:pt>
                <c:pt idx="35">
                  <c:v>0.13228785650486699</c:v>
                </c:pt>
                <c:pt idx="36">
                  <c:v>0.13229363471953201</c:v>
                </c:pt>
                <c:pt idx="37">
                  <c:v>0.13229927518510501</c:v>
                </c:pt>
                <c:pt idx="38">
                  <c:v>0.13230478505189899</c:v>
                </c:pt>
                <c:pt idx="39">
                  <c:v>0.132310170935689</c:v>
                </c:pt>
                <c:pt idx="40">
                  <c:v>0.132315438969837</c:v>
                </c:pt>
                <c:pt idx="41">
                  <c:v>0.13232059485122499</c:v>
                </c:pt>
                <c:pt idx="42">
                  <c:v>0.13232564388083301</c:v>
                </c:pt>
                <c:pt idx="43">
                  <c:v>0.13233059099972999</c:v>
                </c:pt>
                <c:pt idx="44">
                  <c:v>0.13233544082104801</c:v>
                </c:pt>
                <c:pt idx="45">
                  <c:v>0.132340197658498</c:v>
                </c:pt>
                <c:pt idx="46">
                  <c:v>0.13234486555185099</c:v>
                </c:pt>
                <c:pt idx="47">
                  <c:v>0.132349448289759</c:v>
                </c:pt>
                <c:pt idx="48">
                  <c:v>0.13235394943025999</c:v>
                </c:pt>
                <c:pt idx="49">
                  <c:v>0.13235837231923001</c:v>
                </c:pt>
                <c:pt idx="50">
                  <c:v>0.13236272010702199</c:v>
                </c:pt>
                <c:pt idx="51">
                  <c:v>0.13236699576351699</c:v>
                </c:pt>
                <c:pt idx="52">
                  <c:v>0.13237120209174699</c:v>
                </c:pt>
                <c:pt idx="53">
                  <c:v>0.132375341740263</c:v>
                </c:pt>
                <c:pt idx="54">
                  <c:v>0.13237941721437901</c:v>
                </c:pt>
                <c:pt idx="55">
                  <c:v>0.132383430886412</c:v>
                </c:pt>
                <c:pt idx="56">
                  <c:v>0.132387385005025</c:v>
                </c:pt>
                <c:pt idx="57">
                  <c:v>0.13239128170376399</c:v>
                </c:pt>
                <c:pt idx="58">
                  <c:v>0.13239512300888101</c:v>
                </c:pt>
                <c:pt idx="59">
                  <c:v>0.132398910846489</c:v>
                </c:pt>
                <c:pt idx="60">
                  <c:v>0.13240264704915</c:v>
                </c:pt>
                <c:pt idx="61">
                  <c:v>0.13240633336192001</c:v>
                </c:pt>
                <c:pt idx="62">
                  <c:v>0.13240997144792099</c:v>
                </c:pt>
                <c:pt idx="63">
                  <c:v>0.132413562893474</c:v>
                </c:pt>
                <c:pt idx="64">
                  <c:v>0.132417109212841</c:v>
                </c:pt>
                <c:pt idx="65">
                  <c:v>0.132420611852609</c:v>
                </c:pt>
                <c:pt idx="66">
                  <c:v>0.13242407219574501</c:v>
                </c:pt>
                <c:pt idx="67">
                  <c:v>0.13242749156535599</c:v>
                </c:pt>
                <c:pt idx="68">
                  <c:v>0.13243087122817501</c:v>
                </c:pt>
                <c:pt idx="69">
                  <c:v>0.13243421239779701</c:v>
                </c:pt>
                <c:pt idx="70">
                  <c:v>0.13243751623769601</c:v>
                </c:pt>
                <c:pt idx="71">
                  <c:v>0.132440783864022</c:v>
                </c:pt>
                <c:pt idx="72">
                  <c:v>0.13244401634821701</c:v>
                </c:pt>
                <c:pt idx="73">
                  <c:v>0.13244721471944401</c:v>
                </c:pt>
                <c:pt idx="74">
                  <c:v>0.13245037996687001</c:v>
                </c:pt>
                <c:pt idx="75">
                  <c:v>0.13245351304177999</c:v>
                </c:pt>
                <c:pt idx="76">
                  <c:v>0.13245661485957499</c:v>
                </c:pt>
                <c:pt idx="77">
                  <c:v>0.132459686301623</c:v>
                </c:pt>
                <c:pt idx="78">
                  <c:v>0.13246272821701099</c:v>
                </c:pt>
                <c:pt idx="79">
                  <c:v>0.132465741424173</c:v>
                </c:pt>
                <c:pt idx="80">
                  <c:v>0.13246872671243001</c:v>
                </c:pt>
                <c:pt idx="81">
                  <c:v>0.132471684843428</c:v>
                </c:pt>
                <c:pt idx="82">
                  <c:v>0.13247461655249701</c:v>
                </c:pt>
                <c:pt idx="83">
                  <c:v>0.13247752254992401</c:v>
                </c:pt>
                <c:pt idx="84">
                  <c:v>0.13248040352215701</c:v>
                </c:pt>
                <c:pt idx="85">
                  <c:v>0.13248326013293299</c:v>
                </c:pt>
                <c:pt idx="86">
                  <c:v>0.13248609302434999</c:v>
                </c:pt>
                <c:pt idx="87">
                  <c:v>0.13248890281787101</c:v>
                </c:pt>
                <c:pt idx="88">
                  <c:v>0.132491690115279</c:v>
                </c:pt>
                <c:pt idx="89">
                  <c:v>0.132494455499574</c:v>
                </c:pt>
                <c:pt idx="90">
                  <c:v>0.13249719953582401</c:v>
                </c:pt>
                <c:pt idx="91">
                  <c:v>0.132499922771974</c:v>
                </c:pt>
                <c:pt idx="92">
                  <c:v>0.132502625739603</c:v>
                </c:pt>
                <c:pt idx="93">
                  <c:v>0.13250530895465101</c:v>
                </c:pt>
                <c:pt idx="94">
                  <c:v>0.13250797291810601</c:v>
                </c:pt>
                <c:pt idx="95">
                  <c:v>0.13251061811664699</c:v>
                </c:pt>
                <c:pt idx="96">
                  <c:v>0.132513245023273</c:v>
                </c:pt>
                <c:pt idx="97">
                  <c:v>0.132515854097881</c:v>
                </c:pt>
                <c:pt idx="98">
                  <c:v>0.13251844578782901</c:v>
                </c:pt>
                <c:pt idx="99">
                  <c:v>0.13252102052846701</c:v>
                </c:pt>
                <c:pt idx="100">
                  <c:v>0.13252357874364101</c:v>
                </c:pt>
                <c:pt idx="101">
                  <c:v>0.13252612084617801</c:v>
                </c:pt>
                <c:pt idx="102">
                  <c:v>0.13252864723834301</c:v>
                </c:pt>
                <c:pt idx="103">
                  <c:v>0.13253115831227899</c:v>
                </c:pt>
                <c:pt idx="104">
                  <c:v>0.13253365445042301</c:v>
                </c:pt>
                <c:pt idx="105">
                  <c:v>0.132536136025908</c:v>
                </c:pt>
                <c:pt idx="106">
                  <c:v>0.13253860340294499</c:v>
                </c:pt>
                <c:pt idx="107">
                  <c:v>0.13254105693718801</c:v>
                </c:pt>
                <c:pt idx="108">
                  <c:v>0.132543496976081</c:v>
                </c:pt>
                <c:pt idx="109">
                  <c:v>0.132545923859197</c:v>
                </c:pt>
                <c:pt idx="110">
                  <c:v>0.132548337918557</c:v>
                </c:pt>
                <c:pt idx="111">
                  <c:v>0.132550739478936</c:v>
                </c:pt>
                <c:pt idx="112">
                  <c:v>0.13255312885816001</c:v>
                </c:pt>
                <c:pt idx="113">
                  <c:v>0.132555506367391</c:v>
                </c:pt>
                <c:pt idx="114">
                  <c:v>0.13255787231139399</c:v>
                </c:pt>
                <c:pt idx="115">
                  <c:v>0.13256022698880601</c:v>
                </c:pt>
                <c:pt idx="116">
                  <c:v>0.13256257069238001</c:v>
                </c:pt>
                <c:pt idx="117">
                  <c:v>0.13256490370923599</c:v>
                </c:pt>
                <c:pt idx="118">
                  <c:v>0.132567226321089</c:v>
                </c:pt>
                <c:pt idx="119">
                  <c:v>0.132569538804475</c:v>
                </c:pt>
                <c:pt idx="120">
                  <c:v>0.132571841430971</c:v>
                </c:pt>
                <c:pt idx="121">
                  <c:v>0.13257413446740399</c:v>
                </c:pt>
                <c:pt idx="122">
                  <c:v>0.13257641817605401</c:v>
                </c:pt>
                <c:pt idx="123">
                  <c:v>0.13257869281484999</c:v>
                </c:pt>
                <c:pt idx="124">
                  <c:v>0.132580958637564</c:v>
                </c:pt>
                <c:pt idx="125">
                  <c:v>0.132583215893989</c:v>
                </c:pt>
                <c:pt idx="126">
                  <c:v>0.13258546483012401</c:v>
                </c:pt>
                <c:pt idx="127">
                  <c:v>0.13258770568834599</c:v>
                </c:pt>
                <c:pt idx="128">
                  <c:v>0.13258993870757799</c:v>
                </c:pt>
                <c:pt idx="129">
                  <c:v>0.13259216412345401</c:v>
                </c:pt>
                <c:pt idx="130">
                  <c:v>0.13259438216847899</c:v>
                </c:pt>
                <c:pt idx="131">
                  <c:v>0.13259659307218699</c:v>
                </c:pt>
                <c:pt idx="132">
                  <c:v>0.13259879706128999</c:v>
                </c:pt>
                <c:pt idx="133">
                  <c:v>0.132600994359831</c:v>
                </c:pt>
                <c:pt idx="134">
                  <c:v>0.13260318518932601</c:v>
                </c:pt>
                <c:pt idx="135">
                  <c:v>0.13260536976890799</c:v>
                </c:pt>
                <c:pt idx="136">
                  <c:v>0.132607548315469</c:v>
                </c:pt>
                <c:pt idx="137">
                  <c:v>0.13260972104379501</c:v>
                </c:pt>
                <c:pt idx="138">
                  <c:v>0.132611888166702</c:v>
                </c:pt>
                <c:pt idx="139">
                  <c:v>0.13261404989517001</c:v>
                </c:pt>
                <c:pt idx="140">
                  <c:v>0.13261620643847399</c:v>
                </c:pt>
                <c:pt idx="141">
                  <c:v>0.13261835800430899</c:v>
                </c:pt>
                <c:pt idx="142">
                  <c:v>0.13262050479892901</c:v>
                </c:pt>
                <c:pt idx="143">
                  <c:v>0.13262264702726001</c:v>
                </c:pt>
                <c:pt idx="144">
                  <c:v>0.132624784893038</c:v>
                </c:pt>
                <c:pt idx="145">
                  <c:v>0.132626918598926</c:v>
                </c:pt>
                <c:pt idx="146">
                  <c:v>0.13262904834664299</c:v>
                </c:pt>
                <c:pt idx="147">
                  <c:v>0.13263117433708499</c:v>
                </c:pt>
                <c:pt idx="148">
                  <c:v>0.13263329677044799</c:v>
                </c:pt>
                <c:pt idx="149">
                  <c:v>0.13263541584635499</c:v>
                </c:pt>
                <c:pt idx="150">
                  <c:v>0.13263753176397799</c:v>
                </c:pt>
                <c:pt idx="151">
                  <c:v>0.13263964472216</c:v>
                </c:pt>
                <c:pt idx="152">
                  <c:v>0.13264175491954</c:v>
                </c:pt>
                <c:pt idx="153">
                  <c:v>0.132643862554683</c:v>
                </c:pt>
                <c:pt idx="154">
                  <c:v>0.132645967826199</c:v>
                </c:pt>
                <c:pt idx="155">
                  <c:v>0.13264807093287501</c:v>
                </c:pt>
                <c:pt idx="156">
                  <c:v>0.132650172073802</c:v>
                </c:pt>
                <c:pt idx="157">
                  <c:v>0.132652271448509</c:v>
                </c:pt>
                <c:pt idx="158">
                  <c:v>0.13265436925708801</c:v>
                </c:pt>
                <c:pt idx="159">
                  <c:v>0.13265646570033501</c:v>
                </c:pt>
                <c:pt idx="160">
                  <c:v>0.13265856097988399</c:v>
                </c:pt>
                <c:pt idx="161">
                  <c:v>0.132660655298346</c:v>
                </c:pt>
                <c:pt idx="162">
                  <c:v>0.132662748859454</c:v>
                </c:pt>
                <c:pt idx="163">
                  <c:v>0.13266484186820501</c:v>
                </c:pt>
                <c:pt idx="164">
                  <c:v>0.13266693453101</c:v>
                </c:pt>
                <c:pt idx="165">
                  <c:v>0.13266902705584799</c:v>
                </c:pt>
                <c:pt idx="166">
                  <c:v>0.13267111965242301</c:v>
                </c:pt>
                <c:pt idx="167">
                  <c:v>0.132673212532323</c:v>
                </c:pt>
                <c:pt idx="168">
                  <c:v>0.132675305909189</c:v>
                </c:pt>
                <c:pt idx="169">
                  <c:v>0.132677399998884</c:v>
                </c:pt>
                <c:pt idx="170">
                  <c:v>0.13267949501967199</c:v>
                </c:pt>
                <c:pt idx="171">
                  <c:v>0.132681591192402</c:v>
                </c:pt>
                <c:pt idx="172">
                  <c:v>0.132683688740695</c:v>
                </c:pt>
                <c:pt idx="173">
                  <c:v>0.13268578789114299</c:v>
                </c:pt>
                <c:pt idx="174">
                  <c:v>0.13268788887351199</c:v>
                </c:pt>
                <c:pt idx="175">
                  <c:v>0.13268999192095701</c:v>
                </c:pt>
                <c:pt idx="176">
                  <c:v>0.13269209727023901</c:v>
                </c:pt>
                <c:pt idx="177">
                  <c:v>0.13269420516196201</c:v>
                </c:pt>
                <c:pt idx="178">
                  <c:v>0.13269631584080599</c:v>
                </c:pt>
                <c:pt idx="179">
                  <c:v>0.13269842955578601</c:v>
                </c:pt>
                <c:pt idx="180">
                  <c:v>0.132700546560511</c:v>
                </c:pt>
                <c:pt idx="181">
                  <c:v>0.13270266711345699</c:v>
                </c:pt>
                <c:pt idx="182">
                  <c:v>0.132704791478263</c:v>
                </c:pt>
                <c:pt idx="183">
                  <c:v>0.132706919924029</c:v>
                </c:pt>
                <c:pt idx="184">
                  <c:v>0.13270905272563599</c:v>
                </c:pt>
                <c:pt idx="185">
                  <c:v>0.13271119016407801</c:v>
                </c:pt>
                <c:pt idx="186">
                  <c:v>0.13271333252682199</c:v>
                </c:pt>
                <c:pt idx="187">
                  <c:v>0.132715480108173</c:v>
                </c:pt>
                <c:pt idx="188">
                  <c:v>0.13271763320966901</c:v>
                </c:pt>
                <c:pt idx="189">
                  <c:v>0.13271979214049601</c:v>
                </c:pt>
                <c:pt idx="190">
                  <c:v>0.13272195721792501</c:v>
                </c:pt>
                <c:pt idx="191">
                  <c:v>0.132724128767778</c:v>
                </c:pt>
                <c:pt idx="192">
                  <c:v>0.13272630712491701</c:v>
                </c:pt>
                <c:pt idx="193">
                  <c:v>0.13272849263376901</c:v>
                </c:pt>
                <c:pt idx="194">
                  <c:v>0.132730685648876</c:v>
                </c:pt>
                <c:pt idx="195">
                  <c:v>0.13273288653548501</c:v>
                </c:pt>
                <c:pt idx="196">
                  <c:v>0.13273509567017699</c:v>
                </c:pt>
                <c:pt idx="197">
                  <c:v>0.132737313441533</c:v>
                </c:pt>
                <c:pt idx="198">
                  <c:v>0.132739540250841</c:v>
                </c:pt>
                <c:pt idx="199">
                  <c:v>0.13274177651286501</c:v>
                </c:pt>
                <c:pt idx="200">
                  <c:v>0.13274402265665</c:v>
                </c:pt>
                <c:pt idx="201">
                  <c:v>0.132746279126393</c:v>
                </c:pt>
                <c:pt idx="202">
                  <c:v>0.13274854638237599</c:v>
                </c:pt>
                <c:pt idx="203">
                  <c:v>0.132750824901961</c:v>
                </c:pt>
                <c:pt idx="204">
                  <c:v>0.13275311518066599</c:v>
                </c:pt>
                <c:pt idx="205">
                  <c:v>0.13275541773331401</c:v>
                </c:pt>
                <c:pt idx="206">
                  <c:v>0.132757733095279</c:v>
                </c:pt>
                <c:pt idx="207">
                  <c:v>0.132760061823818</c:v>
                </c:pt>
                <c:pt idx="208">
                  <c:v>0.13276240449951601</c:v>
                </c:pt>
                <c:pt idx="209">
                  <c:v>0.13276476172784801</c:v>
                </c:pt>
                <c:pt idx="210">
                  <c:v>0.13276713414086799</c:v>
                </c:pt>
                <c:pt idx="211">
                  <c:v>0.13276952239903</c:v>
                </c:pt>
                <c:pt idx="212">
                  <c:v>0.13277192719318501</c:v>
                </c:pt>
                <c:pt idx="213">
                  <c:v>0.13277434924672901</c:v>
                </c:pt>
                <c:pt idx="214">
                  <c:v>0.132776789317957</c:v>
                </c:pt>
                <c:pt idx="215">
                  <c:v>0.13277924820261999</c:v>
                </c:pt>
                <c:pt idx="216">
                  <c:v>0.132781726736725</c:v>
                </c:pt>
                <c:pt idx="217">
                  <c:v>0.13278422579959301</c:v>
                </c:pt>
                <c:pt idx="218">
                  <c:v>0.13278674631720599</c:v>
                </c:pt>
                <c:pt idx="219">
                  <c:v>0.132789289265896</c:v>
                </c:pt>
                <c:pt idx="220">
                  <c:v>0.13279185567638299</c:v>
                </c:pt>
                <c:pt idx="221">
                  <c:v>0.132794446638243</c:v>
                </c:pt>
                <c:pt idx="222">
                  <c:v>0.13279706330482899</c:v>
                </c:pt>
                <c:pt idx="223">
                  <c:v>0.132799706898722</c:v>
                </c:pt>
                <c:pt idx="224">
                  <c:v>0.132802378717778</c:v>
                </c:pt>
                <c:pt idx="225">
                  <c:v>0.132805080141845</c:v>
                </c:pt>
                <c:pt idx="226">
                  <c:v>0.13280781264025199</c:v>
                </c:pt>
                <c:pt idx="227">
                  <c:v>0.132810577780172</c:v>
                </c:pt>
                <c:pt idx="228">
                  <c:v>0.13281337723598599</c:v>
                </c:pt>
                <c:pt idx="229">
                  <c:v>0.13281621279980399</c:v>
                </c:pt>
                <c:pt idx="230">
                  <c:v>0.132819086393311</c:v>
                </c:pt>
                <c:pt idx="231">
                  <c:v>0.132822000081147</c:v>
                </c:pt>
                <c:pt idx="232">
                  <c:v>0.132824956086074</c:v>
                </c:pt>
                <c:pt idx="233">
                  <c:v>0.13282795680621301</c:v>
                </c:pt>
                <c:pt idx="234">
                  <c:v>0.13283100483471399</c:v>
                </c:pt>
                <c:pt idx="235">
                  <c:v>0.13283410298228401</c:v>
                </c:pt>
                <c:pt idx="236">
                  <c:v>0.13283725430307999</c:v>
                </c:pt>
                <c:pt idx="237">
                  <c:v>0.13284046212460199</c:v>
                </c:pt>
                <c:pt idx="238">
                  <c:v>0.13284373008234701</c:v>
                </c:pt>
                <c:pt idx="239">
                  <c:v>0.13284706216018199</c:v>
                </c:pt>
                <c:pt idx="240">
                  <c:v>0.13285046273759499</c:v>
                </c:pt>
                <c:pt idx="241">
                  <c:v>0.13285393664530001</c:v>
                </c:pt>
                <c:pt idx="242">
                  <c:v>0.13285748923103799</c:v>
                </c:pt>
                <c:pt idx="243">
                  <c:v>0.13286112643791401</c:v>
                </c:pt>
                <c:pt idx="244">
                  <c:v>0.132864854898255</c:v>
                </c:pt>
                <c:pt idx="245">
                  <c:v>0.13286868204686</c:v>
                </c:pt>
                <c:pt idx="246">
                  <c:v>0.13287261625866401</c:v>
                </c:pt>
                <c:pt idx="247">
                  <c:v>0.132876667017443</c:v>
                </c:pt>
                <c:pt idx="248">
                  <c:v>0.132880845124389</c:v>
                </c:pt>
                <c:pt idx="249">
                  <c:v>0.13288516295844799</c:v>
                </c:pt>
                <c:pt idx="250">
                  <c:v>0.13288963480469199</c:v>
                </c:pt>
                <c:pt idx="251">
                  <c:v>0.13289427727328901</c:v>
                </c:pt>
                <c:pt idx="252">
                  <c:v>0.13289910984085401</c:v>
                </c:pt>
                <c:pt idx="253">
                  <c:v>0.132904155559849</c:v>
                </c:pt>
                <c:pt idx="254">
                  <c:v>0.13290944200277299</c:v>
                </c:pt>
                <c:pt idx="255">
                  <c:v>0.13291500254108701</c:v>
                </c:pt>
                <c:pt idx="256">
                  <c:v>0.13292087811204301</c:v>
                </c:pt>
                <c:pt idx="257">
                  <c:v>0.132927119714948</c:v>
                </c:pt>
                <c:pt idx="258">
                  <c:v>0.132933792029892</c:v>
                </c:pt>
                <c:pt idx="259">
                  <c:v>0.132940978822192</c:v>
                </c:pt>
                <c:pt idx="260">
                  <c:v>0.13294879130005999</c:v>
                </c:pt>
                <c:pt idx="261">
                  <c:v>0.132957381584934</c:v>
                </c:pt>
                <c:pt idx="262">
                  <c:v>0.13296696553123799</c:v>
                </c:pt>
                <c:pt idx="263">
                  <c:v>0.13297786382384399</c:v>
                </c:pt>
                <c:pt idx="264">
                  <c:v>0.132990581906959</c:v>
                </c:pt>
                <c:pt idx="265">
                  <c:v>0.13300598168556699</c:v>
                </c:pt>
                <c:pt idx="266">
                  <c:v>0.13302570306129599</c:v>
                </c:pt>
                <c:pt idx="267">
                  <c:v>0.133053413662858</c:v>
                </c:pt>
                <c:pt idx="268">
                  <c:v>0.13309974144758499</c:v>
                </c:pt>
                <c:pt idx="269">
                  <c:v>0.13321378154653299</c:v>
                </c:pt>
                <c:pt idx="270">
                  <c:v>0.13336682861826901</c:v>
                </c:pt>
                <c:pt idx="271">
                  <c:v>0.13351953708365299</c:v>
                </c:pt>
                <c:pt idx="272">
                  <c:v>0.133672756082719</c:v>
                </c:pt>
                <c:pt idx="273">
                  <c:v>0.13382654271444999</c:v>
                </c:pt>
                <c:pt idx="274">
                  <c:v>0.1339809270474</c:v>
                </c:pt>
                <c:pt idx="275">
                  <c:v>0.13413592636935101</c:v>
                </c:pt>
                <c:pt idx="276">
                  <c:v>0.13429155195650999</c:v>
                </c:pt>
                <c:pt idx="277">
                  <c:v>0.229108280555748</c:v>
                </c:pt>
                <c:pt idx="278">
                  <c:v>0.22910828280913501</c:v>
                </c:pt>
                <c:pt idx="279">
                  <c:v>0.38305732976120799</c:v>
                </c:pt>
                <c:pt idx="280">
                  <c:v>0.38333587250425699</c:v>
                </c:pt>
                <c:pt idx="281">
                  <c:v>0.38357840372985702</c:v>
                </c:pt>
                <c:pt idx="282">
                  <c:v>0.38379485836785199</c:v>
                </c:pt>
                <c:pt idx="283">
                  <c:v>0.38399180760400198</c:v>
                </c:pt>
                <c:pt idx="284">
                  <c:v>0.384173807056849</c:v>
                </c:pt>
                <c:pt idx="285">
                  <c:v>0.38434416321224601</c:v>
                </c:pt>
                <c:pt idx="286">
                  <c:v>0.38450537598643098</c:v>
                </c:pt>
                <c:pt idx="287">
                  <c:v>0.38465940776560398</c:v>
                </c:pt>
                <c:pt idx="288">
                  <c:v>0.38480785573939102</c:v>
                </c:pt>
                <c:pt idx="289">
                  <c:v>0.384952068264445</c:v>
                </c:pt>
                <c:pt idx="290">
                  <c:v>0.38509322812937802</c:v>
                </c:pt>
                <c:pt idx="291">
                  <c:v>0.38523241647348</c:v>
                </c:pt>
                <c:pt idx="292">
                  <c:v>0.385370666441891</c:v>
                </c:pt>
                <c:pt idx="293">
                  <c:v>0.385509013499586</c:v>
                </c:pt>
                <c:pt idx="294">
                  <c:v>0.38564854888670203</c:v>
                </c:pt>
                <c:pt idx="295">
                  <c:v>0.385790483898592</c:v>
                </c:pt>
                <c:pt idx="296">
                  <c:v>0.38593623614144101</c:v>
                </c:pt>
                <c:pt idx="297">
                  <c:v>0.38608755645093301</c:v>
                </c:pt>
                <c:pt idx="298">
                  <c:v>0.38624673120118802</c:v>
                </c:pt>
                <c:pt idx="299">
                  <c:v>0.38641693053499898</c:v>
                </c:pt>
                <c:pt idx="300">
                  <c:v>0.38660285978241898</c:v>
                </c:pt>
                <c:pt idx="301">
                  <c:v>0.38681210620158402</c:v>
                </c:pt>
                <c:pt idx="302">
                  <c:v>0.38705831096616899</c:v>
                </c:pt>
                <c:pt idx="303">
                  <c:v>0.38737014098822098</c:v>
                </c:pt>
                <c:pt idx="304">
                  <c:v>0.38782486586522802</c:v>
                </c:pt>
                <c:pt idx="305">
                  <c:v>0.38875106087786898</c:v>
                </c:pt>
                <c:pt idx="306">
                  <c:v>0.39343249839230199</c:v>
                </c:pt>
                <c:pt idx="307">
                  <c:v>0.40121720513367698</c:v>
                </c:pt>
                <c:pt idx="308">
                  <c:v>0.60121720513367705</c:v>
                </c:pt>
                <c:pt idx="309">
                  <c:v>0.60121720513367705</c:v>
                </c:pt>
              </c:numCache>
            </c:numRef>
          </c:xVal>
          <c:yVal>
            <c:numRef>
              <c:f>Implicit_Fracs!$BM$5:$BM$314</c:f>
              <c:numCache>
                <c:formatCode>0.00E+00</c:formatCode>
                <c:ptCount val="310"/>
                <c:pt idx="0">
                  <c:v>1.27323954473467E-6</c:v>
                </c:pt>
                <c:pt idx="1">
                  <c:v>2.5438011073601499E-6</c:v>
                </c:pt>
                <c:pt idx="2">
                  <c:v>3.8143598090292701E-6</c:v>
                </c:pt>
                <c:pt idx="3">
                  <c:v>5.0849107003291397E-6</c:v>
                </c:pt>
                <c:pt idx="4">
                  <c:v>6.3554527528181297E-6</c:v>
                </c:pt>
                <c:pt idx="5">
                  <c:v>7.6259856299109803E-6</c:v>
                </c:pt>
                <c:pt idx="6">
                  <c:v>8.8965091542114807E-6</c:v>
                </c:pt>
                <c:pt idx="7">
                  <c:v>1.01670231873638E-5</c:v>
                </c:pt>
                <c:pt idx="8">
                  <c:v>1.1437527601185901E-5</c:v>
                </c:pt>
                <c:pt idx="9">
                  <c:v>1.2708022271579699E-5</c:v>
                </c:pt>
                <c:pt idx="10">
                  <c:v>1.39785070778958E-5</c:v>
                </c:pt>
                <c:pt idx="11">
                  <c:v>1.52489819031873E-5</c:v>
                </c:pt>
                <c:pt idx="12">
                  <c:v>1.6519446634333801E-5</c:v>
                </c:pt>
                <c:pt idx="13">
                  <c:v>1.7789901161875701E-5</c:v>
                </c:pt>
                <c:pt idx="14">
                  <c:v>1.90603453796768E-5</c:v>
                </c:pt>
                <c:pt idx="15">
                  <c:v>2.0330779184492701E-5</c:v>
                </c:pt>
                <c:pt idx="16">
                  <c:v>2.1601202475525999E-5</c:v>
                </c:pt>
                <c:pt idx="17">
                  <c:v>2.2871615154007701E-5</c:v>
                </c:pt>
                <c:pt idx="18">
                  <c:v>2.4142017122800299E-5</c:v>
                </c:pt>
                <c:pt idx="19">
                  <c:v>2.54124082860697E-5</c:v>
                </c:pt>
                <c:pt idx="20">
                  <c:v>2.6682788548977901E-5</c:v>
                </c:pt>
                <c:pt idx="21">
                  <c:v>2.7953157817443601E-5</c:v>
                </c:pt>
                <c:pt idx="22">
                  <c:v>2.9223515997903501E-5</c:v>
                </c:pt>
                <c:pt idx="23">
                  <c:v>3.0493862997131101E-5</c:v>
                </c:pt>
                <c:pt idx="24">
                  <c:v>3.1764198722083598E-5</c:v>
                </c:pt>
                <c:pt idx="25">
                  <c:v>3.30345230797437E-5</c:v>
                </c:pt>
                <c:pt idx="26">
                  <c:v>3.4304835977005497E-5</c:v>
                </c:pt>
                <c:pt idx="27">
                  <c:v>3.5575137320567302E-5</c:v>
                </c:pt>
                <c:pt idx="28">
                  <c:v>3.6845427016828199E-5</c:v>
                </c:pt>
                <c:pt idx="29">
                  <c:v>3.8115704971811203E-5</c:v>
                </c:pt>
                <c:pt idx="30">
                  <c:v>3.9385971091085599E-5</c:v>
                </c:pt>
                <c:pt idx="31">
                  <c:v>4.0656225279692299E-5</c:v>
                </c:pt>
                <c:pt idx="32">
                  <c:v>4.19264674420943E-5</c:v>
                </c:pt>
                <c:pt idx="33">
                  <c:v>4.3196697482111202E-5</c:v>
                </c:pt>
                <c:pt idx="34">
                  <c:v>4.4466915302868299E-5</c:v>
                </c:pt>
                <c:pt idx="35">
                  <c:v>4.5737120806746902E-5</c:v>
                </c:pt>
                <c:pt idx="36">
                  <c:v>4.7007313895345703E-5</c:v>
                </c:pt>
                <c:pt idx="37">
                  <c:v>4.8277494449747102E-5</c:v>
                </c:pt>
                <c:pt idx="38">
                  <c:v>4.95476623495091E-5</c:v>
                </c:pt>
                <c:pt idx="39">
                  <c:v>5.0817817473437702E-5</c:v>
                </c:pt>
                <c:pt idx="40">
                  <c:v>5.20879596994846E-5</c:v>
                </c:pt>
                <c:pt idx="41">
                  <c:v>5.3358088904697297E-5</c:v>
                </c:pt>
                <c:pt idx="42">
                  <c:v>5.4628204965121501E-5</c:v>
                </c:pt>
                <c:pt idx="43">
                  <c:v>5.5898307755746003E-5</c:v>
                </c:pt>
                <c:pt idx="44">
                  <c:v>5.7168397150445599E-5</c:v>
                </c:pt>
                <c:pt idx="45">
                  <c:v>5.8438473021910702E-5</c:v>
                </c:pt>
                <c:pt idx="46">
                  <c:v>5.9708535241593802E-5</c:v>
                </c:pt>
                <c:pt idx="47">
                  <c:v>6.0978583679654798E-5</c:v>
                </c:pt>
                <c:pt idx="48">
                  <c:v>6.2248618204892799E-5</c:v>
                </c:pt>
                <c:pt idx="49">
                  <c:v>6.3518638684717998E-5</c:v>
                </c:pt>
                <c:pt idx="50">
                  <c:v>6.4788644985080295E-5</c:v>
                </c:pt>
                <c:pt idx="51">
                  <c:v>6.6058636970439905E-5</c:v>
                </c:pt>
                <c:pt idx="52">
                  <c:v>6.7328614503688904E-5</c:v>
                </c:pt>
                <c:pt idx="53">
                  <c:v>6.8598577446130703E-5</c:v>
                </c:pt>
                <c:pt idx="54">
                  <c:v>6.9868525657407497E-5</c:v>
                </c:pt>
                <c:pt idx="55">
                  <c:v>7.1138458995485305E-5</c:v>
                </c:pt>
                <c:pt idx="56">
                  <c:v>7.2408377316566502E-5</c:v>
                </c:pt>
                <c:pt idx="57">
                  <c:v>7.3678280475070301E-5</c:v>
                </c:pt>
                <c:pt idx="58">
                  <c:v>7.49481683235744E-5</c:v>
                </c:pt>
                <c:pt idx="59">
                  <c:v>7.6218040712773099E-5</c:v>
                </c:pt>
                <c:pt idx="60">
                  <c:v>7.7487897491426702E-5</c:v>
                </c:pt>
                <c:pt idx="61">
                  <c:v>7.8757738506314294E-5</c:v>
                </c:pt>
                <c:pt idx="62">
                  <c:v>8.0027563602171401E-5</c:v>
                </c:pt>
                <c:pt idx="63">
                  <c:v>8.1297372621672902E-5</c:v>
                </c:pt>
                <c:pt idx="64">
                  <c:v>8.2567165405339095E-5</c:v>
                </c:pt>
                <c:pt idx="65">
                  <c:v>8.3836941791545603E-5</c:v>
                </c:pt>
                <c:pt idx="66">
                  <c:v>8.5106701616394806E-5</c:v>
                </c:pt>
                <c:pt idx="67">
                  <c:v>8.6376444713732407E-5</c:v>
                </c:pt>
                <c:pt idx="68">
                  <c:v>8.7646170915066897E-5</c:v>
                </c:pt>
                <c:pt idx="69">
                  <c:v>8.8915880049509E-5</c:v>
                </c:pt>
                <c:pt idx="70">
                  <c:v>9.0185571943739593E-5</c:v>
                </c:pt>
                <c:pt idx="71">
                  <c:v>9.1455246421934207E-5</c:v>
                </c:pt>
                <c:pt idx="72">
                  <c:v>9.2724903305701806E-5</c:v>
                </c:pt>
                <c:pt idx="73">
                  <c:v>9.3994542414068395E-5</c:v>
                </c:pt>
                <c:pt idx="74">
                  <c:v>9.5264163563359107E-5</c:v>
                </c:pt>
                <c:pt idx="75">
                  <c:v>9.6533766567183894E-5</c:v>
                </c:pt>
                <c:pt idx="76">
                  <c:v>9.7803351236356404E-5</c:v>
                </c:pt>
                <c:pt idx="77">
                  <c:v>9.9072917378838804E-5</c:v>
                </c:pt>
                <c:pt idx="78" formatCode="General">
                  <c:v>1.00342464799681E-4</c:v>
                </c:pt>
                <c:pt idx="79" formatCode="General">
                  <c:v>1.01611993300937E-4</c:v>
                </c:pt>
                <c:pt idx="80" formatCode="General">
                  <c:v>1.02881502681618E-4</c:v>
                </c:pt>
                <c:pt idx="81" formatCode="General">
                  <c:v>1.04150992737603E-4</c:v>
                </c:pt>
                <c:pt idx="82" formatCode="General">
                  <c:v>1.05420463261598E-4</c:v>
                </c:pt>
                <c:pt idx="83" formatCode="General">
                  <c:v>1.06689914043052E-4</c:v>
                </c:pt>
                <c:pt idx="84" formatCode="General">
                  <c:v>1.07959344868052E-4</c:v>
                </c:pt>
                <c:pt idx="85" formatCode="General">
                  <c:v>1.09228755519305E-4</c:v>
                </c:pt>
                <c:pt idx="86" formatCode="General">
                  <c:v>1.1049814577600499E-4</c:v>
                </c:pt>
                <c:pt idx="87" formatCode="General">
                  <c:v>1.11767515413802E-4</c:v>
                </c:pt>
                <c:pt idx="88" formatCode="General">
                  <c:v>1.1303686420467E-4</c:v>
                </c:pt>
                <c:pt idx="89" formatCode="General">
                  <c:v>1.14306191916876E-4</c:v>
                </c:pt>
                <c:pt idx="90" formatCode="General">
                  <c:v>1.15575498314841E-4</c:v>
                </c:pt>
                <c:pt idx="91" formatCode="General">
                  <c:v>1.16844783159107E-4</c:v>
                </c:pt>
                <c:pt idx="92" formatCode="General">
                  <c:v>1.18114046206201E-4</c:v>
                </c:pt>
                <c:pt idx="93" formatCode="General">
                  <c:v>1.19383287208546E-4</c:v>
                </c:pt>
                <c:pt idx="94" formatCode="General">
                  <c:v>1.20652505914414E-4</c:v>
                </c:pt>
                <c:pt idx="95" formatCode="General">
                  <c:v>1.21921702067763E-4</c:v>
                </c:pt>
                <c:pt idx="96" formatCode="General">
                  <c:v>1.2319087540815999E-4</c:v>
                </c:pt>
                <c:pt idx="97" formatCode="General">
                  <c:v>1.2446002567070201E-4</c:v>
                </c:pt>
                <c:pt idx="98" formatCode="General">
                  <c:v>1.2572915258588199E-4</c:v>
                </c:pt>
                <c:pt idx="99" formatCode="General">
                  <c:v>1.2699825587946301E-4</c:v>
                </c:pt>
                <c:pt idx="100" formatCode="General">
                  <c:v>1.2826733527240101E-4</c:v>
                </c:pt>
                <c:pt idx="101" formatCode="General">
                  <c:v>1.2953639048073301E-4</c:v>
                </c:pt>
                <c:pt idx="102" formatCode="General">
                  <c:v>1.3080542121540501E-4</c:v>
                </c:pt>
                <c:pt idx="103" formatCode="General">
                  <c:v>1.3207442718218999E-4</c:v>
                </c:pt>
                <c:pt idx="104" formatCode="General">
                  <c:v>1.33343408081555E-4</c:v>
                </c:pt>
                <c:pt idx="105" formatCode="General">
                  <c:v>1.3461236360851701E-4</c:v>
                </c:pt>
                <c:pt idx="106" formatCode="General">
                  <c:v>1.35881293452515E-4</c:v>
                </c:pt>
                <c:pt idx="107" formatCode="General">
                  <c:v>1.3715019729727701E-4</c:v>
                </c:pt>
                <c:pt idx="108" formatCode="General">
                  <c:v>1.38419074820659E-4</c:v>
                </c:pt>
                <c:pt idx="109" formatCode="General">
                  <c:v>1.3968792569452301E-4</c:v>
                </c:pt>
                <c:pt idx="110" formatCode="General">
                  <c:v>1.4095674958456201E-4</c:v>
                </c:pt>
                <c:pt idx="111" formatCode="General">
                  <c:v>1.4222554615013499E-4</c:v>
                </c:pt>
                <c:pt idx="112" formatCode="General">
                  <c:v>1.43494315044129E-4</c:v>
                </c:pt>
                <c:pt idx="113" formatCode="General">
                  <c:v>1.4476305591277201E-4</c:v>
                </c:pt>
                <c:pt idx="114" formatCode="General">
                  <c:v>1.4603176839547E-4</c:v>
                </c:pt>
                <c:pt idx="115" formatCode="General">
                  <c:v>1.47300452124639E-4</c:v>
                </c:pt>
                <c:pt idx="116" formatCode="General">
                  <c:v>1.48569106725463E-4</c:v>
                </c:pt>
                <c:pt idx="117" formatCode="General">
                  <c:v>1.4983773181579199E-4</c:v>
                </c:pt>
                <c:pt idx="118" formatCode="General">
                  <c:v>1.5110632700585301E-4</c:v>
                </c:pt>
                <c:pt idx="119" formatCode="General">
                  <c:v>1.5237489189811199E-4</c:v>
                </c:pt>
                <c:pt idx="120" formatCode="General">
                  <c:v>1.5364342608704601E-4</c:v>
                </c:pt>
                <c:pt idx="121" formatCode="General">
                  <c:v>1.5491192915890599E-4</c:v>
                </c:pt>
                <c:pt idx="122" formatCode="General">
                  <c:v>1.56180400691515E-4</c:v>
                </c:pt>
                <c:pt idx="123" formatCode="General">
                  <c:v>1.5744884025400101E-4</c:v>
                </c:pt>
                <c:pt idx="124" formatCode="General">
                  <c:v>1.5871724740660199E-4</c:v>
                </c:pt>
                <c:pt idx="125" formatCode="General">
                  <c:v>1.59985621700379E-4</c:v>
                </c:pt>
                <c:pt idx="126" formatCode="General">
                  <c:v>1.6125396267697501E-4</c:v>
                </c:pt>
                <c:pt idx="127" formatCode="General">
                  <c:v>1.62522269868338E-4</c:v>
                </c:pt>
                <c:pt idx="128" formatCode="General">
                  <c:v>1.6379054279645099E-4</c:v>
                </c:pt>
                <c:pt idx="129" formatCode="General">
                  <c:v>1.6505878097303599E-4</c:v>
                </c:pt>
                <c:pt idx="130" formatCode="General">
                  <c:v>1.6632698389926399E-4</c:v>
                </c:pt>
                <c:pt idx="131" formatCode="General">
                  <c:v>1.6759515106544901E-4</c:v>
                </c:pt>
                <c:pt idx="132" formatCode="General">
                  <c:v>1.6886328195070199E-4</c:v>
                </c:pt>
                <c:pt idx="133" formatCode="General">
                  <c:v>1.70131376022625E-4</c:v>
                </c:pt>
                <c:pt idx="134" formatCode="General">
                  <c:v>1.71399432736995E-4</c:v>
                </c:pt>
                <c:pt idx="135" formatCode="General">
                  <c:v>1.72667451537327E-4</c:v>
                </c:pt>
                <c:pt idx="136" formatCode="General">
                  <c:v>1.7393543185455901E-4</c:v>
                </c:pt>
                <c:pt idx="137" formatCode="General">
                  <c:v>1.7520337310664901E-4</c:v>
                </c:pt>
                <c:pt idx="138" formatCode="General">
                  <c:v>1.76471274698205E-4</c:v>
                </c:pt>
                <c:pt idx="139" formatCode="General">
                  <c:v>1.7773913602002901E-4</c:v>
                </c:pt>
                <c:pt idx="140" formatCode="General">
                  <c:v>1.79006956448701E-4</c:v>
                </c:pt>
                <c:pt idx="141" formatCode="General">
                  <c:v>1.8027473534613499E-4</c:v>
                </c:pt>
                <c:pt idx="142" formatCode="General">
                  <c:v>1.8154247205909801E-4</c:v>
                </c:pt>
                <c:pt idx="143" formatCode="General">
                  <c:v>1.8281016591877199E-4</c:v>
                </c:pt>
                <c:pt idx="144" formatCode="General">
                  <c:v>1.84077816240167E-4</c:v>
                </c:pt>
                <c:pt idx="145" formatCode="General">
                  <c:v>1.85345422321663E-4</c:v>
                </c:pt>
                <c:pt idx="146" formatCode="General">
                  <c:v>1.8661298344444701E-4</c:v>
                </c:pt>
                <c:pt idx="147" formatCode="General">
                  <c:v>1.8788049887192299E-4</c:v>
                </c:pt>
                <c:pt idx="148" formatCode="General">
                  <c:v>1.89147967849141E-4</c:v>
                </c:pt>
                <c:pt idx="149" formatCode="General">
                  <c:v>1.9041538960217199E-4</c:v>
                </c:pt>
                <c:pt idx="150" formatCode="General">
                  <c:v>1.91682763337446E-4</c:v>
                </c:pt>
                <c:pt idx="151" formatCode="General">
                  <c:v>1.9295008824112001E-4</c:v>
                </c:pt>
                <c:pt idx="152" formatCode="General">
                  <c:v>1.94217363478346E-4</c:v>
                </c:pt>
                <c:pt idx="153" formatCode="General">
                  <c:v>1.9548458819254101E-4</c:v>
                </c:pt>
                <c:pt idx="154" formatCode="General">
                  <c:v>1.9675176150462401E-4</c:v>
                </c:pt>
                <c:pt idx="155" formatCode="General">
                  <c:v>1.98018882512234E-4</c:v>
                </c:pt>
                <c:pt idx="156" formatCode="General">
                  <c:v>1.99285950288888E-4</c:v>
                </c:pt>
                <c:pt idx="157" formatCode="General">
                  <c:v>2.0055296388309801E-4</c:v>
                </c:pt>
                <c:pt idx="158" formatCode="General">
                  <c:v>2.0181992231746001E-4</c:v>
                </c:pt>
                <c:pt idx="159" formatCode="General">
                  <c:v>2.03086824587741E-4</c:v>
                </c:pt>
                <c:pt idx="160" formatCode="General">
                  <c:v>2.0435366966182699E-4</c:v>
                </c:pt>
                <c:pt idx="161" formatCode="General">
                  <c:v>2.0562045647871499E-4</c:v>
                </c:pt>
                <c:pt idx="162" formatCode="General">
                  <c:v>2.06887183947405E-4</c:v>
                </c:pt>
                <c:pt idx="163" formatCode="General">
                  <c:v>2.0815385094576701E-4</c:v>
                </c:pt>
                <c:pt idx="164" formatCode="General">
                  <c:v>2.0942045631934501E-4</c:v>
                </c:pt>
                <c:pt idx="165" formatCode="General">
                  <c:v>2.1068699888009099E-4</c:v>
                </c:pt>
                <c:pt idx="166" formatCode="General">
                  <c:v>2.1195347740500401E-4</c:v>
                </c:pt>
                <c:pt idx="167" formatCode="General">
                  <c:v>2.13219890634821E-4</c:v>
                </c:pt>
                <c:pt idx="168" formatCode="General">
                  <c:v>2.14486237272529E-4</c:v>
                </c:pt>
                <c:pt idx="169" formatCode="General">
                  <c:v>2.1575251598182201E-4</c:v>
                </c:pt>
                <c:pt idx="170" formatCode="General">
                  <c:v>2.17018725385506E-4</c:v>
                </c:pt>
                <c:pt idx="171" formatCode="General">
                  <c:v>2.1828486406380999E-4</c:v>
                </c:pt>
                <c:pt idx="172" formatCode="General">
                  <c:v>2.19550930552597E-4</c:v>
                </c:pt>
                <c:pt idx="173" formatCode="General">
                  <c:v>2.2081692334154199E-4</c:v>
                </c:pt>
                <c:pt idx="174" formatCode="General">
                  <c:v>2.2208284087207899E-4</c:v>
                </c:pt>
                <c:pt idx="175" formatCode="General">
                  <c:v>2.23348681535408E-4</c:v>
                </c:pt>
                <c:pt idx="176" formatCode="General">
                  <c:v>2.24614443670242E-4</c:v>
                </c:pt>
                <c:pt idx="177" formatCode="General">
                  <c:v>2.2588012556053801E-4</c:v>
                </c:pt>
                <c:pt idx="178" formatCode="General">
                  <c:v>2.27145725433014E-4</c:v>
                </c:pt>
                <c:pt idx="179" formatCode="General">
                  <c:v>2.2841124145463499E-4</c:v>
                </c:pt>
                <c:pt idx="180" formatCode="General">
                  <c:v>2.2967667172984799E-4</c:v>
                </c:pt>
                <c:pt idx="181" formatCode="General">
                  <c:v>2.3094201429767501E-4</c:v>
                </c:pt>
                <c:pt idx="182" formatCode="General">
                  <c:v>2.32207267128765E-4</c:v>
                </c:pt>
                <c:pt idx="183" formatCode="General">
                  <c:v>2.3347242812204701E-4</c:v>
                </c:pt>
                <c:pt idx="184" formatCode="General">
                  <c:v>2.34737495101426E-4</c:v>
                </c:pt>
                <c:pt idx="185" formatCode="General">
                  <c:v>2.3600246581205101E-4</c:v>
                </c:pt>
                <c:pt idx="186" formatCode="General">
                  <c:v>2.3726733791656801E-4</c:v>
                </c:pt>
                <c:pt idx="187" formatCode="General">
                  <c:v>2.3853210899095701E-4</c:v>
                </c:pt>
                <c:pt idx="188" formatCode="General">
                  <c:v>2.3979677652024301E-4</c:v>
                </c:pt>
                <c:pt idx="189" formatCode="General">
                  <c:v>2.41061337893873E-4</c:v>
                </c:pt>
                <c:pt idx="190" formatCode="General">
                  <c:v>2.42325790400796E-4</c:v>
                </c:pt>
                <c:pt idx="191" formatCode="General">
                  <c:v>2.4359013122424999E-4</c:v>
                </c:pt>
                <c:pt idx="192" formatCode="General">
                  <c:v>2.4485435743617698E-4</c:v>
                </c:pt>
                <c:pt idx="193" formatCode="General">
                  <c:v>2.4611846599129398E-4</c:v>
                </c:pt>
                <c:pt idx="194" formatCode="General">
                  <c:v>2.4738245372072298E-4</c:v>
                </c:pt>
                <c:pt idx="195" formatCode="General">
                  <c:v>2.4864631732525401E-4</c:v>
                </c:pt>
                <c:pt idx="196" formatCode="General">
                  <c:v>2.49910053368061E-4</c:v>
                </c:pt>
                <c:pt idx="197" formatCode="General">
                  <c:v>2.5117365826695401E-4</c:v>
                </c:pt>
                <c:pt idx="198" formatCode="General">
                  <c:v>2.5243712828605902E-4</c:v>
                </c:pt>
                <c:pt idx="199" formatCode="General">
                  <c:v>2.5370045952691997E-4</c:v>
                </c:pt>
                <c:pt idx="200" formatCode="General">
                  <c:v>2.5496364791890899E-4</c:v>
                </c:pt>
                <c:pt idx="201" formatCode="General">
                  <c:v>2.5622668920894802E-4</c:v>
                </c:pt>
                <c:pt idx="202" formatCode="General">
                  <c:v>2.5748957895044001E-4</c:v>
                </c:pt>
                <c:pt idx="203" formatCode="General">
                  <c:v>2.5875231249138499E-4</c:v>
                </c:pt>
                <c:pt idx="204" formatCode="General">
                  <c:v>2.6001488496149198E-4</c:v>
                </c:pt>
                <c:pt idx="205" formatCode="General">
                  <c:v>2.6127729125834798E-4</c:v>
                </c:pt>
                <c:pt idx="206" formatCode="General">
                  <c:v>2.6253952603246601E-4</c:v>
                </c:pt>
                <c:pt idx="207" formatCode="General">
                  <c:v>2.6380158367103899E-4</c:v>
                </c:pt>
                <c:pt idx="208" formatCode="General">
                  <c:v>2.6506345828040397E-4</c:v>
                </c:pt>
                <c:pt idx="209" formatCode="General">
                  <c:v>2.6632514366704E-4</c:v>
                </c:pt>
                <c:pt idx="210" formatCode="General">
                  <c:v>2.6758663331688201E-4</c:v>
                </c:pt>
                <c:pt idx="211" formatCode="General">
                  <c:v>2.6884792037284598E-4</c:v>
                </c:pt>
                <c:pt idx="212" formatCode="General">
                  <c:v>2.7010899761036402E-4</c:v>
                </c:pt>
                <c:pt idx="213" formatCode="General">
                  <c:v>2.7136985741067798E-4</c:v>
                </c:pt>
                <c:pt idx="214" formatCode="General">
                  <c:v>2.7263049173170998E-4</c:v>
                </c:pt>
                <c:pt idx="215" formatCode="General">
                  <c:v>2.7389089207616098E-4</c:v>
                </c:pt>
                <c:pt idx="216" formatCode="General">
                  <c:v>2.7515104945657399E-4</c:v>
                </c:pt>
                <c:pt idx="217" formatCode="General">
                  <c:v>2.76410954356973E-4</c:v>
                </c:pt>
                <c:pt idx="218" formatCode="General">
                  <c:v>2.77670596690675E-4</c:v>
                </c:pt>
                <c:pt idx="219" formatCode="General">
                  <c:v>2.78929965753909E-4</c:v>
                </c:pt>
                <c:pt idx="220" formatCode="General">
                  <c:v>2.80189050174491E-4</c:v>
                </c:pt>
                <c:pt idx="221" formatCode="General">
                  <c:v>2.8144783785518198E-4</c:v>
                </c:pt>
                <c:pt idx="222" formatCode="General">
                  <c:v>2.8270631591089301E-4</c:v>
                </c:pt>
                <c:pt idx="223" formatCode="General">
                  <c:v>2.8396447059897498E-4</c:v>
                </c:pt>
                <c:pt idx="224" formatCode="General">
                  <c:v>2.85222287241624E-4</c:v>
                </c:pt>
                <c:pt idx="225" formatCode="General">
                  <c:v>2.8647975013937203E-4</c:v>
                </c:pt>
                <c:pt idx="226" formatCode="General">
                  <c:v>2.8773684247435799E-4</c:v>
                </c:pt>
                <c:pt idx="227" formatCode="General">
                  <c:v>2.8899354620191299E-4</c:v>
                </c:pt>
                <c:pt idx="228" formatCode="General">
                  <c:v>2.9024984192872597E-4</c:v>
                </c:pt>
                <c:pt idx="229" formatCode="General">
                  <c:v>2.9150570877561498E-4</c:v>
                </c:pt>
                <c:pt idx="230" formatCode="General">
                  <c:v>2.9276112422233099E-4</c:v>
                </c:pt>
                <c:pt idx="231" formatCode="General">
                  <c:v>2.94016063931824E-4</c:v>
                </c:pt>
                <c:pt idx="232" formatCode="General">
                  <c:v>2.9527050155026501E-4</c:v>
                </c:pt>
                <c:pt idx="233" formatCode="General">
                  <c:v>2.9652440847900702E-4</c:v>
                </c:pt>
                <c:pt idx="234" formatCode="General">
                  <c:v>2.9777775361352E-4</c:v>
                </c:pt>
                <c:pt idx="235" formatCode="General">
                  <c:v>2.9903050304335598E-4</c:v>
                </c:pt>
                <c:pt idx="236" formatCode="General">
                  <c:v>3.00282619706124E-4</c:v>
                </c:pt>
                <c:pt idx="237" formatCode="General">
                  <c:v>3.0153406298670901E-4</c:v>
                </c:pt>
                <c:pt idx="238" formatCode="General">
                  <c:v>3.0278478825095101E-4</c:v>
                </c:pt>
                <c:pt idx="239" formatCode="General">
                  <c:v>3.0403474630077E-4</c:v>
                </c:pt>
                <c:pt idx="240" formatCode="General">
                  <c:v>3.05283882734221E-4</c:v>
                </c:pt>
                <c:pt idx="241" formatCode="General">
                  <c:v>3.0653213718999801E-4</c:v>
                </c:pt>
                <c:pt idx="242" formatCode="General">
                  <c:v>3.0777944245054001E-4</c:v>
                </c:pt>
                <c:pt idx="243" formatCode="General">
                  <c:v>3.0902572337103602E-4</c:v>
                </c:pt>
                <c:pt idx="244" formatCode="General">
                  <c:v>3.1027089559224302E-4</c:v>
                </c:pt>
                <c:pt idx="245" formatCode="General">
                  <c:v>3.11514863983044E-4</c:v>
                </c:pt>
                <c:pt idx="246" formatCode="General">
                  <c:v>3.1275752074201297E-4</c:v>
                </c:pt>
                <c:pt idx="247" formatCode="General">
                  <c:v>3.13998743065054E-4</c:v>
                </c:pt>
                <c:pt idx="248" formatCode="General">
                  <c:v>3.1523839025536803E-4</c:v>
                </c:pt>
                <c:pt idx="249" formatCode="General">
                  <c:v>3.16476300108919E-4</c:v>
                </c:pt>
                <c:pt idx="250" formatCode="General">
                  <c:v>3.1771228434819901E-4</c:v>
                </c:pt>
                <c:pt idx="251" formatCode="General">
                  <c:v>3.1894612278962999E-4</c:v>
                </c:pt>
                <c:pt idx="252" formatCode="General">
                  <c:v>3.2017755580308801E-4</c:v>
                </c:pt>
                <c:pt idx="253" formatCode="General">
                  <c:v>3.21406274433198E-4</c:v>
                </c:pt>
                <c:pt idx="254" formatCode="General">
                  <c:v>3.22631907266078E-4</c:v>
                </c:pt>
                <c:pt idx="255" formatCode="General">
                  <c:v>3.2385400268286803E-4</c:v>
                </c:pt>
                <c:pt idx="256" formatCode="General">
                  <c:v>3.25072004440123E-4</c:v>
                </c:pt>
                <c:pt idx="257" formatCode="General">
                  <c:v>3.26285217377104E-4</c:v>
                </c:pt>
                <c:pt idx="258" formatCode="General">
                  <c:v>3.2749275814115302E-4</c:v>
                </c:pt>
                <c:pt idx="259" formatCode="General">
                  <c:v>3.2869348252358599E-4</c:v>
                </c:pt>
                <c:pt idx="260" formatCode="General">
                  <c:v>3.2988587509329701E-4</c:v>
                </c:pt>
                <c:pt idx="261" formatCode="General">
                  <c:v>3.3106787583156802E-4</c:v>
                </c:pt>
                <c:pt idx="262" formatCode="General">
                  <c:v>3.3223659719831301E-4</c:v>
                </c:pt>
                <c:pt idx="263" formatCode="General">
                  <c:v>3.3338784221491699E-4</c:v>
                </c:pt>
                <c:pt idx="264" formatCode="General">
                  <c:v>3.34515245543173E-4</c:v>
                </c:pt>
                <c:pt idx="265" formatCode="General">
                  <c:v>3.3560868151550998E-4</c:v>
                </c:pt>
                <c:pt idx="266" formatCode="General">
                  <c:v>3.3665133161016997E-4</c:v>
                </c:pt>
                <c:pt idx="267" formatCode="General">
                  <c:v>3.3761579124456302E-4</c:v>
                </c:pt>
                <c:pt idx="268" formatCode="General">
                  <c:v>3.3848225445597601E-4</c:v>
                </c:pt>
                <c:pt idx="269" formatCode="General">
                  <c:v>3.3848225445597601E-4</c:v>
                </c:pt>
                <c:pt idx="270" formatCode="General">
                  <c:v>3.3929571964739E-4</c:v>
                </c:pt>
                <c:pt idx="271" formatCode="General">
                  <c:v>3.40126725805908E-4</c:v>
                </c:pt>
                <c:pt idx="272" formatCode="General">
                  <c:v>3.4096789901636598E-4</c:v>
                </c:pt>
                <c:pt idx="273" formatCode="General">
                  <c:v>3.4181350551503999E-4</c:v>
                </c:pt>
                <c:pt idx="274" formatCode="General">
                  <c:v>3.4266084873864301E-4</c:v>
                </c:pt>
                <c:pt idx="275" formatCode="General">
                  <c:v>3.43508661223458E-4</c:v>
                </c:pt>
                <c:pt idx="276" formatCode="General">
                  <c:v>3.43508661223458E-4</c:v>
                </c:pt>
                <c:pt idx="277" formatCode="General">
                  <c:v>3.43508661223458E-4</c:v>
                </c:pt>
                <c:pt idx="278" formatCode="General">
                  <c:v>3.43508661223458E-4</c:v>
                </c:pt>
                <c:pt idx="279" formatCode="General">
                  <c:v>3.4475840183490402E-4</c:v>
                </c:pt>
                <c:pt idx="280" formatCode="General">
                  <c:v>3.4599257593522301E-4</c:v>
                </c:pt>
                <c:pt idx="281" formatCode="General">
                  <c:v>3.4722756443620202E-4</c:v>
                </c:pt>
                <c:pt idx="282" formatCode="General">
                  <c:v>3.4846196205534999E-4</c:v>
                </c:pt>
                <c:pt idx="283" formatCode="General">
                  <c:v>3.4969524960921098E-4</c:v>
                </c:pt>
                <c:pt idx="284" formatCode="General">
                  <c:v>3.5092711419462198E-4</c:v>
                </c:pt>
                <c:pt idx="285" formatCode="General">
                  <c:v>3.5215730522821003E-4</c:v>
                </c:pt>
                <c:pt idx="286" formatCode="General">
                  <c:v>3.5338558557387699E-4</c:v>
                </c:pt>
                <c:pt idx="287" formatCode="General">
                  <c:v>3.5461170837093299E-4</c:v>
                </c:pt>
                <c:pt idx="288" formatCode="General">
                  <c:v>3.55835401943039E-4</c:v>
                </c:pt>
                <c:pt idx="289" formatCode="General">
                  <c:v>3.5705635666752599E-4</c:v>
                </c:pt>
                <c:pt idx="290" formatCode="General">
                  <c:v>3.5827421086242301E-4</c:v>
                </c:pt>
                <c:pt idx="291" formatCode="General">
                  <c:v>3.5948853356172598E-4</c:v>
                </c:pt>
                <c:pt idx="292" formatCode="General">
                  <c:v>3.60698801906047E-4</c:v>
                </c:pt>
                <c:pt idx="293" formatCode="General">
                  <c:v>3.6190437006390402E-4</c:v>
                </c:pt>
                <c:pt idx="294" formatCode="General">
                  <c:v>3.6310442497029702E-4</c:v>
                </c:pt>
                <c:pt idx="295" formatCode="General">
                  <c:v>3.6429792119616798E-4</c:v>
                </c:pt>
                <c:pt idx="296" formatCode="General">
                  <c:v>3.6548348178886499E-4</c:v>
                </c:pt>
                <c:pt idx="297" formatCode="General">
                  <c:v>3.66659241469201E-4</c:v>
                </c:pt>
                <c:pt idx="298" formatCode="General">
                  <c:v>3.6782258758859103E-4</c:v>
                </c:pt>
                <c:pt idx="299" formatCode="General">
                  <c:v>3.6896970958403701E-4</c:v>
                </c:pt>
                <c:pt idx="300" formatCode="General">
                  <c:v>3.70094765985817E-4</c:v>
                </c:pt>
                <c:pt idx="301" formatCode="General">
                  <c:v>3.7118822932961899E-4</c:v>
                </c:pt>
                <c:pt idx="302" formatCode="General">
                  <c:v>3.7223332444864999E-4</c:v>
                </c:pt>
                <c:pt idx="303" formatCode="General">
                  <c:v>3.7319789837900099E-4</c:v>
                </c:pt>
                <c:pt idx="304" formatCode="General">
                  <c:v>3.7401934849188098E-4</c:v>
                </c:pt>
                <c:pt idx="305" formatCode="General">
                  <c:v>3.74666755674459E-4</c:v>
                </c:pt>
                <c:pt idx="306" formatCode="General">
                  <c:v>3.74666755674459E-4</c:v>
                </c:pt>
                <c:pt idx="307" formatCode="General">
                  <c:v>3.74666755674459E-4</c:v>
                </c:pt>
                <c:pt idx="308" formatCode="General">
                  <c:v>3.74666755674459E-4</c:v>
                </c:pt>
                <c:pt idx="309" formatCode="General">
                  <c:v>3.74666755674459E-4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Implicit_Fracs!$C$5:$C$314</c:f>
              <c:numCache>
                <c:formatCode>General</c:formatCode>
                <c:ptCount val="310"/>
                <c:pt idx="0">
                  <c:v>0.13164836335685801</c:v>
                </c:pt>
                <c:pt idx="1">
                  <c:v>0.13174831742784901</c:v>
                </c:pt>
                <c:pt idx="2">
                  <c:v>0.131814325176488</c:v>
                </c:pt>
                <c:pt idx="3">
                  <c:v>0.13186377086317799</c:v>
                </c:pt>
                <c:pt idx="4">
                  <c:v>0.13190336566689301</c:v>
                </c:pt>
                <c:pt idx="5">
                  <c:v>0.13193641917955301</c:v>
                </c:pt>
                <c:pt idx="6">
                  <c:v>0.13196480990574899</c:v>
                </c:pt>
                <c:pt idx="7">
                  <c:v>0.131989707564308</c:v>
                </c:pt>
                <c:pt idx="8">
                  <c:v>0.132011890254908</c:v>
                </c:pt>
                <c:pt idx="9">
                  <c:v>0.132031901904686</c:v>
                </c:pt>
                <c:pt idx="10">
                  <c:v>0.132050137753493</c:v>
                </c:pt>
                <c:pt idx="11">
                  <c:v>0.13206689406580899</c:v>
                </c:pt>
                <c:pt idx="12">
                  <c:v>0.132082398656449</c:v>
                </c:pt>
                <c:pt idx="13">
                  <c:v>0.132096830483731</c:v>
                </c:pt>
                <c:pt idx="14">
                  <c:v>0.13211033269671599</c:v>
                </c:pt>
                <c:pt idx="15">
                  <c:v>0.13212302159759301</c:v>
                </c:pt>
                <c:pt idx="16">
                  <c:v>0.13213499296405401</c:v>
                </c:pt>
                <c:pt idx="17">
                  <c:v>0.13214632661325601</c:v>
                </c:pt>
                <c:pt idx="18">
                  <c:v>0.132157089763519</c:v>
                </c:pt>
                <c:pt idx="19">
                  <c:v>0.132167339554908</c:v>
                </c:pt>
                <c:pt idx="20">
                  <c:v>0.132177124969275</c:v>
                </c:pt>
                <c:pt idx="21">
                  <c:v>0.132186488313704</c:v>
                </c:pt>
                <c:pt idx="22">
                  <c:v>0.132195466381343</c:v>
                </c:pt>
                <c:pt idx="23">
                  <c:v>0.13220409137031</c:v>
                </c:pt>
                <c:pt idx="24">
                  <c:v>0.1322123916188</c:v>
                </c:pt>
                <c:pt idx="25">
                  <c:v>0.132220392198791</c:v>
                </c:pt>
                <c:pt idx="26">
                  <c:v>0.13222811539981</c:v>
                </c:pt>
                <c:pt idx="27">
                  <c:v>0.13223558112630501</c:v>
                </c:pt>
                <c:pt idx="28">
                  <c:v>0.13224280722651799</c:v>
                </c:pt>
                <c:pt idx="29">
                  <c:v>0.13224980976654199</c:v>
                </c:pt>
                <c:pt idx="30">
                  <c:v>0.13225660326019101</c:v>
                </c:pt>
                <c:pt idx="31">
                  <c:v>0.13226320086295401</c:v>
                </c:pt>
                <c:pt idx="32">
                  <c:v>0.13226961453657801</c:v>
                </c:pt>
                <c:pt idx="33">
                  <c:v>0.13227585518944099</c:v>
                </c:pt>
                <c:pt idx="34">
                  <c:v>0.13228193279689099</c:v>
                </c:pt>
                <c:pt idx="35">
                  <c:v>0.13228785650486699</c:v>
                </c:pt>
                <c:pt idx="36">
                  <c:v>0.13229363471953201</c:v>
                </c:pt>
                <c:pt idx="37">
                  <c:v>0.13229927518510501</c:v>
                </c:pt>
                <c:pt idx="38">
                  <c:v>0.13230478505189899</c:v>
                </c:pt>
                <c:pt idx="39">
                  <c:v>0.132310170935689</c:v>
                </c:pt>
                <c:pt idx="40">
                  <c:v>0.132315438969837</c:v>
                </c:pt>
                <c:pt idx="41">
                  <c:v>0.13232059485122499</c:v>
                </c:pt>
                <c:pt idx="42">
                  <c:v>0.13232564388083301</c:v>
                </c:pt>
                <c:pt idx="43">
                  <c:v>0.13233059099972999</c:v>
                </c:pt>
                <c:pt idx="44">
                  <c:v>0.13233544082104801</c:v>
                </c:pt>
                <c:pt idx="45">
                  <c:v>0.132340197658498</c:v>
                </c:pt>
                <c:pt idx="46">
                  <c:v>0.13234486555185099</c:v>
                </c:pt>
                <c:pt idx="47">
                  <c:v>0.132349448289759</c:v>
                </c:pt>
                <c:pt idx="48">
                  <c:v>0.13235394943025999</c:v>
                </c:pt>
                <c:pt idx="49">
                  <c:v>0.13235837231923001</c:v>
                </c:pt>
                <c:pt idx="50">
                  <c:v>0.13236272010702199</c:v>
                </c:pt>
                <c:pt idx="51">
                  <c:v>0.13236699576351699</c:v>
                </c:pt>
                <c:pt idx="52">
                  <c:v>0.13237120209174699</c:v>
                </c:pt>
                <c:pt idx="53">
                  <c:v>0.132375341740263</c:v>
                </c:pt>
                <c:pt idx="54">
                  <c:v>0.13237941721437901</c:v>
                </c:pt>
                <c:pt idx="55">
                  <c:v>0.132383430886412</c:v>
                </c:pt>
                <c:pt idx="56">
                  <c:v>0.132387385005025</c:v>
                </c:pt>
                <c:pt idx="57">
                  <c:v>0.13239128170376399</c:v>
                </c:pt>
                <c:pt idx="58">
                  <c:v>0.13239512300888101</c:v>
                </c:pt>
                <c:pt idx="59">
                  <c:v>0.132398910846489</c:v>
                </c:pt>
                <c:pt idx="60">
                  <c:v>0.13240264704915</c:v>
                </c:pt>
                <c:pt idx="61">
                  <c:v>0.13240633336192001</c:v>
                </c:pt>
                <c:pt idx="62">
                  <c:v>0.13240997144792099</c:v>
                </c:pt>
                <c:pt idx="63">
                  <c:v>0.132413562893474</c:v>
                </c:pt>
                <c:pt idx="64">
                  <c:v>0.132417109212841</c:v>
                </c:pt>
                <c:pt idx="65">
                  <c:v>0.132420611852609</c:v>
                </c:pt>
                <c:pt idx="66">
                  <c:v>0.13242407219574501</c:v>
                </c:pt>
                <c:pt idx="67">
                  <c:v>0.13242749156535599</c:v>
                </c:pt>
                <c:pt idx="68">
                  <c:v>0.13243087122817501</c:v>
                </c:pt>
                <c:pt idx="69">
                  <c:v>0.13243421239779701</c:v>
                </c:pt>
                <c:pt idx="70">
                  <c:v>0.13243751623769601</c:v>
                </c:pt>
                <c:pt idx="71">
                  <c:v>0.132440783864022</c:v>
                </c:pt>
                <c:pt idx="72">
                  <c:v>0.13244401634821701</c:v>
                </c:pt>
                <c:pt idx="73">
                  <c:v>0.13244721471944401</c:v>
                </c:pt>
                <c:pt idx="74">
                  <c:v>0.13245037996687001</c:v>
                </c:pt>
                <c:pt idx="75">
                  <c:v>0.13245351304177999</c:v>
                </c:pt>
                <c:pt idx="76">
                  <c:v>0.13245661485957499</c:v>
                </c:pt>
                <c:pt idx="77">
                  <c:v>0.132459686301623</c:v>
                </c:pt>
                <c:pt idx="78">
                  <c:v>0.13246272821701099</c:v>
                </c:pt>
                <c:pt idx="79">
                  <c:v>0.132465741424173</c:v>
                </c:pt>
                <c:pt idx="80">
                  <c:v>0.13246872671243001</c:v>
                </c:pt>
                <c:pt idx="81">
                  <c:v>0.132471684843428</c:v>
                </c:pt>
                <c:pt idx="82">
                  <c:v>0.13247461655249701</c:v>
                </c:pt>
                <c:pt idx="83">
                  <c:v>0.13247752254992401</c:v>
                </c:pt>
                <c:pt idx="84">
                  <c:v>0.13248040352215701</c:v>
                </c:pt>
                <c:pt idx="85">
                  <c:v>0.13248326013293299</c:v>
                </c:pt>
                <c:pt idx="86">
                  <c:v>0.13248609302434999</c:v>
                </c:pt>
                <c:pt idx="87">
                  <c:v>0.13248890281787101</c:v>
                </c:pt>
                <c:pt idx="88">
                  <c:v>0.132491690115279</c:v>
                </c:pt>
                <c:pt idx="89">
                  <c:v>0.132494455499574</c:v>
                </c:pt>
                <c:pt idx="90">
                  <c:v>0.13249719953582401</c:v>
                </c:pt>
                <c:pt idx="91">
                  <c:v>0.132499922771974</c:v>
                </c:pt>
                <c:pt idx="92">
                  <c:v>0.132502625739603</c:v>
                </c:pt>
                <c:pt idx="93">
                  <c:v>0.13250530895465101</c:v>
                </c:pt>
                <c:pt idx="94">
                  <c:v>0.13250797291810601</c:v>
                </c:pt>
                <c:pt idx="95">
                  <c:v>0.13251061811664699</c:v>
                </c:pt>
                <c:pt idx="96">
                  <c:v>0.132513245023273</c:v>
                </c:pt>
                <c:pt idx="97">
                  <c:v>0.132515854097881</c:v>
                </c:pt>
                <c:pt idx="98">
                  <c:v>0.13251844578782901</c:v>
                </c:pt>
                <c:pt idx="99">
                  <c:v>0.13252102052846701</c:v>
                </c:pt>
                <c:pt idx="100">
                  <c:v>0.13252357874364101</c:v>
                </c:pt>
                <c:pt idx="101">
                  <c:v>0.13252612084617801</c:v>
                </c:pt>
                <c:pt idx="102">
                  <c:v>0.13252864723834301</c:v>
                </c:pt>
                <c:pt idx="103">
                  <c:v>0.13253115831227899</c:v>
                </c:pt>
                <c:pt idx="104">
                  <c:v>0.13253365445042301</c:v>
                </c:pt>
                <c:pt idx="105">
                  <c:v>0.132536136025908</c:v>
                </c:pt>
                <c:pt idx="106">
                  <c:v>0.13253860340294499</c:v>
                </c:pt>
                <c:pt idx="107">
                  <c:v>0.13254105693718801</c:v>
                </c:pt>
                <c:pt idx="108">
                  <c:v>0.132543496976081</c:v>
                </c:pt>
                <c:pt idx="109">
                  <c:v>0.132545923859197</c:v>
                </c:pt>
                <c:pt idx="110">
                  <c:v>0.132548337918557</c:v>
                </c:pt>
                <c:pt idx="111">
                  <c:v>0.132550739478936</c:v>
                </c:pt>
                <c:pt idx="112">
                  <c:v>0.13255312885816001</c:v>
                </c:pt>
                <c:pt idx="113">
                  <c:v>0.132555506367391</c:v>
                </c:pt>
                <c:pt idx="114">
                  <c:v>0.13255787231139399</c:v>
                </c:pt>
                <c:pt idx="115">
                  <c:v>0.13256022698880601</c:v>
                </c:pt>
                <c:pt idx="116">
                  <c:v>0.13256257069238001</c:v>
                </c:pt>
                <c:pt idx="117">
                  <c:v>0.13256490370923599</c:v>
                </c:pt>
                <c:pt idx="118">
                  <c:v>0.132567226321089</c:v>
                </c:pt>
                <c:pt idx="119">
                  <c:v>0.132569538804475</c:v>
                </c:pt>
                <c:pt idx="120">
                  <c:v>0.132571841430971</c:v>
                </c:pt>
                <c:pt idx="121">
                  <c:v>0.13257413446740399</c:v>
                </c:pt>
                <c:pt idx="122">
                  <c:v>0.13257641817605401</c:v>
                </c:pt>
                <c:pt idx="123">
                  <c:v>0.13257869281484999</c:v>
                </c:pt>
                <c:pt idx="124">
                  <c:v>0.132580958637564</c:v>
                </c:pt>
                <c:pt idx="125">
                  <c:v>0.132583215893989</c:v>
                </c:pt>
                <c:pt idx="126">
                  <c:v>0.13258546483012401</c:v>
                </c:pt>
                <c:pt idx="127">
                  <c:v>0.13258770568834599</c:v>
                </c:pt>
                <c:pt idx="128">
                  <c:v>0.13258993870757799</c:v>
                </c:pt>
                <c:pt idx="129">
                  <c:v>0.13259216412345401</c:v>
                </c:pt>
                <c:pt idx="130">
                  <c:v>0.13259438216847899</c:v>
                </c:pt>
                <c:pt idx="131">
                  <c:v>0.13259659307218699</c:v>
                </c:pt>
                <c:pt idx="132">
                  <c:v>0.13259879706128999</c:v>
                </c:pt>
                <c:pt idx="133">
                  <c:v>0.132600994359831</c:v>
                </c:pt>
                <c:pt idx="134">
                  <c:v>0.13260318518932601</c:v>
                </c:pt>
                <c:pt idx="135">
                  <c:v>0.13260536976890799</c:v>
                </c:pt>
                <c:pt idx="136">
                  <c:v>0.132607548315469</c:v>
                </c:pt>
                <c:pt idx="137">
                  <c:v>0.13260972104379501</c:v>
                </c:pt>
                <c:pt idx="138">
                  <c:v>0.132611888166702</c:v>
                </c:pt>
                <c:pt idx="139">
                  <c:v>0.13261404989517001</c:v>
                </c:pt>
                <c:pt idx="140">
                  <c:v>0.13261620643847399</c:v>
                </c:pt>
                <c:pt idx="141">
                  <c:v>0.13261835800430899</c:v>
                </c:pt>
                <c:pt idx="142">
                  <c:v>0.13262050479892901</c:v>
                </c:pt>
                <c:pt idx="143">
                  <c:v>0.13262264702726001</c:v>
                </c:pt>
                <c:pt idx="144">
                  <c:v>0.132624784893038</c:v>
                </c:pt>
                <c:pt idx="145">
                  <c:v>0.132626918598926</c:v>
                </c:pt>
                <c:pt idx="146">
                  <c:v>0.13262904834664299</c:v>
                </c:pt>
                <c:pt idx="147">
                  <c:v>0.13263117433708499</c:v>
                </c:pt>
                <c:pt idx="148">
                  <c:v>0.13263329677044799</c:v>
                </c:pt>
                <c:pt idx="149">
                  <c:v>0.13263541584635499</c:v>
                </c:pt>
                <c:pt idx="150">
                  <c:v>0.13263753176397799</c:v>
                </c:pt>
                <c:pt idx="151">
                  <c:v>0.13263964472216</c:v>
                </c:pt>
                <c:pt idx="152">
                  <c:v>0.13264175491954</c:v>
                </c:pt>
                <c:pt idx="153">
                  <c:v>0.132643862554683</c:v>
                </c:pt>
                <c:pt idx="154">
                  <c:v>0.132645967826199</c:v>
                </c:pt>
                <c:pt idx="155">
                  <c:v>0.13264807093287501</c:v>
                </c:pt>
                <c:pt idx="156">
                  <c:v>0.132650172073802</c:v>
                </c:pt>
                <c:pt idx="157">
                  <c:v>0.132652271448509</c:v>
                </c:pt>
                <c:pt idx="158">
                  <c:v>0.13265436925708801</c:v>
                </c:pt>
                <c:pt idx="159">
                  <c:v>0.13265646570033501</c:v>
                </c:pt>
                <c:pt idx="160">
                  <c:v>0.13265856097988399</c:v>
                </c:pt>
                <c:pt idx="161">
                  <c:v>0.132660655298346</c:v>
                </c:pt>
                <c:pt idx="162">
                  <c:v>0.132662748859454</c:v>
                </c:pt>
                <c:pt idx="163">
                  <c:v>0.13266484186820501</c:v>
                </c:pt>
                <c:pt idx="164">
                  <c:v>0.13266693453101</c:v>
                </c:pt>
                <c:pt idx="165">
                  <c:v>0.13266902705584799</c:v>
                </c:pt>
                <c:pt idx="166">
                  <c:v>0.13267111965242301</c:v>
                </c:pt>
                <c:pt idx="167">
                  <c:v>0.132673212532323</c:v>
                </c:pt>
                <c:pt idx="168">
                  <c:v>0.132675305909189</c:v>
                </c:pt>
                <c:pt idx="169">
                  <c:v>0.132677399998884</c:v>
                </c:pt>
                <c:pt idx="170">
                  <c:v>0.13267949501967199</c:v>
                </c:pt>
                <c:pt idx="171">
                  <c:v>0.132681591192402</c:v>
                </c:pt>
                <c:pt idx="172">
                  <c:v>0.132683688740695</c:v>
                </c:pt>
                <c:pt idx="173">
                  <c:v>0.13268578789114299</c:v>
                </c:pt>
                <c:pt idx="174">
                  <c:v>0.13268788887351199</c:v>
                </c:pt>
                <c:pt idx="175">
                  <c:v>0.13268999192095701</c:v>
                </c:pt>
                <c:pt idx="176">
                  <c:v>0.13269209727023901</c:v>
                </c:pt>
                <c:pt idx="177">
                  <c:v>0.13269420516196201</c:v>
                </c:pt>
                <c:pt idx="178">
                  <c:v>0.13269631584080599</c:v>
                </c:pt>
                <c:pt idx="179">
                  <c:v>0.13269842955578601</c:v>
                </c:pt>
                <c:pt idx="180">
                  <c:v>0.132700546560511</c:v>
                </c:pt>
                <c:pt idx="181">
                  <c:v>0.13270266711345699</c:v>
                </c:pt>
                <c:pt idx="182">
                  <c:v>0.132704791478263</c:v>
                </c:pt>
                <c:pt idx="183">
                  <c:v>0.132706919924029</c:v>
                </c:pt>
                <c:pt idx="184">
                  <c:v>0.13270905272563599</c:v>
                </c:pt>
                <c:pt idx="185">
                  <c:v>0.13271119016407801</c:v>
                </c:pt>
                <c:pt idx="186">
                  <c:v>0.13271333252682199</c:v>
                </c:pt>
                <c:pt idx="187">
                  <c:v>0.132715480108173</c:v>
                </c:pt>
                <c:pt idx="188">
                  <c:v>0.13271763320966901</c:v>
                </c:pt>
                <c:pt idx="189">
                  <c:v>0.13271979214049601</c:v>
                </c:pt>
                <c:pt idx="190">
                  <c:v>0.13272195721792501</c:v>
                </c:pt>
                <c:pt idx="191">
                  <c:v>0.132724128767778</c:v>
                </c:pt>
                <c:pt idx="192">
                  <c:v>0.13272630712491701</c:v>
                </c:pt>
                <c:pt idx="193">
                  <c:v>0.13272849263376901</c:v>
                </c:pt>
                <c:pt idx="194">
                  <c:v>0.132730685648876</c:v>
                </c:pt>
                <c:pt idx="195">
                  <c:v>0.13273288653548501</c:v>
                </c:pt>
                <c:pt idx="196">
                  <c:v>0.13273509567017699</c:v>
                </c:pt>
                <c:pt idx="197">
                  <c:v>0.132737313441533</c:v>
                </c:pt>
                <c:pt idx="198">
                  <c:v>0.132739540250841</c:v>
                </c:pt>
                <c:pt idx="199">
                  <c:v>0.13274177651286501</c:v>
                </c:pt>
                <c:pt idx="200">
                  <c:v>0.13274402265665</c:v>
                </c:pt>
                <c:pt idx="201">
                  <c:v>0.132746279126393</c:v>
                </c:pt>
                <c:pt idx="202">
                  <c:v>0.13274854638237599</c:v>
                </c:pt>
                <c:pt idx="203">
                  <c:v>0.132750824901961</c:v>
                </c:pt>
                <c:pt idx="204">
                  <c:v>0.13275311518066599</c:v>
                </c:pt>
                <c:pt idx="205">
                  <c:v>0.13275541773331401</c:v>
                </c:pt>
                <c:pt idx="206">
                  <c:v>0.132757733095279</c:v>
                </c:pt>
                <c:pt idx="207">
                  <c:v>0.132760061823818</c:v>
                </c:pt>
                <c:pt idx="208">
                  <c:v>0.13276240449951601</c:v>
                </c:pt>
                <c:pt idx="209">
                  <c:v>0.13276476172784801</c:v>
                </c:pt>
                <c:pt idx="210">
                  <c:v>0.13276713414086799</c:v>
                </c:pt>
                <c:pt idx="211">
                  <c:v>0.13276952239903</c:v>
                </c:pt>
                <c:pt idx="212">
                  <c:v>0.13277192719318501</c:v>
                </c:pt>
                <c:pt idx="213">
                  <c:v>0.13277434924672901</c:v>
                </c:pt>
                <c:pt idx="214">
                  <c:v>0.132776789317957</c:v>
                </c:pt>
                <c:pt idx="215">
                  <c:v>0.13277924820261999</c:v>
                </c:pt>
                <c:pt idx="216">
                  <c:v>0.132781726736725</c:v>
                </c:pt>
                <c:pt idx="217">
                  <c:v>0.13278422579959301</c:v>
                </c:pt>
                <c:pt idx="218">
                  <c:v>0.13278674631720599</c:v>
                </c:pt>
                <c:pt idx="219">
                  <c:v>0.132789289265896</c:v>
                </c:pt>
                <c:pt idx="220">
                  <c:v>0.13279185567638299</c:v>
                </c:pt>
                <c:pt idx="221">
                  <c:v>0.132794446638243</c:v>
                </c:pt>
                <c:pt idx="222">
                  <c:v>0.13279706330482899</c:v>
                </c:pt>
                <c:pt idx="223">
                  <c:v>0.132799706898722</c:v>
                </c:pt>
                <c:pt idx="224">
                  <c:v>0.132802378717778</c:v>
                </c:pt>
                <c:pt idx="225">
                  <c:v>0.132805080141845</c:v>
                </c:pt>
                <c:pt idx="226">
                  <c:v>0.13280781264025199</c:v>
                </c:pt>
                <c:pt idx="227">
                  <c:v>0.132810577780172</c:v>
                </c:pt>
                <c:pt idx="228">
                  <c:v>0.13281337723598599</c:v>
                </c:pt>
                <c:pt idx="229">
                  <c:v>0.13281621279980399</c:v>
                </c:pt>
                <c:pt idx="230">
                  <c:v>0.132819086393311</c:v>
                </c:pt>
                <c:pt idx="231">
                  <c:v>0.132822000081147</c:v>
                </c:pt>
                <c:pt idx="232">
                  <c:v>0.132824956086074</c:v>
                </c:pt>
                <c:pt idx="233">
                  <c:v>0.13282795680621301</c:v>
                </c:pt>
                <c:pt idx="234">
                  <c:v>0.13283100483471399</c:v>
                </c:pt>
                <c:pt idx="235">
                  <c:v>0.13283410298228401</c:v>
                </c:pt>
                <c:pt idx="236">
                  <c:v>0.13283725430307999</c:v>
                </c:pt>
                <c:pt idx="237">
                  <c:v>0.13284046212460199</c:v>
                </c:pt>
                <c:pt idx="238">
                  <c:v>0.13284373008234701</c:v>
                </c:pt>
                <c:pt idx="239">
                  <c:v>0.13284706216018199</c:v>
                </c:pt>
                <c:pt idx="240">
                  <c:v>0.13285046273759499</c:v>
                </c:pt>
                <c:pt idx="241">
                  <c:v>0.13285393664530001</c:v>
                </c:pt>
                <c:pt idx="242">
                  <c:v>0.13285748923103799</c:v>
                </c:pt>
                <c:pt idx="243">
                  <c:v>0.13286112643791401</c:v>
                </c:pt>
                <c:pt idx="244">
                  <c:v>0.132864854898255</c:v>
                </c:pt>
                <c:pt idx="245">
                  <c:v>0.13286868204686</c:v>
                </c:pt>
                <c:pt idx="246">
                  <c:v>0.13287261625866401</c:v>
                </c:pt>
                <c:pt idx="247">
                  <c:v>0.132876667017443</c:v>
                </c:pt>
                <c:pt idx="248">
                  <c:v>0.132880845124389</c:v>
                </c:pt>
                <c:pt idx="249">
                  <c:v>0.13288516295844799</c:v>
                </c:pt>
                <c:pt idx="250">
                  <c:v>0.13288963480469199</c:v>
                </c:pt>
                <c:pt idx="251">
                  <c:v>0.13289427727328901</c:v>
                </c:pt>
                <c:pt idx="252">
                  <c:v>0.13289910984085401</c:v>
                </c:pt>
                <c:pt idx="253">
                  <c:v>0.132904155559849</c:v>
                </c:pt>
                <c:pt idx="254">
                  <c:v>0.13290944200277299</c:v>
                </c:pt>
                <c:pt idx="255">
                  <c:v>0.13291500254108701</c:v>
                </c:pt>
                <c:pt idx="256">
                  <c:v>0.13292087811204301</c:v>
                </c:pt>
                <c:pt idx="257">
                  <c:v>0.132927119714948</c:v>
                </c:pt>
                <c:pt idx="258">
                  <c:v>0.132933792029892</c:v>
                </c:pt>
                <c:pt idx="259">
                  <c:v>0.132940978822192</c:v>
                </c:pt>
                <c:pt idx="260">
                  <c:v>0.13294879130005999</c:v>
                </c:pt>
                <c:pt idx="261">
                  <c:v>0.132957381584934</c:v>
                </c:pt>
                <c:pt idx="262">
                  <c:v>0.13296696553123799</c:v>
                </c:pt>
                <c:pt idx="263">
                  <c:v>0.13297786382384399</c:v>
                </c:pt>
                <c:pt idx="264">
                  <c:v>0.132990581906959</c:v>
                </c:pt>
                <c:pt idx="265">
                  <c:v>0.13300598168556699</c:v>
                </c:pt>
                <c:pt idx="266">
                  <c:v>0.13302570306129599</c:v>
                </c:pt>
                <c:pt idx="267">
                  <c:v>0.133053413662858</c:v>
                </c:pt>
                <c:pt idx="268">
                  <c:v>0.13309974144758499</c:v>
                </c:pt>
                <c:pt idx="269">
                  <c:v>0.13321378154653299</c:v>
                </c:pt>
                <c:pt idx="270">
                  <c:v>0.13336682861826901</c:v>
                </c:pt>
                <c:pt idx="271">
                  <c:v>0.13351953708365299</c:v>
                </c:pt>
                <c:pt idx="272">
                  <c:v>0.133672756082719</c:v>
                </c:pt>
                <c:pt idx="273">
                  <c:v>0.13382654271444999</c:v>
                </c:pt>
                <c:pt idx="274">
                  <c:v>0.1339809270474</c:v>
                </c:pt>
                <c:pt idx="275">
                  <c:v>0.13413592636935101</c:v>
                </c:pt>
                <c:pt idx="276">
                  <c:v>0.13429155195650999</c:v>
                </c:pt>
                <c:pt idx="277">
                  <c:v>0.229108280555748</c:v>
                </c:pt>
                <c:pt idx="278">
                  <c:v>0.22910828280913501</c:v>
                </c:pt>
                <c:pt idx="279">
                  <c:v>0.38305732976120799</c:v>
                </c:pt>
                <c:pt idx="280">
                  <c:v>0.38333587250425699</c:v>
                </c:pt>
                <c:pt idx="281">
                  <c:v>0.38357840372985702</c:v>
                </c:pt>
                <c:pt idx="282">
                  <c:v>0.38379485836785199</c:v>
                </c:pt>
                <c:pt idx="283">
                  <c:v>0.38399180760400198</c:v>
                </c:pt>
                <c:pt idx="284">
                  <c:v>0.384173807056849</c:v>
                </c:pt>
                <c:pt idx="285">
                  <c:v>0.38434416321224601</c:v>
                </c:pt>
                <c:pt idx="286">
                  <c:v>0.38450537598643098</c:v>
                </c:pt>
                <c:pt idx="287">
                  <c:v>0.38465940776560398</c:v>
                </c:pt>
                <c:pt idx="288">
                  <c:v>0.38480785573939102</c:v>
                </c:pt>
                <c:pt idx="289">
                  <c:v>0.384952068264445</c:v>
                </c:pt>
                <c:pt idx="290">
                  <c:v>0.38509322812937802</c:v>
                </c:pt>
                <c:pt idx="291">
                  <c:v>0.38523241647348</c:v>
                </c:pt>
                <c:pt idx="292">
                  <c:v>0.385370666441891</c:v>
                </c:pt>
                <c:pt idx="293">
                  <c:v>0.385509013499586</c:v>
                </c:pt>
                <c:pt idx="294">
                  <c:v>0.38564854888670203</c:v>
                </c:pt>
                <c:pt idx="295">
                  <c:v>0.385790483898592</c:v>
                </c:pt>
                <c:pt idx="296">
                  <c:v>0.38593623614144101</c:v>
                </c:pt>
                <c:pt idx="297">
                  <c:v>0.38608755645093301</c:v>
                </c:pt>
                <c:pt idx="298">
                  <c:v>0.38624673120118802</c:v>
                </c:pt>
                <c:pt idx="299">
                  <c:v>0.38641693053499898</c:v>
                </c:pt>
                <c:pt idx="300">
                  <c:v>0.38660285978241898</c:v>
                </c:pt>
                <c:pt idx="301">
                  <c:v>0.38681210620158402</c:v>
                </c:pt>
                <c:pt idx="302">
                  <c:v>0.38705831096616899</c:v>
                </c:pt>
                <c:pt idx="303">
                  <c:v>0.38737014098822098</c:v>
                </c:pt>
                <c:pt idx="304">
                  <c:v>0.38782486586522802</c:v>
                </c:pt>
                <c:pt idx="305">
                  <c:v>0.38875106087786898</c:v>
                </c:pt>
                <c:pt idx="306">
                  <c:v>0.39343249839230199</c:v>
                </c:pt>
                <c:pt idx="307">
                  <c:v>0.40121720513367698</c:v>
                </c:pt>
                <c:pt idx="308">
                  <c:v>0.60121720513367705</c:v>
                </c:pt>
                <c:pt idx="309">
                  <c:v>0.60121720513367705</c:v>
                </c:pt>
              </c:numCache>
            </c:numRef>
          </c:xVal>
          <c:yVal>
            <c:numRef>
              <c:f>Implicit_Fracs!$BN$5:$BN$314</c:f>
              <c:numCache>
                <c:formatCode>0.00E+00</c:formatCode>
                <c:ptCount val="310"/>
                <c:pt idx="0">
                  <c:v>4.33214647705634E-7</c:v>
                </c:pt>
                <c:pt idx="1">
                  <c:v>4.3265014010974998E-7</c:v>
                </c:pt>
                <c:pt idx="2">
                  <c:v>4.32166534566312E-7</c:v>
                </c:pt>
                <c:pt idx="3">
                  <c:v>4.3171655268624401E-7</c:v>
                </c:pt>
                <c:pt idx="4">
                  <c:v>4.31285155330804E-7</c:v>
                </c:pt>
                <c:pt idx="5">
                  <c:v>4.30865588434812E-7</c:v>
                </c:pt>
                <c:pt idx="6">
                  <c:v>4.3045422840744098E-7</c:v>
                </c:pt>
                <c:pt idx="7">
                  <c:v>4.3004890257923703E-7</c:v>
                </c:pt>
                <c:pt idx="8">
                  <c:v>4.29648204322791E-7</c:v>
                </c:pt>
                <c:pt idx="9">
                  <c:v>4.29251170123488E-7</c:v>
                </c:pt>
                <c:pt idx="10">
                  <c:v>4.2885711079225902E-7</c:v>
                </c:pt>
                <c:pt idx="11">
                  <c:v>4.2846551614902498E-7</c:v>
                </c:pt>
                <c:pt idx="12">
                  <c:v>4.2807599784251402E-7</c:v>
                </c:pt>
                <c:pt idx="13">
                  <c:v>4.27688253338718E-7</c:v>
                </c:pt>
                <c:pt idx="14">
                  <c:v>4.2730204231493401E-7</c:v>
                </c:pt>
                <c:pt idx="15">
                  <c:v>4.2691717065777002E-7</c:v>
                </c:pt>
                <c:pt idx="16">
                  <c:v>4.26533479301524E-7</c:v>
                </c:pt>
                <c:pt idx="17">
                  <c:v>4.2615083624886702E-7</c:v>
                </c:pt>
                <c:pt idx="18">
                  <c:v>4.25769130742948E-7</c:v>
                </c:pt>
                <c:pt idx="19">
                  <c:v>4.2538826892990998E-7</c:v>
                </c:pt>
                <c:pt idx="20">
                  <c:v>4.2500817057633E-7</c:v>
                </c:pt>
                <c:pt idx="21">
                  <c:v>4.2462876654771102E-7</c:v>
                </c:pt>
                <c:pt idx="22">
                  <c:v>4.2424999684553702E-7</c:v>
                </c:pt>
                <c:pt idx="23">
                  <c:v>4.23871809060544E-7</c:v>
                </c:pt>
                <c:pt idx="24">
                  <c:v>4.2349415714054498E-7</c:v>
                </c:pt>
                <c:pt idx="25">
                  <c:v>4.2311700039897599E-7</c:v>
                </c:pt>
                <c:pt idx="26">
                  <c:v>4.2274030270978902E-7</c:v>
                </c:pt>
                <c:pt idx="27">
                  <c:v>4.2236403184816198E-7</c:v>
                </c:pt>
                <c:pt idx="28">
                  <c:v>4.2198815894639698E-7</c:v>
                </c:pt>
                <c:pt idx="29">
                  <c:v>4.2161265804165902E-7</c:v>
                </c:pt>
                <c:pt idx="30">
                  <c:v>4.2123750569753601E-7</c:v>
                </c:pt>
                <c:pt idx="31">
                  <c:v>4.2086268068541001E-7</c:v>
                </c:pt>
                <c:pt idx="32">
                  <c:v>4.2048816371461802E-7</c:v>
                </c:pt>
                <c:pt idx="33">
                  <c:v>4.2011393720271299E-7</c:v>
                </c:pt>
                <c:pt idx="34">
                  <c:v>4.19739985078859E-7</c:v>
                </c:pt>
                <c:pt idx="35">
                  <c:v>4.1936629261478199E-7</c:v>
                </c:pt>
                <c:pt idx="36">
                  <c:v>4.1899284627877101E-7</c:v>
                </c:pt>
                <c:pt idx="37">
                  <c:v>4.1861963361469802E-7</c:v>
                </c:pt>
                <c:pt idx="38">
                  <c:v>4.1824664312604001E-7</c:v>
                </c:pt>
                <c:pt idx="39">
                  <c:v>4.1787386417928099E-7</c:v>
                </c:pt>
                <c:pt idx="40">
                  <c:v>4.1750128691941502E-7</c:v>
                </c:pt>
                <c:pt idx="41">
                  <c:v>4.17128902195557E-7</c:v>
                </c:pt>
                <c:pt idx="42">
                  <c:v>4.1675670149527698E-7</c:v>
                </c:pt>
                <c:pt idx="43">
                  <c:v>4.1638467688642299E-7</c:v>
                </c:pt>
                <c:pt idx="44">
                  <c:v>4.1601282096545301E-7</c:v>
                </c:pt>
                <c:pt idx="45">
                  <c:v>4.1564112681141102E-7</c:v>
                </c:pt>
                <c:pt idx="46">
                  <c:v>4.1526958794482001E-7</c:v>
                </c:pt>
                <c:pt idx="47">
                  <c:v>4.1489819829088198E-7</c:v>
                </c:pt>
                <c:pt idx="48">
                  <c:v>4.1452695214644898E-7</c:v>
                </c:pt>
                <c:pt idx="49">
                  <c:v>4.1415584415030198E-7</c:v>
                </c:pt>
                <c:pt idx="50">
                  <c:v>4.1378486925636799E-7</c:v>
                </c:pt>
                <c:pt idx="51">
                  <c:v>4.13414022709506E-7</c:v>
                </c:pt>
                <c:pt idx="52">
                  <c:v>4.1304330002360602E-7</c:v>
                </c:pt>
                <c:pt idx="53">
                  <c:v>4.1267269696170198E-7</c:v>
                </c:pt>
                <c:pt idx="54">
                  <c:v>4.1230220951791102E-7</c:v>
                </c:pt>
                <c:pt idx="55">
                  <c:v>4.1193183390097702E-7</c:v>
                </c:pt>
                <c:pt idx="56">
                  <c:v>4.11561566519282E-7</c:v>
                </c:pt>
                <c:pt idx="57">
                  <c:v>4.1119140396713102E-7</c:v>
                </c:pt>
                <c:pt idx="58">
                  <c:v>4.1082134301221498E-7</c:v>
                </c:pt>
                <c:pt idx="59">
                  <c:v>4.1045138058411699E-7</c:v>
                </c:pt>
                <c:pt idx="60">
                  <c:v>4.1008151376376099E-7</c:v>
                </c:pt>
                <c:pt idx="61">
                  <c:v>4.0971173977371398E-7</c:v>
                </c:pt>
                <c:pt idx="62">
                  <c:v>4.0934205596926798E-7</c:v>
                </c:pt>
                <c:pt idx="63">
                  <c:v>4.0897245983019802E-7</c:v>
                </c:pt>
                <c:pt idx="64">
                  <c:v>4.0860294895318501E-7</c:v>
                </c:pt>
                <c:pt idx="65">
                  <c:v>4.08233521044781E-7</c:v>
                </c:pt>
                <c:pt idx="66">
                  <c:v>4.0786417391493502E-7</c:v>
                </c:pt>
                <c:pt idx="67">
                  <c:v>4.0749490547096399E-7</c:v>
                </c:pt>
                <c:pt idx="68">
                  <c:v>4.0712571371197998E-7</c:v>
                </c:pt>
                <c:pt idx="69">
                  <c:v>4.0675659672371401E-7</c:v>
                </c:pt>
                <c:pt idx="70">
                  <c:v>4.06387552673695E-7</c:v>
                </c:pt>
                <c:pt idx="71">
                  <c:v>4.0601857980678E-7</c:v>
                </c:pt>
                <c:pt idx="72">
                  <c:v>4.0564967644098401E-7</c:v>
                </c:pt>
                <c:pt idx="73">
                  <c:v>4.0528084096357501E-7</c:v>
                </c:pt>
                <c:pt idx="74">
                  <c:v>4.0491207182746901E-7</c:v>
                </c:pt>
                <c:pt idx="75">
                  <c:v>4.0454336754782399E-7</c:v>
                </c:pt>
                <c:pt idx="76">
                  <c:v>4.0417472669887697E-7</c:v>
                </c:pt>
                <c:pt idx="77">
                  <c:v>4.0380614791097802E-7</c:v>
                </c:pt>
                <c:pt idx="78">
                  <c:v>4.03437629867815E-7</c:v>
                </c:pt>
                <c:pt idx="79">
                  <c:v>4.03069171303811E-7</c:v>
                </c:pt>
                <c:pt idx="80">
                  <c:v>4.0270077100168699E-7</c:v>
                </c:pt>
                <c:pt idx="81">
                  <c:v>4.0233242779016701E-7</c:v>
                </c:pt>
                <c:pt idx="82">
                  <c:v>4.0196414054182502E-7</c:v>
                </c:pt>
                <c:pt idx="83">
                  <c:v>4.0159590817106098E-7</c:v>
                </c:pt>
                <c:pt idx="84">
                  <c:v>4.01227729632209E-7</c:v>
                </c:pt>
                <c:pt idx="85">
                  <c:v>4.0085960391772901E-7</c:v>
                </c:pt>
                <c:pt idx="86">
                  <c:v>4.00491530056534E-7</c:v>
                </c:pt>
                <c:pt idx="87">
                  <c:v>4.0012350711238298E-7</c:v>
                </c:pt>
                <c:pt idx="88">
                  <c:v>3.9975553418240301E-7</c:v>
                </c:pt>
                <c:pt idx="89">
                  <c:v>3.9938761039564897E-7</c:v>
                </c:pt>
                <c:pt idx="90">
                  <c:v>3.99019734911788E-7</c:v>
                </c:pt>
                <c:pt idx="91">
                  <c:v>3.9865190691981702E-7</c:v>
                </c:pt>
                <c:pt idx="92">
                  <c:v>3.9828412563688701E-7</c:v>
                </c:pt>
                <c:pt idx="93">
                  <c:v>3.97916390307165E-7</c:v>
                </c:pt>
                <c:pt idx="94">
                  <c:v>3.9754870020075798E-7</c:v>
                </c:pt>
                <c:pt idx="95">
                  <c:v>3.9718105461271899E-7</c:v>
                </c:pt>
                <c:pt idx="96">
                  <c:v>3.96813452862079E-7</c:v>
                </c:pt>
                <c:pt idx="97">
                  <c:v>3.9644589429093699E-7</c:v>
                </c:pt>
                <c:pt idx="98">
                  <c:v>3.9607837826360499E-7</c:v>
                </c:pt>
                <c:pt idx="99">
                  <c:v>3.95710904165797E-7</c:v>
                </c:pt>
                <c:pt idx="100">
                  <c:v>3.9534347140384502E-7</c:v>
                </c:pt>
                <c:pt idx="101">
                  <c:v>3.9497607940396698E-7</c:v>
                </c:pt>
                <c:pt idx="102">
                  <c:v>3.9460872761158002E-7</c:v>
                </c:pt>
                <c:pt idx="103">
                  <c:v>3.9424141549063299E-7</c:v>
                </c:pt>
                <c:pt idx="104">
                  <c:v>3.9387414252297499E-7</c:v>
                </c:pt>
                <c:pt idx="105">
                  <c:v>3.9350690820776499E-7</c:v>
                </c:pt>
                <c:pt idx="106">
                  <c:v>3.93139712060905E-7</c:v>
                </c:pt>
                <c:pt idx="107">
                  <c:v>3.9277255361449899E-7</c:v>
                </c:pt>
                <c:pt idx="108">
                  <c:v>3.9240543241634401E-7</c:v>
                </c:pt>
                <c:pt idx="109">
                  <c:v>3.9203834802944101E-7</c:v>
                </c:pt>
                <c:pt idx="110">
                  <c:v>3.91671300031535E-7</c:v>
                </c:pt>
                <c:pt idx="111">
                  <c:v>3.9130428801468401E-7</c:v>
                </c:pt>
                <c:pt idx="112">
                  <c:v>3.9093731158483101E-7</c:v>
                </c:pt>
                <c:pt idx="113">
                  <c:v>3.9057037036141398E-7</c:v>
                </c:pt>
                <c:pt idx="114">
                  <c:v>3.9020346397698803E-7</c:v>
                </c:pt>
                <c:pt idx="115">
                  <c:v>3.8983659207686202E-7</c:v>
                </c:pt>
                <c:pt idx="116">
                  <c:v>3.8946975431878102E-7</c:v>
                </c:pt>
                <c:pt idx="117">
                  <c:v>3.8910295037257402E-7</c:v>
                </c:pt>
                <c:pt idx="118">
                  <c:v>3.8873617991987501E-7</c:v>
                </c:pt>
                <c:pt idx="119">
                  <c:v>3.8836944265381998E-7</c:v>
                </c:pt>
                <c:pt idx="120">
                  <c:v>3.8800273827876703E-7</c:v>
                </c:pt>
                <c:pt idx="121">
                  <c:v>3.8763606651005499E-7</c:v>
                </c:pt>
                <c:pt idx="122">
                  <c:v>3.8726942707373802E-7</c:v>
                </c:pt>
                <c:pt idx="123">
                  <c:v>3.8690281970637102E-7</c:v>
                </c:pt>
                <c:pt idx="124">
                  <c:v>3.8653624415477399E-7</c:v>
                </c:pt>
                <c:pt idx="125">
                  <c:v>3.86169700175838E-7</c:v>
                </c:pt>
                <c:pt idx="126">
                  <c:v>3.8580318753631902E-7</c:v>
                </c:pt>
                <c:pt idx="127">
                  <c:v>3.8543670601266601E-7</c:v>
                </c:pt>
                <c:pt idx="128">
                  <c:v>3.8507025539084003E-7</c:v>
                </c:pt>
                <c:pt idx="129">
                  <c:v>3.84703835466157E-7</c:v>
                </c:pt>
                <c:pt idx="130">
                  <c:v>3.8433744604314099E-7</c:v>
                </c:pt>
                <c:pt idx="131">
                  <c:v>3.8397108693537498E-7</c:v>
                </c:pt>
                <c:pt idx="132">
                  <c:v>3.8360475796538501E-7</c:v>
                </c:pt>
                <c:pt idx="133">
                  <c:v>3.8323845896450901E-7</c:v>
                </c:pt>
                <c:pt idx="134">
                  <c:v>3.8287218977278203E-7</c:v>
                </c:pt>
                <c:pt idx="135">
                  <c:v>3.8250595023885501E-7</c:v>
                </c:pt>
                <c:pt idx="136">
                  <c:v>3.82139740219893E-7</c:v>
                </c:pt>
                <c:pt idx="137">
                  <c:v>3.8177355958149098E-7</c:v>
                </c:pt>
                <c:pt idx="138">
                  <c:v>3.81407408197597E-7</c:v>
                </c:pt>
                <c:pt idx="139">
                  <c:v>3.81041285950461E-7</c:v>
                </c:pt>
                <c:pt idx="140">
                  <c:v>3.8067519273057203E-7</c:v>
                </c:pt>
                <c:pt idx="141">
                  <c:v>3.8030912843661198E-7</c:v>
                </c:pt>
                <c:pt idx="142">
                  <c:v>3.7994309297542402E-7</c:v>
                </c:pt>
                <c:pt idx="143">
                  <c:v>3.79577086261968E-7</c:v>
                </c:pt>
                <c:pt idx="144">
                  <c:v>3.7921110821932501E-7</c:v>
                </c:pt>
                <c:pt idx="145">
                  <c:v>3.7884515877867002E-7</c:v>
                </c:pt>
                <c:pt idx="146">
                  <c:v>3.7847923787926898E-7</c:v>
                </c:pt>
                <c:pt idx="147">
                  <c:v>3.7811334546849699E-7</c:v>
                </c:pt>
                <c:pt idx="148">
                  <c:v>3.7774748150184201E-7</c:v>
                </c:pt>
                <c:pt idx="149">
                  <c:v>3.77381645942941E-7</c:v>
                </c:pt>
                <c:pt idx="150">
                  <c:v>3.7701583876360699E-7</c:v>
                </c:pt>
                <c:pt idx="151">
                  <c:v>3.7665005994387102E-7</c:v>
                </c:pt>
                <c:pt idx="152">
                  <c:v>3.7628430947204002E-7</c:v>
                </c:pt>
                <c:pt idx="153">
                  <c:v>3.7591858734475999E-7</c:v>
                </c:pt>
                <c:pt idx="154">
                  <c:v>3.7555289356708899E-7</c:v>
                </c:pt>
                <c:pt idx="155">
                  <c:v>3.75187228152575E-7</c:v>
                </c:pt>
                <c:pt idx="156">
                  <c:v>3.7482159112335401E-7</c:v>
                </c:pt>
                <c:pt idx="157">
                  <c:v>3.74455982510257E-7</c:v>
                </c:pt>
                <c:pt idx="158">
                  <c:v>3.7409040235292698E-7</c:v>
                </c:pt>
                <c:pt idx="159">
                  <c:v>3.7372485069993298E-7</c:v>
                </c:pt>
                <c:pt idx="160">
                  <c:v>3.7335932760892801E-7</c:v>
                </c:pt>
                <c:pt idx="161">
                  <c:v>3.7299383314679E-7</c:v>
                </c:pt>
                <c:pt idx="162">
                  <c:v>3.7262836738979098E-7</c:v>
                </c:pt>
                <c:pt idx="163">
                  <c:v>3.7226293042377298E-7</c:v>
                </c:pt>
                <c:pt idx="164">
                  <c:v>3.7189752234434002E-7</c:v>
                </c:pt>
                <c:pt idx="165">
                  <c:v>3.71532143257063E-7</c:v>
                </c:pt>
                <c:pt idx="166">
                  <c:v>3.7116679327772301E-7</c:v>
                </c:pt>
                <c:pt idx="167">
                  <c:v>3.7080147253251802E-7</c:v>
                </c:pt>
                <c:pt idx="168">
                  <c:v>3.7043618115833898E-7</c:v>
                </c:pt>
                <c:pt idx="169">
                  <c:v>3.7007091930303602E-7</c:v>
                </c:pt>
                <c:pt idx="170">
                  <c:v>3.6970568712571601E-7</c:v>
                </c:pt>
                <c:pt idx="171">
                  <c:v>3.6934048479705298E-7</c:v>
                </c:pt>
                <c:pt idx="172">
                  <c:v>3.68975312499619E-7</c:v>
                </c:pt>
                <c:pt idx="173">
                  <c:v>3.6861017042823201E-7</c:v>
                </c:pt>
                <c:pt idx="174">
                  <c:v>3.6824505879035199E-7</c:v>
                </c:pt>
                <c:pt idx="175">
                  <c:v>3.6787997780646097E-7</c:v>
                </c:pt>
                <c:pt idx="176">
                  <c:v>3.6751492771050899E-7</c:v>
                </c:pt>
                <c:pt idx="177">
                  <c:v>3.6714990875036202E-7</c:v>
                </c:pt>
                <c:pt idx="178">
                  <c:v>3.6678492118829301E-7</c:v>
                </c:pt>
                <c:pt idx="179">
                  <c:v>3.6641996530148899E-7</c:v>
                </c:pt>
                <c:pt idx="180">
                  <c:v>3.66055041382607E-7</c:v>
                </c:pt>
                <c:pt idx="181">
                  <c:v>3.6569014974037E-7</c:v>
                </c:pt>
                <c:pt idx="182">
                  <c:v>3.65325290700162E-7</c:v>
                </c:pt>
                <c:pt idx="183">
                  <c:v>3.6496046460472599E-7</c:v>
                </c:pt>
                <c:pt idx="184">
                  <c:v>3.6459567181483499E-7</c:v>
                </c:pt>
                <c:pt idx="185">
                  <c:v>3.6423091271008302E-7</c:v>
                </c:pt>
                <c:pt idx="186">
                  <c:v>3.6386618768965102E-7</c:v>
                </c:pt>
                <c:pt idx="187">
                  <c:v>3.6350149717318798E-7</c:v>
                </c:pt>
                <c:pt idx="188">
                  <c:v>3.6313684160171303E-7</c:v>
                </c:pt>
                <c:pt idx="189">
                  <c:v>3.62772221438585E-7</c:v>
                </c:pt>
                <c:pt idx="190">
                  <c:v>3.6240763717055001E-7</c:v>
                </c:pt>
                <c:pt idx="191">
                  <c:v>3.6204308930884702E-7</c:v>
                </c:pt>
                <c:pt idx="192">
                  <c:v>3.61678578390392E-7</c:v>
                </c:pt>
                <c:pt idx="193">
                  <c:v>3.6131410497905299E-7</c:v>
                </c:pt>
                <c:pt idx="194">
                  <c:v>3.6094966966700602E-7</c:v>
                </c:pt>
                <c:pt idx="195">
                  <c:v>3.6058527307618202E-7</c:v>
                </c:pt>
                <c:pt idx="196">
                  <c:v>3.6022091585983603E-7</c:v>
                </c:pt>
                <c:pt idx="197">
                  <c:v>3.59856598704211E-7</c:v>
                </c:pt>
                <c:pt idx="198">
                  <c:v>3.5949232233033798E-7</c:v>
                </c:pt>
                <c:pt idx="199">
                  <c:v>3.5912808749595601E-7</c:v>
                </c:pt>
                <c:pt idx="200">
                  <c:v>3.5876389499759301E-7</c:v>
                </c:pt>
                <c:pt idx="201">
                  <c:v>3.5839974567279103E-7</c:v>
                </c:pt>
                <c:pt idx="202">
                  <c:v>3.5803564040251298E-7</c:v>
                </c:pt>
                <c:pt idx="203">
                  <c:v>3.5767158011372297E-7</c:v>
                </c:pt>
                <c:pt idx="204">
                  <c:v>3.5730756578220202E-7</c:v>
                </c:pt>
                <c:pt idx="205">
                  <c:v>3.5694359843555598E-7</c:v>
                </c:pt>
                <c:pt idx="206">
                  <c:v>3.5657967915648101E-7</c:v>
                </c:pt>
                <c:pt idx="207">
                  <c:v>3.5621580908631699E-7</c:v>
                </c:pt>
                <c:pt idx="208">
                  <c:v>3.5585198942888498E-7</c:v>
                </c:pt>
                <c:pt idx="209">
                  <c:v>3.55488221454643E-7</c:v>
                </c:pt>
                <c:pt idx="210">
                  <c:v>3.5512450650522901E-7</c:v>
                </c:pt>
                <c:pt idx="211">
                  <c:v>3.5476084599838702E-7</c:v>
                </c:pt>
                <c:pt idx="212">
                  <c:v>3.54397241433342E-7</c:v>
                </c:pt>
                <c:pt idx="213">
                  <c:v>3.54033694396673E-7</c:v>
                </c:pt>
                <c:pt idx="214">
                  <c:v>3.5367020656872102E-7</c:v>
                </c:pt>
                <c:pt idx="215">
                  <c:v>3.5330677973061202E-7</c:v>
                </c:pt>
                <c:pt idx="216">
                  <c:v>3.5294341577195802E-7</c:v>
                </c:pt>
                <c:pt idx="217">
                  <c:v>3.5258011669931903E-7</c:v>
                </c:pt>
                <c:pt idx="218">
                  <c:v>3.52216884645513E-7</c:v>
                </c:pt>
                <c:pt idx="219">
                  <c:v>3.5185372187986301E-7</c:v>
                </c:pt>
                <c:pt idx="220">
                  <c:v>3.5149063081953899E-7</c:v>
                </c:pt>
                <c:pt idx="221">
                  <c:v>3.5112761404209502E-7</c:v>
                </c:pt>
                <c:pt idx="222">
                  <c:v>3.50764674299362E-7</c:v>
                </c:pt>
                <c:pt idx="223">
                  <c:v>3.50401814532899E-7</c:v>
                </c:pt>
                <c:pt idx="224">
                  <c:v>3.5003903789118801E-7</c:v>
                </c:pt>
                <c:pt idx="225">
                  <c:v>3.4967634774883301E-7</c:v>
                </c:pt>
                <c:pt idx="226">
                  <c:v>3.4931374772802798E-7</c:v>
                </c:pt>
                <c:pt idx="227">
                  <c:v>3.48951241722643E-7</c:v>
                </c:pt>
                <c:pt idx="228">
                  <c:v>3.4858883392530898E-7</c:v>
                </c:pt>
                <c:pt idx="229">
                  <c:v>3.48226528857945E-7</c:v>
                </c:pt>
                <c:pt idx="230">
                  <c:v>3.4786433140630602E-7</c:v>
                </c:pt>
                <c:pt idx="231">
                  <c:v>3.4750224685912302E-7</c:v>
                </c:pt>
                <c:pt idx="232">
                  <c:v>3.4714028095268801E-7</c:v>
                </c:pt>
                <c:pt idx="233">
                  <c:v>3.4677843992171001E-7</c:v>
                </c:pt>
                <c:pt idx="234">
                  <c:v>3.4641673055758601E-7</c:v>
                </c:pt>
                <c:pt idx="235">
                  <c:v>3.4605516027541799E-7</c:v>
                </c:pt>
                <c:pt idx="236">
                  <c:v>3.4569373719133598E-7</c:v>
                </c:pt>
                <c:pt idx="237">
                  <c:v>3.4533247021213098E-7</c:v>
                </c:pt>
                <c:pt idx="238">
                  <c:v>3.4497136913960701E-7</c:v>
                </c:pt>
                <c:pt idx="239">
                  <c:v>3.4461044479258301E-7</c:v>
                </c:pt>
                <c:pt idx="240">
                  <c:v>3.4424970915026902E-7</c:v>
                </c:pt>
                <c:pt idx="241">
                  <c:v>3.4388917552164002E-7</c:v>
                </c:pt>
                <c:pt idx="242">
                  <c:v>3.4352885874661401E-7</c:v>
                </c:pt>
                <c:pt idx="243">
                  <c:v>3.4316877543642099E-7</c:v>
                </c:pt>
                <c:pt idx="244">
                  <c:v>3.4280894426263402E-7</c:v>
                </c:pt>
                <c:pt idx="245">
                  <c:v>3.4244938630705802E-7</c:v>
                </c:pt>
                <c:pt idx="246">
                  <c:v>3.4209012548840898E-7</c:v>
                </c:pt>
                <c:pt idx="247">
                  <c:v>3.4173118908671701E-7</c:v>
                </c:pt>
                <c:pt idx="248">
                  <c:v>3.4137260839331401E-7</c:v>
                </c:pt>
                <c:pt idx="249">
                  <c:v>3.4101441952395499E-7</c:v>
                </c:pt>
                <c:pt idx="250">
                  <c:v>3.4065666444614401E-7</c:v>
                </c:pt>
                <c:pt idx="251">
                  <c:v>3.4029939229136903E-7</c:v>
                </c:pt>
                <c:pt idx="252">
                  <c:v>3.3994266105127898E-7</c:v>
                </c:pt>
                <c:pt idx="253">
                  <c:v>3.3958653979899001E-7</c:v>
                </c:pt>
                <c:pt idx="254">
                  <c:v>3.3923111164030302E-7</c:v>
                </c:pt>
                <c:pt idx="255">
                  <c:v>3.3887647769766499E-7</c:v>
                </c:pt>
                <c:pt idx="256">
                  <c:v>3.3852276258438497E-7</c:v>
                </c:pt>
                <c:pt idx="257">
                  <c:v>3.38170122076631E-7</c:v>
                </c:pt>
                <c:pt idx="258">
                  <c:v>3.3781875410603298E-7</c:v>
                </c:pt>
                <c:pt idx="259">
                  <c:v>3.3746891490608999E-7</c:v>
                </c:pt>
                <c:pt idx="260">
                  <c:v>3.3712094339909701E-7</c:v>
                </c:pt>
                <c:pt idx="261">
                  <c:v>3.36775299194489E-7</c:v>
                </c:pt>
                <c:pt idx="262">
                  <c:v>3.3643262385696302E-7</c:v>
                </c:pt>
                <c:pt idx="263">
                  <c:v>3.3609384329517002E-7</c:v>
                </c:pt>
                <c:pt idx="264">
                  <c:v>3.35760344390257E-7</c:v>
                </c:pt>
                <c:pt idx="265">
                  <c:v>3.3543428181390099E-7</c:v>
                </c:pt>
                <c:pt idx="266">
                  <c:v>3.3511905168901598E-7</c:v>
                </c:pt>
                <c:pt idx="267">
                  <c:v>3.3481932160094103E-7</c:v>
                </c:pt>
                <c:pt idx="268">
                  <c:v>3.3454308948781698E-7</c:v>
                </c:pt>
                <c:pt idx="269">
                  <c:v>3.34521457867082E-7</c:v>
                </c:pt>
                <c:pt idx="270">
                  <c:v>3.3424132909686199E-7</c:v>
                </c:pt>
                <c:pt idx="271">
                  <c:v>3.3395603563319199E-7</c:v>
                </c:pt>
                <c:pt idx="272">
                  <c:v>3.3366770431070998E-7</c:v>
                </c:pt>
                <c:pt idx="273">
                  <c:v>3.3337810267289799E-7</c:v>
                </c:pt>
                <c:pt idx="274">
                  <c:v>3.3308806405842202E-7</c:v>
                </c:pt>
                <c:pt idx="275">
                  <c:v>3.32797982680188E-7</c:v>
                </c:pt>
                <c:pt idx="276">
                  <c:v>3.3276951897776997E-7</c:v>
                </c:pt>
                <c:pt idx="277">
                  <c:v>3.3276951897776997E-7</c:v>
                </c:pt>
                <c:pt idx="278">
                  <c:v>3.3276951897776997E-7</c:v>
                </c:pt>
                <c:pt idx="279">
                  <c:v>3.3127652282885802E-7</c:v>
                </c:pt>
                <c:pt idx="280">
                  <c:v>3.3042580708041203E-7</c:v>
                </c:pt>
                <c:pt idx="281">
                  <c:v>3.29565896015299E-7</c:v>
                </c:pt>
                <c:pt idx="282">
                  <c:v>3.2870277958890198E-7</c:v>
                </c:pt>
                <c:pt idx="283">
                  <c:v>3.2784951959591798E-7</c:v>
                </c:pt>
                <c:pt idx="284">
                  <c:v>3.2700361500651198E-7</c:v>
                </c:pt>
                <c:pt idx="285">
                  <c:v>3.2616325249670499E-7</c:v>
                </c:pt>
                <c:pt idx="286">
                  <c:v>3.2532738697324801E-7</c:v>
                </c:pt>
                <c:pt idx="287">
                  <c:v>3.2449539151684202E-7</c:v>
                </c:pt>
                <c:pt idx="288">
                  <c:v>3.2366689350778301E-7</c:v>
                </c:pt>
                <c:pt idx="289">
                  <c:v>3.22841691516929E-7</c:v>
                </c:pt>
                <c:pt idx="290">
                  <c:v>3.2201971203491198E-7</c:v>
                </c:pt>
                <c:pt idx="291">
                  <c:v>3.2120098849142001E-7</c:v>
                </c:pt>
                <c:pt idx="292">
                  <c:v>3.20385654824102E-7</c:v>
                </c:pt>
                <c:pt idx="293">
                  <c:v>3.1957395069617202E-7</c:v>
                </c:pt>
                <c:pt idx="294">
                  <c:v>3.18766238528652E-7</c:v>
                </c:pt>
                <c:pt idx="295">
                  <c:v>3.1796303533937198E-7</c:v>
                </c:pt>
                <c:pt idx="296">
                  <c:v>3.1716506616270399E-7</c:v>
                </c:pt>
                <c:pt idx="297">
                  <c:v>3.1637335223761302E-7</c:v>
                </c:pt>
                <c:pt idx="298">
                  <c:v>3.1558935950535101E-7</c:v>
                </c:pt>
                <c:pt idx="299">
                  <c:v>3.1481525881794299E-7</c:v>
                </c:pt>
                <c:pt idx="300">
                  <c:v>3.1405440741171797E-7</c:v>
                </c:pt>
                <c:pt idx="301">
                  <c:v>3.1331230097391602E-7</c:v>
                </c:pt>
                <c:pt idx="302">
                  <c:v>3.12598594801868E-7</c:v>
                </c:pt>
                <c:pt idx="303">
                  <c:v>3.1193154071233601E-7</c:v>
                </c:pt>
                <c:pt idx="304">
                  <c:v>3.1136590470781798E-7</c:v>
                </c:pt>
                <c:pt idx="305">
                  <c:v>3.1094003977054798E-7</c:v>
                </c:pt>
                <c:pt idx="306">
                  <c:v>3.1110443515058702E-7</c:v>
                </c:pt>
                <c:pt idx="307">
                  <c:v>3.1138327122569397E-7</c:v>
                </c:pt>
                <c:pt idx="308">
                  <c:v>3.1138327122569397E-7</c:v>
                </c:pt>
                <c:pt idx="309">
                  <c:v>3.1138327122569397E-7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Implicit_Fracs!$C$5:$C$314</c:f>
              <c:numCache>
                <c:formatCode>General</c:formatCode>
                <c:ptCount val="310"/>
                <c:pt idx="0">
                  <c:v>0.13164836335685801</c:v>
                </c:pt>
                <c:pt idx="1">
                  <c:v>0.13174831742784901</c:v>
                </c:pt>
                <c:pt idx="2">
                  <c:v>0.131814325176488</c:v>
                </c:pt>
                <c:pt idx="3">
                  <c:v>0.13186377086317799</c:v>
                </c:pt>
                <c:pt idx="4">
                  <c:v>0.13190336566689301</c:v>
                </c:pt>
                <c:pt idx="5">
                  <c:v>0.13193641917955301</c:v>
                </c:pt>
                <c:pt idx="6">
                  <c:v>0.13196480990574899</c:v>
                </c:pt>
                <c:pt idx="7">
                  <c:v>0.131989707564308</c:v>
                </c:pt>
                <c:pt idx="8">
                  <c:v>0.132011890254908</c:v>
                </c:pt>
                <c:pt idx="9">
                  <c:v>0.132031901904686</c:v>
                </c:pt>
                <c:pt idx="10">
                  <c:v>0.132050137753493</c:v>
                </c:pt>
                <c:pt idx="11">
                  <c:v>0.13206689406580899</c:v>
                </c:pt>
                <c:pt idx="12">
                  <c:v>0.132082398656449</c:v>
                </c:pt>
                <c:pt idx="13">
                  <c:v>0.132096830483731</c:v>
                </c:pt>
                <c:pt idx="14">
                  <c:v>0.13211033269671599</c:v>
                </c:pt>
                <c:pt idx="15">
                  <c:v>0.13212302159759301</c:v>
                </c:pt>
                <c:pt idx="16">
                  <c:v>0.13213499296405401</c:v>
                </c:pt>
                <c:pt idx="17">
                  <c:v>0.13214632661325601</c:v>
                </c:pt>
                <c:pt idx="18">
                  <c:v>0.132157089763519</c:v>
                </c:pt>
                <c:pt idx="19">
                  <c:v>0.132167339554908</c:v>
                </c:pt>
                <c:pt idx="20">
                  <c:v>0.132177124969275</c:v>
                </c:pt>
                <c:pt idx="21">
                  <c:v>0.132186488313704</c:v>
                </c:pt>
                <c:pt idx="22">
                  <c:v>0.132195466381343</c:v>
                </c:pt>
                <c:pt idx="23">
                  <c:v>0.13220409137031</c:v>
                </c:pt>
                <c:pt idx="24">
                  <c:v>0.1322123916188</c:v>
                </c:pt>
                <c:pt idx="25">
                  <c:v>0.132220392198791</c:v>
                </c:pt>
                <c:pt idx="26">
                  <c:v>0.13222811539981</c:v>
                </c:pt>
                <c:pt idx="27">
                  <c:v>0.13223558112630501</c:v>
                </c:pt>
                <c:pt idx="28">
                  <c:v>0.13224280722651799</c:v>
                </c:pt>
                <c:pt idx="29">
                  <c:v>0.13224980976654199</c:v>
                </c:pt>
                <c:pt idx="30">
                  <c:v>0.13225660326019101</c:v>
                </c:pt>
                <c:pt idx="31">
                  <c:v>0.13226320086295401</c:v>
                </c:pt>
                <c:pt idx="32">
                  <c:v>0.13226961453657801</c:v>
                </c:pt>
                <c:pt idx="33">
                  <c:v>0.13227585518944099</c:v>
                </c:pt>
                <c:pt idx="34">
                  <c:v>0.13228193279689099</c:v>
                </c:pt>
                <c:pt idx="35">
                  <c:v>0.13228785650486699</c:v>
                </c:pt>
                <c:pt idx="36">
                  <c:v>0.13229363471953201</c:v>
                </c:pt>
                <c:pt idx="37">
                  <c:v>0.13229927518510501</c:v>
                </c:pt>
                <c:pt idx="38">
                  <c:v>0.13230478505189899</c:v>
                </c:pt>
                <c:pt idx="39">
                  <c:v>0.132310170935689</c:v>
                </c:pt>
                <c:pt idx="40">
                  <c:v>0.132315438969837</c:v>
                </c:pt>
                <c:pt idx="41">
                  <c:v>0.13232059485122499</c:v>
                </c:pt>
                <c:pt idx="42">
                  <c:v>0.13232564388083301</c:v>
                </c:pt>
                <c:pt idx="43">
                  <c:v>0.13233059099972999</c:v>
                </c:pt>
                <c:pt idx="44">
                  <c:v>0.13233544082104801</c:v>
                </c:pt>
                <c:pt idx="45">
                  <c:v>0.132340197658498</c:v>
                </c:pt>
                <c:pt idx="46">
                  <c:v>0.13234486555185099</c:v>
                </c:pt>
                <c:pt idx="47">
                  <c:v>0.132349448289759</c:v>
                </c:pt>
                <c:pt idx="48">
                  <c:v>0.13235394943025999</c:v>
                </c:pt>
                <c:pt idx="49">
                  <c:v>0.13235837231923001</c:v>
                </c:pt>
                <c:pt idx="50">
                  <c:v>0.13236272010702199</c:v>
                </c:pt>
                <c:pt idx="51">
                  <c:v>0.13236699576351699</c:v>
                </c:pt>
                <c:pt idx="52">
                  <c:v>0.13237120209174699</c:v>
                </c:pt>
                <c:pt idx="53">
                  <c:v>0.132375341740263</c:v>
                </c:pt>
                <c:pt idx="54">
                  <c:v>0.13237941721437901</c:v>
                </c:pt>
                <c:pt idx="55">
                  <c:v>0.132383430886412</c:v>
                </c:pt>
                <c:pt idx="56">
                  <c:v>0.132387385005025</c:v>
                </c:pt>
                <c:pt idx="57">
                  <c:v>0.13239128170376399</c:v>
                </c:pt>
                <c:pt idx="58">
                  <c:v>0.13239512300888101</c:v>
                </c:pt>
                <c:pt idx="59">
                  <c:v>0.132398910846489</c:v>
                </c:pt>
                <c:pt idx="60">
                  <c:v>0.13240264704915</c:v>
                </c:pt>
                <c:pt idx="61">
                  <c:v>0.13240633336192001</c:v>
                </c:pt>
                <c:pt idx="62">
                  <c:v>0.13240997144792099</c:v>
                </c:pt>
                <c:pt idx="63">
                  <c:v>0.132413562893474</c:v>
                </c:pt>
                <c:pt idx="64">
                  <c:v>0.132417109212841</c:v>
                </c:pt>
                <c:pt idx="65">
                  <c:v>0.132420611852609</c:v>
                </c:pt>
                <c:pt idx="66">
                  <c:v>0.13242407219574501</c:v>
                </c:pt>
                <c:pt idx="67">
                  <c:v>0.13242749156535599</c:v>
                </c:pt>
                <c:pt idx="68">
                  <c:v>0.13243087122817501</c:v>
                </c:pt>
                <c:pt idx="69">
                  <c:v>0.13243421239779701</c:v>
                </c:pt>
                <c:pt idx="70">
                  <c:v>0.13243751623769601</c:v>
                </c:pt>
                <c:pt idx="71">
                  <c:v>0.132440783864022</c:v>
                </c:pt>
                <c:pt idx="72">
                  <c:v>0.13244401634821701</c:v>
                </c:pt>
                <c:pt idx="73">
                  <c:v>0.13244721471944401</c:v>
                </c:pt>
                <c:pt idx="74">
                  <c:v>0.13245037996687001</c:v>
                </c:pt>
                <c:pt idx="75">
                  <c:v>0.13245351304177999</c:v>
                </c:pt>
                <c:pt idx="76">
                  <c:v>0.13245661485957499</c:v>
                </c:pt>
                <c:pt idx="77">
                  <c:v>0.132459686301623</c:v>
                </c:pt>
                <c:pt idx="78">
                  <c:v>0.13246272821701099</c:v>
                </c:pt>
                <c:pt idx="79">
                  <c:v>0.132465741424173</c:v>
                </c:pt>
                <c:pt idx="80">
                  <c:v>0.13246872671243001</c:v>
                </c:pt>
                <c:pt idx="81">
                  <c:v>0.132471684843428</c:v>
                </c:pt>
                <c:pt idx="82">
                  <c:v>0.13247461655249701</c:v>
                </c:pt>
                <c:pt idx="83">
                  <c:v>0.13247752254992401</c:v>
                </c:pt>
                <c:pt idx="84">
                  <c:v>0.13248040352215701</c:v>
                </c:pt>
                <c:pt idx="85">
                  <c:v>0.13248326013293299</c:v>
                </c:pt>
                <c:pt idx="86">
                  <c:v>0.13248609302434999</c:v>
                </c:pt>
                <c:pt idx="87">
                  <c:v>0.13248890281787101</c:v>
                </c:pt>
                <c:pt idx="88">
                  <c:v>0.132491690115279</c:v>
                </c:pt>
                <c:pt idx="89">
                  <c:v>0.132494455499574</c:v>
                </c:pt>
                <c:pt idx="90">
                  <c:v>0.13249719953582401</c:v>
                </c:pt>
                <c:pt idx="91">
                  <c:v>0.132499922771974</c:v>
                </c:pt>
                <c:pt idx="92">
                  <c:v>0.132502625739603</c:v>
                </c:pt>
                <c:pt idx="93">
                  <c:v>0.13250530895465101</c:v>
                </c:pt>
                <c:pt idx="94">
                  <c:v>0.13250797291810601</c:v>
                </c:pt>
                <c:pt idx="95">
                  <c:v>0.13251061811664699</c:v>
                </c:pt>
                <c:pt idx="96">
                  <c:v>0.132513245023273</c:v>
                </c:pt>
                <c:pt idx="97">
                  <c:v>0.132515854097881</c:v>
                </c:pt>
                <c:pt idx="98">
                  <c:v>0.13251844578782901</c:v>
                </c:pt>
                <c:pt idx="99">
                  <c:v>0.13252102052846701</c:v>
                </c:pt>
                <c:pt idx="100">
                  <c:v>0.13252357874364101</c:v>
                </c:pt>
                <c:pt idx="101">
                  <c:v>0.13252612084617801</c:v>
                </c:pt>
                <c:pt idx="102">
                  <c:v>0.13252864723834301</c:v>
                </c:pt>
                <c:pt idx="103">
                  <c:v>0.13253115831227899</c:v>
                </c:pt>
                <c:pt idx="104">
                  <c:v>0.13253365445042301</c:v>
                </c:pt>
                <c:pt idx="105">
                  <c:v>0.132536136025908</c:v>
                </c:pt>
                <c:pt idx="106">
                  <c:v>0.13253860340294499</c:v>
                </c:pt>
                <c:pt idx="107">
                  <c:v>0.13254105693718801</c:v>
                </c:pt>
                <c:pt idx="108">
                  <c:v>0.132543496976081</c:v>
                </c:pt>
                <c:pt idx="109">
                  <c:v>0.132545923859197</c:v>
                </c:pt>
                <c:pt idx="110">
                  <c:v>0.132548337918557</c:v>
                </c:pt>
                <c:pt idx="111">
                  <c:v>0.132550739478936</c:v>
                </c:pt>
                <c:pt idx="112">
                  <c:v>0.13255312885816001</c:v>
                </c:pt>
                <c:pt idx="113">
                  <c:v>0.132555506367391</c:v>
                </c:pt>
                <c:pt idx="114">
                  <c:v>0.13255787231139399</c:v>
                </c:pt>
                <c:pt idx="115">
                  <c:v>0.13256022698880601</c:v>
                </c:pt>
                <c:pt idx="116">
                  <c:v>0.13256257069238001</c:v>
                </c:pt>
                <c:pt idx="117">
                  <c:v>0.13256490370923599</c:v>
                </c:pt>
                <c:pt idx="118">
                  <c:v>0.132567226321089</c:v>
                </c:pt>
                <c:pt idx="119">
                  <c:v>0.132569538804475</c:v>
                </c:pt>
                <c:pt idx="120">
                  <c:v>0.132571841430971</c:v>
                </c:pt>
                <c:pt idx="121">
                  <c:v>0.13257413446740399</c:v>
                </c:pt>
                <c:pt idx="122">
                  <c:v>0.13257641817605401</c:v>
                </c:pt>
                <c:pt idx="123">
                  <c:v>0.13257869281484999</c:v>
                </c:pt>
                <c:pt idx="124">
                  <c:v>0.132580958637564</c:v>
                </c:pt>
                <c:pt idx="125">
                  <c:v>0.132583215893989</c:v>
                </c:pt>
                <c:pt idx="126">
                  <c:v>0.13258546483012401</c:v>
                </c:pt>
                <c:pt idx="127">
                  <c:v>0.13258770568834599</c:v>
                </c:pt>
                <c:pt idx="128">
                  <c:v>0.13258993870757799</c:v>
                </c:pt>
                <c:pt idx="129">
                  <c:v>0.13259216412345401</c:v>
                </c:pt>
                <c:pt idx="130">
                  <c:v>0.13259438216847899</c:v>
                </c:pt>
                <c:pt idx="131">
                  <c:v>0.13259659307218699</c:v>
                </c:pt>
                <c:pt idx="132">
                  <c:v>0.13259879706128999</c:v>
                </c:pt>
                <c:pt idx="133">
                  <c:v>0.132600994359831</c:v>
                </c:pt>
                <c:pt idx="134">
                  <c:v>0.13260318518932601</c:v>
                </c:pt>
                <c:pt idx="135">
                  <c:v>0.13260536976890799</c:v>
                </c:pt>
                <c:pt idx="136">
                  <c:v>0.132607548315469</c:v>
                </c:pt>
                <c:pt idx="137">
                  <c:v>0.13260972104379501</c:v>
                </c:pt>
                <c:pt idx="138">
                  <c:v>0.132611888166702</c:v>
                </c:pt>
                <c:pt idx="139">
                  <c:v>0.13261404989517001</c:v>
                </c:pt>
                <c:pt idx="140">
                  <c:v>0.13261620643847399</c:v>
                </c:pt>
                <c:pt idx="141">
                  <c:v>0.13261835800430899</c:v>
                </c:pt>
                <c:pt idx="142">
                  <c:v>0.13262050479892901</c:v>
                </c:pt>
                <c:pt idx="143">
                  <c:v>0.13262264702726001</c:v>
                </c:pt>
                <c:pt idx="144">
                  <c:v>0.132624784893038</c:v>
                </c:pt>
                <c:pt idx="145">
                  <c:v>0.132626918598926</c:v>
                </c:pt>
                <c:pt idx="146">
                  <c:v>0.13262904834664299</c:v>
                </c:pt>
                <c:pt idx="147">
                  <c:v>0.13263117433708499</c:v>
                </c:pt>
                <c:pt idx="148">
                  <c:v>0.13263329677044799</c:v>
                </c:pt>
                <c:pt idx="149">
                  <c:v>0.13263541584635499</c:v>
                </c:pt>
                <c:pt idx="150">
                  <c:v>0.13263753176397799</c:v>
                </c:pt>
                <c:pt idx="151">
                  <c:v>0.13263964472216</c:v>
                </c:pt>
                <c:pt idx="152">
                  <c:v>0.13264175491954</c:v>
                </c:pt>
                <c:pt idx="153">
                  <c:v>0.132643862554683</c:v>
                </c:pt>
                <c:pt idx="154">
                  <c:v>0.132645967826199</c:v>
                </c:pt>
                <c:pt idx="155">
                  <c:v>0.13264807093287501</c:v>
                </c:pt>
                <c:pt idx="156">
                  <c:v>0.132650172073802</c:v>
                </c:pt>
                <c:pt idx="157">
                  <c:v>0.132652271448509</c:v>
                </c:pt>
                <c:pt idx="158">
                  <c:v>0.13265436925708801</c:v>
                </c:pt>
                <c:pt idx="159">
                  <c:v>0.13265646570033501</c:v>
                </c:pt>
                <c:pt idx="160">
                  <c:v>0.13265856097988399</c:v>
                </c:pt>
                <c:pt idx="161">
                  <c:v>0.132660655298346</c:v>
                </c:pt>
                <c:pt idx="162">
                  <c:v>0.132662748859454</c:v>
                </c:pt>
                <c:pt idx="163">
                  <c:v>0.13266484186820501</c:v>
                </c:pt>
                <c:pt idx="164">
                  <c:v>0.13266693453101</c:v>
                </c:pt>
                <c:pt idx="165">
                  <c:v>0.13266902705584799</c:v>
                </c:pt>
                <c:pt idx="166">
                  <c:v>0.13267111965242301</c:v>
                </c:pt>
                <c:pt idx="167">
                  <c:v>0.132673212532323</c:v>
                </c:pt>
                <c:pt idx="168">
                  <c:v>0.132675305909189</c:v>
                </c:pt>
                <c:pt idx="169">
                  <c:v>0.132677399998884</c:v>
                </c:pt>
                <c:pt idx="170">
                  <c:v>0.13267949501967199</c:v>
                </c:pt>
                <c:pt idx="171">
                  <c:v>0.132681591192402</c:v>
                </c:pt>
                <c:pt idx="172">
                  <c:v>0.132683688740695</c:v>
                </c:pt>
                <c:pt idx="173">
                  <c:v>0.13268578789114299</c:v>
                </c:pt>
                <c:pt idx="174">
                  <c:v>0.13268788887351199</c:v>
                </c:pt>
                <c:pt idx="175">
                  <c:v>0.13268999192095701</c:v>
                </c:pt>
                <c:pt idx="176">
                  <c:v>0.13269209727023901</c:v>
                </c:pt>
                <c:pt idx="177">
                  <c:v>0.13269420516196201</c:v>
                </c:pt>
                <c:pt idx="178">
                  <c:v>0.13269631584080599</c:v>
                </c:pt>
                <c:pt idx="179">
                  <c:v>0.13269842955578601</c:v>
                </c:pt>
                <c:pt idx="180">
                  <c:v>0.132700546560511</c:v>
                </c:pt>
                <c:pt idx="181">
                  <c:v>0.13270266711345699</c:v>
                </c:pt>
                <c:pt idx="182">
                  <c:v>0.132704791478263</c:v>
                </c:pt>
                <c:pt idx="183">
                  <c:v>0.132706919924029</c:v>
                </c:pt>
                <c:pt idx="184">
                  <c:v>0.13270905272563599</c:v>
                </c:pt>
                <c:pt idx="185">
                  <c:v>0.13271119016407801</c:v>
                </c:pt>
                <c:pt idx="186">
                  <c:v>0.13271333252682199</c:v>
                </c:pt>
                <c:pt idx="187">
                  <c:v>0.132715480108173</c:v>
                </c:pt>
                <c:pt idx="188">
                  <c:v>0.13271763320966901</c:v>
                </c:pt>
                <c:pt idx="189">
                  <c:v>0.13271979214049601</c:v>
                </c:pt>
                <c:pt idx="190">
                  <c:v>0.13272195721792501</c:v>
                </c:pt>
                <c:pt idx="191">
                  <c:v>0.132724128767778</c:v>
                </c:pt>
                <c:pt idx="192">
                  <c:v>0.13272630712491701</c:v>
                </c:pt>
                <c:pt idx="193">
                  <c:v>0.13272849263376901</c:v>
                </c:pt>
                <c:pt idx="194">
                  <c:v>0.132730685648876</c:v>
                </c:pt>
                <c:pt idx="195">
                  <c:v>0.13273288653548501</c:v>
                </c:pt>
                <c:pt idx="196">
                  <c:v>0.13273509567017699</c:v>
                </c:pt>
                <c:pt idx="197">
                  <c:v>0.132737313441533</c:v>
                </c:pt>
                <c:pt idx="198">
                  <c:v>0.132739540250841</c:v>
                </c:pt>
                <c:pt idx="199">
                  <c:v>0.13274177651286501</c:v>
                </c:pt>
                <c:pt idx="200">
                  <c:v>0.13274402265665</c:v>
                </c:pt>
                <c:pt idx="201">
                  <c:v>0.132746279126393</c:v>
                </c:pt>
                <c:pt idx="202">
                  <c:v>0.13274854638237599</c:v>
                </c:pt>
                <c:pt idx="203">
                  <c:v>0.132750824901961</c:v>
                </c:pt>
                <c:pt idx="204">
                  <c:v>0.13275311518066599</c:v>
                </c:pt>
                <c:pt idx="205">
                  <c:v>0.13275541773331401</c:v>
                </c:pt>
                <c:pt idx="206">
                  <c:v>0.132757733095279</c:v>
                </c:pt>
                <c:pt idx="207">
                  <c:v>0.132760061823818</c:v>
                </c:pt>
                <c:pt idx="208">
                  <c:v>0.13276240449951601</c:v>
                </c:pt>
                <c:pt idx="209">
                  <c:v>0.13276476172784801</c:v>
                </c:pt>
                <c:pt idx="210">
                  <c:v>0.13276713414086799</c:v>
                </c:pt>
                <c:pt idx="211">
                  <c:v>0.13276952239903</c:v>
                </c:pt>
                <c:pt idx="212">
                  <c:v>0.13277192719318501</c:v>
                </c:pt>
                <c:pt idx="213">
                  <c:v>0.13277434924672901</c:v>
                </c:pt>
                <c:pt idx="214">
                  <c:v>0.132776789317957</c:v>
                </c:pt>
                <c:pt idx="215">
                  <c:v>0.13277924820261999</c:v>
                </c:pt>
                <c:pt idx="216">
                  <c:v>0.132781726736725</c:v>
                </c:pt>
                <c:pt idx="217">
                  <c:v>0.13278422579959301</c:v>
                </c:pt>
                <c:pt idx="218">
                  <c:v>0.13278674631720599</c:v>
                </c:pt>
                <c:pt idx="219">
                  <c:v>0.132789289265896</c:v>
                </c:pt>
                <c:pt idx="220">
                  <c:v>0.13279185567638299</c:v>
                </c:pt>
                <c:pt idx="221">
                  <c:v>0.132794446638243</c:v>
                </c:pt>
                <c:pt idx="222">
                  <c:v>0.13279706330482899</c:v>
                </c:pt>
                <c:pt idx="223">
                  <c:v>0.132799706898722</c:v>
                </c:pt>
                <c:pt idx="224">
                  <c:v>0.132802378717778</c:v>
                </c:pt>
                <c:pt idx="225">
                  <c:v>0.132805080141845</c:v>
                </c:pt>
                <c:pt idx="226">
                  <c:v>0.13280781264025199</c:v>
                </c:pt>
                <c:pt idx="227">
                  <c:v>0.132810577780172</c:v>
                </c:pt>
                <c:pt idx="228">
                  <c:v>0.13281337723598599</c:v>
                </c:pt>
                <c:pt idx="229">
                  <c:v>0.13281621279980399</c:v>
                </c:pt>
                <c:pt idx="230">
                  <c:v>0.132819086393311</c:v>
                </c:pt>
                <c:pt idx="231">
                  <c:v>0.132822000081147</c:v>
                </c:pt>
                <c:pt idx="232">
                  <c:v>0.132824956086074</c:v>
                </c:pt>
                <c:pt idx="233">
                  <c:v>0.13282795680621301</c:v>
                </c:pt>
                <c:pt idx="234">
                  <c:v>0.13283100483471399</c:v>
                </c:pt>
                <c:pt idx="235">
                  <c:v>0.13283410298228401</c:v>
                </c:pt>
                <c:pt idx="236">
                  <c:v>0.13283725430307999</c:v>
                </c:pt>
                <c:pt idx="237">
                  <c:v>0.13284046212460199</c:v>
                </c:pt>
                <c:pt idx="238">
                  <c:v>0.13284373008234701</c:v>
                </c:pt>
                <c:pt idx="239">
                  <c:v>0.13284706216018199</c:v>
                </c:pt>
                <c:pt idx="240">
                  <c:v>0.13285046273759499</c:v>
                </c:pt>
                <c:pt idx="241">
                  <c:v>0.13285393664530001</c:v>
                </c:pt>
                <c:pt idx="242">
                  <c:v>0.13285748923103799</c:v>
                </c:pt>
                <c:pt idx="243">
                  <c:v>0.13286112643791401</c:v>
                </c:pt>
                <c:pt idx="244">
                  <c:v>0.132864854898255</c:v>
                </c:pt>
                <c:pt idx="245">
                  <c:v>0.13286868204686</c:v>
                </c:pt>
                <c:pt idx="246">
                  <c:v>0.13287261625866401</c:v>
                </c:pt>
                <c:pt idx="247">
                  <c:v>0.132876667017443</c:v>
                </c:pt>
                <c:pt idx="248">
                  <c:v>0.132880845124389</c:v>
                </c:pt>
                <c:pt idx="249">
                  <c:v>0.13288516295844799</c:v>
                </c:pt>
                <c:pt idx="250">
                  <c:v>0.13288963480469199</c:v>
                </c:pt>
                <c:pt idx="251">
                  <c:v>0.13289427727328901</c:v>
                </c:pt>
                <c:pt idx="252">
                  <c:v>0.13289910984085401</c:v>
                </c:pt>
                <c:pt idx="253">
                  <c:v>0.132904155559849</c:v>
                </c:pt>
                <c:pt idx="254">
                  <c:v>0.13290944200277299</c:v>
                </c:pt>
                <c:pt idx="255">
                  <c:v>0.13291500254108701</c:v>
                </c:pt>
                <c:pt idx="256">
                  <c:v>0.13292087811204301</c:v>
                </c:pt>
                <c:pt idx="257">
                  <c:v>0.132927119714948</c:v>
                </c:pt>
                <c:pt idx="258">
                  <c:v>0.132933792029892</c:v>
                </c:pt>
                <c:pt idx="259">
                  <c:v>0.132940978822192</c:v>
                </c:pt>
                <c:pt idx="260">
                  <c:v>0.13294879130005999</c:v>
                </c:pt>
                <c:pt idx="261">
                  <c:v>0.132957381584934</c:v>
                </c:pt>
                <c:pt idx="262">
                  <c:v>0.13296696553123799</c:v>
                </c:pt>
                <c:pt idx="263">
                  <c:v>0.13297786382384399</c:v>
                </c:pt>
                <c:pt idx="264">
                  <c:v>0.132990581906959</c:v>
                </c:pt>
                <c:pt idx="265">
                  <c:v>0.13300598168556699</c:v>
                </c:pt>
                <c:pt idx="266">
                  <c:v>0.13302570306129599</c:v>
                </c:pt>
                <c:pt idx="267">
                  <c:v>0.133053413662858</c:v>
                </c:pt>
                <c:pt idx="268">
                  <c:v>0.13309974144758499</c:v>
                </c:pt>
                <c:pt idx="269">
                  <c:v>0.13321378154653299</c:v>
                </c:pt>
                <c:pt idx="270">
                  <c:v>0.13336682861826901</c:v>
                </c:pt>
                <c:pt idx="271">
                  <c:v>0.13351953708365299</c:v>
                </c:pt>
                <c:pt idx="272">
                  <c:v>0.133672756082719</c:v>
                </c:pt>
                <c:pt idx="273">
                  <c:v>0.13382654271444999</c:v>
                </c:pt>
                <c:pt idx="274">
                  <c:v>0.1339809270474</c:v>
                </c:pt>
                <c:pt idx="275">
                  <c:v>0.13413592636935101</c:v>
                </c:pt>
                <c:pt idx="276">
                  <c:v>0.13429155195650999</c:v>
                </c:pt>
                <c:pt idx="277">
                  <c:v>0.229108280555748</c:v>
                </c:pt>
                <c:pt idx="278">
                  <c:v>0.22910828280913501</c:v>
                </c:pt>
                <c:pt idx="279">
                  <c:v>0.38305732976120799</c:v>
                </c:pt>
                <c:pt idx="280">
                  <c:v>0.38333587250425699</c:v>
                </c:pt>
                <c:pt idx="281">
                  <c:v>0.38357840372985702</c:v>
                </c:pt>
                <c:pt idx="282">
                  <c:v>0.38379485836785199</c:v>
                </c:pt>
                <c:pt idx="283">
                  <c:v>0.38399180760400198</c:v>
                </c:pt>
                <c:pt idx="284">
                  <c:v>0.384173807056849</c:v>
                </c:pt>
                <c:pt idx="285">
                  <c:v>0.38434416321224601</c:v>
                </c:pt>
                <c:pt idx="286">
                  <c:v>0.38450537598643098</c:v>
                </c:pt>
                <c:pt idx="287">
                  <c:v>0.38465940776560398</c:v>
                </c:pt>
                <c:pt idx="288">
                  <c:v>0.38480785573939102</c:v>
                </c:pt>
                <c:pt idx="289">
                  <c:v>0.384952068264445</c:v>
                </c:pt>
                <c:pt idx="290">
                  <c:v>0.38509322812937802</c:v>
                </c:pt>
                <c:pt idx="291">
                  <c:v>0.38523241647348</c:v>
                </c:pt>
                <c:pt idx="292">
                  <c:v>0.385370666441891</c:v>
                </c:pt>
                <c:pt idx="293">
                  <c:v>0.385509013499586</c:v>
                </c:pt>
                <c:pt idx="294">
                  <c:v>0.38564854888670203</c:v>
                </c:pt>
                <c:pt idx="295">
                  <c:v>0.385790483898592</c:v>
                </c:pt>
                <c:pt idx="296">
                  <c:v>0.38593623614144101</c:v>
                </c:pt>
                <c:pt idx="297">
                  <c:v>0.38608755645093301</c:v>
                </c:pt>
                <c:pt idx="298">
                  <c:v>0.38624673120118802</c:v>
                </c:pt>
                <c:pt idx="299">
                  <c:v>0.38641693053499898</c:v>
                </c:pt>
                <c:pt idx="300">
                  <c:v>0.38660285978241898</c:v>
                </c:pt>
                <c:pt idx="301">
                  <c:v>0.38681210620158402</c:v>
                </c:pt>
                <c:pt idx="302">
                  <c:v>0.38705831096616899</c:v>
                </c:pt>
                <c:pt idx="303">
                  <c:v>0.38737014098822098</c:v>
                </c:pt>
                <c:pt idx="304">
                  <c:v>0.38782486586522802</c:v>
                </c:pt>
                <c:pt idx="305">
                  <c:v>0.38875106087786898</c:v>
                </c:pt>
                <c:pt idx="306">
                  <c:v>0.39343249839230199</c:v>
                </c:pt>
                <c:pt idx="307">
                  <c:v>0.40121720513367698</c:v>
                </c:pt>
                <c:pt idx="308">
                  <c:v>0.60121720513367705</c:v>
                </c:pt>
                <c:pt idx="309">
                  <c:v>0.60121720513367705</c:v>
                </c:pt>
              </c:numCache>
            </c:numRef>
          </c:xVal>
          <c:yVal>
            <c:numRef>
              <c:f>Implicit_Fracs!$BO$5:$BO$314</c:f>
              <c:numCache>
                <c:formatCode>0.00E+00</c:formatCode>
                <c:ptCount val="310"/>
                <c:pt idx="0">
                  <c:v>1.9999999999992301E-8</c:v>
                </c:pt>
                <c:pt idx="1">
                  <c:v>3.9957934355381102E-8</c:v>
                </c:pt>
                <c:pt idx="2">
                  <c:v>5.9915823770972696E-8</c:v>
                </c:pt>
                <c:pt idx="3">
                  <c:v>7.9873590501570705E-8</c:v>
                </c:pt>
                <c:pt idx="4">
                  <c:v>9.9831218392452294E-8</c:v>
                </c:pt>
                <c:pt idx="5">
                  <c:v>1.1978870215654801E-7</c:v>
                </c:pt>
                <c:pt idx="6">
                  <c:v>1.3974603900732601E-7</c:v>
                </c:pt>
                <c:pt idx="7">
                  <c:v>1.5970322677149599E-7</c:v>
                </c:pt>
                <c:pt idx="8">
                  <c:v>1.7966026343558101E-7</c:v>
                </c:pt>
                <c:pt idx="9">
                  <c:v>1.9961714705025101E-7</c:v>
                </c:pt>
                <c:pt idx="10">
                  <c:v>2.1957387572035099E-7</c:v>
                </c:pt>
                <c:pt idx="11">
                  <c:v>2.3953044760888398E-7</c:v>
                </c:pt>
                <c:pt idx="12">
                  <c:v>2.5948686093895899E-7</c:v>
                </c:pt>
                <c:pt idx="13">
                  <c:v>2.7944311399118603E-7</c:v>
                </c:pt>
                <c:pt idx="14">
                  <c:v>2.9939920509838401E-7</c:v>
                </c:pt>
                <c:pt idx="15">
                  <c:v>3.1935513263879201E-7</c:v>
                </c:pt>
                <c:pt idx="16">
                  <c:v>3.3931089502909098E-7</c:v>
                </c:pt>
                <c:pt idx="17">
                  <c:v>3.59266490717817E-7</c:v>
                </c:pt>
                <c:pt idx="18">
                  <c:v>3.7922191817914202E-7</c:v>
                </c:pt>
                <c:pt idx="19">
                  <c:v>3.99177175907706E-7</c:v>
                </c:pt>
                <c:pt idx="20">
                  <c:v>4.1913226241379399E-7</c:v>
                </c:pt>
                <c:pt idx="21">
                  <c:v>4.39087176219585E-7</c:v>
                </c:pt>
                <c:pt idx="22">
                  <c:v>4.59041915855388E-7</c:v>
                </c:pt>
                <c:pt idx="23">
                  <c:v>4.7899647985680403E-7</c:v>
                </c:pt>
                <c:pt idx="24">
                  <c:v>4.9895086676232105E-7</c:v>
                </c:pt>
                <c:pt idx="25">
                  <c:v>5.1890507511082601E-7</c:v>
                </c:pt>
                <c:pt idx="26">
                  <c:v>5.3885910343981595E-7</c:v>
                </c:pt>
                <c:pt idx="27">
                  <c:v>5.5881295028371095E-7</c:v>
                </c:pt>
                <c:pt idx="28">
                  <c:v>5.7876661417223302E-7</c:v>
                </c:pt>
                <c:pt idx="29">
                  <c:v>5.9872009362918997E-7</c:v>
                </c:pt>
                <c:pt idx="30">
                  <c:v>6.1867338717127305E-7</c:v>
                </c:pt>
                <c:pt idx="31">
                  <c:v>6.3862649330686498E-7</c:v>
                </c:pt>
                <c:pt idx="32">
                  <c:v>6.58579410535276E-7</c:v>
                </c:pt>
                <c:pt idx="33">
                  <c:v>6.7853213734570596E-7</c:v>
                </c:pt>
                <c:pt idx="34">
                  <c:v>6.9848467221645202E-7</c:v>
                </c:pt>
                <c:pt idx="35">
                  <c:v>7.1843701361412502E-7</c:v>
                </c:pt>
                <c:pt idx="36">
                  <c:v>7.3838915999303703E-7</c:v>
                </c:pt>
                <c:pt idx="37">
                  <c:v>7.5834110948523696E-7</c:v>
                </c:pt>
                <c:pt idx="38">
                  <c:v>7.7829286019882697E-7</c:v>
                </c:pt>
                <c:pt idx="39">
                  <c:v>7.9824441023009395E-7</c:v>
                </c:pt>
                <c:pt idx="40">
                  <c:v>8.1819575766191E-7</c:v>
                </c:pt>
                <c:pt idx="41">
                  <c:v>8.3814690056293995E-7</c:v>
                </c:pt>
                <c:pt idx="42">
                  <c:v>8.5809783698611499E-7</c:v>
                </c:pt>
                <c:pt idx="43">
                  <c:v>8.7804856496776498E-7</c:v>
                </c:pt>
                <c:pt idx="44">
                  <c:v>8.9799908252671799E-7</c:v>
                </c:pt>
                <c:pt idx="45">
                  <c:v>9.1794938766320005E-7</c:v>
                </c:pt>
                <c:pt idx="46">
                  <c:v>9.3789947835799102E-7</c:v>
                </c:pt>
                <c:pt idx="47">
                  <c:v>9.5784935257157005E-7</c:v>
                </c:pt>
                <c:pt idx="48">
                  <c:v>9.7779900824303597E-7</c:v>
                </c:pt>
                <c:pt idx="49">
                  <c:v>9.9774844328967305E-7</c:v>
                </c:pt>
                <c:pt idx="50">
                  <c:v>1.01769765560583E-6</c:v>
                </c:pt>
                <c:pt idx="51">
                  <c:v>1.03764664306245E-6</c:v>
                </c:pt>
                <c:pt idx="52">
                  <c:v>1.05759540350584E-6</c:v>
                </c:pt>
                <c:pt idx="53">
                  <c:v>1.07754393475737E-6</c:v>
                </c:pt>
                <c:pt idx="54">
                  <c:v>1.09749223461231E-6</c:v>
                </c:pt>
                <c:pt idx="55">
                  <c:v>1.1174403008395801E-6</c:v>
                </c:pt>
                <c:pt idx="56">
                  <c:v>1.1373881311804201E-6</c:v>
                </c:pt>
                <c:pt idx="57">
                  <c:v>1.1573357233480501E-6</c:v>
                </c:pt>
                <c:pt idx="58">
                  <c:v>1.1772830750267599E-6</c:v>
                </c:pt>
                <c:pt idx="59">
                  <c:v>1.19723018387128E-6</c:v>
                </c:pt>
                <c:pt idx="60">
                  <c:v>1.2171770475059301E-6</c:v>
                </c:pt>
                <c:pt idx="61">
                  <c:v>1.2371236635239099E-6</c:v>
                </c:pt>
                <c:pt idx="62">
                  <c:v>1.25707002948636E-6</c:v>
                </c:pt>
                <c:pt idx="63">
                  <c:v>1.2770161429219999E-6</c:v>
                </c:pt>
                <c:pt idx="64">
                  <c:v>1.2969620013257301E-6</c:v>
                </c:pt>
                <c:pt idx="65">
                  <c:v>1.3169076021587701E-6</c:v>
                </c:pt>
                <c:pt idx="66">
                  <c:v>1.3368529428466201E-6</c:v>
                </c:pt>
                <c:pt idx="67">
                  <c:v>1.3567980207793299E-6</c:v>
                </c:pt>
                <c:pt idx="68">
                  <c:v>1.3767428333102501E-6</c:v>
                </c:pt>
                <c:pt idx="69">
                  <c:v>1.39668737775504E-6</c:v>
                </c:pt>
                <c:pt idx="70">
                  <c:v>1.41663165139123E-6</c:v>
                </c:pt>
                <c:pt idx="71">
                  <c:v>1.4365756514569601E-6</c:v>
                </c:pt>
                <c:pt idx="72">
                  <c:v>1.4565193751500801E-6</c:v>
                </c:pt>
                <c:pt idx="73">
                  <c:v>1.4764628196278601E-6</c:v>
                </c:pt>
                <c:pt idx="74">
                  <c:v>1.4964059820051299E-6</c:v>
                </c:pt>
                <c:pt idx="75">
                  <c:v>1.5163488593540899E-6</c:v>
                </c:pt>
                <c:pt idx="76">
                  <c:v>1.536291448703E-6</c:v>
                </c:pt>
                <c:pt idx="77">
                  <c:v>1.5562337470353401E-6</c:v>
                </c:pt>
                <c:pt idx="78">
                  <c:v>1.5761757512888499E-6</c:v>
                </c:pt>
                <c:pt idx="79">
                  <c:v>1.5961174583541901E-6</c:v>
                </c:pt>
                <c:pt idx="80">
                  <c:v>1.6160588650742499E-6</c:v>
                </c:pt>
                <c:pt idx="81">
                  <c:v>1.6359999682426899E-6</c:v>
                </c:pt>
                <c:pt idx="82">
                  <c:v>1.65594076460334E-6</c:v>
                </c:pt>
                <c:pt idx="83">
                  <c:v>1.6758812508488899E-6</c:v>
                </c:pt>
                <c:pt idx="84">
                  <c:v>1.6958214236192E-6</c:v>
                </c:pt>
                <c:pt idx="85">
                  <c:v>1.71576127950102E-6</c:v>
                </c:pt>
                <c:pt idx="86">
                  <c:v>1.7357008150259599E-6</c:v>
                </c:pt>
                <c:pt idx="87">
                  <c:v>1.75564002666992E-6</c:v>
                </c:pt>
                <c:pt idx="88">
                  <c:v>1.7755789108510999E-6</c:v>
                </c:pt>
                <c:pt idx="89">
                  <c:v>1.79551746392942E-6</c:v>
                </c:pt>
                <c:pt idx="90">
                  <c:v>1.81545568220442E-6</c:v>
                </c:pt>
                <c:pt idx="91">
                  <c:v>1.8353935619147099E-6</c:v>
                </c:pt>
                <c:pt idx="92">
                  <c:v>1.85533109923583E-6</c:v>
                </c:pt>
                <c:pt idx="93">
                  <c:v>1.87526829027885E-6</c:v>
                </c:pt>
                <c:pt idx="94">
                  <c:v>1.8952051310896201E-6</c:v>
                </c:pt>
                <c:pt idx="95">
                  <c:v>1.9151416176462499E-6</c:v>
                </c:pt>
                <c:pt idx="96">
                  <c:v>1.9350777458578499E-6</c:v>
                </c:pt>
                <c:pt idx="97">
                  <c:v>1.95501351156337E-6</c:v>
                </c:pt>
                <c:pt idx="98">
                  <c:v>1.97494891052938E-6</c:v>
                </c:pt>
                <c:pt idx="99">
                  <c:v>1.9948839384481801E-6</c:v>
                </c:pt>
                <c:pt idx="100">
                  <c:v>2.0148185909365699E-6</c:v>
                </c:pt>
                <c:pt idx="101">
                  <c:v>2.0347528635340498E-6</c:v>
                </c:pt>
                <c:pt idx="102">
                  <c:v>2.0546867517001802E-6</c:v>
                </c:pt>
                <c:pt idx="103">
                  <c:v>2.0746202508132401E-6</c:v>
                </c:pt>
                <c:pt idx="104">
                  <c:v>2.0945533561682E-6</c:v>
                </c:pt>
                <c:pt idx="105">
                  <c:v>2.11448606297438E-6</c:v>
                </c:pt>
                <c:pt idx="106">
                  <c:v>2.1344183663535001E-6</c:v>
                </c:pt>
                <c:pt idx="107">
                  <c:v>2.1543502613375799E-6</c:v>
                </c:pt>
                <c:pt idx="108">
                  <c:v>2.1742817428663899E-6</c:v>
                </c:pt>
                <c:pt idx="109">
                  <c:v>2.1942128057855501E-6</c:v>
                </c:pt>
                <c:pt idx="110">
                  <c:v>2.2141434448437898E-6</c:v>
                </c:pt>
                <c:pt idx="111">
                  <c:v>2.2340736546902999E-6</c:v>
                </c:pt>
                <c:pt idx="112">
                  <c:v>2.2540034298726798E-6</c:v>
                </c:pt>
                <c:pt idx="113">
                  <c:v>2.2739327648338698E-6</c:v>
                </c:pt>
                <c:pt idx="114">
                  <c:v>2.2938616539096701E-6</c:v>
                </c:pt>
                <c:pt idx="115">
                  <c:v>2.3137900913261E-6</c:v>
                </c:pt>
                <c:pt idx="116">
                  <c:v>2.3337180711955598E-6</c:v>
                </c:pt>
                <c:pt idx="117">
                  <c:v>2.3536455875152498E-6</c:v>
                </c:pt>
                <c:pt idx="118">
                  <c:v>2.3735726341626198E-6</c:v>
                </c:pt>
                <c:pt idx="119">
                  <c:v>2.3934992048932298E-6</c:v>
                </c:pt>
                <c:pt idx="120">
                  <c:v>2.4134252933371498E-6</c:v>
                </c:pt>
                <c:pt idx="121">
                  <c:v>2.4333508929952002E-6</c:v>
                </c:pt>
                <c:pt idx="122">
                  <c:v>2.4532759972358698E-6</c:v>
                </c:pt>
                <c:pt idx="123">
                  <c:v>2.4732005992910198E-6</c:v>
                </c:pt>
                <c:pt idx="124">
                  <c:v>2.4931246922528699E-6</c:v>
                </c:pt>
                <c:pt idx="125">
                  <c:v>2.5130482690695401E-6</c:v>
                </c:pt>
                <c:pt idx="126">
                  <c:v>2.53297132254113E-6</c:v>
                </c:pt>
                <c:pt idx="127">
                  <c:v>2.5528938453155398E-6</c:v>
                </c:pt>
                <c:pt idx="128">
                  <c:v>2.5728158298840702E-6</c:v>
                </c:pt>
                <c:pt idx="129">
                  <c:v>2.5927372685768801E-6</c:v>
                </c:pt>
                <c:pt idx="130">
                  <c:v>2.6126581535583702E-6</c:v>
                </c:pt>
                <c:pt idx="131">
                  <c:v>2.6325784768224299E-6</c:v>
                </c:pt>
                <c:pt idx="132">
                  <c:v>2.6524982301869399E-6</c:v>
                </c:pt>
                <c:pt idx="133">
                  <c:v>2.672417405289E-6</c:v>
                </c:pt>
                <c:pt idx="134">
                  <c:v>2.6923359935799999E-6</c:v>
                </c:pt>
                <c:pt idx="135">
                  <c:v>2.7122539863187E-6</c:v>
                </c:pt>
                <c:pt idx="136">
                  <c:v>2.7321713745662602E-6</c:v>
                </c:pt>
                <c:pt idx="137">
                  <c:v>2.75208814918E-6</c:v>
                </c:pt>
                <c:pt idx="138">
                  <c:v>2.7720043008075399E-6</c:v>
                </c:pt>
                <c:pt idx="139">
                  <c:v>2.7919198198796102E-6</c:v>
                </c:pt>
                <c:pt idx="140">
                  <c:v>2.81183469660353E-6</c:v>
                </c:pt>
                <c:pt idx="141">
                  <c:v>2.8317489209563001E-6</c:v>
                </c:pt>
                <c:pt idx="142">
                  <c:v>2.8516624826769701E-6</c:v>
                </c:pt>
                <c:pt idx="143">
                  <c:v>2.8715753712597201E-6</c:v>
                </c:pt>
                <c:pt idx="144">
                  <c:v>2.8914875759448099E-6</c:v>
                </c:pt>
                <c:pt idx="145">
                  <c:v>2.91139908571118E-6</c:v>
                </c:pt>
                <c:pt idx="146">
                  <c:v>2.9313098892677399E-6</c:v>
                </c:pt>
                <c:pt idx="147">
                  <c:v>2.9512199750440901E-6</c:v>
                </c:pt>
                <c:pt idx="148">
                  <c:v>2.9711293311815001E-6</c:v>
                </c:pt>
                <c:pt idx="149">
                  <c:v>2.9910379455231002E-6</c:v>
                </c:pt>
                <c:pt idx="150">
                  <c:v>3.0109458056035498E-6</c:v>
                </c:pt>
                <c:pt idx="151">
                  <c:v>3.03085289863902E-6</c:v>
                </c:pt>
                <c:pt idx="152">
                  <c:v>3.0507592115157499E-6</c:v>
                </c:pt>
                <c:pt idx="153">
                  <c:v>3.0706647307785701E-6</c:v>
                </c:pt>
                <c:pt idx="154">
                  <c:v>3.09056944261888E-6</c:v>
                </c:pt>
                <c:pt idx="155">
                  <c:v>3.1104733328624798E-6</c:v>
                </c:pt>
                <c:pt idx="156">
                  <c:v>3.1303763869561598E-6</c:v>
                </c:pt>
                <c:pt idx="157">
                  <c:v>3.150278589954E-6</c:v>
                </c:pt>
                <c:pt idx="158">
                  <c:v>3.17017992650298E-6</c:v>
                </c:pt>
                <c:pt idx="159">
                  <c:v>3.1900803808286402E-6</c:v>
                </c:pt>
                <c:pt idx="160">
                  <c:v>3.2099799367185502E-6</c:v>
                </c:pt>
                <c:pt idx="161">
                  <c:v>3.2298785775065599E-6</c:v>
                </c:pt>
                <c:pt idx="162">
                  <c:v>3.2497762860552299E-6</c:v>
                </c:pt>
                <c:pt idx="163">
                  <c:v>3.2696730447382399E-6</c:v>
                </c:pt>
                <c:pt idx="164">
                  <c:v>3.2895688354213899E-6</c:v>
                </c:pt>
                <c:pt idx="165">
                  <c:v>3.3094636394428798E-6</c:v>
                </c:pt>
                <c:pt idx="166">
                  <c:v>3.3293574375918498E-6</c:v>
                </c:pt>
                <c:pt idx="167">
                  <c:v>3.3492502100878698E-6</c:v>
                </c:pt>
                <c:pt idx="168">
                  <c:v>3.3691419365574698E-6</c:v>
                </c:pt>
                <c:pt idx="169">
                  <c:v>3.3890325960100299E-6</c:v>
                </c:pt>
                <c:pt idx="170">
                  <c:v>3.4089221668126301E-6</c:v>
                </c:pt>
                <c:pt idx="171">
                  <c:v>3.42881062666356E-6</c:v>
                </c:pt>
                <c:pt idx="172">
                  <c:v>3.4486979525642098E-6</c:v>
                </c:pt>
                <c:pt idx="173">
                  <c:v>3.46858412079045E-6</c:v>
                </c:pt>
                <c:pt idx="174">
                  <c:v>3.48846910686037E-6</c:v>
                </c:pt>
                <c:pt idx="175">
                  <c:v>3.5083528855030201E-6</c:v>
                </c:pt>
                <c:pt idx="176">
                  <c:v>3.5282354306229601E-6</c:v>
                </c:pt>
                <c:pt idx="177">
                  <c:v>3.5481167152646302E-6</c:v>
                </c:pt>
                <c:pt idx="178">
                  <c:v>3.56799671157341E-6</c:v>
                </c:pt>
                <c:pt idx="179">
                  <c:v>3.5878753907560301E-6</c:v>
                </c:pt>
                <c:pt idx="180">
                  <c:v>3.60775272303722E-6</c:v>
                </c:pt>
                <c:pt idx="181">
                  <c:v>3.6276286776140201E-6</c:v>
                </c:pt>
                <c:pt idx="182">
                  <c:v>3.64750322260946E-6</c:v>
                </c:pt>
                <c:pt idx="183">
                  <c:v>3.6673763250199699E-6</c:v>
                </c:pt>
                <c:pt idx="184">
                  <c:v>3.6872479506635501E-6</c:v>
                </c:pt>
                <c:pt idx="185">
                  <c:v>3.7071180641210799E-6</c:v>
                </c:pt>
                <c:pt idx="186">
                  <c:v>3.7269866286774801E-6</c:v>
                </c:pt>
                <c:pt idx="187">
                  <c:v>3.7468536062563602E-6</c:v>
                </c:pt>
                <c:pt idx="188">
                  <c:v>3.7667189573525499E-6</c:v>
                </c:pt>
                <c:pt idx="189">
                  <c:v>3.7865826409595998E-6</c:v>
                </c:pt>
                <c:pt idx="190">
                  <c:v>3.8064446144924001E-6</c:v>
                </c:pt>
                <c:pt idx="191">
                  <c:v>3.8263048337053999E-6</c:v>
                </c:pt>
                <c:pt idx="192">
                  <c:v>3.8461632526047203E-6</c:v>
                </c:pt>
                <c:pt idx="193">
                  <c:v>3.8660198233552002E-6</c:v>
                </c:pt>
                <c:pt idx="194">
                  <c:v>3.8858744961802098E-6</c:v>
                </c:pt>
                <c:pt idx="195">
                  <c:v>3.9057272192558703E-6</c:v>
                </c:pt>
                <c:pt idx="196">
                  <c:v>3.9255779385966597E-6</c:v>
                </c:pt>
                <c:pt idx="197">
                  <c:v>3.9454265979336804E-6</c:v>
                </c:pt>
                <c:pt idx="198">
                  <c:v>3.9652731385839298E-6</c:v>
                </c:pt>
                <c:pt idx="199">
                  <c:v>3.9851174993106301E-6</c:v>
                </c:pt>
                <c:pt idx="200">
                  <c:v>4.0049596161724896E-6</c:v>
                </c:pt>
                <c:pt idx="201">
                  <c:v>4.0247994223623198E-6</c:v>
                </c:pt>
                <c:pt idx="202">
                  <c:v>4.0446368480331504E-6</c:v>
                </c:pt>
                <c:pt idx="203">
                  <c:v>4.0644718201115302E-6</c:v>
                </c:pt>
                <c:pt idx="204">
                  <c:v>4.0843042620951002E-6</c:v>
                </c:pt>
                <c:pt idx="205">
                  <c:v>4.1041340938353398E-6</c:v>
                </c:pt>
                <c:pt idx="206">
                  <c:v>4.1239612313027104E-6</c:v>
                </c:pt>
                <c:pt idx="207">
                  <c:v>4.1437855863314398E-6</c:v>
                </c:pt>
                <c:pt idx="208">
                  <c:v>4.1636070663440998E-6</c:v>
                </c:pt>
                <c:pt idx="209">
                  <c:v>4.1834255740530999E-6</c:v>
                </c:pt>
                <c:pt idx="210">
                  <c:v>4.20324100713571E-6</c:v>
                </c:pt>
                <c:pt idx="211">
                  <c:v>4.22305325788114E-6</c:v>
                </c:pt>
                <c:pt idx="212">
                  <c:v>4.2428622128061096E-6</c:v>
                </c:pt>
                <c:pt idx="213">
                  <c:v>4.26266775223548E-6</c:v>
                </c:pt>
                <c:pt idx="214">
                  <c:v>4.2824697498445701E-6</c:v>
                </c:pt>
                <c:pt idx="215">
                  <c:v>4.3022680721581102E-6</c:v>
                </c:pt>
                <c:pt idx="216">
                  <c:v>4.3220625780014697E-6</c:v>
                </c:pt>
                <c:pt idx="217">
                  <c:v>4.3418531178980404E-6</c:v>
                </c:pt>
                <c:pt idx="218">
                  <c:v>4.3616395334065902E-6</c:v>
                </c:pt>
                <c:pt idx="219">
                  <c:v>4.38142165639267E-6</c:v>
                </c:pt>
                <c:pt idx="220">
                  <c:v>4.4011993082224096E-6</c:v>
                </c:pt>
                <c:pt idx="221">
                  <c:v>4.4209722988728596E-6</c:v>
                </c:pt>
                <c:pt idx="222">
                  <c:v>4.4407404259454803E-6</c:v>
                </c:pt>
                <c:pt idx="223">
                  <c:v>4.4605034735712696E-6</c:v>
                </c:pt>
                <c:pt idx="224">
                  <c:v>4.4802612111918099E-6</c:v>
                </c:pt>
                <c:pt idx="225">
                  <c:v>4.5000133922004499E-6</c:v>
                </c:pt>
                <c:pt idx="226">
                  <c:v>4.5197597524228304E-6</c:v>
                </c:pt>
                <c:pt idx="227">
                  <c:v>4.5395000084139598E-6</c:v>
                </c:pt>
                <c:pt idx="228">
                  <c:v>4.5592338555444296E-6</c:v>
                </c:pt>
                <c:pt idx="229">
                  <c:v>4.5789609658447996E-6</c:v>
                </c:pt>
                <c:pt idx="230">
                  <c:v>4.59868098556782E-6</c:v>
                </c:pt>
                <c:pt idx="231">
                  <c:v>4.6183935324280298E-6</c:v>
                </c:pt>
                <c:pt idx="232">
                  <c:v>4.6380981924604301E-6</c:v>
                </c:pt>
                <c:pt idx="233">
                  <c:v>4.6577945164385298E-6</c:v>
                </c:pt>
                <c:pt idx="234">
                  <c:v>4.6774820157735403E-6</c:v>
                </c:pt>
                <c:pt idx="235">
                  <c:v>4.6971601578013303E-6</c:v>
                </c:pt>
                <c:pt idx="236">
                  <c:v>4.7168283603472901E-6</c:v>
                </c:pt>
                <c:pt idx="237">
                  <c:v>4.7364859854306398E-6</c:v>
                </c:pt>
                <c:pt idx="238">
                  <c:v>4.7561323319396498E-6</c:v>
                </c:pt>
                <c:pt idx="239">
                  <c:v>4.7757666270726698E-6</c:v>
                </c:pt>
                <c:pt idx="240">
                  <c:v>4.7953880162859901E-6</c:v>
                </c:pt>
                <c:pt idx="241">
                  <c:v>4.8149955514263804E-6</c:v>
                </c:pt>
                <c:pt idx="242">
                  <c:v>4.8345881766429003E-6</c:v>
                </c:pt>
                <c:pt idx="243">
                  <c:v>4.8541647115636001E-6</c:v>
                </c:pt>
                <c:pt idx="244">
                  <c:v>4.8737238310765897E-6</c:v>
                </c:pt>
                <c:pt idx="245">
                  <c:v>4.8932640408657797E-6</c:v>
                </c:pt>
                <c:pt idx="246">
                  <c:v>4.9127836475903297E-6</c:v>
                </c:pt>
                <c:pt idx="247">
                  <c:v>4.9322807222480201E-6</c:v>
                </c:pt>
                <c:pt idx="248">
                  <c:v>4.95175305477869E-6</c:v>
                </c:pt>
                <c:pt idx="249">
                  <c:v>4.97119809728729E-6</c:v>
                </c:pt>
                <c:pt idx="250">
                  <c:v>4.9906128923176703E-6</c:v>
                </c:pt>
                <c:pt idx="251">
                  <c:v>5.0099939812342499E-6</c:v>
                </c:pt>
                <c:pt idx="252">
                  <c:v>5.02933728577658E-6</c:v>
                </c:pt>
                <c:pt idx="253">
                  <c:v>5.0486379528850002E-6</c:v>
                </c:pt>
                <c:pt idx="254">
                  <c:v>5.06789014840387E-6</c:v>
                </c:pt>
                <c:pt idx="255">
                  <c:v>5.0870867783207401E-6</c:v>
                </c:pt>
                <c:pt idx="256">
                  <c:v>5.1062191051839896E-6</c:v>
                </c:pt>
                <c:pt idx="257">
                  <c:v>5.1252762094342902E-6</c:v>
                </c:pt>
                <c:pt idx="258">
                  <c:v>5.1442442154005303E-6</c:v>
                </c:pt>
                <c:pt idx="259">
                  <c:v>5.1631051498947197E-6</c:v>
                </c:pt>
                <c:pt idx="260">
                  <c:v>5.1818352085807198E-6</c:v>
                </c:pt>
                <c:pt idx="261">
                  <c:v>5.2004020327601697E-6</c:v>
                </c:pt>
                <c:pt idx="262">
                  <c:v>5.2187602650594601E-6</c:v>
                </c:pt>
                <c:pt idx="263">
                  <c:v>5.2368439794926902E-6</c:v>
                </c:pt>
                <c:pt idx="264">
                  <c:v>5.2545531895610797E-6</c:v>
                </c:pt>
                <c:pt idx="265">
                  <c:v>5.2717288416504203E-6</c:v>
                </c:pt>
                <c:pt idx="266">
                  <c:v>5.2881067510386601E-6</c:v>
                </c:pt>
                <c:pt idx="267">
                  <c:v>5.3032564475491304E-6</c:v>
                </c:pt>
                <c:pt idx="268">
                  <c:v>5.3168668198470303E-6</c:v>
                </c:pt>
                <c:pt idx="269">
                  <c:v>5.3168668198470303E-6</c:v>
                </c:pt>
                <c:pt idx="270">
                  <c:v>5.3296447011935098E-6</c:v>
                </c:pt>
                <c:pt idx="271">
                  <c:v>5.3426981154069601E-6</c:v>
                </c:pt>
                <c:pt idx="272">
                  <c:v>5.3559112332987996E-6</c:v>
                </c:pt>
                <c:pt idx="273">
                  <c:v>5.3691939891191202E-6</c:v>
                </c:pt>
                <c:pt idx="274">
                  <c:v>5.3825040253508303E-6</c:v>
                </c:pt>
                <c:pt idx="275">
                  <c:v>5.3958214327204099E-6</c:v>
                </c:pt>
                <c:pt idx="276">
                  <c:v>5.3958214327204099E-6</c:v>
                </c:pt>
                <c:pt idx="277">
                  <c:v>5.3958214327204099E-6</c:v>
                </c:pt>
                <c:pt idx="278">
                  <c:v>5.3958214327204099E-6</c:v>
                </c:pt>
                <c:pt idx="279">
                  <c:v>5.4154523123394704E-6</c:v>
                </c:pt>
                <c:pt idx="280">
                  <c:v>5.4348386737735198E-6</c:v>
                </c:pt>
                <c:pt idx="281">
                  <c:v>5.4542378277832398E-6</c:v>
                </c:pt>
                <c:pt idx="282">
                  <c:v>5.4736277002428601E-6</c:v>
                </c:pt>
                <c:pt idx="283">
                  <c:v>5.4930001358377299E-6</c:v>
                </c:pt>
                <c:pt idx="284">
                  <c:v>5.5123502194964501E-6</c:v>
                </c:pt>
                <c:pt idx="285">
                  <c:v>5.5316740150646203E-6</c:v>
                </c:pt>
                <c:pt idx="286">
                  <c:v>5.5509677976170896E-6</c:v>
                </c:pt>
                <c:pt idx="287">
                  <c:v>5.5702276894752503E-6</c:v>
                </c:pt>
                <c:pt idx="288">
                  <c:v>5.5894494231571098E-6</c:v>
                </c:pt>
                <c:pt idx="289">
                  <c:v>5.6086281351211902E-6</c:v>
                </c:pt>
                <c:pt idx="290">
                  <c:v>5.6277581440803397E-6</c:v>
                </c:pt>
                <c:pt idx="291">
                  <c:v>5.6468326804364302E-6</c:v>
                </c:pt>
                <c:pt idx="292">
                  <c:v>5.6658435311333802E-6</c:v>
                </c:pt>
                <c:pt idx="293">
                  <c:v>5.6847805514740196E-6</c:v>
                </c:pt>
                <c:pt idx="294">
                  <c:v>5.7036309698631604E-6</c:v>
                </c:pt>
                <c:pt idx="295">
                  <c:v>5.7223783647395702E-6</c:v>
                </c:pt>
                <c:pt idx="296">
                  <c:v>5.7410011069815902E-6</c:v>
                </c:pt>
                <c:pt idx="297">
                  <c:v>5.7594698968522301E-6</c:v>
                </c:pt>
                <c:pt idx="298">
                  <c:v>5.7777436949635399E-6</c:v>
                </c:pt>
                <c:pt idx="299">
                  <c:v>5.7957626451318504E-6</c:v>
                </c:pt>
                <c:pt idx="300">
                  <c:v>5.8134349897653797E-6</c:v>
                </c:pt>
                <c:pt idx="301">
                  <c:v>5.83061107180467E-6</c:v>
                </c:pt>
                <c:pt idx="302">
                  <c:v>5.84702738754592E-6</c:v>
                </c:pt>
                <c:pt idx="303">
                  <c:v>5.8621788794131002E-6</c:v>
                </c:pt>
                <c:pt idx="304">
                  <c:v>5.8750821876126604E-6</c:v>
                </c:pt>
                <c:pt idx="305">
                  <c:v>5.88525163585601E-6</c:v>
                </c:pt>
                <c:pt idx="306">
                  <c:v>5.88525163585601E-6</c:v>
                </c:pt>
                <c:pt idx="307">
                  <c:v>5.88525163585601E-6</c:v>
                </c:pt>
                <c:pt idx="308">
                  <c:v>5.88525163585601E-6</c:v>
                </c:pt>
                <c:pt idx="309">
                  <c:v>5.88525163585601E-6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Implicit_Fracs!$C$5:$C$314</c:f>
              <c:numCache>
                <c:formatCode>General</c:formatCode>
                <c:ptCount val="310"/>
                <c:pt idx="0">
                  <c:v>0.13164836335685801</c:v>
                </c:pt>
                <c:pt idx="1">
                  <c:v>0.13174831742784901</c:v>
                </c:pt>
                <c:pt idx="2">
                  <c:v>0.131814325176488</c:v>
                </c:pt>
                <c:pt idx="3">
                  <c:v>0.13186377086317799</c:v>
                </c:pt>
                <c:pt idx="4">
                  <c:v>0.13190336566689301</c:v>
                </c:pt>
                <c:pt idx="5">
                  <c:v>0.13193641917955301</c:v>
                </c:pt>
                <c:pt idx="6">
                  <c:v>0.13196480990574899</c:v>
                </c:pt>
                <c:pt idx="7">
                  <c:v>0.131989707564308</c:v>
                </c:pt>
                <c:pt idx="8">
                  <c:v>0.132011890254908</c:v>
                </c:pt>
                <c:pt idx="9">
                  <c:v>0.132031901904686</c:v>
                </c:pt>
                <c:pt idx="10">
                  <c:v>0.132050137753493</c:v>
                </c:pt>
                <c:pt idx="11">
                  <c:v>0.13206689406580899</c:v>
                </c:pt>
                <c:pt idx="12">
                  <c:v>0.132082398656449</c:v>
                </c:pt>
                <c:pt idx="13">
                  <c:v>0.132096830483731</c:v>
                </c:pt>
                <c:pt idx="14">
                  <c:v>0.13211033269671599</c:v>
                </c:pt>
                <c:pt idx="15">
                  <c:v>0.13212302159759301</c:v>
                </c:pt>
                <c:pt idx="16">
                  <c:v>0.13213499296405401</c:v>
                </c:pt>
                <c:pt idx="17">
                  <c:v>0.13214632661325601</c:v>
                </c:pt>
                <c:pt idx="18">
                  <c:v>0.132157089763519</c:v>
                </c:pt>
                <c:pt idx="19">
                  <c:v>0.132167339554908</c:v>
                </c:pt>
                <c:pt idx="20">
                  <c:v>0.132177124969275</c:v>
                </c:pt>
                <c:pt idx="21">
                  <c:v>0.132186488313704</c:v>
                </c:pt>
                <c:pt idx="22">
                  <c:v>0.132195466381343</c:v>
                </c:pt>
                <c:pt idx="23">
                  <c:v>0.13220409137031</c:v>
                </c:pt>
                <c:pt idx="24">
                  <c:v>0.1322123916188</c:v>
                </c:pt>
                <c:pt idx="25">
                  <c:v>0.132220392198791</c:v>
                </c:pt>
                <c:pt idx="26">
                  <c:v>0.13222811539981</c:v>
                </c:pt>
                <c:pt idx="27">
                  <c:v>0.13223558112630501</c:v>
                </c:pt>
                <c:pt idx="28">
                  <c:v>0.13224280722651799</c:v>
                </c:pt>
                <c:pt idx="29">
                  <c:v>0.13224980976654199</c:v>
                </c:pt>
                <c:pt idx="30">
                  <c:v>0.13225660326019101</c:v>
                </c:pt>
                <c:pt idx="31">
                  <c:v>0.13226320086295401</c:v>
                </c:pt>
                <c:pt idx="32">
                  <c:v>0.13226961453657801</c:v>
                </c:pt>
                <c:pt idx="33">
                  <c:v>0.13227585518944099</c:v>
                </c:pt>
                <c:pt idx="34">
                  <c:v>0.13228193279689099</c:v>
                </c:pt>
                <c:pt idx="35">
                  <c:v>0.13228785650486699</c:v>
                </c:pt>
                <c:pt idx="36">
                  <c:v>0.13229363471953201</c:v>
                </c:pt>
                <c:pt idx="37">
                  <c:v>0.13229927518510501</c:v>
                </c:pt>
                <c:pt idx="38">
                  <c:v>0.13230478505189899</c:v>
                </c:pt>
                <c:pt idx="39">
                  <c:v>0.132310170935689</c:v>
                </c:pt>
                <c:pt idx="40">
                  <c:v>0.132315438969837</c:v>
                </c:pt>
                <c:pt idx="41">
                  <c:v>0.13232059485122499</c:v>
                </c:pt>
                <c:pt idx="42">
                  <c:v>0.13232564388083301</c:v>
                </c:pt>
                <c:pt idx="43">
                  <c:v>0.13233059099972999</c:v>
                </c:pt>
                <c:pt idx="44">
                  <c:v>0.13233544082104801</c:v>
                </c:pt>
                <c:pt idx="45">
                  <c:v>0.132340197658498</c:v>
                </c:pt>
                <c:pt idx="46">
                  <c:v>0.13234486555185099</c:v>
                </c:pt>
                <c:pt idx="47">
                  <c:v>0.132349448289759</c:v>
                </c:pt>
                <c:pt idx="48">
                  <c:v>0.13235394943025999</c:v>
                </c:pt>
                <c:pt idx="49">
                  <c:v>0.13235837231923001</c:v>
                </c:pt>
                <c:pt idx="50">
                  <c:v>0.13236272010702199</c:v>
                </c:pt>
                <c:pt idx="51">
                  <c:v>0.13236699576351699</c:v>
                </c:pt>
                <c:pt idx="52">
                  <c:v>0.13237120209174699</c:v>
                </c:pt>
                <c:pt idx="53">
                  <c:v>0.132375341740263</c:v>
                </c:pt>
                <c:pt idx="54">
                  <c:v>0.13237941721437901</c:v>
                </c:pt>
                <c:pt idx="55">
                  <c:v>0.132383430886412</c:v>
                </c:pt>
                <c:pt idx="56">
                  <c:v>0.132387385005025</c:v>
                </c:pt>
                <c:pt idx="57">
                  <c:v>0.13239128170376399</c:v>
                </c:pt>
                <c:pt idx="58">
                  <c:v>0.13239512300888101</c:v>
                </c:pt>
                <c:pt idx="59">
                  <c:v>0.132398910846489</c:v>
                </c:pt>
                <c:pt idx="60">
                  <c:v>0.13240264704915</c:v>
                </c:pt>
                <c:pt idx="61">
                  <c:v>0.13240633336192001</c:v>
                </c:pt>
                <c:pt idx="62">
                  <c:v>0.13240997144792099</c:v>
                </c:pt>
                <c:pt idx="63">
                  <c:v>0.132413562893474</c:v>
                </c:pt>
                <c:pt idx="64">
                  <c:v>0.132417109212841</c:v>
                </c:pt>
                <c:pt idx="65">
                  <c:v>0.132420611852609</c:v>
                </c:pt>
                <c:pt idx="66">
                  <c:v>0.13242407219574501</c:v>
                </c:pt>
                <c:pt idx="67">
                  <c:v>0.13242749156535599</c:v>
                </c:pt>
                <c:pt idx="68">
                  <c:v>0.13243087122817501</c:v>
                </c:pt>
                <c:pt idx="69">
                  <c:v>0.13243421239779701</c:v>
                </c:pt>
                <c:pt idx="70">
                  <c:v>0.13243751623769601</c:v>
                </c:pt>
                <c:pt idx="71">
                  <c:v>0.132440783864022</c:v>
                </c:pt>
                <c:pt idx="72">
                  <c:v>0.13244401634821701</c:v>
                </c:pt>
                <c:pt idx="73">
                  <c:v>0.13244721471944401</c:v>
                </c:pt>
                <c:pt idx="74">
                  <c:v>0.13245037996687001</c:v>
                </c:pt>
                <c:pt idx="75">
                  <c:v>0.13245351304177999</c:v>
                </c:pt>
                <c:pt idx="76">
                  <c:v>0.13245661485957499</c:v>
                </c:pt>
                <c:pt idx="77">
                  <c:v>0.132459686301623</c:v>
                </c:pt>
                <c:pt idx="78">
                  <c:v>0.13246272821701099</c:v>
                </c:pt>
                <c:pt idx="79">
                  <c:v>0.132465741424173</c:v>
                </c:pt>
                <c:pt idx="80">
                  <c:v>0.13246872671243001</c:v>
                </c:pt>
                <c:pt idx="81">
                  <c:v>0.132471684843428</c:v>
                </c:pt>
                <c:pt idx="82">
                  <c:v>0.13247461655249701</c:v>
                </c:pt>
                <c:pt idx="83">
                  <c:v>0.13247752254992401</c:v>
                </c:pt>
                <c:pt idx="84">
                  <c:v>0.13248040352215701</c:v>
                </c:pt>
                <c:pt idx="85">
                  <c:v>0.13248326013293299</c:v>
                </c:pt>
                <c:pt idx="86">
                  <c:v>0.13248609302434999</c:v>
                </c:pt>
                <c:pt idx="87">
                  <c:v>0.13248890281787101</c:v>
                </c:pt>
                <c:pt idx="88">
                  <c:v>0.132491690115279</c:v>
                </c:pt>
                <c:pt idx="89">
                  <c:v>0.132494455499574</c:v>
                </c:pt>
                <c:pt idx="90">
                  <c:v>0.13249719953582401</c:v>
                </c:pt>
                <c:pt idx="91">
                  <c:v>0.132499922771974</c:v>
                </c:pt>
                <c:pt idx="92">
                  <c:v>0.132502625739603</c:v>
                </c:pt>
                <c:pt idx="93">
                  <c:v>0.13250530895465101</c:v>
                </c:pt>
                <c:pt idx="94">
                  <c:v>0.13250797291810601</c:v>
                </c:pt>
                <c:pt idx="95">
                  <c:v>0.13251061811664699</c:v>
                </c:pt>
                <c:pt idx="96">
                  <c:v>0.132513245023273</c:v>
                </c:pt>
                <c:pt idx="97">
                  <c:v>0.132515854097881</c:v>
                </c:pt>
                <c:pt idx="98">
                  <c:v>0.13251844578782901</c:v>
                </c:pt>
                <c:pt idx="99">
                  <c:v>0.13252102052846701</c:v>
                </c:pt>
                <c:pt idx="100">
                  <c:v>0.13252357874364101</c:v>
                </c:pt>
                <c:pt idx="101">
                  <c:v>0.13252612084617801</c:v>
                </c:pt>
                <c:pt idx="102">
                  <c:v>0.13252864723834301</c:v>
                </c:pt>
                <c:pt idx="103">
                  <c:v>0.13253115831227899</c:v>
                </c:pt>
                <c:pt idx="104">
                  <c:v>0.13253365445042301</c:v>
                </c:pt>
                <c:pt idx="105">
                  <c:v>0.132536136025908</c:v>
                </c:pt>
                <c:pt idx="106">
                  <c:v>0.13253860340294499</c:v>
                </c:pt>
                <c:pt idx="107">
                  <c:v>0.13254105693718801</c:v>
                </c:pt>
                <c:pt idx="108">
                  <c:v>0.132543496976081</c:v>
                </c:pt>
                <c:pt idx="109">
                  <c:v>0.132545923859197</c:v>
                </c:pt>
                <c:pt idx="110">
                  <c:v>0.132548337918557</c:v>
                </c:pt>
                <c:pt idx="111">
                  <c:v>0.132550739478936</c:v>
                </c:pt>
                <c:pt idx="112">
                  <c:v>0.13255312885816001</c:v>
                </c:pt>
                <c:pt idx="113">
                  <c:v>0.132555506367391</c:v>
                </c:pt>
                <c:pt idx="114">
                  <c:v>0.13255787231139399</c:v>
                </c:pt>
                <c:pt idx="115">
                  <c:v>0.13256022698880601</c:v>
                </c:pt>
                <c:pt idx="116">
                  <c:v>0.13256257069238001</c:v>
                </c:pt>
                <c:pt idx="117">
                  <c:v>0.13256490370923599</c:v>
                </c:pt>
                <c:pt idx="118">
                  <c:v>0.132567226321089</c:v>
                </c:pt>
                <c:pt idx="119">
                  <c:v>0.132569538804475</c:v>
                </c:pt>
                <c:pt idx="120">
                  <c:v>0.132571841430971</c:v>
                </c:pt>
                <c:pt idx="121">
                  <c:v>0.13257413446740399</c:v>
                </c:pt>
                <c:pt idx="122">
                  <c:v>0.13257641817605401</c:v>
                </c:pt>
                <c:pt idx="123">
                  <c:v>0.13257869281484999</c:v>
                </c:pt>
                <c:pt idx="124">
                  <c:v>0.132580958637564</c:v>
                </c:pt>
                <c:pt idx="125">
                  <c:v>0.132583215893989</c:v>
                </c:pt>
                <c:pt idx="126">
                  <c:v>0.13258546483012401</c:v>
                </c:pt>
                <c:pt idx="127">
                  <c:v>0.13258770568834599</c:v>
                </c:pt>
                <c:pt idx="128">
                  <c:v>0.13258993870757799</c:v>
                </c:pt>
                <c:pt idx="129">
                  <c:v>0.13259216412345401</c:v>
                </c:pt>
                <c:pt idx="130">
                  <c:v>0.13259438216847899</c:v>
                </c:pt>
                <c:pt idx="131">
                  <c:v>0.13259659307218699</c:v>
                </c:pt>
                <c:pt idx="132">
                  <c:v>0.13259879706128999</c:v>
                </c:pt>
                <c:pt idx="133">
                  <c:v>0.132600994359831</c:v>
                </c:pt>
                <c:pt idx="134">
                  <c:v>0.13260318518932601</c:v>
                </c:pt>
                <c:pt idx="135">
                  <c:v>0.13260536976890799</c:v>
                </c:pt>
                <c:pt idx="136">
                  <c:v>0.132607548315469</c:v>
                </c:pt>
                <c:pt idx="137">
                  <c:v>0.13260972104379501</c:v>
                </c:pt>
                <c:pt idx="138">
                  <c:v>0.132611888166702</c:v>
                </c:pt>
                <c:pt idx="139">
                  <c:v>0.13261404989517001</c:v>
                </c:pt>
                <c:pt idx="140">
                  <c:v>0.13261620643847399</c:v>
                </c:pt>
                <c:pt idx="141">
                  <c:v>0.13261835800430899</c:v>
                </c:pt>
                <c:pt idx="142">
                  <c:v>0.13262050479892901</c:v>
                </c:pt>
                <c:pt idx="143">
                  <c:v>0.13262264702726001</c:v>
                </c:pt>
                <c:pt idx="144">
                  <c:v>0.132624784893038</c:v>
                </c:pt>
                <c:pt idx="145">
                  <c:v>0.132626918598926</c:v>
                </c:pt>
                <c:pt idx="146">
                  <c:v>0.13262904834664299</c:v>
                </c:pt>
                <c:pt idx="147">
                  <c:v>0.13263117433708499</c:v>
                </c:pt>
                <c:pt idx="148">
                  <c:v>0.13263329677044799</c:v>
                </c:pt>
                <c:pt idx="149">
                  <c:v>0.13263541584635499</c:v>
                </c:pt>
                <c:pt idx="150">
                  <c:v>0.13263753176397799</c:v>
                </c:pt>
                <c:pt idx="151">
                  <c:v>0.13263964472216</c:v>
                </c:pt>
                <c:pt idx="152">
                  <c:v>0.13264175491954</c:v>
                </c:pt>
                <c:pt idx="153">
                  <c:v>0.132643862554683</c:v>
                </c:pt>
                <c:pt idx="154">
                  <c:v>0.132645967826199</c:v>
                </c:pt>
                <c:pt idx="155">
                  <c:v>0.13264807093287501</c:v>
                </c:pt>
                <c:pt idx="156">
                  <c:v>0.132650172073802</c:v>
                </c:pt>
                <c:pt idx="157">
                  <c:v>0.132652271448509</c:v>
                </c:pt>
                <c:pt idx="158">
                  <c:v>0.13265436925708801</c:v>
                </c:pt>
                <c:pt idx="159">
                  <c:v>0.13265646570033501</c:v>
                </c:pt>
                <c:pt idx="160">
                  <c:v>0.13265856097988399</c:v>
                </c:pt>
                <c:pt idx="161">
                  <c:v>0.132660655298346</c:v>
                </c:pt>
                <c:pt idx="162">
                  <c:v>0.132662748859454</c:v>
                </c:pt>
                <c:pt idx="163">
                  <c:v>0.13266484186820501</c:v>
                </c:pt>
                <c:pt idx="164">
                  <c:v>0.13266693453101</c:v>
                </c:pt>
                <c:pt idx="165">
                  <c:v>0.13266902705584799</c:v>
                </c:pt>
                <c:pt idx="166">
                  <c:v>0.13267111965242301</c:v>
                </c:pt>
                <c:pt idx="167">
                  <c:v>0.132673212532323</c:v>
                </c:pt>
                <c:pt idx="168">
                  <c:v>0.132675305909189</c:v>
                </c:pt>
                <c:pt idx="169">
                  <c:v>0.132677399998884</c:v>
                </c:pt>
                <c:pt idx="170">
                  <c:v>0.13267949501967199</c:v>
                </c:pt>
                <c:pt idx="171">
                  <c:v>0.132681591192402</c:v>
                </c:pt>
                <c:pt idx="172">
                  <c:v>0.132683688740695</c:v>
                </c:pt>
                <c:pt idx="173">
                  <c:v>0.13268578789114299</c:v>
                </c:pt>
                <c:pt idx="174">
                  <c:v>0.13268788887351199</c:v>
                </c:pt>
                <c:pt idx="175">
                  <c:v>0.13268999192095701</c:v>
                </c:pt>
                <c:pt idx="176">
                  <c:v>0.13269209727023901</c:v>
                </c:pt>
                <c:pt idx="177">
                  <c:v>0.13269420516196201</c:v>
                </c:pt>
                <c:pt idx="178">
                  <c:v>0.13269631584080599</c:v>
                </c:pt>
                <c:pt idx="179">
                  <c:v>0.13269842955578601</c:v>
                </c:pt>
                <c:pt idx="180">
                  <c:v>0.132700546560511</c:v>
                </c:pt>
                <c:pt idx="181">
                  <c:v>0.13270266711345699</c:v>
                </c:pt>
                <c:pt idx="182">
                  <c:v>0.132704791478263</c:v>
                </c:pt>
                <c:pt idx="183">
                  <c:v>0.132706919924029</c:v>
                </c:pt>
                <c:pt idx="184">
                  <c:v>0.13270905272563599</c:v>
                </c:pt>
                <c:pt idx="185">
                  <c:v>0.13271119016407801</c:v>
                </c:pt>
                <c:pt idx="186">
                  <c:v>0.13271333252682199</c:v>
                </c:pt>
                <c:pt idx="187">
                  <c:v>0.132715480108173</c:v>
                </c:pt>
                <c:pt idx="188">
                  <c:v>0.13271763320966901</c:v>
                </c:pt>
                <c:pt idx="189">
                  <c:v>0.13271979214049601</c:v>
                </c:pt>
                <c:pt idx="190">
                  <c:v>0.13272195721792501</c:v>
                </c:pt>
                <c:pt idx="191">
                  <c:v>0.132724128767778</c:v>
                </c:pt>
                <c:pt idx="192">
                  <c:v>0.13272630712491701</c:v>
                </c:pt>
                <c:pt idx="193">
                  <c:v>0.13272849263376901</c:v>
                </c:pt>
                <c:pt idx="194">
                  <c:v>0.132730685648876</c:v>
                </c:pt>
                <c:pt idx="195">
                  <c:v>0.13273288653548501</c:v>
                </c:pt>
                <c:pt idx="196">
                  <c:v>0.13273509567017699</c:v>
                </c:pt>
                <c:pt idx="197">
                  <c:v>0.132737313441533</c:v>
                </c:pt>
                <c:pt idx="198">
                  <c:v>0.132739540250841</c:v>
                </c:pt>
                <c:pt idx="199">
                  <c:v>0.13274177651286501</c:v>
                </c:pt>
                <c:pt idx="200">
                  <c:v>0.13274402265665</c:v>
                </c:pt>
                <c:pt idx="201">
                  <c:v>0.132746279126393</c:v>
                </c:pt>
                <c:pt idx="202">
                  <c:v>0.13274854638237599</c:v>
                </c:pt>
                <c:pt idx="203">
                  <c:v>0.132750824901961</c:v>
                </c:pt>
                <c:pt idx="204">
                  <c:v>0.13275311518066599</c:v>
                </c:pt>
                <c:pt idx="205">
                  <c:v>0.13275541773331401</c:v>
                </c:pt>
                <c:pt idx="206">
                  <c:v>0.132757733095279</c:v>
                </c:pt>
                <c:pt idx="207">
                  <c:v>0.132760061823818</c:v>
                </c:pt>
                <c:pt idx="208">
                  <c:v>0.13276240449951601</c:v>
                </c:pt>
                <c:pt idx="209">
                  <c:v>0.13276476172784801</c:v>
                </c:pt>
                <c:pt idx="210">
                  <c:v>0.13276713414086799</c:v>
                </c:pt>
                <c:pt idx="211">
                  <c:v>0.13276952239903</c:v>
                </c:pt>
                <c:pt idx="212">
                  <c:v>0.13277192719318501</c:v>
                </c:pt>
                <c:pt idx="213">
                  <c:v>0.13277434924672901</c:v>
                </c:pt>
                <c:pt idx="214">
                  <c:v>0.132776789317957</c:v>
                </c:pt>
                <c:pt idx="215">
                  <c:v>0.13277924820261999</c:v>
                </c:pt>
                <c:pt idx="216">
                  <c:v>0.132781726736725</c:v>
                </c:pt>
                <c:pt idx="217">
                  <c:v>0.13278422579959301</c:v>
                </c:pt>
                <c:pt idx="218">
                  <c:v>0.13278674631720599</c:v>
                </c:pt>
                <c:pt idx="219">
                  <c:v>0.132789289265896</c:v>
                </c:pt>
                <c:pt idx="220">
                  <c:v>0.13279185567638299</c:v>
                </c:pt>
                <c:pt idx="221">
                  <c:v>0.132794446638243</c:v>
                </c:pt>
                <c:pt idx="222">
                  <c:v>0.13279706330482899</c:v>
                </c:pt>
                <c:pt idx="223">
                  <c:v>0.132799706898722</c:v>
                </c:pt>
                <c:pt idx="224">
                  <c:v>0.132802378717778</c:v>
                </c:pt>
                <c:pt idx="225">
                  <c:v>0.132805080141845</c:v>
                </c:pt>
                <c:pt idx="226">
                  <c:v>0.13280781264025199</c:v>
                </c:pt>
                <c:pt idx="227">
                  <c:v>0.132810577780172</c:v>
                </c:pt>
                <c:pt idx="228">
                  <c:v>0.13281337723598599</c:v>
                </c:pt>
                <c:pt idx="229">
                  <c:v>0.13281621279980399</c:v>
                </c:pt>
                <c:pt idx="230">
                  <c:v>0.132819086393311</c:v>
                </c:pt>
                <c:pt idx="231">
                  <c:v>0.132822000081147</c:v>
                </c:pt>
                <c:pt idx="232">
                  <c:v>0.132824956086074</c:v>
                </c:pt>
                <c:pt idx="233">
                  <c:v>0.13282795680621301</c:v>
                </c:pt>
                <c:pt idx="234">
                  <c:v>0.13283100483471399</c:v>
                </c:pt>
                <c:pt idx="235">
                  <c:v>0.13283410298228401</c:v>
                </c:pt>
                <c:pt idx="236">
                  <c:v>0.13283725430307999</c:v>
                </c:pt>
                <c:pt idx="237">
                  <c:v>0.13284046212460199</c:v>
                </c:pt>
                <c:pt idx="238">
                  <c:v>0.13284373008234701</c:v>
                </c:pt>
                <c:pt idx="239">
                  <c:v>0.13284706216018199</c:v>
                </c:pt>
                <c:pt idx="240">
                  <c:v>0.13285046273759499</c:v>
                </c:pt>
                <c:pt idx="241">
                  <c:v>0.13285393664530001</c:v>
                </c:pt>
                <c:pt idx="242">
                  <c:v>0.13285748923103799</c:v>
                </c:pt>
                <c:pt idx="243">
                  <c:v>0.13286112643791401</c:v>
                </c:pt>
                <c:pt idx="244">
                  <c:v>0.132864854898255</c:v>
                </c:pt>
                <c:pt idx="245">
                  <c:v>0.13286868204686</c:v>
                </c:pt>
                <c:pt idx="246">
                  <c:v>0.13287261625866401</c:v>
                </c:pt>
                <c:pt idx="247">
                  <c:v>0.132876667017443</c:v>
                </c:pt>
                <c:pt idx="248">
                  <c:v>0.132880845124389</c:v>
                </c:pt>
                <c:pt idx="249">
                  <c:v>0.13288516295844799</c:v>
                </c:pt>
                <c:pt idx="250">
                  <c:v>0.13288963480469199</c:v>
                </c:pt>
                <c:pt idx="251">
                  <c:v>0.13289427727328901</c:v>
                </c:pt>
                <c:pt idx="252">
                  <c:v>0.13289910984085401</c:v>
                </c:pt>
                <c:pt idx="253">
                  <c:v>0.132904155559849</c:v>
                </c:pt>
                <c:pt idx="254">
                  <c:v>0.13290944200277299</c:v>
                </c:pt>
                <c:pt idx="255">
                  <c:v>0.13291500254108701</c:v>
                </c:pt>
                <c:pt idx="256">
                  <c:v>0.13292087811204301</c:v>
                </c:pt>
                <c:pt idx="257">
                  <c:v>0.132927119714948</c:v>
                </c:pt>
                <c:pt idx="258">
                  <c:v>0.132933792029892</c:v>
                </c:pt>
                <c:pt idx="259">
                  <c:v>0.132940978822192</c:v>
                </c:pt>
                <c:pt idx="260">
                  <c:v>0.13294879130005999</c:v>
                </c:pt>
                <c:pt idx="261">
                  <c:v>0.132957381584934</c:v>
                </c:pt>
                <c:pt idx="262">
                  <c:v>0.13296696553123799</c:v>
                </c:pt>
                <c:pt idx="263">
                  <c:v>0.13297786382384399</c:v>
                </c:pt>
                <c:pt idx="264">
                  <c:v>0.132990581906959</c:v>
                </c:pt>
                <c:pt idx="265">
                  <c:v>0.13300598168556699</c:v>
                </c:pt>
                <c:pt idx="266">
                  <c:v>0.13302570306129599</c:v>
                </c:pt>
                <c:pt idx="267">
                  <c:v>0.133053413662858</c:v>
                </c:pt>
                <c:pt idx="268">
                  <c:v>0.13309974144758499</c:v>
                </c:pt>
                <c:pt idx="269">
                  <c:v>0.13321378154653299</c:v>
                </c:pt>
                <c:pt idx="270">
                  <c:v>0.13336682861826901</c:v>
                </c:pt>
                <c:pt idx="271">
                  <c:v>0.13351953708365299</c:v>
                </c:pt>
                <c:pt idx="272">
                  <c:v>0.133672756082719</c:v>
                </c:pt>
                <c:pt idx="273">
                  <c:v>0.13382654271444999</c:v>
                </c:pt>
                <c:pt idx="274">
                  <c:v>0.1339809270474</c:v>
                </c:pt>
                <c:pt idx="275">
                  <c:v>0.13413592636935101</c:v>
                </c:pt>
                <c:pt idx="276">
                  <c:v>0.13429155195650999</c:v>
                </c:pt>
                <c:pt idx="277">
                  <c:v>0.229108280555748</c:v>
                </c:pt>
                <c:pt idx="278">
                  <c:v>0.22910828280913501</c:v>
                </c:pt>
                <c:pt idx="279">
                  <c:v>0.38305732976120799</c:v>
                </c:pt>
                <c:pt idx="280">
                  <c:v>0.38333587250425699</c:v>
                </c:pt>
                <c:pt idx="281">
                  <c:v>0.38357840372985702</c:v>
                </c:pt>
                <c:pt idx="282">
                  <c:v>0.38379485836785199</c:v>
                </c:pt>
                <c:pt idx="283">
                  <c:v>0.38399180760400198</c:v>
                </c:pt>
                <c:pt idx="284">
                  <c:v>0.384173807056849</c:v>
                </c:pt>
                <c:pt idx="285">
                  <c:v>0.38434416321224601</c:v>
                </c:pt>
                <c:pt idx="286">
                  <c:v>0.38450537598643098</c:v>
                </c:pt>
                <c:pt idx="287">
                  <c:v>0.38465940776560398</c:v>
                </c:pt>
                <c:pt idx="288">
                  <c:v>0.38480785573939102</c:v>
                </c:pt>
                <c:pt idx="289">
                  <c:v>0.384952068264445</c:v>
                </c:pt>
                <c:pt idx="290">
                  <c:v>0.38509322812937802</c:v>
                </c:pt>
                <c:pt idx="291">
                  <c:v>0.38523241647348</c:v>
                </c:pt>
                <c:pt idx="292">
                  <c:v>0.385370666441891</c:v>
                </c:pt>
                <c:pt idx="293">
                  <c:v>0.385509013499586</c:v>
                </c:pt>
                <c:pt idx="294">
                  <c:v>0.38564854888670203</c:v>
                </c:pt>
                <c:pt idx="295">
                  <c:v>0.385790483898592</c:v>
                </c:pt>
                <c:pt idx="296">
                  <c:v>0.38593623614144101</c:v>
                </c:pt>
                <c:pt idx="297">
                  <c:v>0.38608755645093301</c:v>
                </c:pt>
                <c:pt idx="298">
                  <c:v>0.38624673120118802</c:v>
                </c:pt>
                <c:pt idx="299">
                  <c:v>0.38641693053499898</c:v>
                </c:pt>
                <c:pt idx="300">
                  <c:v>0.38660285978241898</c:v>
                </c:pt>
                <c:pt idx="301">
                  <c:v>0.38681210620158402</c:v>
                </c:pt>
                <c:pt idx="302">
                  <c:v>0.38705831096616899</c:v>
                </c:pt>
                <c:pt idx="303">
                  <c:v>0.38737014098822098</c:v>
                </c:pt>
                <c:pt idx="304">
                  <c:v>0.38782486586522802</c:v>
                </c:pt>
                <c:pt idx="305">
                  <c:v>0.38875106087786898</c:v>
                </c:pt>
                <c:pt idx="306">
                  <c:v>0.39343249839230199</c:v>
                </c:pt>
                <c:pt idx="307">
                  <c:v>0.40121720513367698</c:v>
                </c:pt>
                <c:pt idx="308">
                  <c:v>0.60121720513367705</c:v>
                </c:pt>
                <c:pt idx="309">
                  <c:v>0.60121720513367705</c:v>
                </c:pt>
              </c:numCache>
            </c:numRef>
          </c:xVal>
          <c:yVal>
            <c:numRef>
              <c:f>Implicit_Fracs!$BP$5:$BP$314</c:f>
              <c:numCache>
                <c:formatCode>General</c:formatCode>
                <c:ptCount val="3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 formatCode="0.00E+00">
                  <c:v>2.6429139279352302E-6</c:v>
                </c:pt>
                <c:pt idx="280" formatCode="0.00E+00">
                  <c:v>2.6233754536304902E-6</c:v>
                </c:pt>
                <c:pt idx="281" formatCode="0.00E+00">
                  <c:v>2.6032690873494201E-6</c:v>
                </c:pt>
                <c:pt idx="282" formatCode="0.00E+00">
                  <c:v>2.5828902657748598E-6</c:v>
                </c:pt>
                <c:pt idx="283" formatCode="0.00E+00">
                  <c:v>2.5628579172883501E-6</c:v>
                </c:pt>
                <c:pt idx="284" formatCode="0.00E+00">
                  <c:v>2.5430723419419301E-6</c:v>
                </c:pt>
                <c:pt idx="285" formatCode="0.00E+00">
                  <c:v>2.5234608093063198E-6</c:v>
                </c:pt>
                <c:pt idx="286" formatCode="0.00E+00">
                  <c:v>2.50398247117355E-6</c:v>
                </c:pt>
                <c:pt idx="287" formatCode="0.00E+00">
                  <c:v>2.4846131439615E-6</c:v>
                </c:pt>
                <c:pt idx="288" formatCode="0.00E+00">
                  <c:v>2.4653383147759298E-6</c:v>
                </c:pt>
                <c:pt idx="289" formatCode="0.00E+00">
                  <c:v>2.4461496313265798E-6</c:v>
                </c:pt>
                <c:pt idx="290" formatCode="0.00E+00">
                  <c:v>2.42704305654241E-6</c:v>
                </c:pt>
                <c:pt idx="291" formatCode="0.00E+00">
                  <c:v>2.4080179110589399E-6</c:v>
                </c:pt>
                <c:pt idx="292" formatCode="0.00E+00">
                  <c:v>2.3890764529026701E-6</c:v>
                </c:pt>
                <c:pt idx="293" formatCode="0.00E+00">
                  <c:v>2.3702238430519299E-6</c:v>
                </c:pt>
                <c:pt idx="294" formatCode="0.00E+00">
                  <c:v>2.3514684584809699E-6</c:v>
                </c:pt>
                <c:pt idx="295" formatCode="0.00E+00">
                  <c:v>2.3328226022447802E-6</c:v>
                </c:pt>
                <c:pt idx="296" formatCode="0.00E+00">
                  <c:v>2.3143037624417098E-6</c:v>
                </c:pt>
                <c:pt idx="297" formatCode="0.00E+00">
                  <c:v>2.2959367340360399E-6</c:v>
                </c:pt>
                <c:pt idx="298" formatCode="0.00E+00">
                  <c:v>2.27775722281122E-6</c:v>
                </c:pt>
                <c:pt idx="299" formatCode="0.00E+00">
                  <c:v>2.2598181863722499E-6</c:v>
                </c:pt>
                <c:pt idx="300" formatCode="0.00E+00">
                  <c:v>2.2422015983685101E-6</c:v>
                </c:pt>
                <c:pt idx="301" formatCode="0.00E+00">
                  <c:v>2.2250417820313102E-6</c:v>
                </c:pt>
                <c:pt idx="302" formatCode="0.00E+00">
                  <c:v>2.2085752266010301E-6</c:v>
                </c:pt>
                <c:pt idx="303" formatCode="0.00E+00">
                  <c:v>2.1932516312881799E-6</c:v>
                </c:pt>
                <c:pt idx="304" formatCode="0.00E+00">
                  <c:v>2.1809008759145699E-6</c:v>
                </c:pt>
                <c:pt idx="305" formatCode="0.00E+00">
                  <c:v>2.17385848623304E-6</c:v>
                </c:pt>
                <c:pt idx="306" formatCode="0.00E+00">
                  <c:v>2.19617037070672E-6</c:v>
                </c:pt>
                <c:pt idx="307" formatCode="0.00E+00">
                  <c:v>2.2331798381676799E-6</c:v>
                </c:pt>
                <c:pt idx="308" formatCode="0.00E+00">
                  <c:v>2.8269599938441601E-6</c:v>
                </c:pt>
                <c:pt idx="309" formatCode="0.00E+00">
                  <c:v>2.8269599938441601E-6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Implicit_Fracs!$C$5:$C$314</c:f>
              <c:numCache>
                <c:formatCode>General</c:formatCode>
                <c:ptCount val="310"/>
                <c:pt idx="0">
                  <c:v>0.13164836335685801</c:v>
                </c:pt>
                <c:pt idx="1">
                  <c:v>0.13174831742784901</c:v>
                </c:pt>
                <c:pt idx="2">
                  <c:v>0.131814325176488</c:v>
                </c:pt>
                <c:pt idx="3">
                  <c:v>0.13186377086317799</c:v>
                </c:pt>
                <c:pt idx="4">
                  <c:v>0.13190336566689301</c:v>
                </c:pt>
                <c:pt idx="5">
                  <c:v>0.13193641917955301</c:v>
                </c:pt>
                <c:pt idx="6">
                  <c:v>0.13196480990574899</c:v>
                </c:pt>
                <c:pt idx="7">
                  <c:v>0.131989707564308</c:v>
                </c:pt>
                <c:pt idx="8">
                  <c:v>0.132011890254908</c:v>
                </c:pt>
                <c:pt idx="9">
                  <c:v>0.132031901904686</c:v>
                </c:pt>
                <c:pt idx="10">
                  <c:v>0.132050137753493</c:v>
                </c:pt>
                <c:pt idx="11">
                  <c:v>0.13206689406580899</c:v>
                </c:pt>
                <c:pt idx="12">
                  <c:v>0.132082398656449</c:v>
                </c:pt>
                <c:pt idx="13">
                  <c:v>0.132096830483731</c:v>
                </c:pt>
                <c:pt idx="14">
                  <c:v>0.13211033269671599</c:v>
                </c:pt>
                <c:pt idx="15">
                  <c:v>0.13212302159759301</c:v>
                </c:pt>
                <c:pt idx="16">
                  <c:v>0.13213499296405401</c:v>
                </c:pt>
                <c:pt idx="17">
                  <c:v>0.13214632661325601</c:v>
                </c:pt>
                <c:pt idx="18">
                  <c:v>0.132157089763519</c:v>
                </c:pt>
                <c:pt idx="19">
                  <c:v>0.132167339554908</c:v>
                </c:pt>
                <c:pt idx="20">
                  <c:v>0.132177124969275</c:v>
                </c:pt>
                <c:pt idx="21">
                  <c:v>0.132186488313704</c:v>
                </c:pt>
                <c:pt idx="22">
                  <c:v>0.132195466381343</c:v>
                </c:pt>
                <c:pt idx="23">
                  <c:v>0.13220409137031</c:v>
                </c:pt>
                <c:pt idx="24">
                  <c:v>0.1322123916188</c:v>
                </c:pt>
                <c:pt idx="25">
                  <c:v>0.132220392198791</c:v>
                </c:pt>
                <c:pt idx="26">
                  <c:v>0.13222811539981</c:v>
                </c:pt>
                <c:pt idx="27">
                  <c:v>0.13223558112630501</c:v>
                </c:pt>
                <c:pt idx="28">
                  <c:v>0.13224280722651799</c:v>
                </c:pt>
                <c:pt idx="29">
                  <c:v>0.13224980976654199</c:v>
                </c:pt>
                <c:pt idx="30">
                  <c:v>0.13225660326019101</c:v>
                </c:pt>
                <c:pt idx="31">
                  <c:v>0.13226320086295401</c:v>
                </c:pt>
                <c:pt idx="32">
                  <c:v>0.13226961453657801</c:v>
                </c:pt>
                <c:pt idx="33">
                  <c:v>0.13227585518944099</c:v>
                </c:pt>
                <c:pt idx="34">
                  <c:v>0.13228193279689099</c:v>
                </c:pt>
                <c:pt idx="35">
                  <c:v>0.13228785650486699</c:v>
                </c:pt>
                <c:pt idx="36">
                  <c:v>0.13229363471953201</c:v>
                </c:pt>
                <c:pt idx="37">
                  <c:v>0.13229927518510501</c:v>
                </c:pt>
                <c:pt idx="38">
                  <c:v>0.13230478505189899</c:v>
                </c:pt>
                <c:pt idx="39">
                  <c:v>0.132310170935689</c:v>
                </c:pt>
                <c:pt idx="40">
                  <c:v>0.132315438969837</c:v>
                </c:pt>
                <c:pt idx="41">
                  <c:v>0.13232059485122499</c:v>
                </c:pt>
                <c:pt idx="42">
                  <c:v>0.13232564388083301</c:v>
                </c:pt>
                <c:pt idx="43">
                  <c:v>0.13233059099972999</c:v>
                </c:pt>
                <c:pt idx="44">
                  <c:v>0.13233544082104801</c:v>
                </c:pt>
                <c:pt idx="45">
                  <c:v>0.132340197658498</c:v>
                </c:pt>
                <c:pt idx="46">
                  <c:v>0.13234486555185099</c:v>
                </c:pt>
                <c:pt idx="47">
                  <c:v>0.132349448289759</c:v>
                </c:pt>
                <c:pt idx="48">
                  <c:v>0.13235394943025999</c:v>
                </c:pt>
                <c:pt idx="49">
                  <c:v>0.13235837231923001</c:v>
                </c:pt>
                <c:pt idx="50">
                  <c:v>0.13236272010702199</c:v>
                </c:pt>
                <c:pt idx="51">
                  <c:v>0.13236699576351699</c:v>
                </c:pt>
                <c:pt idx="52">
                  <c:v>0.13237120209174699</c:v>
                </c:pt>
                <c:pt idx="53">
                  <c:v>0.132375341740263</c:v>
                </c:pt>
                <c:pt idx="54">
                  <c:v>0.13237941721437901</c:v>
                </c:pt>
                <c:pt idx="55">
                  <c:v>0.132383430886412</c:v>
                </c:pt>
                <c:pt idx="56">
                  <c:v>0.132387385005025</c:v>
                </c:pt>
                <c:pt idx="57">
                  <c:v>0.13239128170376399</c:v>
                </c:pt>
                <c:pt idx="58">
                  <c:v>0.13239512300888101</c:v>
                </c:pt>
                <c:pt idx="59">
                  <c:v>0.132398910846489</c:v>
                </c:pt>
                <c:pt idx="60">
                  <c:v>0.13240264704915</c:v>
                </c:pt>
                <c:pt idx="61">
                  <c:v>0.13240633336192001</c:v>
                </c:pt>
                <c:pt idx="62">
                  <c:v>0.13240997144792099</c:v>
                </c:pt>
                <c:pt idx="63">
                  <c:v>0.132413562893474</c:v>
                </c:pt>
                <c:pt idx="64">
                  <c:v>0.132417109212841</c:v>
                </c:pt>
                <c:pt idx="65">
                  <c:v>0.132420611852609</c:v>
                </c:pt>
                <c:pt idx="66">
                  <c:v>0.13242407219574501</c:v>
                </c:pt>
                <c:pt idx="67">
                  <c:v>0.13242749156535599</c:v>
                </c:pt>
                <c:pt idx="68">
                  <c:v>0.13243087122817501</c:v>
                </c:pt>
                <c:pt idx="69">
                  <c:v>0.13243421239779701</c:v>
                </c:pt>
                <c:pt idx="70">
                  <c:v>0.13243751623769601</c:v>
                </c:pt>
                <c:pt idx="71">
                  <c:v>0.132440783864022</c:v>
                </c:pt>
                <c:pt idx="72">
                  <c:v>0.13244401634821701</c:v>
                </c:pt>
                <c:pt idx="73">
                  <c:v>0.13244721471944401</c:v>
                </c:pt>
                <c:pt idx="74">
                  <c:v>0.13245037996687001</c:v>
                </c:pt>
                <c:pt idx="75">
                  <c:v>0.13245351304177999</c:v>
                </c:pt>
                <c:pt idx="76">
                  <c:v>0.13245661485957499</c:v>
                </c:pt>
                <c:pt idx="77">
                  <c:v>0.132459686301623</c:v>
                </c:pt>
                <c:pt idx="78">
                  <c:v>0.13246272821701099</c:v>
                </c:pt>
                <c:pt idx="79">
                  <c:v>0.132465741424173</c:v>
                </c:pt>
                <c:pt idx="80">
                  <c:v>0.13246872671243001</c:v>
                </c:pt>
                <c:pt idx="81">
                  <c:v>0.132471684843428</c:v>
                </c:pt>
                <c:pt idx="82">
                  <c:v>0.13247461655249701</c:v>
                </c:pt>
                <c:pt idx="83">
                  <c:v>0.13247752254992401</c:v>
                </c:pt>
                <c:pt idx="84">
                  <c:v>0.13248040352215701</c:v>
                </c:pt>
                <c:pt idx="85">
                  <c:v>0.13248326013293299</c:v>
                </c:pt>
                <c:pt idx="86">
                  <c:v>0.13248609302434999</c:v>
                </c:pt>
                <c:pt idx="87">
                  <c:v>0.13248890281787101</c:v>
                </c:pt>
                <c:pt idx="88">
                  <c:v>0.132491690115279</c:v>
                </c:pt>
                <c:pt idx="89">
                  <c:v>0.132494455499574</c:v>
                </c:pt>
                <c:pt idx="90">
                  <c:v>0.13249719953582401</c:v>
                </c:pt>
                <c:pt idx="91">
                  <c:v>0.132499922771974</c:v>
                </c:pt>
                <c:pt idx="92">
                  <c:v>0.132502625739603</c:v>
                </c:pt>
                <c:pt idx="93">
                  <c:v>0.13250530895465101</c:v>
                </c:pt>
                <c:pt idx="94">
                  <c:v>0.13250797291810601</c:v>
                </c:pt>
                <c:pt idx="95">
                  <c:v>0.13251061811664699</c:v>
                </c:pt>
                <c:pt idx="96">
                  <c:v>0.132513245023273</c:v>
                </c:pt>
                <c:pt idx="97">
                  <c:v>0.132515854097881</c:v>
                </c:pt>
                <c:pt idx="98">
                  <c:v>0.13251844578782901</c:v>
                </c:pt>
                <c:pt idx="99">
                  <c:v>0.13252102052846701</c:v>
                </c:pt>
                <c:pt idx="100">
                  <c:v>0.13252357874364101</c:v>
                </c:pt>
                <c:pt idx="101">
                  <c:v>0.13252612084617801</c:v>
                </c:pt>
                <c:pt idx="102">
                  <c:v>0.13252864723834301</c:v>
                </c:pt>
                <c:pt idx="103">
                  <c:v>0.13253115831227899</c:v>
                </c:pt>
                <c:pt idx="104">
                  <c:v>0.13253365445042301</c:v>
                </c:pt>
                <c:pt idx="105">
                  <c:v>0.132536136025908</c:v>
                </c:pt>
                <c:pt idx="106">
                  <c:v>0.13253860340294499</c:v>
                </c:pt>
                <c:pt idx="107">
                  <c:v>0.13254105693718801</c:v>
                </c:pt>
                <c:pt idx="108">
                  <c:v>0.132543496976081</c:v>
                </c:pt>
                <c:pt idx="109">
                  <c:v>0.132545923859197</c:v>
                </c:pt>
                <c:pt idx="110">
                  <c:v>0.132548337918557</c:v>
                </c:pt>
                <c:pt idx="111">
                  <c:v>0.132550739478936</c:v>
                </c:pt>
                <c:pt idx="112">
                  <c:v>0.13255312885816001</c:v>
                </c:pt>
                <c:pt idx="113">
                  <c:v>0.132555506367391</c:v>
                </c:pt>
                <c:pt idx="114">
                  <c:v>0.13255787231139399</c:v>
                </c:pt>
                <c:pt idx="115">
                  <c:v>0.13256022698880601</c:v>
                </c:pt>
                <c:pt idx="116">
                  <c:v>0.13256257069238001</c:v>
                </c:pt>
                <c:pt idx="117">
                  <c:v>0.13256490370923599</c:v>
                </c:pt>
                <c:pt idx="118">
                  <c:v>0.132567226321089</c:v>
                </c:pt>
                <c:pt idx="119">
                  <c:v>0.132569538804475</c:v>
                </c:pt>
                <c:pt idx="120">
                  <c:v>0.132571841430971</c:v>
                </c:pt>
                <c:pt idx="121">
                  <c:v>0.13257413446740399</c:v>
                </c:pt>
                <c:pt idx="122">
                  <c:v>0.13257641817605401</c:v>
                </c:pt>
                <c:pt idx="123">
                  <c:v>0.13257869281484999</c:v>
                </c:pt>
                <c:pt idx="124">
                  <c:v>0.132580958637564</c:v>
                </c:pt>
                <c:pt idx="125">
                  <c:v>0.132583215893989</c:v>
                </c:pt>
                <c:pt idx="126">
                  <c:v>0.13258546483012401</c:v>
                </c:pt>
                <c:pt idx="127">
                  <c:v>0.13258770568834599</c:v>
                </c:pt>
                <c:pt idx="128">
                  <c:v>0.13258993870757799</c:v>
                </c:pt>
                <c:pt idx="129">
                  <c:v>0.13259216412345401</c:v>
                </c:pt>
                <c:pt idx="130">
                  <c:v>0.13259438216847899</c:v>
                </c:pt>
                <c:pt idx="131">
                  <c:v>0.13259659307218699</c:v>
                </c:pt>
                <c:pt idx="132">
                  <c:v>0.13259879706128999</c:v>
                </c:pt>
                <c:pt idx="133">
                  <c:v>0.132600994359831</c:v>
                </c:pt>
                <c:pt idx="134">
                  <c:v>0.13260318518932601</c:v>
                </c:pt>
                <c:pt idx="135">
                  <c:v>0.13260536976890799</c:v>
                </c:pt>
                <c:pt idx="136">
                  <c:v>0.132607548315469</c:v>
                </c:pt>
                <c:pt idx="137">
                  <c:v>0.13260972104379501</c:v>
                </c:pt>
                <c:pt idx="138">
                  <c:v>0.132611888166702</c:v>
                </c:pt>
                <c:pt idx="139">
                  <c:v>0.13261404989517001</c:v>
                </c:pt>
                <c:pt idx="140">
                  <c:v>0.13261620643847399</c:v>
                </c:pt>
                <c:pt idx="141">
                  <c:v>0.13261835800430899</c:v>
                </c:pt>
                <c:pt idx="142">
                  <c:v>0.13262050479892901</c:v>
                </c:pt>
                <c:pt idx="143">
                  <c:v>0.13262264702726001</c:v>
                </c:pt>
                <c:pt idx="144">
                  <c:v>0.132624784893038</c:v>
                </c:pt>
                <c:pt idx="145">
                  <c:v>0.132626918598926</c:v>
                </c:pt>
                <c:pt idx="146">
                  <c:v>0.13262904834664299</c:v>
                </c:pt>
                <c:pt idx="147">
                  <c:v>0.13263117433708499</c:v>
                </c:pt>
                <c:pt idx="148">
                  <c:v>0.13263329677044799</c:v>
                </c:pt>
                <c:pt idx="149">
                  <c:v>0.13263541584635499</c:v>
                </c:pt>
                <c:pt idx="150">
                  <c:v>0.13263753176397799</c:v>
                </c:pt>
                <c:pt idx="151">
                  <c:v>0.13263964472216</c:v>
                </c:pt>
                <c:pt idx="152">
                  <c:v>0.13264175491954</c:v>
                </c:pt>
                <c:pt idx="153">
                  <c:v>0.132643862554683</c:v>
                </c:pt>
                <c:pt idx="154">
                  <c:v>0.132645967826199</c:v>
                </c:pt>
                <c:pt idx="155">
                  <c:v>0.13264807093287501</c:v>
                </c:pt>
                <c:pt idx="156">
                  <c:v>0.132650172073802</c:v>
                </c:pt>
                <c:pt idx="157">
                  <c:v>0.132652271448509</c:v>
                </c:pt>
                <c:pt idx="158">
                  <c:v>0.13265436925708801</c:v>
                </c:pt>
                <c:pt idx="159">
                  <c:v>0.13265646570033501</c:v>
                </c:pt>
                <c:pt idx="160">
                  <c:v>0.13265856097988399</c:v>
                </c:pt>
                <c:pt idx="161">
                  <c:v>0.132660655298346</c:v>
                </c:pt>
                <c:pt idx="162">
                  <c:v>0.132662748859454</c:v>
                </c:pt>
                <c:pt idx="163">
                  <c:v>0.13266484186820501</c:v>
                </c:pt>
                <c:pt idx="164">
                  <c:v>0.13266693453101</c:v>
                </c:pt>
                <c:pt idx="165">
                  <c:v>0.13266902705584799</c:v>
                </c:pt>
                <c:pt idx="166">
                  <c:v>0.13267111965242301</c:v>
                </c:pt>
                <c:pt idx="167">
                  <c:v>0.132673212532323</c:v>
                </c:pt>
                <c:pt idx="168">
                  <c:v>0.132675305909189</c:v>
                </c:pt>
                <c:pt idx="169">
                  <c:v>0.132677399998884</c:v>
                </c:pt>
                <c:pt idx="170">
                  <c:v>0.13267949501967199</c:v>
                </c:pt>
                <c:pt idx="171">
                  <c:v>0.132681591192402</c:v>
                </c:pt>
                <c:pt idx="172">
                  <c:v>0.132683688740695</c:v>
                </c:pt>
                <c:pt idx="173">
                  <c:v>0.13268578789114299</c:v>
                </c:pt>
                <c:pt idx="174">
                  <c:v>0.13268788887351199</c:v>
                </c:pt>
                <c:pt idx="175">
                  <c:v>0.13268999192095701</c:v>
                </c:pt>
                <c:pt idx="176">
                  <c:v>0.13269209727023901</c:v>
                </c:pt>
                <c:pt idx="177">
                  <c:v>0.13269420516196201</c:v>
                </c:pt>
                <c:pt idx="178">
                  <c:v>0.13269631584080599</c:v>
                </c:pt>
                <c:pt idx="179">
                  <c:v>0.13269842955578601</c:v>
                </c:pt>
                <c:pt idx="180">
                  <c:v>0.132700546560511</c:v>
                </c:pt>
                <c:pt idx="181">
                  <c:v>0.13270266711345699</c:v>
                </c:pt>
                <c:pt idx="182">
                  <c:v>0.132704791478263</c:v>
                </c:pt>
                <c:pt idx="183">
                  <c:v>0.132706919924029</c:v>
                </c:pt>
                <c:pt idx="184">
                  <c:v>0.13270905272563599</c:v>
                </c:pt>
                <c:pt idx="185">
                  <c:v>0.13271119016407801</c:v>
                </c:pt>
                <c:pt idx="186">
                  <c:v>0.13271333252682199</c:v>
                </c:pt>
                <c:pt idx="187">
                  <c:v>0.132715480108173</c:v>
                </c:pt>
                <c:pt idx="188">
                  <c:v>0.13271763320966901</c:v>
                </c:pt>
                <c:pt idx="189">
                  <c:v>0.13271979214049601</c:v>
                </c:pt>
                <c:pt idx="190">
                  <c:v>0.13272195721792501</c:v>
                </c:pt>
                <c:pt idx="191">
                  <c:v>0.132724128767778</c:v>
                </c:pt>
                <c:pt idx="192">
                  <c:v>0.13272630712491701</c:v>
                </c:pt>
                <c:pt idx="193">
                  <c:v>0.13272849263376901</c:v>
                </c:pt>
                <c:pt idx="194">
                  <c:v>0.132730685648876</c:v>
                </c:pt>
                <c:pt idx="195">
                  <c:v>0.13273288653548501</c:v>
                </c:pt>
                <c:pt idx="196">
                  <c:v>0.13273509567017699</c:v>
                </c:pt>
                <c:pt idx="197">
                  <c:v>0.132737313441533</c:v>
                </c:pt>
                <c:pt idx="198">
                  <c:v>0.132739540250841</c:v>
                </c:pt>
                <c:pt idx="199">
                  <c:v>0.13274177651286501</c:v>
                </c:pt>
                <c:pt idx="200">
                  <c:v>0.13274402265665</c:v>
                </c:pt>
                <c:pt idx="201">
                  <c:v>0.132746279126393</c:v>
                </c:pt>
                <c:pt idx="202">
                  <c:v>0.13274854638237599</c:v>
                </c:pt>
                <c:pt idx="203">
                  <c:v>0.132750824901961</c:v>
                </c:pt>
                <c:pt idx="204">
                  <c:v>0.13275311518066599</c:v>
                </c:pt>
                <c:pt idx="205">
                  <c:v>0.13275541773331401</c:v>
                </c:pt>
                <c:pt idx="206">
                  <c:v>0.132757733095279</c:v>
                </c:pt>
                <c:pt idx="207">
                  <c:v>0.132760061823818</c:v>
                </c:pt>
                <c:pt idx="208">
                  <c:v>0.13276240449951601</c:v>
                </c:pt>
                <c:pt idx="209">
                  <c:v>0.13276476172784801</c:v>
                </c:pt>
                <c:pt idx="210">
                  <c:v>0.13276713414086799</c:v>
                </c:pt>
                <c:pt idx="211">
                  <c:v>0.13276952239903</c:v>
                </c:pt>
                <c:pt idx="212">
                  <c:v>0.13277192719318501</c:v>
                </c:pt>
                <c:pt idx="213">
                  <c:v>0.13277434924672901</c:v>
                </c:pt>
                <c:pt idx="214">
                  <c:v>0.132776789317957</c:v>
                </c:pt>
                <c:pt idx="215">
                  <c:v>0.13277924820261999</c:v>
                </c:pt>
                <c:pt idx="216">
                  <c:v>0.132781726736725</c:v>
                </c:pt>
                <c:pt idx="217">
                  <c:v>0.13278422579959301</c:v>
                </c:pt>
                <c:pt idx="218">
                  <c:v>0.13278674631720599</c:v>
                </c:pt>
                <c:pt idx="219">
                  <c:v>0.132789289265896</c:v>
                </c:pt>
                <c:pt idx="220">
                  <c:v>0.13279185567638299</c:v>
                </c:pt>
                <c:pt idx="221">
                  <c:v>0.132794446638243</c:v>
                </c:pt>
                <c:pt idx="222">
                  <c:v>0.13279706330482899</c:v>
                </c:pt>
                <c:pt idx="223">
                  <c:v>0.132799706898722</c:v>
                </c:pt>
                <c:pt idx="224">
                  <c:v>0.132802378717778</c:v>
                </c:pt>
                <c:pt idx="225">
                  <c:v>0.132805080141845</c:v>
                </c:pt>
                <c:pt idx="226">
                  <c:v>0.13280781264025199</c:v>
                </c:pt>
                <c:pt idx="227">
                  <c:v>0.132810577780172</c:v>
                </c:pt>
                <c:pt idx="228">
                  <c:v>0.13281337723598599</c:v>
                </c:pt>
                <c:pt idx="229">
                  <c:v>0.13281621279980399</c:v>
                </c:pt>
                <c:pt idx="230">
                  <c:v>0.132819086393311</c:v>
                </c:pt>
                <c:pt idx="231">
                  <c:v>0.132822000081147</c:v>
                </c:pt>
                <c:pt idx="232">
                  <c:v>0.132824956086074</c:v>
                </c:pt>
                <c:pt idx="233">
                  <c:v>0.13282795680621301</c:v>
                </c:pt>
                <c:pt idx="234">
                  <c:v>0.13283100483471399</c:v>
                </c:pt>
                <c:pt idx="235">
                  <c:v>0.13283410298228401</c:v>
                </c:pt>
                <c:pt idx="236">
                  <c:v>0.13283725430307999</c:v>
                </c:pt>
                <c:pt idx="237">
                  <c:v>0.13284046212460199</c:v>
                </c:pt>
                <c:pt idx="238">
                  <c:v>0.13284373008234701</c:v>
                </c:pt>
                <c:pt idx="239">
                  <c:v>0.13284706216018199</c:v>
                </c:pt>
                <c:pt idx="240">
                  <c:v>0.13285046273759499</c:v>
                </c:pt>
                <c:pt idx="241">
                  <c:v>0.13285393664530001</c:v>
                </c:pt>
                <c:pt idx="242">
                  <c:v>0.13285748923103799</c:v>
                </c:pt>
                <c:pt idx="243">
                  <c:v>0.13286112643791401</c:v>
                </c:pt>
                <c:pt idx="244">
                  <c:v>0.132864854898255</c:v>
                </c:pt>
                <c:pt idx="245">
                  <c:v>0.13286868204686</c:v>
                </c:pt>
                <c:pt idx="246">
                  <c:v>0.13287261625866401</c:v>
                </c:pt>
                <c:pt idx="247">
                  <c:v>0.132876667017443</c:v>
                </c:pt>
                <c:pt idx="248">
                  <c:v>0.132880845124389</c:v>
                </c:pt>
                <c:pt idx="249">
                  <c:v>0.13288516295844799</c:v>
                </c:pt>
                <c:pt idx="250">
                  <c:v>0.13288963480469199</c:v>
                </c:pt>
                <c:pt idx="251">
                  <c:v>0.13289427727328901</c:v>
                </c:pt>
                <c:pt idx="252">
                  <c:v>0.13289910984085401</c:v>
                </c:pt>
                <c:pt idx="253">
                  <c:v>0.132904155559849</c:v>
                </c:pt>
                <c:pt idx="254">
                  <c:v>0.13290944200277299</c:v>
                </c:pt>
                <c:pt idx="255">
                  <c:v>0.13291500254108701</c:v>
                </c:pt>
                <c:pt idx="256">
                  <c:v>0.13292087811204301</c:v>
                </c:pt>
                <c:pt idx="257">
                  <c:v>0.132927119714948</c:v>
                </c:pt>
                <c:pt idx="258">
                  <c:v>0.132933792029892</c:v>
                </c:pt>
                <c:pt idx="259">
                  <c:v>0.132940978822192</c:v>
                </c:pt>
                <c:pt idx="260">
                  <c:v>0.13294879130005999</c:v>
                </c:pt>
                <c:pt idx="261">
                  <c:v>0.132957381584934</c:v>
                </c:pt>
                <c:pt idx="262">
                  <c:v>0.13296696553123799</c:v>
                </c:pt>
                <c:pt idx="263">
                  <c:v>0.13297786382384399</c:v>
                </c:pt>
                <c:pt idx="264">
                  <c:v>0.132990581906959</c:v>
                </c:pt>
                <c:pt idx="265">
                  <c:v>0.13300598168556699</c:v>
                </c:pt>
                <c:pt idx="266">
                  <c:v>0.13302570306129599</c:v>
                </c:pt>
                <c:pt idx="267">
                  <c:v>0.133053413662858</c:v>
                </c:pt>
                <c:pt idx="268">
                  <c:v>0.13309974144758499</c:v>
                </c:pt>
                <c:pt idx="269">
                  <c:v>0.13321378154653299</c:v>
                </c:pt>
                <c:pt idx="270">
                  <c:v>0.13336682861826901</c:v>
                </c:pt>
                <c:pt idx="271">
                  <c:v>0.13351953708365299</c:v>
                </c:pt>
                <c:pt idx="272">
                  <c:v>0.133672756082719</c:v>
                </c:pt>
                <c:pt idx="273">
                  <c:v>0.13382654271444999</c:v>
                </c:pt>
                <c:pt idx="274">
                  <c:v>0.1339809270474</c:v>
                </c:pt>
                <c:pt idx="275">
                  <c:v>0.13413592636935101</c:v>
                </c:pt>
                <c:pt idx="276">
                  <c:v>0.13429155195650999</c:v>
                </c:pt>
                <c:pt idx="277">
                  <c:v>0.229108280555748</c:v>
                </c:pt>
                <c:pt idx="278">
                  <c:v>0.22910828280913501</c:v>
                </c:pt>
                <c:pt idx="279">
                  <c:v>0.38305732976120799</c:v>
                </c:pt>
                <c:pt idx="280">
                  <c:v>0.38333587250425699</c:v>
                </c:pt>
                <c:pt idx="281">
                  <c:v>0.38357840372985702</c:v>
                </c:pt>
                <c:pt idx="282">
                  <c:v>0.38379485836785199</c:v>
                </c:pt>
                <c:pt idx="283">
                  <c:v>0.38399180760400198</c:v>
                </c:pt>
                <c:pt idx="284">
                  <c:v>0.384173807056849</c:v>
                </c:pt>
                <c:pt idx="285">
                  <c:v>0.38434416321224601</c:v>
                </c:pt>
                <c:pt idx="286">
                  <c:v>0.38450537598643098</c:v>
                </c:pt>
                <c:pt idx="287">
                  <c:v>0.38465940776560398</c:v>
                </c:pt>
                <c:pt idx="288">
                  <c:v>0.38480785573939102</c:v>
                </c:pt>
                <c:pt idx="289">
                  <c:v>0.384952068264445</c:v>
                </c:pt>
                <c:pt idx="290">
                  <c:v>0.38509322812937802</c:v>
                </c:pt>
                <c:pt idx="291">
                  <c:v>0.38523241647348</c:v>
                </c:pt>
                <c:pt idx="292">
                  <c:v>0.385370666441891</c:v>
                </c:pt>
                <c:pt idx="293">
                  <c:v>0.385509013499586</c:v>
                </c:pt>
                <c:pt idx="294">
                  <c:v>0.38564854888670203</c:v>
                </c:pt>
                <c:pt idx="295">
                  <c:v>0.385790483898592</c:v>
                </c:pt>
                <c:pt idx="296">
                  <c:v>0.38593623614144101</c:v>
                </c:pt>
                <c:pt idx="297">
                  <c:v>0.38608755645093301</c:v>
                </c:pt>
                <c:pt idx="298">
                  <c:v>0.38624673120118802</c:v>
                </c:pt>
                <c:pt idx="299">
                  <c:v>0.38641693053499898</c:v>
                </c:pt>
                <c:pt idx="300">
                  <c:v>0.38660285978241898</c:v>
                </c:pt>
                <c:pt idx="301">
                  <c:v>0.38681210620158402</c:v>
                </c:pt>
                <c:pt idx="302">
                  <c:v>0.38705831096616899</c:v>
                </c:pt>
                <c:pt idx="303">
                  <c:v>0.38737014098822098</c:v>
                </c:pt>
                <c:pt idx="304">
                  <c:v>0.38782486586522802</c:v>
                </c:pt>
                <c:pt idx="305">
                  <c:v>0.38875106087786898</c:v>
                </c:pt>
                <c:pt idx="306">
                  <c:v>0.39343249839230199</c:v>
                </c:pt>
                <c:pt idx="307">
                  <c:v>0.40121720513367698</c:v>
                </c:pt>
                <c:pt idx="308">
                  <c:v>0.60121720513367705</c:v>
                </c:pt>
                <c:pt idx="309">
                  <c:v>0.60121720513367705</c:v>
                </c:pt>
              </c:numCache>
            </c:numRef>
          </c:xVal>
          <c:yVal>
            <c:numRef>
              <c:f>Implicit_Fracs!$BQ$5:$BQ$314</c:f>
              <c:numCache>
                <c:formatCode>General</c:formatCode>
                <c:ptCount val="3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 formatCode="0.00E+00">
                  <c:v>1.41191313632369E-6</c:v>
                </c:pt>
                <c:pt idx="280" formatCode="0.00E+00">
                  <c:v>2.8074088648287899E-6</c:v>
                </c:pt>
                <c:pt idx="281" formatCode="0.00E+00">
                  <c:v>4.2047587873442E-6</c:v>
                </c:pt>
                <c:pt idx="282" formatCode="0.00E+00">
                  <c:v>5.6022310679100196E-6</c:v>
                </c:pt>
                <c:pt idx="283" formatCode="0.00E+00">
                  <c:v>6.9991424689444899E-6</c:v>
                </c:pt>
                <c:pt idx="284" formatCode="0.00E+00">
                  <c:v>8.3950724231721297E-6</c:v>
                </c:pt>
                <c:pt idx="285" formatCode="0.00E+00">
                  <c:v>9.7896905194614996E-6</c:v>
                </c:pt>
                <c:pt idx="286" formatCode="0.00E+00">
                  <c:v>1.11826955647093E-5</c:v>
                </c:pt>
                <c:pt idx="287" formatCode="0.00E+00">
                  <c:v>1.25737859574648E-5</c:v>
                </c:pt>
                <c:pt idx="288" formatCode="0.00E+00">
                  <c:v>1.3962640534214E-5</c:v>
                </c:pt>
                <c:pt idx="289" formatCode="0.00E+00">
                  <c:v>1.5348902488460099E-5</c:v>
                </c:pt>
                <c:pt idx="290" formatCode="0.00E+00">
                  <c:v>1.6732162782607199E-5</c:v>
                </c:pt>
                <c:pt idx="291" formatCode="0.00E+00">
                  <c:v>1.81119405220021E-5</c:v>
                </c:pt>
                <c:pt idx="292" formatCode="0.00E+00">
                  <c:v>1.9487657685089201E-5</c:v>
                </c:pt>
                <c:pt idx="293" formatCode="0.00E+00">
                  <c:v>2.0858604759273502E-5</c:v>
                </c:pt>
                <c:pt idx="294" formatCode="0.00E+00">
                  <c:v>2.22238920734901E-5</c:v>
                </c:pt>
                <c:pt idx="295" formatCode="0.00E+00">
                  <c:v>2.3582378375699901E-5</c:v>
                </c:pt>
                <c:pt idx="296" formatCode="0.00E+00">
                  <c:v>2.4932562213665001E-5</c:v>
                </c:pt>
                <c:pt idx="297" formatCode="0.00E+00">
                  <c:v>2.6272410225385801E-5</c:v>
                </c:pt>
                <c:pt idx="298" formatCode="0.00E+00">
                  <c:v>2.7599073462784299E-5</c:v>
                </c:pt>
                <c:pt idx="299" formatCode="0.00E+00">
                  <c:v>2.8908393987192299E-5</c:v>
                </c:pt>
                <c:pt idx="300" formatCode="0.00E+00">
                  <c:v>3.01939928892433E-5</c:v>
                </c:pt>
                <c:pt idx="301" formatCode="0.00E+00">
                  <c:v>3.1445460206395102E-5</c:v>
                </c:pt>
                <c:pt idx="302" formatCode="0.00E+00">
                  <c:v>3.2644471529189698E-5</c:v>
                </c:pt>
                <c:pt idx="303" formatCode="0.00E+00">
                  <c:v>3.3756006206568103E-5</c:v>
                </c:pt>
                <c:pt idx="304" formatCode="0.00E+00">
                  <c:v>3.4712919852270399E-5</c:v>
                </c:pt>
                <c:pt idx="305" formatCode="0.00E+00">
                  <c:v>3.5497108353010303E-5</c:v>
                </c:pt>
                <c:pt idx="306" formatCode="0.00E+00">
                  <c:v>3.5736658125120398E-5</c:v>
                </c:pt>
                <c:pt idx="307" formatCode="0.00E+00">
                  <c:v>3.6125678467286297E-5</c:v>
                </c:pt>
                <c:pt idx="308" formatCode="0.00E+00">
                  <c:v>4.5731134605482501E-5</c:v>
                </c:pt>
                <c:pt idx="309" formatCode="0.00E+00">
                  <c:v>4.5731134605482501E-5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Implicit_Fracs!$C$5:$C$314</c:f>
              <c:numCache>
                <c:formatCode>General</c:formatCode>
                <c:ptCount val="310"/>
                <c:pt idx="0">
                  <c:v>0.13164836335685801</c:v>
                </c:pt>
                <c:pt idx="1">
                  <c:v>0.13174831742784901</c:v>
                </c:pt>
                <c:pt idx="2">
                  <c:v>0.131814325176488</c:v>
                </c:pt>
                <c:pt idx="3">
                  <c:v>0.13186377086317799</c:v>
                </c:pt>
                <c:pt idx="4">
                  <c:v>0.13190336566689301</c:v>
                </c:pt>
                <c:pt idx="5">
                  <c:v>0.13193641917955301</c:v>
                </c:pt>
                <c:pt idx="6">
                  <c:v>0.13196480990574899</c:v>
                </c:pt>
                <c:pt idx="7">
                  <c:v>0.131989707564308</c:v>
                </c:pt>
                <c:pt idx="8">
                  <c:v>0.132011890254908</c:v>
                </c:pt>
                <c:pt idx="9">
                  <c:v>0.132031901904686</c:v>
                </c:pt>
                <c:pt idx="10">
                  <c:v>0.132050137753493</c:v>
                </c:pt>
                <c:pt idx="11">
                  <c:v>0.13206689406580899</c:v>
                </c:pt>
                <c:pt idx="12">
                  <c:v>0.132082398656449</c:v>
                </c:pt>
                <c:pt idx="13">
                  <c:v>0.132096830483731</c:v>
                </c:pt>
                <c:pt idx="14">
                  <c:v>0.13211033269671599</c:v>
                </c:pt>
                <c:pt idx="15">
                  <c:v>0.13212302159759301</c:v>
                </c:pt>
                <c:pt idx="16">
                  <c:v>0.13213499296405401</c:v>
                </c:pt>
                <c:pt idx="17">
                  <c:v>0.13214632661325601</c:v>
                </c:pt>
                <c:pt idx="18">
                  <c:v>0.132157089763519</c:v>
                </c:pt>
                <c:pt idx="19">
                  <c:v>0.132167339554908</c:v>
                </c:pt>
                <c:pt idx="20">
                  <c:v>0.132177124969275</c:v>
                </c:pt>
                <c:pt idx="21">
                  <c:v>0.132186488313704</c:v>
                </c:pt>
                <c:pt idx="22">
                  <c:v>0.132195466381343</c:v>
                </c:pt>
                <c:pt idx="23">
                  <c:v>0.13220409137031</c:v>
                </c:pt>
                <c:pt idx="24">
                  <c:v>0.1322123916188</c:v>
                </c:pt>
                <c:pt idx="25">
                  <c:v>0.132220392198791</c:v>
                </c:pt>
                <c:pt idx="26">
                  <c:v>0.13222811539981</c:v>
                </c:pt>
                <c:pt idx="27">
                  <c:v>0.13223558112630501</c:v>
                </c:pt>
                <c:pt idx="28">
                  <c:v>0.13224280722651799</c:v>
                </c:pt>
                <c:pt idx="29">
                  <c:v>0.13224980976654199</c:v>
                </c:pt>
                <c:pt idx="30">
                  <c:v>0.13225660326019101</c:v>
                </c:pt>
                <c:pt idx="31">
                  <c:v>0.13226320086295401</c:v>
                </c:pt>
                <c:pt idx="32">
                  <c:v>0.13226961453657801</c:v>
                </c:pt>
                <c:pt idx="33">
                  <c:v>0.13227585518944099</c:v>
                </c:pt>
                <c:pt idx="34">
                  <c:v>0.13228193279689099</c:v>
                </c:pt>
                <c:pt idx="35">
                  <c:v>0.13228785650486699</c:v>
                </c:pt>
                <c:pt idx="36">
                  <c:v>0.13229363471953201</c:v>
                </c:pt>
                <c:pt idx="37">
                  <c:v>0.13229927518510501</c:v>
                </c:pt>
                <c:pt idx="38">
                  <c:v>0.13230478505189899</c:v>
                </c:pt>
                <c:pt idx="39">
                  <c:v>0.132310170935689</c:v>
                </c:pt>
                <c:pt idx="40">
                  <c:v>0.132315438969837</c:v>
                </c:pt>
                <c:pt idx="41">
                  <c:v>0.13232059485122499</c:v>
                </c:pt>
                <c:pt idx="42">
                  <c:v>0.13232564388083301</c:v>
                </c:pt>
                <c:pt idx="43">
                  <c:v>0.13233059099972999</c:v>
                </c:pt>
                <c:pt idx="44">
                  <c:v>0.13233544082104801</c:v>
                </c:pt>
                <c:pt idx="45">
                  <c:v>0.132340197658498</c:v>
                </c:pt>
                <c:pt idx="46">
                  <c:v>0.13234486555185099</c:v>
                </c:pt>
                <c:pt idx="47">
                  <c:v>0.132349448289759</c:v>
                </c:pt>
                <c:pt idx="48">
                  <c:v>0.13235394943025999</c:v>
                </c:pt>
                <c:pt idx="49">
                  <c:v>0.13235837231923001</c:v>
                </c:pt>
                <c:pt idx="50">
                  <c:v>0.13236272010702199</c:v>
                </c:pt>
                <c:pt idx="51">
                  <c:v>0.13236699576351699</c:v>
                </c:pt>
                <c:pt idx="52">
                  <c:v>0.13237120209174699</c:v>
                </c:pt>
                <c:pt idx="53">
                  <c:v>0.132375341740263</c:v>
                </c:pt>
                <c:pt idx="54">
                  <c:v>0.13237941721437901</c:v>
                </c:pt>
                <c:pt idx="55">
                  <c:v>0.132383430886412</c:v>
                </c:pt>
                <c:pt idx="56">
                  <c:v>0.132387385005025</c:v>
                </c:pt>
                <c:pt idx="57">
                  <c:v>0.13239128170376399</c:v>
                </c:pt>
                <c:pt idx="58">
                  <c:v>0.13239512300888101</c:v>
                </c:pt>
                <c:pt idx="59">
                  <c:v>0.132398910846489</c:v>
                </c:pt>
                <c:pt idx="60">
                  <c:v>0.13240264704915</c:v>
                </c:pt>
                <c:pt idx="61">
                  <c:v>0.13240633336192001</c:v>
                </c:pt>
                <c:pt idx="62">
                  <c:v>0.13240997144792099</c:v>
                </c:pt>
                <c:pt idx="63">
                  <c:v>0.132413562893474</c:v>
                </c:pt>
                <c:pt idx="64">
                  <c:v>0.132417109212841</c:v>
                </c:pt>
                <c:pt idx="65">
                  <c:v>0.132420611852609</c:v>
                </c:pt>
                <c:pt idx="66">
                  <c:v>0.13242407219574501</c:v>
                </c:pt>
                <c:pt idx="67">
                  <c:v>0.13242749156535599</c:v>
                </c:pt>
                <c:pt idx="68">
                  <c:v>0.13243087122817501</c:v>
                </c:pt>
                <c:pt idx="69">
                  <c:v>0.13243421239779701</c:v>
                </c:pt>
                <c:pt idx="70">
                  <c:v>0.13243751623769601</c:v>
                </c:pt>
                <c:pt idx="71">
                  <c:v>0.132440783864022</c:v>
                </c:pt>
                <c:pt idx="72">
                  <c:v>0.13244401634821701</c:v>
                </c:pt>
                <c:pt idx="73">
                  <c:v>0.13244721471944401</c:v>
                </c:pt>
                <c:pt idx="74">
                  <c:v>0.13245037996687001</c:v>
                </c:pt>
                <c:pt idx="75">
                  <c:v>0.13245351304177999</c:v>
                </c:pt>
                <c:pt idx="76">
                  <c:v>0.13245661485957499</c:v>
                </c:pt>
                <c:pt idx="77">
                  <c:v>0.132459686301623</c:v>
                </c:pt>
                <c:pt idx="78">
                  <c:v>0.13246272821701099</c:v>
                </c:pt>
                <c:pt idx="79">
                  <c:v>0.132465741424173</c:v>
                </c:pt>
                <c:pt idx="80">
                  <c:v>0.13246872671243001</c:v>
                </c:pt>
                <c:pt idx="81">
                  <c:v>0.132471684843428</c:v>
                </c:pt>
                <c:pt idx="82">
                  <c:v>0.13247461655249701</c:v>
                </c:pt>
                <c:pt idx="83">
                  <c:v>0.13247752254992401</c:v>
                </c:pt>
                <c:pt idx="84">
                  <c:v>0.13248040352215701</c:v>
                </c:pt>
                <c:pt idx="85">
                  <c:v>0.13248326013293299</c:v>
                </c:pt>
                <c:pt idx="86">
                  <c:v>0.13248609302434999</c:v>
                </c:pt>
                <c:pt idx="87">
                  <c:v>0.13248890281787101</c:v>
                </c:pt>
                <c:pt idx="88">
                  <c:v>0.132491690115279</c:v>
                </c:pt>
                <c:pt idx="89">
                  <c:v>0.132494455499574</c:v>
                </c:pt>
                <c:pt idx="90">
                  <c:v>0.13249719953582401</c:v>
                </c:pt>
                <c:pt idx="91">
                  <c:v>0.132499922771974</c:v>
                </c:pt>
                <c:pt idx="92">
                  <c:v>0.132502625739603</c:v>
                </c:pt>
                <c:pt idx="93">
                  <c:v>0.13250530895465101</c:v>
                </c:pt>
                <c:pt idx="94">
                  <c:v>0.13250797291810601</c:v>
                </c:pt>
                <c:pt idx="95">
                  <c:v>0.13251061811664699</c:v>
                </c:pt>
                <c:pt idx="96">
                  <c:v>0.132513245023273</c:v>
                </c:pt>
                <c:pt idx="97">
                  <c:v>0.132515854097881</c:v>
                </c:pt>
                <c:pt idx="98">
                  <c:v>0.13251844578782901</c:v>
                </c:pt>
                <c:pt idx="99">
                  <c:v>0.13252102052846701</c:v>
                </c:pt>
                <c:pt idx="100">
                  <c:v>0.13252357874364101</c:v>
                </c:pt>
                <c:pt idx="101">
                  <c:v>0.13252612084617801</c:v>
                </c:pt>
                <c:pt idx="102">
                  <c:v>0.13252864723834301</c:v>
                </c:pt>
                <c:pt idx="103">
                  <c:v>0.13253115831227899</c:v>
                </c:pt>
                <c:pt idx="104">
                  <c:v>0.13253365445042301</c:v>
                </c:pt>
                <c:pt idx="105">
                  <c:v>0.132536136025908</c:v>
                </c:pt>
                <c:pt idx="106">
                  <c:v>0.13253860340294499</c:v>
                </c:pt>
                <c:pt idx="107">
                  <c:v>0.13254105693718801</c:v>
                </c:pt>
                <c:pt idx="108">
                  <c:v>0.132543496976081</c:v>
                </c:pt>
                <c:pt idx="109">
                  <c:v>0.132545923859197</c:v>
                </c:pt>
                <c:pt idx="110">
                  <c:v>0.132548337918557</c:v>
                </c:pt>
                <c:pt idx="111">
                  <c:v>0.132550739478936</c:v>
                </c:pt>
                <c:pt idx="112">
                  <c:v>0.13255312885816001</c:v>
                </c:pt>
                <c:pt idx="113">
                  <c:v>0.132555506367391</c:v>
                </c:pt>
                <c:pt idx="114">
                  <c:v>0.13255787231139399</c:v>
                </c:pt>
                <c:pt idx="115">
                  <c:v>0.13256022698880601</c:v>
                </c:pt>
                <c:pt idx="116">
                  <c:v>0.13256257069238001</c:v>
                </c:pt>
                <c:pt idx="117">
                  <c:v>0.13256490370923599</c:v>
                </c:pt>
                <c:pt idx="118">
                  <c:v>0.132567226321089</c:v>
                </c:pt>
                <c:pt idx="119">
                  <c:v>0.132569538804475</c:v>
                </c:pt>
                <c:pt idx="120">
                  <c:v>0.132571841430971</c:v>
                </c:pt>
                <c:pt idx="121">
                  <c:v>0.13257413446740399</c:v>
                </c:pt>
                <c:pt idx="122">
                  <c:v>0.13257641817605401</c:v>
                </c:pt>
                <c:pt idx="123">
                  <c:v>0.13257869281484999</c:v>
                </c:pt>
                <c:pt idx="124">
                  <c:v>0.132580958637564</c:v>
                </c:pt>
                <c:pt idx="125">
                  <c:v>0.132583215893989</c:v>
                </c:pt>
                <c:pt idx="126">
                  <c:v>0.13258546483012401</c:v>
                </c:pt>
                <c:pt idx="127">
                  <c:v>0.13258770568834599</c:v>
                </c:pt>
                <c:pt idx="128">
                  <c:v>0.13258993870757799</c:v>
                </c:pt>
                <c:pt idx="129">
                  <c:v>0.13259216412345401</c:v>
                </c:pt>
                <c:pt idx="130">
                  <c:v>0.13259438216847899</c:v>
                </c:pt>
                <c:pt idx="131">
                  <c:v>0.13259659307218699</c:v>
                </c:pt>
                <c:pt idx="132">
                  <c:v>0.13259879706128999</c:v>
                </c:pt>
                <c:pt idx="133">
                  <c:v>0.132600994359831</c:v>
                </c:pt>
                <c:pt idx="134">
                  <c:v>0.13260318518932601</c:v>
                </c:pt>
                <c:pt idx="135">
                  <c:v>0.13260536976890799</c:v>
                </c:pt>
                <c:pt idx="136">
                  <c:v>0.132607548315469</c:v>
                </c:pt>
                <c:pt idx="137">
                  <c:v>0.13260972104379501</c:v>
                </c:pt>
                <c:pt idx="138">
                  <c:v>0.132611888166702</c:v>
                </c:pt>
                <c:pt idx="139">
                  <c:v>0.13261404989517001</c:v>
                </c:pt>
                <c:pt idx="140">
                  <c:v>0.13261620643847399</c:v>
                </c:pt>
                <c:pt idx="141">
                  <c:v>0.13261835800430899</c:v>
                </c:pt>
                <c:pt idx="142">
                  <c:v>0.13262050479892901</c:v>
                </c:pt>
                <c:pt idx="143">
                  <c:v>0.13262264702726001</c:v>
                </c:pt>
                <c:pt idx="144">
                  <c:v>0.132624784893038</c:v>
                </c:pt>
                <c:pt idx="145">
                  <c:v>0.132626918598926</c:v>
                </c:pt>
                <c:pt idx="146">
                  <c:v>0.13262904834664299</c:v>
                </c:pt>
                <c:pt idx="147">
                  <c:v>0.13263117433708499</c:v>
                </c:pt>
                <c:pt idx="148">
                  <c:v>0.13263329677044799</c:v>
                </c:pt>
                <c:pt idx="149">
                  <c:v>0.13263541584635499</c:v>
                </c:pt>
                <c:pt idx="150">
                  <c:v>0.13263753176397799</c:v>
                </c:pt>
                <c:pt idx="151">
                  <c:v>0.13263964472216</c:v>
                </c:pt>
                <c:pt idx="152">
                  <c:v>0.13264175491954</c:v>
                </c:pt>
                <c:pt idx="153">
                  <c:v>0.132643862554683</c:v>
                </c:pt>
                <c:pt idx="154">
                  <c:v>0.132645967826199</c:v>
                </c:pt>
                <c:pt idx="155">
                  <c:v>0.13264807093287501</c:v>
                </c:pt>
                <c:pt idx="156">
                  <c:v>0.132650172073802</c:v>
                </c:pt>
                <c:pt idx="157">
                  <c:v>0.132652271448509</c:v>
                </c:pt>
                <c:pt idx="158">
                  <c:v>0.13265436925708801</c:v>
                </c:pt>
                <c:pt idx="159">
                  <c:v>0.13265646570033501</c:v>
                </c:pt>
                <c:pt idx="160">
                  <c:v>0.13265856097988399</c:v>
                </c:pt>
                <c:pt idx="161">
                  <c:v>0.132660655298346</c:v>
                </c:pt>
                <c:pt idx="162">
                  <c:v>0.132662748859454</c:v>
                </c:pt>
                <c:pt idx="163">
                  <c:v>0.13266484186820501</c:v>
                </c:pt>
                <c:pt idx="164">
                  <c:v>0.13266693453101</c:v>
                </c:pt>
                <c:pt idx="165">
                  <c:v>0.13266902705584799</c:v>
                </c:pt>
                <c:pt idx="166">
                  <c:v>0.13267111965242301</c:v>
                </c:pt>
                <c:pt idx="167">
                  <c:v>0.132673212532323</c:v>
                </c:pt>
                <c:pt idx="168">
                  <c:v>0.132675305909189</c:v>
                </c:pt>
                <c:pt idx="169">
                  <c:v>0.132677399998884</c:v>
                </c:pt>
                <c:pt idx="170">
                  <c:v>0.13267949501967199</c:v>
                </c:pt>
                <c:pt idx="171">
                  <c:v>0.132681591192402</c:v>
                </c:pt>
                <c:pt idx="172">
                  <c:v>0.132683688740695</c:v>
                </c:pt>
                <c:pt idx="173">
                  <c:v>0.13268578789114299</c:v>
                </c:pt>
                <c:pt idx="174">
                  <c:v>0.13268788887351199</c:v>
                </c:pt>
                <c:pt idx="175">
                  <c:v>0.13268999192095701</c:v>
                </c:pt>
                <c:pt idx="176">
                  <c:v>0.13269209727023901</c:v>
                </c:pt>
                <c:pt idx="177">
                  <c:v>0.13269420516196201</c:v>
                </c:pt>
                <c:pt idx="178">
                  <c:v>0.13269631584080599</c:v>
                </c:pt>
                <c:pt idx="179">
                  <c:v>0.13269842955578601</c:v>
                </c:pt>
                <c:pt idx="180">
                  <c:v>0.132700546560511</c:v>
                </c:pt>
                <c:pt idx="181">
                  <c:v>0.13270266711345699</c:v>
                </c:pt>
                <c:pt idx="182">
                  <c:v>0.132704791478263</c:v>
                </c:pt>
                <c:pt idx="183">
                  <c:v>0.132706919924029</c:v>
                </c:pt>
                <c:pt idx="184">
                  <c:v>0.13270905272563599</c:v>
                </c:pt>
                <c:pt idx="185">
                  <c:v>0.13271119016407801</c:v>
                </c:pt>
                <c:pt idx="186">
                  <c:v>0.13271333252682199</c:v>
                </c:pt>
                <c:pt idx="187">
                  <c:v>0.132715480108173</c:v>
                </c:pt>
                <c:pt idx="188">
                  <c:v>0.13271763320966901</c:v>
                </c:pt>
                <c:pt idx="189">
                  <c:v>0.13271979214049601</c:v>
                </c:pt>
                <c:pt idx="190">
                  <c:v>0.13272195721792501</c:v>
                </c:pt>
                <c:pt idx="191">
                  <c:v>0.132724128767778</c:v>
                </c:pt>
                <c:pt idx="192">
                  <c:v>0.13272630712491701</c:v>
                </c:pt>
                <c:pt idx="193">
                  <c:v>0.13272849263376901</c:v>
                </c:pt>
                <c:pt idx="194">
                  <c:v>0.132730685648876</c:v>
                </c:pt>
                <c:pt idx="195">
                  <c:v>0.13273288653548501</c:v>
                </c:pt>
                <c:pt idx="196">
                  <c:v>0.13273509567017699</c:v>
                </c:pt>
                <c:pt idx="197">
                  <c:v>0.132737313441533</c:v>
                </c:pt>
                <c:pt idx="198">
                  <c:v>0.132739540250841</c:v>
                </c:pt>
                <c:pt idx="199">
                  <c:v>0.13274177651286501</c:v>
                </c:pt>
                <c:pt idx="200">
                  <c:v>0.13274402265665</c:v>
                </c:pt>
                <c:pt idx="201">
                  <c:v>0.132746279126393</c:v>
                </c:pt>
                <c:pt idx="202">
                  <c:v>0.13274854638237599</c:v>
                </c:pt>
                <c:pt idx="203">
                  <c:v>0.132750824901961</c:v>
                </c:pt>
                <c:pt idx="204">
                  <c:v>0.13275311518066599</c:v>
                </c:pt>
                <c:pt idx="205">
                  <c:v>0.13275541773331401</c:v>
                </c:pt>
                <c:pt idx="206">
                  <c:v>0.132757733095279</c:v>
                </c:pt>
                <c:pt idx="207">
                  <c:v>0.132760061823818</c:v>
                </c:pt>
                <c:pt idx="208">
                  <c:v>0.13276240449951601</c:v>
                </c:pt>
                <c:pt idx="209">
                  <c:v>0.13276476172784801</c:v>
                </c:pt>
                <c:pt idx="210">
                  <c:v>0.13276713414086799</c:v>
                </c:pt>
                <c:pt idx="211">
                  <c:v>0.13276952239903</c:v>
                </c:pt>
                <c:pt idx="212">
                  <c:v>0.13277192719318501</c:v>
                </c:pt>
                <c:pt idx="213">
                  <c:v>0.13277434924672901</c:v>
                </c:pt>
                <c:pt idx="214">
                  <c:v>0.132776789317957</c:v>
                </c:pt>
                <c:pt idx="215">
                  <c:v>0.13277924820261999</c:v>
                </c:pt>
                <c:pt idx="216">
                  <c:v>0.132781726736725</c:v>
                </c:pt>
                <c:pt idx="217">
                  <c:v>0.13278422579959301</c:v>
                </c:pt>
                <c:pt idx="218">
                  <c:v>0.13278674631720599</c:v>
                </c:pt>
                <c:pt idx="219">
                  <c:v>0.132789289265896</c:v>
                </c:pt>
                <c:pt idx="220">
                  <c:v>0.13279185567638299</c:v>
                </c:pt>
                <c:pt idx="221">
                  <c:v>0.132794446638243</c:v>
                </c:pt>
                <c:pt idx="222">
                  <c:v>0.13279706330482899</c:v>
                </c:pt>
                <c:pt idx="223">
                  <c:v>0.132799706898722</c:v>
                </c:pt>
                <c:pt idx="224">
                  <c:v>0.132802378717778</c:v>
                </c:pt>
                <c:pt idx="225">
                  <c:v>0.132805080141845</c:v>
                </c:pt>
                <c:pt idx="226">
                  <c:v>0.13280781264025199</c:v>
                </c:pt>
                <c:pt idx="227">
                  <c:v>0.132810577780172</c:v>
                </c:pt>
                <c:pt idx="228">
                  <c:v>0.13281337723598599</c:v>
                </c:pt>
                <c:pt idx="229">
                  <c:v>0.13281621279980399</c:v>
                </c:pt>
                <c:pt idx="230">
                  <c:v>0.132819086393311</c:v>
                </c:pt>
                <c:pt idx="231">
                  <c:v>0.132822000081147</c:v>
                </c:pt>
                <c:pt idx="232">
                  <c:v>0.132824956086074</c:v>
                </c:pt>
                <c:pt idx="233">
                  <c:v>0.13282795680621301</c:v>
                </c:pt>
                <c:pt idx="234">
                  <c:v>0.13283100483471399</c:v>
                </c:pt>
                <c:pt idx="235">
                  <c:v>0.13283410298228401</c:v>
                </c:pt>
                <c:pt idx="236">
                  <c:v>0.13283725430307999</c:v>
                </c:pt>
                <c:pt idx="237">
                  <c:v>0.13284046212460199</c:v>
                </c:pt>
                <c:pt idx="238">
                  <c:v>0.13284373008234701</c:v>
                </c:pt>
                <c:pt idx="239">
                  <c:v>0.13284706216018199</c:v>
                </c:pt>
                <c:pt idx="240">
                  <c:v>0.13285046273759499</c:v>
                </c:pt>
                <c:pt idx="241">
                  <c:v>0.13285393664530001</c:v>
                </c:pt>
                <c:pt idx="242">
                  <c:v>0.13285748923103799</c:v>
                </c:pt>
                <c:pt idx="243">
                  <c:v>0.13286112643791401</c:v>
                </c:pt>
                <c:pt idx="244">
                  <c:v>0.132864854898255</c:v>
                </c:pt>
                <c:pt idx="245">
                  <c:v>0.13286868204686</c:v>
                </c:pt>
                <c:pt idx="246">
                  <c:v>0.13287261625866401</c:v>
                </c:pt>
                <c:pt idx="247">
                  <c:v>0.132876667017443</c:v>
                </c:pt>
                <c:pt idx="248">
                  <c:v>0.132880845124389</c:v>
                </c:pt>
                <c:pt idx="249">
                  <c:v>0.13288516295844799</c:v>
                </c:pt>
                <c:pt idx="250">
                  <c:v>0.13288963480469199</c:v>
                </c:pt>
                <c:pt idx="251">
                  <c:v>0.13289427727328901</c:v>
                </c:pt>
                <c:pt idx="252">
                  <c:v>0.13289910984085401</c:v>
                </c:pt>
                <c:pt idx="253">
                  <c:v>0.132904155559849</c:v>
                </c:pt>
                <c:pt idx="254">
                  <c:v>0.13290944200277299</c:v>
                </c:pt>
                <c:pt idx="255">
                  <c:v>0.13291500254108701</c:v>
                </c:pt>
                <c:pt idx="256">
                  <c:v>0.13292087811204301</c:v>
                </c:pt>
                <c:pt idx="257">
                  <c:v>0.132927119714948</c:v>
                </c:pt>
                <c:pt idx="258">
                  <c:v>0.132933792029892</c:v>
                </c:pt>
                <c:pt idx="259">
                  <c:v>0.132940978822192</c:v>
                </c:pt>
                <c:pt idx="260">
                  <c:v>0.13294879130005999</c:v>
                </c:pt>
                <c:pt idx="261">
                  <c:v>0.132957381584934</c:v>
                </c:pt>
                <c:pt idx="262">
                  <c:v>0.13296696553123799</c:v>
                </c:pt>
                <c:pt idx="263">
                  <c:v>0.13297786382384399</c:v>
                </c:pt>
                <c:pt idx="264">
                  <c:v>0.132990581906959</c:v>
                </c:pt>
                <c:pt idx="265">
                  <c:v>0.13300598168556699</c:v>
                </c:pt>
                <c:pt idx="266">
                  <c:v>0.13302570306129599</c:v>
                </c:pt>
                <c:pt idx="267">
                  <c:v>0.133053413662858</c:v>
                </c:pt>
                <c:pt idx="268">
                  <c:v>0.13309974144758499</c:v>
                </c:pt>
                <c:pt idx="269">
                  <c:v>0.13321378154653299</c:v>
                </c:pt>
                <c:pt idx="270">
                  <c:v>0.13336682861826901</c:v>
                </c:pt>
                <c:pt idx="271">
                  <c:v>0.13351953708365299</c:v>
                </c:pt>
                <c:pt idx="272">
                  <c:v>0.133672756082719</c:v>
                </c:pt>
                <c:pt idx="273">
                  <c:v>0.13382654271444999</c:v>
                </c:pt>
                <c:pt idx="274">
                  <c:v>0.1339809270474</c:v>
                </c:pt>
                <c:pt idx="275">
                  <c:v>0.13413592636935101</c:v>
                </c:pt>
                <c:pt idx="276">
                  <c:v>0.13429155195650999</c:v>
                </c:pt>
                <c:pt idx="277">
                  <c:v>0.229108280555748</c:v>
                </c:pt>
                <c:pt idx="278">
                  <c:v>0.22910828280913501</c:v>
                </c:pt>
                <c:pt idx="279">
                  <c:v>0.38305732976120799</c:v>
                </c:pt>
                <c:pt idx="280">
                  <c:v>0.38333587250425699</c:v>
                </c:pt>
                <c:pt idx="281">
                  <c:v>0.38357840372985702</c:v>
                </c:pt>
                <c:pt idx="282">
                  <c:v>0.38379485836785199</c:v>
                </c:pt>
                <c:pt idx="283">
                  <c:v>0.38399180760400198</c:v>
                </c:pt>
                <c:pt idx="284">
                  <c:v>0.384173807056849</c:v>
                </c:pt>
                <c:pt idx="285">
                  <c:v>0.38434416321224601</c:v>
                </c:pt>
                <c:pt idx="286">
                  <c:v>0.38450537598643098</c:v>
                </c:pt>
                <c:pt idx="287">
                  <c:v>0.38465940776560398</c:v>
                </c:pt>
                <c:pt idx="288">
                  <c:v>0.38480785573939102</c:v>
                </c:pt>
                <c:pt idx="289">
                  <c:v>0.384952068264445</c:v>
                </c:pt>
                <c:pt idx="290">
                  <c:v>0.38509322812937802</c:v>
                </c:pt>
                <c:pt idx="291">
                  <c:v>0.38523241647348</c:v>
                </c:pt>
                <c:pt idx="292">
                  <c:v>0.385370666441891</c:v>
                </c:pt>
                <c:pt idx="293">
                  <c:v>0.385509013499586</c:v>
                </c:pt>
                <c:pt idx="294">
                  <c:v>0.38564854888670203</c:v>
                </c:pt>
                <c:pt idx="295">
                  <c:v>0.385790483898592</c:v>
                </c:pt>
                <c:pt idx="296">
                  <c:v>0.38593623614144101</c:v>
                </c:pt>
                <c:pt idx="297">
                  <c:v>0.38608755645093301</c:v>
                </c:pt>
                <c:pt idx="298">
                  <c:v>0.38624673120118802</c:v>
                </c:pt>
                <c:pt idx="299">
                  <c:v>0.38641693053499898</c:v>
                </c:pt>
                <c:pt idx="300">
                  <c:v>0.38660285978241898</c:v>
                </c:pt>
                <c:pt idx="301">
                  <c:v>0.38681210620158402</c:v>
                </c:pt>
                <c:pt idx="302">
                  <c:v>0.38705831096616899</c:v>
                </c:pt>
                <c:pt idx="303">
                  <c:v>0.38737014098822098</c:v>
                </c:pt>
                <c:pt idx="304">
                  <c:v>0.38782486586522802</c:v>
                </c:pt>
                <c:pt idx="305">
                  <c:v>0.38875106087786898</c:v>
                </c:pt>
                <c:pt idx="306">
                  <c:v>0.39343249839230199</c:v>
                </c:pt>
                <c:pt idx="307">
                  <c:v>0.40121720513367698</c:v>
                </c:pt>
                <c:pt idx="308">
                  <c:v>0.60121720513367705</c:v>
                </c:pt>
                <c:pt idx="309">
                  <c:v>0.60121720513367705</c:v>
                </c:pt>
              </c:numCache>
            </c:numRef>
          </c:xVal>
          <c:yVal>
            <c:numRef>
              <c:f>Implicit_Fracs!$BR$5:$BR$314</c:f>
              <c:numCache>
                <c:formatCode>0.00E+00</c:formatCode>
                <c:ptCount val="310"/>
                <c:pt idx="0">
                  <c:v>6.6578150309564097E-5</c:v>
                </c:pt>
                <c:pt idx="1">
                  <c:v>6.65100176330718E-5</c:v>
                </c:pt>
                <c:pt idx="2">
                  <c:v>6.6444607067141405E-5</c:v>
                </c:pt>
                <c:pt idx="3">
                  <c:v>6.6380151289018298E-5</c:v>
                </c:pt>
                <c:pt idx="4">
                  <c:v>6.6316172522700505E-5</c:v>
                </c:pt>
                <c:pt idx="5">
                  <c:v>6.62524774272233E-5</c:v>
                </c:pt>
                <c:pt idx="6">
                  <c:v>6.6188969709990499E-5</c:v>
                </c:pt>
                <c:pt idx="7">
                  <c:v>6.6125594794620005E-5</c:v>
                </c:pt>
                <c:pt idx="8">
                  <c:v>6.6062318876089506E-5</c:v>
                </c:pt>
                <c:pt idx="9">
                  <c:v>6.5999119611264798E-5</c:v>
                </c:pt>
                <c:pt idx="10">
                  <c:v>6.5935981482609404E-5</c:v>
                </c:pt>
                <c:pt idx="11">
                  <c:v>6.5872893283732393E-5</c:v>
                </c:pt>
                <c:pt idx="12">
                  <c:v>6.5809846661960098E-5</c:v>
                </c:pt>
                <c:pt idx="13">
                  <c:v>6.5746835227269905E-5</c:v>
                </c:pt>
                <c:pt idx="14">
                  <c:v>6.5683853983082601E-5</c:v>
                </c:pt>
                <c:pt idx="15">
                  <c:v>6.5620898949075306E-5</c:v>
                </c:pt>
                <c:pt idx="16">
                  <c:v>6.5557966903333505E-5</c:v>
                </c:pt>
                <c:pt idx="17">
                  <c:v>6.5495055201301601E-5</c:v>
                </c:pt>
                <c:pt idx="18">
                  <c:v>6.5432161645664701E-5</c:v>
                </c:pt>
                <c:pt idx="19">
                  <c:v>6.5369284390907298E-5</c:v>
                </c:pt>
                <c:pt idx="20">
                  <c:v>6.5306421872030597E-5</c:v>
                </c:pt>
                <c:pt idx="21">
                  <c:v>6.5243572750451598E-5</c:v>
                </c:pt>
                <c:pt idx="22">
                  <c:v>6.5180735872347198E-5</c:v>
                </c:pt>
                <c:pt idx="23">
                  <c:v>6.5117910236159904E-5</c:v>
                </c:pt>
                <c:pt idx="24">
                  <c:v>6.5055094966950502E-5</c:v>
                </c:pt>
                <c:pt idx="25">
                  <c:v>6.4992289295938297E-5</c:v>
                </c:pt>
                <c:pt idx="26">
                  <c:v>6.4929492544017793E-5</c:v>
                </c:pt>
                <c:pt idx="27">
                  <c:v>6.4866704108359398E-5</c:v>
                </c:pt>
                <c:pt idx="28">
                  <c:v>6.4803923451427504E-5</c:v>
                </c:pt>
                <c:pt idx="29">
                  <c:v>6.4741150091909207E-5</c:v>
                </c:pt>
                <c:pt idx="30">
                  <c:v>6.4678383597170406E-5</c:v>
                </c:pt>
                <c:pt idx="31">
                  <c:v>6.4615623576938299E-5</c:v>
                </c:pt>
                <c:pt idx="32">
                  <c:v>6.4552869677979806E-5</c:v>
                </c:pt>
                <c:pt idx="33">
                  <c:v>6.4490121579593304E-5</c:v>
                </c:pt>
                <c:pt idx="34">
                  <c:v>6.4427378989767898E-5</c:v>
                </c:pt>
                <c:pt idx="35">
                  <c:v>6.4364641641896295E-5</c:v>
                </c:pt>
                <c:pt idx="36">
                  <c:v>6.43019092919465E-5</c:v>
                </c:pt>
                <c:pt idx="37">
                  <c:v>6.42391817169892E-5</c:v>
                </c:pt>
                <c:pt idx="38">
                  <c:v>6.4176458712136001E-5</c:v>
                </c:pt>
                <c:pt idx="39">
                  <c:v>6.4113740088654695E-5</c:v>
                </c:pt>
                <c:pt idx="40">
                  <c:v>6.4051025672358296E-5</c:v>
                </c:pt>
                <c:pt idx="41">
                  <c:v>6.3988315302190903E-5</c:v>
                </c:pt>
                <c:pt idx="42">
                  <c:v>6.3925608828984307E-5</c:v>
                </c:pt>
                <c:pt idx="43">
                  <c:v>6.3862906114359197E-5</c:v>
                </c:pt>
                <c:pt idx="44">
                  <c:v>6.3800207029751096E-5</c:v>
                </c:pt>
                <c:pt idx="45">
                  <c:v>6.3737511455546795E-5</c:v>
                </c:pt>
                <c:pt idx="46">
                  <c:v>6.3674819280314001E-5</c:v>
                </c:pt>
                <c:pt idx="47">
                  <c:v>6.3612130400113694E-5</c:v>
                </c:pt>
                <c:pt idx="48">
                  <c:v>6.3549444717884803E-5</c:v>
                </c:pt>
                <c:pt idx="49">
                  <c:v>6.3486762142891097E-5</c:v>
                </c:pt>
                <c:pt idx="50">
                  <c:v>6.3424082590225005E-5</c:v>
                </c:pt>
                <c:pt idx="51">
                  <c:v>6.3361405980358305E-5</c:v>
                </c:pt>
                <c:pt idx="52">
                  <c:v>6.3298732238739602E-5</c:v>
                </c:pt>
                <c:pt idx="53">
                  <c:v>6.3236061295426297E-5</c:v>
                </c:pt>
                <c:pt idx="54">
                  <c:v>6.3173393084753807E-5</c:v>
                </c:pt>
                <c:pt idx="55">
                  <c:v>6.3110727545032206E-5</c:v>
                </c:pt>
                <c:pt idx="56">
                  <c:v>6.3048064618274094E-5</c:v>
                </c:pt>
                <c:pt idx="57">
                  <c:v>6.2985404249942204E-5</c:v>
                </c:pt>
                <c:pt idx="58">
                  <c:v>6.2922746388722101E-5</c:v>
                </c:pt>
                <c:pt idx="59">
                  <c:v>6.2860090986312795E-5</c:v>
                </c:pt>
                <c:pt idx="60">
                  <c:v>6.2797437997235298E-5</c:v>
                </c:pt>
                <c:pt idx="61">
                  <c:v>6.2734787378657404E-5</c:v>
                </c:pt>
                <c:pt idx="62">
                  <c:v>6.2672139090233199E-5</c:v>
                </c:pt>
                <c:pt idx="63">
                  <c:v>6.2609493093953198E-5</c:v>
                </c:pt>
                <c:pt idx="64">
                  <c:v>6.2546849354010403E-5</c:v>
                </c:pt>
                <c:pt idx="65">
                  <c:v>6.2484207836671301E-5</c:v>
                </c:pt>
                <c:pt idx="66">
                  <c:v>6.2421568510163903E-5</c:v>
                </c:pt>
                <c:pt idx="67">
                  <c:v>6.2358931344567604E-5</c:v>
                </c:pt>
                <c:pt idx="68">
                  <c:v>6.2296296311714804E-5</c:v>
                </c:pt>
                <c:pt idx="69">
                  <c:v>6.2233663385100106E-5</c:v>
                </c:pt>
                <c:pt idx="70">
                  <c:v>6.2171032539794303E-5</c:v>
                </c:pt>
                <c:pt idx="71">
                  <c:v>6.2108403752366198E-5</c:v>
                </c:pt>
                <c:pt idx="72">
                  <c:v>6.2045777000810595E-5</c:v>
                </c:pt>
                <c:pt idx="73">
                  <c:v>6.1983152264477698E-5</c:v>
                </c:pt>
                <c:pt idx="74">
                  <c:v>6.1920529524013494E-5</c:v>
                </c:pt>
                <c:pt idx="75">
                  <c:v>6.1857908761298798E-5</c:v>
                </c:pt>
                <c:pt idx="76">
                  <c:v>6.1795289959395701E-5</c:v>
                </c:pt>
                <c:pt idx="77">
                  <c:v>6.1732673102496495E-5</c:v>
                </c:pt>
                <c:pt idx="78">
                  <c:v>6.1670058175876494E-5</c:v>
                </c:pt>
                <c:pt idx="79">
                  <c:v>6.1607445165850602E-5</c:v>
                </c:pt>
                <c:pt idx="80">
                  <c:v>6.1544834059731903E-5</c:v>
                </c:pt>
                <c:pt idx="81">
                  <c:v>6.1482224845793899E-5</c:v>
                </c:pt>
                <c:pt idx="82">
                  <c:v>6.1419617513234004E-5</c:v>
                </c:pt>
                <c:pt idx="83">
                  <c:v>6.1357012052140497E-5</c:v>
                </c:pt>
                <c:pt idx="84">
                  <c:v>6.1294408453463502E-5</c:v>
                </c:pt>
                <c:pt idx="85">
                  <c:v>6.1231806708983303E-5</c:v>
                </c:pt>
                <c:pt idx="86">
                  <c:v>6.1169206811286097E-5</c:v>
                </c:pt>
                <c:pt idx="87">
                  <c:v>6.1106608753736799E-5</c:v>
                </c:pt>
                <c:pt idx="88">
                  <c:v>6.1044012530457907E-5</c:v>
                </c:pt>
                <c:pt idx="89">
                  <c:v>6.0981418136305797E-5</c:v>
                </c:pt>
                <c:pt idx="90">
                  <c:v>6.0918825566852797E-5</c:v>
                </c:pt>
                <c:pt idx="91">
                  <c:v>6.0856234818365701E-5</c:v>
                </c:pt>
                <c:pt idx="92">
                  <c:v>6.07936458877912E-5</c:v>
                </c:pt>
                <c:pt idx="93">
                  <c:v>6.0731058772739102E-5</c:v>
                </c:pt>
                <c:pt idx="94">
                  <c:v>6.0668473471465298E-5</c:v>
                </c:pt>
                <c:pt idx="95">
                  <c:v>6.0605889982861299E-5</c:v>
                </c:pt>
                <c:pt idx="96">
                  <c:v>6.0543308306440198E-5</c:v>
                </c:pt>
                <c:pt idx="97">
                  <c:v>6.0480728442324198E-5</c:v>
                </c:pt>
                <c:pt idx="98">
                  <c:v>6.04181503912351E-5</c:v>
                </c:pt>
                <c:pt idx="99">
                  <c:v>6.0355574154485498E-5</c:v>
                </c:pt>
                <c:pt idx="100">
                  <c:v>6.0292999733967999E-5</c:v>
                </c:pt>
                <c:pt idx="101">
                  <c:v>6.0230427132147798E-5</c:v>
                </c:pt>
                <c:pt idx="102">
                  <c:v>6.01678563520572E-5</c:v>
                </c:pt>
                <c:pt idx="103">
                  <c:v>6.0105287397288003E-5</c:v>
                </c:pt>
                <c:pt idx="104">
                  <c:v>6.0042720271986103E-5</c:v>
                </c:pt>
                <c:pt idx="105">
                  <c:v>5.99801549808469E-5</c:v>
                </c:pt>
                <c:pt idx="106">
                  <c:v>5.9917591529111503E-5</c:v>
                </c:pt>
                <c:pt idx="107">
                  <c:v>5.9855029922562599E-5</c:v>
                </c:pt>
                <c:pt idx="108">
                  <c:v>5.97924701675228E-5</c:v>
                </c:pt>
                <c:pt idx="109">
                  <c:v>5.9729912270851102E-5</c:v>
                </c:pt>
                <c:pt idx="110">
                  <c:v>5.9667356239942903E-5</c:v>
                </c:pt>
                <c:pt idx="111">
                  <c:v>5.9604802082729201E-5</c:v>
                </c:pt>
                <c:pt idx="112">
                  <c:v>5.9542249807675298E-5</c:v>
                </c:pt>
                <c:pt idx="113">
                  <c:v>5.9479699423782398E-5</c:v>
                </c:pt>
                <c:pt idx="114">
                  <c:v>5.9417150940587703E-5</c:v>
                </c:pt>
                <c:pt idx="115">
                  <c:v>5.93546043681659E-5</c:v>
                </c:pt>
                <c:pt idx="116">
                  <c:v>5.9292059717134003E-5</c:v>
                </c:pt>
                <c:pt idx="117">
                  <c:v>5.9229516998649598E-5</c:v>
                </c:pt>
                <c:pt idx="118">
                  <c:v>5.9166976224418803E-5</c:v>
                </c:pt>
                <c:pt idx="119">
                  <c:v>5.9104437406696999E-5</c:v>
                </c:pt>
                <c:pt idx="120">
                  <c:v>5.9041900558294298E-5</c:v>
                </c:pt>
                <c:pt idx="121">
                  <c:v>5.8979365692581203E-5</c:v>
                </c:pt>
                <c:pt idx="122">
                  <c:v>5.8916832823493399E-5</c:v>
                </c:pt>
                <c:pt idx="123">
                  <c:v>5.8854301965539598E-5</c:v>
                </c:pt>
                <c:pt idx="124">
                  <c:v>5.8791773133805999E-5</c:v>
                </c:pt>
                <c:pt idx="125">
                  <c:v>5.8729246343965598E-5</c:v>
                </c:pt>
                <c:pt idx="126">
                  <c:v>5.8666721612285602E-5</c:v>
                </c:pt>
                <c:pt idx="127">
                  <c:v>5.8604198955635898E-5</c:v>
                </c:pt>
                <c:pt idx="128">
                  <c:v>5.8541678391498698E-5</c:v>
                </c:pt>
                <c:pt idx="129">
                  <c:v>5.8479159937978599E-5</c:v>
                </c:pt>
                <c:pt idx="130">
                  <c:v>5.84166436138126E-5</c:v>
                </c:pt>
                <c:pt idx="131">
                  <c:v>5.8354129438381499E-5</c:v>
                </c:pt>
                <c:pt idx="132">
                  <c:v>5.8291617431722701E-5</c:v>
                </c:pt>
                <c:pt idx="133">
                  <c:v>5.8229107614542299E-5</c:v>
                </c:pt>
                <c:pt idx="134">
                  <c:v>5.8166600008226099E-5</c:v>
                </c:pt>
                <c:pt idx="135">
                  <c:v>5.8104094634858399E-5</c:v>
                </c:pt>
                <c:pt idx="136">
                  <c:v>5.8041591517233899E-5</c:v>
                </c:pt>
                <c:pt idx="137">
                  <c:v>5.7979090678873903E-5</c:v>
                </c:pt>
                <c:pt idx="138">
                  <c:v>5.7916592144041698E-5</c:v>
                </c:pt>
                <c:pt idx="139">
                  <c:v>5.7854095937761999E-5</c:v>
                </c:pt>
                <c:pt idx="140">
                  <c:v>5.7791602085838098E-5</c:v>
                </c:pt>
                <c:pt idx="141">
                  <c:v>5.7729110614870598E-5</c:v>
                </c:pt>
                <c:pt idx="142">
                  <c:v>5.7666621552278802E-5</c:v>
                </c:pt>
                <c:pt idx="143">
                  <c:v>5.7604134926318903E-5</c:v>
                </c:pt>
                <c:pt idx="144">
                  <c:v>5.7541650766110403E-5</c:v>
                </c:pt>
                <c:pt idx="145">
                  <c:v>5.7479169101655797E-5</c:v>
                </c:pt>
                <c:pt idx="146">
                  <c:v>5.7416689963865799E-5</c:v>
                </c:pt>
                <c:pt idx="147">
                  <c:v>5.7354213384585602E-5</c:v>
                </c:pt>
                <c:pt idx="148">
                  <c:v>5.7291739396620602E-5</c:v>
                </c:pt>
                <c:pt idx="149">
                  <c:v>5.7229268033764499E-5</c:v>
                </c:pt>
                <c:pt idx="150">
                  <c:v>5.7166799330829501E-5</c:v>
                </c:pt>
                <c:pt idx="151">
                  <c:v>5.7104333323674903E-5</c:v>
                </c:pt>
                <c:pt idx="152">
                  <c:v>5.70418700492411E-5</c:v>
                </c:pt>
                <c:pt idx="153">
                  <c:v>5.6979409545582198E-5</c:v>
                </c:pt>
                <c:pt idx="154">
                  <c:v>5.6916951851902502E-5</c:v>
                </c:pt>
                <c:pt idx="155">
                  <c:v>5.6854497008591402E-5</c:v>
                </c:pt>
                <c:pt idx="156">
                  <c:v>5.6792045057263599E-5</c:v>
                </c:pt>
                <c:pt idx="157">
                  <c:v>5.6729596040799201E-5</c:v>
                </c:pt>
                <c:pt idx="158">
                  <c:v>5.66671500033873E-5</c:v>
                </c:pt>
                <c:pt idx="159">
                  <c:v>5.6604706990567701E-5</c:v>
                </c:pt>
                <c:pt idx="160">
                  <c:v>5.6542267049281101E-5</c:v>
                </c:pt>
                <c:pt idx="161">
                  <c:v>5.64798302279158E-5</c:v>
                </c:pt>
                <c:pt idx="162">
                  <c:v>5.6417396576360603E-5</c:v>
                </c:pt>
                <c:pt idx="163">
                  <c:v>5.63549661460574E-5</c:v>
                </c:pt>
                <c:pt idx="164">
                  <c:v>5.6292538990058703E-5</c:v>
                </c:pt>
                <c:pt idx="165">
                  <c:v>5.62301151630869E-5</c:v>
                </c:pt>
                <c:pt idx="166">
                  <c:v>5.6167694721598899E-5</c:v>
                </c:pt>
                <c:pt idx="167">
                  <c:v>5.61052777238484E-5</c:v>
                </c:pt>
                <c:pt idx="168">
                  <c:v>5.6042864229956597E-5</c:v>
                </c:pt>
                <c:pt idx="169">
                  <c:v>5.5980454301985601E-5</c:v>
                </c:pt>
                <c:pt idx="170">
                  <c:v>5.5918048004014401E-5</c:v>
                </c:pt>
                <c:pt idx="171">
                  <c:v>5.5855645402219698E-5</c:v>
                </c:pt>
                <c:pt idx="172">
                  <c:v>5.5793246564960702E-5</c:v>
                </c:pt>
                <c:pt idx="173">
                  <c:v>5.5730851562866802E-5</c:v>
                </c:pt>
                <c:pt idx="174">
                  <c:v>5.5668460468935303E-5</c:v>
                </c:pt>
                <c:pt idx="175">
                  <c:v>5.5606073358627199E-5</c:v>
                </c:pt>
                <c:pt idx="176">
                  <c:v>5.5543690309974398E-5</c:v>
                </c:pt>
                <c:pt idx="177">
                  <c:v>5.5481311403689401E-5</c:v>
                </c:pt>
                <c:pt idx="178">
                  <c:v>5.5418936723283301E-5</c:v>
                </c:pt>
                <c:pt idx="179">
                  <c:v>5.5356566355187103E-5</c:v>
                </c:pt>
                <c:pt idx="180">
                  <c:v>5.5294200388884302E-5</c:v>
                </c:pt>
                <c:pt idx="181">
                  <c:v>5.5231838917050099E-5</c:v>
                </c:pt>
                <c:pt idx="182">
                  <c:v>5.5169482035693303E-5</c:v>
                </c:pt>
                <c:pt idx="183">
                  <c:v>5.5107129844317399E-5</c:v>
                </c:pt>
                <c:pt idx="184">
                  <c:v>5.50447824460785E-5</c:v>
                </c:pt>
                <c:pt idx="185">
                  <c:v>5.4982439947966102E-5</c:v>
                </c:pt>
                <c:pt idx="186">
                  <c:v>5.4920102460982003E-5</c:v>
                </c:pt>
                <c:pt idx="187">
                  <c:v>5.4857770100341698E-5</c:v>
                </c:pt>
                <c:pt idx="188">
                  <c:v>5.47954429856801E-5</c:v>
                </c:pt>
                <c:pt idx="189">
                  <c:v>5.4733121241274499E-5</c:v>
                </c:pt>
                <c:pt idx="190">
                  <c:v>5.4670804996281199E-5</c:v>
                </c:pt>
                <c:pt idx="191">
                  <c:v>5.4608494384986803E-5</c:v>
                </c:pt>
                <c:pt idx="192">
                  <c:v>5.4546189547077201E-5</c:v>
                </c:pt>
                <c:pt idx="193">
                  <c:v>5.4483890627923198E-5</c:v>
                </c:pt>
                <c:pt idx="194">
                  <c:v>5.4421597778887601E-5</c:v>
                </c:pt>
                <c:pt idx="195">
                  <c:v>5.4359311157649803E-5</c:v>
                </c:pt>
                <c:pt idx="196">
                  <c:v>5.4297030928557098E-5</c:v>
                </c:pt>
                <c:pt idx="197">
                  <c:v>5.4234757262997903E-5</c:v>
                </c:pt>
                <c:pt idx="198">
                  <c:v>5.4172490339803302E-5</c:v>
                </c:pt>
                <c:pt idx="199">
                  <c:v>5.4110230345675899E-5</c:v>
                </c:pt>
                <c:pt idx="200">
                  <c:v>5.4047977475652597E-5</c:v>
                </c:pt>
                <c:pt idx="201">
                  <c:v>5.3985731933600099E-5</c:v>
                </c:pt>
                <c:pt idx="202">
                  <c:v>5.3923493932748799E-5</c:v>
                </c:pt>
                <c:pt idx="203">
                  <c:v>5.3861263696266603E-5</c:v>
                </c:pt>
                <c:pt idx="204">
                  <c:v>5.3799041457880197E-5</c:v>
                </c:pt>
                <c:pt idx="205">
                  <c:v>5.3736827462542701E-5</c:v>
                </c:pt>
                <c:pt idx="206">
                  <c:v>5.3674621967155203E-5</c:v>
                </c:pt>
                <c:pt idx="207">
                  <c:v>5.3612425241350597E-5</c:v>
                </c:pt>
                <c:pt idx="208">
                  <c:v>5.3550237568340001E-5</c:v>
                </c:pt>
                <c:pt idx="209">
                  <c:v>5.34880592458298E-5</c:v>
                </c:pt>
                <c:pt idx="210">
                  <c:v>5.3425890587020401E-5</c:v>
                </c:pt>
                <c:pt idx="211">
                  <c:v>5.3363731921690699E-5</c:v>
                </c:pt>
                <c:pt idx="212">
                  <c:v>5.3301583597379302E-5</c:v>
                </c:pt>
                <c:pt idx="213">
                  <c:v>5.3239445980673598E-5</c:v>
                </c:pt>
                <c:pt idx="214">
                  <c:v>5.3177319458616599E-5</c:v>
                </c:pt>
                <c:pt idx="215">
                  <c:v>5.31152044402461E-5</c:v>
                </c:pt>
                <c:pt idx="216">
                  <c:v>5.3053101358282602E-5</c:v>
                </c:pt>
                <c:pt idx="217">
                  <c:v>5.2991010670980702E-5</c:v>
                </c:pt>
                <c:pt idx="218">
                  <c:v>5.2928932864166799E-5</c:v>
                </c:pt>
                <c:pt idx="219">
                  <c:v>5.2866868453478E-5</c:v>
                </c:pt>
                <c:pt idx="220">
                  <c:v>5.2804817986841501E-5</c:v>
                </c:pt>
                <c:pt idx="221">
                  <c:v>5.2742782047208897E-5</c:v>
                </c:pt>
                <c:pt idx="222">
                  <c:v>5.26807612555895E-5</c:v>
                </c:pt>
                <c:pt idx="223">
                  <c:v>5.2618756274416901E-5</c:v>
                </c:pt>
                <c:pt idx="224">
                  <c:v>5.2556767811295903E-5</c:v>
                </c:pt>
                <c:pt idx="225">
                  <c:v>5.2494796623181601E-5</c:v>
                </c:pt>
                <c:pt idx="226">
                  <c:v>5.2432843521050801E-5</c:v>
                </c:pt>
                <c:pt idx="227">
                  <c:v>5.23709093751389E-5</c:v>
                </c:pt>
                <c:pt idx="228">
                  <c:v>5.2308995120824699E-5</c:v>
                </c:pt>
                <c:pt idx="229">
                  <c:v>5.2247101765259403E-5</c:v>
                </c:pt>
                <c:pt idx="230">
                  <c:v>5.2185230394863299E-5</c:v>
                </c:pt>
                <c:pt idx="231">
                  <c:v>5.2123382183815298E-5</c:v>
                </c:pt>
                <c:pt idx="232">
                  <c:v>5.2061558403713902E-5</c:v>
                </c:pt>
                <c:pt idx="233">
                  <c:v>5.1999760434593598E-5</c:v>
                </c:pt>
                <c:pt idx="234">
                  <c:v>5.1937989777538E-5</c:v>
                </c:pt>
                <c:pt idx="235">
                  <c:v>5.18762480691754E-5</c:v>
                </c:pt>
                <c:pt idx="236">
                  <c:v>5.1814537098397498E-5</c:v>
                </c:pt>
                <c:pt idx="237">
                  <c:v>5.1752858825723701E-5</c:v>
                </c:pt>
                <c:pt idx="238">
                  <c:v>5.1691215405833101E-5</c:v>
                </c:pt>
                <c:pt idx="239">
                  <c:v>5.1629609213892999E-5</c:v>
                </c:pt>
                <c:pt idx="240">
                  <c:v>5.1568042876481301E-5</c:v>
                </c:pt>
                <c:pt idx="241">
                  <c:v>5.1506519308094503E-5</c:v>
                </c:pt>
                <c:pt idx="242">
                  <c:v>5.1445041754488599E-5</c:v>
                </c:pt>
                <c:pt idx="243">
                  <c:v>5.1383613844434998E-5</c:v>
                </c:pt>
                <c:pt idx="244">
                  <c:v>5.1322239651924398E-5</c:v>
                </c:pt>
                <c:pt idx="245">
                  <c:v>5.1260923771433297E-5</c:v>
                </c:pt>
                <c:pt idx="246">
                  <c:v>5.1199671409670098E-5</c:v>
                </c:pt>
                <c:pt idx="247">
                  <c:v>5.11384884982941E-5</c:v>
                </c:pt>
                <c:pt idx="248">
                  <c:v>5.1077381833585501E-5</c:v>
                </c:pt>
                <c:pt idx="249">
                  <c:v>5.1016359251129903E-5</c:v>
                </c:pt>
                <c:pt idx="250">
                  <c:v>5.0955429846495199E-5</c:v>
                </c:pt>
                <c:pt idx="251">
                  <c:v>5.0894604257104298E-5</c:v>
                </c:pt>
                <c:pt idx="252">
                  <c:v>5.0833895026634098E-5</c:v>
                </c:pt>
                <c:pt idx="253">
                  <c:v>5.0773317082390702E-5</c:v>
                </c:pt>
                <c:pt idx="254">
                  <c:v>5.0712888369916297E-5</c:v>
                </c:pt>
                <c:pt idx="255">
                  <c:v>5.06526307104351E-5</c:v>
                </c:pt>
                <c:pt idx="256">
                  <c:v>5.0592570980580599E-5</c:v>
                </c:pt>
                <c:pt idx="257">
                  <c:v>5.0532742768833002E-5</c:v>
                </c:pt>
                <c:pt idx="258">
                  <c:v>5.0473188755105299E-5</c:v>
                </c:pt>
                <c:pt idx="259">
                  <c:v>5.0413964218813903E-5</c:v>
                </c:pt>
                <c:pt idx="260">
                  <c:v>5.0355142364931802E-5</c:v>
                </c:pt>
                <c:pt idx="261">
                  <c:v>5.0296822685328201E-5</c:v>
                </c:pt>
                <c:pt idx="262">
                  <c:v>5.0239144592839598E-5</c:v>
                </c:pt>
                <c:pt idx="263">
                  <c:v>5.0182310613279897E-5</c:v>
                </c:pt>
                <c:pt idx="264">
                  <c:v>5.0126627629662598E-5</c:v>
                </c:pt>
                <c:pt idx="265">
                  <c:v>5.0072583008813302E-5</c:v>
                </c:pt>
                <c:pt idx="266">
                  <c:v>5.0020983421965097E-5</c:v>
                </c:pt>
                <c:pt idx="267">
                  <c:v>4.9973129930348399E-5</c:v>
                </c:pt>
                <c:pt idx="268">
                  <c:v>4.9930188405753697E-5</c:v>
                </c:pt>
                <c:pt idx="269">
                  <c:v>4.9933103469278099E-5</c:v>
                </c:pt>
                <c:pt idx="270">
                  <c:v>4.9895563488890201E-5</c:v>
                </c:pt>
                <c:pt idx="271">
                  <c:v>4.9857107164752997E-5</c:v>
                </c:pt>
                <c:pt idx="272">
                  <c:v>4.9818132016775099E-5</c:v>
                </c:pt>
                <c:pt idx="273">
                  <c:v>4.9778931826818401E-5</c:v>
                </c:pt>
                <c:pt idx="274">
                  <c:v>4.9739644939437297E-5</c:v>
                </c:pt>
                <c:pt idx="275">
                  <c:v>4.97003365600879E-5</c:v>
                </c:pt>
                <c:pt idx="276">
                  <c:v>4.9704288573006498E-5</c:v>
                </c:pt>
                <c:pt idx="277">
                  <c:v>5.9163930487108001E-5</c:v>
                </c:pt>
                <c:pt idx="278">
                  <c:v>5.9163930510323202E-5</c:v>
                </c:pt>
                <c:pt idx="279">
                  <c:v>6.0754417837180703E-5</c:v>
                </c:pt>
                <c:pt idx="280">
                  <c:v>6.0533164564508801E-5</c:v>
                </c:pt>
                <c:pt idx="281">
                  <c:v>6.0311151909892603E-5</c:v>
                </c:pt>
                <c:pt idx="282">
                  <c:v>6.0091045537774897E-5</c:v>
                </c:pt>
                <c:pt idx="283">
                  <c:v>5.98723983876956E-5</c:v>
                </c:pt>
                <c:pt idx="284">
                  <c:v>5.96547957267754E-5</c:v>
                </c:pt>
                <c:pt idx="285">
                  <c:v>5.9438029232004799E-5</c:v>
                </c:pt>
                <c:pt idx="286">
                  <c:v>5.9221988898396602E-5</c:v>
                </c:pt>
                <c:pt idx="287">
                  <c:v>5.9006619324936201E-5</c:v>
                </c:pt>
                <c:pt idx="288">
                  <c:v>5.8791899780462499E-5</c:v>
                </c:pt>
                <c:pt idx="289">
                  <c:v>5.8577834665589803E-5</c:v>
                </c:pt>
                <c:pt idx="290">
                  <c:v>5.8364449248368302E-5</c:v>
                </c:pt>
                <c:pt idx="291">
                  <c:v>5.8151788565613699E-5</c:v>
                </c:pt>
                <c:pt idx="292">
                  <c:v>5.7939918684519498E-5</c:v>
                </c:pt>
                <c:pt idx="293">
                  <c:v>5.7728930225561402E-5</c:v>
                </c:pt>
                <c:pt idx="294">
                  <c:v>5.75189445935752E-5</c:v>
                </c:pt>
                <c:pt idx="295">
                  <c:v>5.7310123998079598E-5</c:v>
                </c:pt>
                <c:pt idx="296">
                  <c:v>5.7102687326586898E-5</c:v>
                </c:pt>
                <c:pt idx="297">
                  <c:v>5.6896935706900097E-5</c:v>
                </c:pt>
                <c:pt idx="298">
                  <c:v>5.66932950853441E-5</c:v>
                </c:pt>
                <c:pt idx="299">
                  <c:v>5.6492390526171101E-5</c:v>
                </c:pt>
                <c:pt idx="300">
                  <c:v>5.6295183654625303E-5</c:v>
                </c:pt>
                <c:pt idx="301">
                  <c:v>5.6103245294627398E-5</c:v>
                </c:pt>
                <c:pt idx="302">
                  <c:v>5.5919339316801102E-5</c:v>
                </c:pt>
                <c:pt idx="303">
                  <c:v>5.5748736967095397E-5</c:v>
                </c:pt>
                <c:pt idx="304">
                  <c:v>5.5602536674620102E-5</c:v>
                </c:pt>
                <c:pt idx="305">
                  <c:v>5.5490609299534403E-5</c:v>
                </c:pt>
                <c:pt idx="306">
                  <c:v>5.5517809987216897E-5</c:v>
                </c:pt>
                <c:pt idx="307">
                  <c:v>5.5563050930876497E-5</c:v>
                </c:pt>
                <c:pt idx="308">
                  <c:v>5.6166976641153797E-5</c:v>
                </c:pt>
                <c:pt idx="309">
                  <c:v>5.6166976641153797E-5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Implicit_Fracs!$C$5:$C$314</c:f>
              <c:numCache>
                <c:formatCode>General</c:formatCode>
                <c:ptCount val="310"/>
                <c:pt idx="0">
                  <c:v>0.13164836335685801</c:v>
                </c:pt>
                <c:pt idx="1">
                  <c:v>0.13174831742784901</c:v>
                </c:pt>
                <c:pt idx="2">
                  <c:v>0.131814325176488</c:v>
                </c:pt>
                <c:pt idx="3">
                  <c:v>0.13186377086317799</c:v>
                </c:pt>
                <c:pt idx="4">
                  <c:v>0.13190336566689301</c:v>
                </c:pt>
                <c:pt idx="5">
                  <c:v>0.13193641917955301</c:v>
                </c:pt>
                <c:pt idx="6">
                  <c:v>0.13196480990574899</c:v>
                </c:pt>
                <c:pt idx="7">
                  <c:v>0.131989707564308</c:v>
                </c:pt>
                <c:pt idx="8">
                  <c:v>0.132011890254908</c:v>
                </c:pt>
                <c:pt idx="9">
                  <c:v>0.132031901904686</c:v>
                </c:pt>
                <c:pt idx="10">
                  <c:v>0.132050137753493</c:v>
                </c:pt>
                <c:pt idx="11">
                  <c:v>0.13206689406580899</c:v>
                </c:pt>
                <c:pt idx="12">
                  <c:v>0.132082398656449</c:v>
                </c:pt>
                <c:pt idx="13">
                  <c:v>0.132096830483731</c:v>
                </c:pt>
                <c:pt idx="14">
                  <c:v>0.13211033269671599</c:v>
                </c:pt>
                <c:pt idx="15">
                  <c:v>0.13212302159759301</c:v>
                </c:pt>
                <c:pt idx="16">
                  <c:v>0.13213499296405401</c:v>
                </c:pt>
                <c:pt idx="17">
                  <c:v>0.13214632661325601</c:v>
                </c:pt>
                <c:pt idx="18">
                  <c:v>0.132157089763519</c:v>
                </c:pt>
                <c:pt idx="19">
                  <c:v>0.132167339554908</c:v>
                </c:pt>
                <c:pt idx="20">
                  <c:v>0.132177124969275</c:v>
                </c:pt>
                <c:pt idx="21">
                  <c:v>0.132186488313704</c:v>
                </c:pt>
                <c:pt idx="22">
                  <c:v>0.132195466381343</c:v>
                </c:pt>
                <c:pt idx="23">
                  <c:v>0.13220409137031</c:v>
                </c:pt>
                <c:pt idx="24">
                  <c:v>0.1322123916188</c:v>
                </c:pt>
                <c:pt idx="25">
                  <c:v>0.132220392198791</c:v>
                </c:pt>
                <c:pt idx="26">
                  <c:v>0.13222811539981</c:v>
                </c:pt>
                <c:pt idx="27">
                  <c:v>0.13223558112630501</c:v>
                </c:pt>
                <c:pt idx="28">
                  <c:v>0.13224280722651799</c:v>
                </c:pt>
                <c:pt idx="29">
                  <c:v>0.13224980976654199</c:v>
                </c:pt>
                <c:pt idx="30">
                  <c:v>0.13225660326019101</c:v>
                </c:pt>
                <c:pt idx="31">
                  <c:v>0.13226320086295401</c:v>
                </c:pt>
                <c:pt idx="32">
                  <c:v>0.13226961453657801</c:v>
                </c:pt>
                <c:pt idx="33">
                  <c:v>0.13227585518944099</c:v>
                </c:pt>
                <c:pt idx="34">
                  <c:v>0.13228193279689099</c:v>
                </c:pt>
                <c:pt idx="35">
                  <c:v>0.13228785650486699</c:v>
                </c:pt>
                <c:pt idx="36">
                  <c:v>0.13229363471953201</c:v>
                </c:pt>
                <c:pt idx="37">
                  <c:v>0.13229927518510501</c:v>
                </c:pt>
                <c:pt idx="38">
                  <c:v>0.13230478505189899</c:v>
                </c:pt>
                <c:pt idx="39">
                  <c:v>0.132310170935689</c:v>
                </c:pt>
                <c:pt idx="40">
                  <c:v>0.132315438969837</c:v>
                </c:pt>
                <c:pt idx="41">
                  <c:v>0.13232059485122499</c:v>
                </c:pt>
                <c:pt idx="42">
                  <c:v>0.13232564388083301</c:v>
                </c:pt>
                <c:pt idx="43">
                  <c:v>0.13233059099972999</c:v>
                </c:pt>
                <c:pt idx="44">
                  <c:v>0.13233544082104801</c:v>
                </c:pt>
                <c:pt idx="45">
                  <c:v>0.132340197658498</c:v>
                </c:pt>
                <c:pt idx="46">
                  <c:v>0.13234486555185099</c:v>
                </c:pt>
                <c:pt idx="47">
                  <c:v>0.132349448289759</c:v>
                </c:pt>
                <c:pt idx="48">
                  <c:v>0.13235394943025999</c:v>
                </c:pt>
                <c:pt idx="49">
                  <c:v>0.13235837231923001</c:v>
                </c:pt>
                <c:pt idx="50">
                  <c:v>0.13236272010702199</c:v>
                </c:pt>
                <c:pt idx="51">
                  <c:v>0.13236699576351699</c:v>
                </c:pt>
                <c:pt idx="52">
                  <c:v>0.13237120209174699</c:v>
                </c:pt>
                <c:pt idx="53">
                  <c:v>0.132375341740263</c:v>
                </c:pt>
                <c:pt idx="54">
                  <c:v>0.13237941721437901</c:v>
                </c:pt>
                <c:pt idx="55">
                  <c:v>0.132383430886412</c:v>
                </c:pt>
                <c:pt idx="56">
                  <c:v>0.132387385005025</c:v>
                </c:pt>
                <c:pt idx="57">
                  <c:v>0.13239128170376399</c:v>
                </c:pt>
                <c:pt idx="58">
                  <c:v>0.13239512300888101</c:v>
                </c:pt>
                <c:pt idx="59">
                  <c:v>0.132398910846489</c:v>
                </c:pt>
                <c:pt idx="60">
                  <c:v>0.13240264704915</c:v>
                </c:pt>
                <c:pt idx="61">
                  <c:v>0.13240633336192001</c:v>
                </c:pt>
                <c:pt idx="62">
                  <c:v>0.13240997144792099</c:v>
                </c:pt>
                <c:pt idx="63">
                  <c:v>0.132413562893474</c:v>
                </c:pt>
                <c:pt idx="64">
                  <c:v>0.132417109212841</c:v>
                </c:pt>
                <c:pt idx="65">
                  <c:v>0.132420611852609</c:v>
                </c:pt>
                <c:pt idx="66">
                  <c:v>0.13242407219574501</c:v>
                </c:pt>
                <c:pt idx="67">
                  <c:v>0.13242749156535599</c:v>
                </c:pt>
                <c:pt idx="68">
                  <c:v>0.13243087122817501</c:v>
                </c:pt>
                <c:pt idx="69">
                  <c:v>0.13243421239779701</c:v>
                </c:pt>
                <c:pt idx="70">
                  <c:v>0.13243751623769601</c:v>
                </c:pt>
                <c:pt idx="71">
                  <c:v>0.132440783864022</c:v>
                </c:pt>
                <c:pt idx="72">
                  <c:v>0.13244401634821701</c:v>
                </c:pt>
                <c:pt idx="73">
                  <c:v>0.13244721471944401</c:v>
                </c:pt>
                <c:pt idx="74">
                  <c:v>0.13245037996687001</c:v>
                </c:pt>
                <c:pt idx="75">
                  <c:v>0.13245351304177999</c:v>
                </c:pt>
                <c:pt idx="76">
                  <c:v>0.13245661485957499</c:v>
                </c:pt>
                <c:pt idx="77">
                  <c:v>0.132459686301623</c:v>
                </c:pt>
                <c:pt idx="78">
                  <c:v>0.13246272821701099</c:v>
                </c:pt>
                <c:pt idx="79">
                  <c:v>0.132465741424173</c:v>
                </c:pt>
                <c:pt idx="80">
                  <c:v>0.13246872671243001</c:v>
                </c:pt>
                <c:pt idx="81">
                  <c:v>0.132471684843428</c:v>
                </c:pt>
                <c:pt idx="82">
                  <c:v>0.13247461655249701</c:v>
                </c:pt>
                <c:pt idx="83">
                  <c:v>0.13247752254992401</c:v>
                </c:pt>
                <c:pt idx="84">
                  <c:v>0.13248040352215701</c:v>
                </c:pt>
                <c:pt idx="85">
                  <c:v>0.13248326013293299</c:v>
                </c:pt>
                <c:pt idx="86">
                  <c:v>0.13248609302434999</c:v>
                </c:pt>
                <c:pt idx="87">
                  <c:v>0.13248890281787101</c:v>
                </c:pt>
                <c:pt idx="88">
                  <c:v>0.132491690115279</c:v>
                </c:pt>
                <c:pt idx="89">
                  <c:v>0.132494455499574</c:v>
                </c:pt>
                <c:pt idx="90">
                  <c:v>0.13249719953582401</c:v>
                </c:pt>
                <c:pt idx="91">
                  <c:v>0.132499922771974</c:v>
                </c:pt>
                <c:pt idx="92">
                  <c:v>0.132502625739603</c:v>
                </c:pt>
                <c:pt idx="93">
                  <c:v>0.13250530895465101</c:v>
                </c:pt>
                <c:pt idx="94">
                  <c:v>0.13250797291810601</c:v>
                </c:pt>
                <c:pt idx="95">
                  <c:v>0.13251061811664699</c:v>
                </c:pt>
                <c:pt idx="96">
                  <c:v>0.132513245023273</c:v>
                </c:pt>
                <c:pt idx="97">
                  <c:v>0.132515854097881</c:v>
                </c:pt>
                <c:pt idx="98">
                  <c:v>0.13251844578782901</c:v>
                </c:pt>
                <c:pt idx="99">
                  <c:v>0.13252102052846701</c:v>
                </c:pt>
                <c:pt idx="100">
                  <c:v>0.13252357874364101</c:v>
                </c:pt>
                <c:pt idx="101">
                  <c:v>0.13252612084617801</c:v>
                </c:pt>
                <c:pt idx="102">
                  <c:v>0.13252864723834301</c:v>
                </c:pt>
                <c:pt idx="103">
                  <c:v>0.13253115831227899</c:v>
                </c:pt>
                <c:pt idx="104">
                  <c:v>0.13253365445042301</c:v>
                </c:pt>
                <c:pt idx="105">
                  <c:v>0.132536136025908</c:v>
                </c:pt>
                <c:pt idx="106">
                  <c:v>0.13253860340294499</c:v>
                </c:pt>
                <c:pt idx="107">
                  <c:v>0.13254105693718801</c:v>
                </c:pt>
                <c:pt idx="108">
                  <c:v>0.132543496976081</c:v>
                </c:pt>
                <c:pt idx="109">
                  <c:v>0.132545923859197</c:v>
                </c:pt>
                <c:pt idx="110">
                  <c:v>0.132548337918557</c:v>
                </c:pt>
                <c:pt idx="111">
                  <c:v>0.132550739478936</c:v>
                </c:pt>
                <c:pt idx="112">
                  <c:v>0.13255312885816001</c:v>
                </c:pt>
                <c:pt idx="113">
                  <c:v>0.132555506367391</c:v>
                </c:pt>
                <c:pt idx="114">
                  <c:v>0.13255787231139399</c:v>
                </c:pt>
                <c:pt idx="115">
                  <c:v>0.13256022698880601</c:v>
                </c:pt>
                <c:pt idx="116">
                  <c:v>0.13256257069238001</c:v>
                </c:pt>
                <c:pt idx="117">
                  <c:v>0.13256490370923599</c:v>
                </c:pt>
                <c:pt idx="118">
                  <c:v>0.132567226321089</c:v>
                </c:pt>
                <c:pt idx="119">
                  <c:v>0.132569538804475</c:v>
                </c:pt>
                <c:pt idx="120">
                  <c:v>0.132571841430971</c:v>
                </c:pt>
                <c:pt idx="121">
                  <c:v>0.13257413446740399</c:v>
                </c:pt>
                <c:pt idx="122">
                  <c:v>0.13257641817605401</c:v>
                </c:pt>
                <c:pt idx="123">
                  <c:v>0.13257869281484999</c:v>
                </c:pt>
                <c:pt idx="124">
                  <c:v>0.132580958637564</c:v>
                </c:pt>
                <c:pt idx="125">
                  <c:v>0.132583215893989</c:v>
                </c:pt>
                <c:pt idx="126">
                  <c:v>0.13258546483012401</c:v>
                </c:pt>
                <c:pt idx="127">
                  <c:v>0.13258770568834599</c:v>
                </c:pt>
                <c:pt idx="128">
                  <c:v>0.13258993870757799</c:v>
                </c:pt>
                <c:pt idx="129">
                  <c:v>0.13259216412345401</c:v>
                </c:pt>
                <c:pt idx="130">
                  <c:v>0.13259438216847899</c:v>
                </c:pt>
                <c:pt idx="131">
                  <c:v>0.13259659307218699</c:v>
                </c:pt>
                <c:pt idx="132">
                  <c:v>0.13259879706128999</c:v>
                </c:pt>
                <c:pt idx="133">
                  <c:v>0.132600994359831</c:v>
                </c:pt>
                <c:pt idx="134">
                  <c:v>0.13260318518932601</c:v>
                </c:pt>
                <c:pt idx="135">
                  <c:v>0.13260536976890799</c:v>
                </c:pt>
                <c:pt idx="136">
                  <c:v>0.132607548315469</c:v>
                </c:pt>
                <c:pt idx="137">
                  <c:v>0.13260972104379501</c:v>
                </c:pt>
                <c:pt idx="138">
                  <c:v>0.132611888166702</c:v>
                </c:pt>
                <c:pt idx="139">
                  <c:v>0.13261404989517001</c:v>
                </c:pt>
                <c:pt idx="140">
                  <c:v>0.13261620643847399</c:v>
                </c:pt>
                <c:pt idx="141">
                  <c:v>0.13261835800430899</c:v>
                </c:pt>
                <c:pt idx="142">
                  <c:v>0.13262050479892901</c:v>
                </c:pt>
                <c:pt idx="143">
                  <c:v>0.13262264702726001</c:v>
                </c:pt>
                <c:pt idx="144">
                  <c:v>0.132624784893038</c:v>
                </c:pt>
                <c:pt idx="145">
                  <c:v>0.132626918598926</c:v>
                </c:pt>
                <c:pt idx="146">
                  <c:v>0.13262904834664299</c:v>
                </c:pt>
                <c:pt idx="147">
                  <c:v>0.13263117433708499</c:v>
                </c:pt>
                <c:pt idx="148">
                  <c:v>0.13263329677044799</c:v>
                </c:pt>
                <c:pt idx="149">
                  <c:v>0.13263541584635499</c:v>
                </c:pt>
                <c:pt idx="150">
                  <c:v>0.13263753176397799</c:v>
                </c:pt>
                <c:pt idx="151">
                  <c:v>0.13263964472216</c:v>
                </c:pt>
                <c:pt idx="152">
                  <c:v>0.13264175491954</c:v>
                </c:pt>
                <c:pt idx="153">
                  <c:v>0.132643862554683</c:v>
                </c:pt>
                <c:pt idx="154">
                  <c:v>0.132645967826199</c:v>
                </c:pt>
                <c:pt idx="155">
                  <c:v>0.13264807093287501</c:v>
                </c:pt>
                <c:pt idx="156">
                  <c:v>0.132650172073802</c:v>
                </c:pt>
                <c:pt idx="157">
                  <c:v>0.132652271448509</c:v>
                </c:pt>
                <c:pt idx="158">
                  <c:v>0.13265436925708801</c:v>
                </c:pt>
                <c:pt idx="159">
                  <c:v>0.13265646570033501</c:v>
                </c:pt>
                <c:pt idx="160">
                  <c:v>0.13265856097988399</c:v>
                </c:pt>
                <c:pt idx="161">
                  <c:v>0.132660655298346</c:v>
                </c:pt>
                <c:pt idx="162">
                  <c:v>0.132662748859454</c:v>
                </c:pt>
                <c:pt idx="163">
                  <c:v>0.13266484186820501</c:v>
                </c:pt>
                <c:pt idx="164">
                  <c:v>0.13266693453101</c:v>
                </c:pt>
                <c:pt idx="165">
                  <c:v>0.13266902705584799</c:v>
                </c:pt>
                <c:pt idx="166">
                  <c:v>0.13267111965242301</c:v>
                </c:pt>
                <c:pt idx="167">
                  <c:v>0.132673212532323</c:v>
                </c:pt>
                <c:pt idx="168">
                  <c:v>0.132675305909189</c:v>
                </c:pt>
                <c:pt idx="169">
                  <c:v>0.132677399998884</c:v>
                </c:pt>
                <c:pt idx="170">
                  <c:v>0.13267949501967199</c:v>
                </c:pt>
                <c:pt idx="171">
                  <c:v>0.132681591192402</c:v>
                </c:pt>
                <c:pt idx="172">
                  <c:v>0.132683688740695</c:v>
                </c:pt>
                <c:pt idx="173">
                  <c:v>0.13268578789114299</c:v>
                </c:pt>
                <c:pt idx="174">
                  <c:v>0.13268788887351199</c:v>
                </c:pt>
                <c:pt idx="175">
                  <c:v>0.13268999192095701</c:v>
                </c:pt>
                <c:pt idx="176">
                  <c:v>0.13269209727023901</c:v>
                </c:pt>
                <c:pt idx="177">
                  <c:v>0.13269420516196201</c:v>
                </c:pt>
                <c:pt idx="178">
                  <c:v>0.13269631584080599</c:v>
                </c:pt>
                <c:pt idx="179">
                  <c:v>0.13269842955578601</c:v>
                </c:pt>
                <c:pt idx="180">
                  <c:v>0.132700546560511</c:v>
                </c:pt>
                <c:pt idx="181">
                  <c:v>0.13270266711345699</c:v>
                </c:pt>
                <c:pt idx="182">
                  <c:v>0.132704791478263</c:v>
                </c:pt>
                <c:pt idx="183">
                  <c:v>0.132706919924029</c:v>
                </c:pt>
                <c:pt idx="184">
                  <c:v>0.13270905272563599</c:v>
                </c:pt>
                <c:pt idx="185">
                  <c:v>0.13271119016407801</c:v>
                </c:pt>
                <c:pt idx="186">
                  <c:v>0.13271333252682199</c:v>
                </c:pt>
                <c:pt idx="187">
                  <c:v>0.132715480108173</c:v>
                </c:pt>
                <c:pt idx="188">
                  <c:v>0.13271763320966901</c:v>
                </c:pt>
                <c:pt idx="189">
                  <c:v>0.13271979214049601</c:v>
                </c:pt>
                <c:pt idx="190">
                  <c:v>0.13272195721792501</c:v>
                </c:pt>
                <c:pt idx="191">
                  <c:v>0.132724128767778</c:v>
                </c:pt>
                <c:pt idx="192">
                  <c:v>0.13272630712491701</c:v>
                </c:pt>
                <c:pt idx="193">
                  <c:v>0.13272849263376901</c:v>
                </c:pt>
                <c:pt idx="194">
                  <c:v>0.132730685648876</c:v>
                </c:pt>
                <c:pt idx="195">
                  <c:v>0.13273288653548501</c:v>
                </c:pt>
                <c:pt idx="196">
                  <c:v>0.13273509567017699</c:v>
                </c:pt>
                <c:pt idx="197">
                  <c:v>0.132737313441533</c:v>
                </c:pt>
                <c:pt idx="198">
                  <c:v>0.132739540250841</c:v>
                </c:pt>
                <c:pt idx="199">
                  <c:v>0.13274177651286501</c:v>
                </c:pt>
                <c:pt idx="200">
                  <c:v>0.13274402265665</c:v>
                </c:pt>
                <c:pt idx="201">
                  <c:v>0.132746279126393</c:v>
                </c:pt>
                <c:pt idx="202">
                  <c:v>0.13274854638237599</c:v>
                </c:pt>
                <c:pt idx="203">
                  <c:v>0.132750824901961</c:v>
                </c:pt>
                <c:pt idx="204">
                  <c:v>0.13275311518066599</c:v>
                </c:pt>
                <c:pt idx="205">
                  <c:v>0.13275541773331401</c:v>
                </c:pt>
                <c:pt idx="206">
                  <c:v>0.132757733095279</c:v>
                </c:pt>
                <c:pt idx="207">
                  <c:v>0.132760061823818</c:v>
                </c:pt>
                <c:pt idx="208">
                  <c:v>0.13276240449951601</c:v>
                </c:pt>
                <c:pt idx="209">
                  <c:v>0.13276476172784801</c:v>
                </c:pt>
                <c:pt idx="210">
                  <c:v>0.13276713414086799</c:v>
                </c:pt>
                <c:pt idx="211">
                  <c:v>0.13276952239903</c:v>
                </c:pt>
                <c:pt idx="212">
                  <c:v>0.13277192719318501</c:v>
                </c:pt>
                <c:pt idx="213">
                  <c:v>0.13277434924672901</c:v>
                </c:pt>
                <c:pt idx="214">
                  <c:v>0.132776789317957</c:v>
                </c:pt>
                <c:pt idx="215">
                  <c:v>0.13277924820261999</c:v>
                </c:pt>
                <c:pt idx="216">
                  <c:v>0.132781726736725</c:v>
                </c:pt>
                <c:pt idx="217">
                  <c:v>0.13278422579959301</c:v>
                </c:pt>
                <c:pt idx="218">
                  <c:v>0.13278674631720599</c:v>
                </c:pt>
                <c:pt idx="219">
                  <c:v>0.132789289265896</c:v>
                </c:pt>
                <c:pt idx="220">
                  <c:v>0.13279185567638299</c:v>
                </c:pt>
                <c:pt idx="221">
                  <c:v>0.132794446638243</c:v>
                </c:pt>
                <c:pt idx="222">
                  <c:v>0.13279706330482899</c:v>
                </c:pt>
                <c:pt idx="223">
                  <c:v>0.132799706898722</c:v>
                </c:pt>
                <c:pt idx="224">
                  <c:v>0.132802378717778</c:v>
                </c:pt>
                <c:pt idx="225">
                  <c:v>0.132805080141845</c:v>
                </c:pt>
                <c:pt idx="226">
                  <c:v>0.13280781264025199</c:v>
                </c:pt>
                <c:pt idx="227">
                  <c:v>0.132810577780172</c:v>
                </c:pt>
                <c:pt idx="228">
                  <c:v>0.13281337723598599</c:v>
                </c:pt>
                <c:pt idx="229">
                  <c:v>0.13281621279980399</c:v>
                </c:pt>
                <c:pt idx="230">
                  <c:v>0.132819086393311</c:v>
                </c:pt>
                <c:pt idx="231">
                  <c:v>0.132822000081147</c:v>
                </c:pt>
                <c:pt idx="232">
                  <c:v>0.132824956086074</c:v>
                </c:pt>
                <c:pt idx="233">
                  <c:v>0.13282795680621301</c:v>
                </c:pt>
                <c:pt idx="234">
                  <c:v>0.13283100483471399</c:v>
                </c:pt>
                <c:pt idx="235">
                  <c:v>0.13283410298228401</c:v>
                </c:pt>
                <c:pt idx="236">
                  <c:v>0.13283725430307999</c:v>
                </c:pt>
                <c:pt idx="237">
                  <c:v>0.13284046212460199</c:v>
                </c:pt>
                <c:pt idx="238">
                  <c:v>0.13284373008234701</c:v>
                </c:pt>
                <c:pt idx="239">
                  <c:v>0.13284706216018199</c:v>
                </c:pt>
                <c:pt idx="240">
                  <c:v>0.13285046273759499</c:v>
                </c:pt>
                <c:pt idx="241">
                  <c:v>0.13285393664530001</c:v>
                </c:pt>
                <c:pt idx="242">
                  <c:v>0.13285748923103799</c:v>
                </c:pt>
                <c:pt idx="243">
                  <c:v>0.13286112643791401</c:v>
                </c:pt>
                <c:pt idx="244">
                  <c:v>0.132864854898255</c:v>
                </c:pt>
                <c:pt idx="245">
                  <c:v>0.13286868204686</c:v>
                </c:pt>
                <c:pt idx="246">
                  <c:v>0.13287261625866401</c:v>
                </c:pt>
                <c:pt idx="247">
                  <c:v>0.132876667017443</c:v>
                </c:pt>
                <c:pt idx="248">
                  <c:v>0.132880845124389</c:v>
                </c:pt>
                <c:pt idx="249">
                  <c:v>0.13288516295844799</c:v>
                </c:pt>
                <c:pt idx="250">
                  <c:v>0.13288963480469199</c:v>
                </c:pt>
                <c:pt idx="251">
                  <c:v>0.13289427727328901</c:v>
                </c:pt>
                <c:pt idx="252">
                  <c:v>0.13289910984085401</c:v>
                </c:pt>
                <c:pt idx="253">
                  <c:v>0.132904155559849</c:v>
                </c:pt>
                <c:pt idx="254">
                  <c:v>0.13290944200277299</c:v>
                </c:pt>
                <c:pt idx="255">
                  <c:v>0.13291500254108701</c:v>
                </c:pt>
                <c:pt idx="256">
                  <c:v>0.13292087811204301</c:v>
                </c:pt>
                <c:pt idx="257">
                  <c:v>0.132927119714948</c:v>
                </c:pt>
                <c:pt idx="258">
                  <c:v>0.132933792029892</c:v>
                </c:pt>
                <c:pt idx="259">
                  <c:v>0.132940978822192</c:v>
                </c:pt>
                <c:pt idx="260">
                  <c:v>0.13294879130005999</c:v>
                </c:pt>
                <c:pt idx="261">
                  <c:v>0.132957381584934</c:v>
                </c:pt>
                <c:pt idx="262">
                  <c:v>0.13296696553123799</c:v>
                </c:pt>
                <c:pt idx="263">
                  <c:v>0.13297786382384399</c:v>
                </c:pt>
                <c:pt idx="264">
                  <c:v>0.132990581906959</c:v>
                </c:pt>
                <c:pt idx="265">
                  <c:v>0.13300598168556699</c:v>
                </c:pt>
                <c:pt idx="266">
                  <c:v>0.13302570306129599</c:v>
                </c:pt>
                <c:pt idx="267">
                  <c:v>0.133053413662858</c:v>
                </c:pt>
                <c:pt idx="268">
                  <c:v>0.13309974144758499</c:v>
                </c:pt>
                <c:pt idx="269">
                  <c:v>0.13321378154653299</c:v>
                </c:pt>
                <c:pt idx="270">
                  <c:v>0.13336682861826901</c:v>
                </c:pt>
                <c:pt idx="271">
                  <c:v>0.13351953708365299</c:v>
                </c:pt>
                <c:pt idx="272">
                  <c:v>0.133672756082719</c:v>
                </c:pt>
                <c:pt idx="273">
                  <c:v>0.13382654271444999</c:v>
                </c:pt>
                <c:pt idx="274">
                  <c:v>0.1339809270474</c:v>
                </c:pt>
                <c:pt idx="275">
                  <c:v>0.13413592636935101</c:v>
                </c:pt>
                <c:pt idx="276">
                  <c:v>0.13429155195650999</c:v>
                </c:pt>
                <c:pt idx="277">
                  <c:v>0.229108280555748</c:v>
                </c:pt>
                <c:pt idx="278">
                  <c:v>0.22910828280913501</c:v>
                </c:pt>
                <c:pt idx="279">
                  <c:v>0.38305732976120799</c:v>
                </c:pt>
                <c:pt idx="280">
                  <c:v>0.38333587250425699</c:v>
                </c:pt>
                <c:pt idx="281">
                  <c:v>0.38357840372985702</c:v>
                </c:pt>
                <c:pt idx="282">
                  <c:v>0.38379485836785199</c:v>
                </c:pt>
                <c:pt idx="283">
                  <c:v>0.38399180760400198</c:v>
                </c:pt>
                <c:pt idx="284">
                  <c:v>0.384173807056849</c:v>
                </c:pt>
                <c:pt idx="285">
                  <c:v>0.38434416321224601</c:v>
                </c:pt>
                <c:pt idx="286">
                  <c:v>0.38450537598643098</c:v>
                </c:pt>
                <c:pt idx="287">
                  <c:v>0.38465940776560398</c:v>
                </c:pt>
                <c:pt idx="288">
                  <c:v>0.38480785573939102</c:v>
                </c:pt>
                <c:pt idx="289">
                  <c:v>0.384952068264445</c:v>
                </c:pt>
                <c:pt idx="290">
                  <c:v>0.38509322812937802</c:v>
                </c:pt>
                <c:pt idx="291">
                  <c:v>0.38523241647348</c:v>
                </c:pt>
                <c:pt idx="292">
                  <c:v>0.385370666441891</c:v>
                </c:pt>
                <c:pt idx="293">
                  <c:v>0.385509013499586</c:v>
                </c:pt>
                <c:pt idx="294">
                  <c:v>0.38564854888670203</c:v>
                </c:pt>
                <c:pt idx="295">
                  <c:v>0.385790483898592</c:v>
                </c:pt>
                <c:pt idx="296">
                  <c:v>0.38593623614144101</c:v>
                </c:pt>
                <c:pt idx="297">
                  <c:v>0.38608755645093301</c:v>
                </c:pt>
                <c:pt idx="298">
                  <c:v>0.38624673120118802</c:v>
                </c:pt>
                <c:pt idx="299">
                  <c:v>0.38641693053499898</c:v>
                </c:pt>
                <c:pt idx="300">
                  <c:v>0.38660285978241898</c:v>
                </c:pt>
                <c:pt idx="301">
                  <c:v>0.38681210620158402</c:v>
                </c:pt>
                <c:pt idx="302">
                  <c:v>0.38705831096616899</c:v>
                </c:pt>
                <c:pt idx="303">
                  <c:v>0.38737014098822098</c:v>
                </c:pt>
                <c:pt idx="304">
                  <c:v>0.38782486586522802</c:v>
                </c:pt>
                <c:pt idx="305">
                  <c:v>0.38875106087786898</c:v>
                </c:pt>
                <c:pt idx="306">
                  <c:v>0.39343249839230199</c:v>
                </c:pt>
                <c:pt idx="307">
                  <c:v>0.40121720513367698</c:v>
                </c:pt>
                <c:pt idx="308">
                  <c:v>0.60121720513367705</c:v>
                </c:pt>
                <c:pt idx="309">
                  <c:v>0.60121720513367705</c:v>
                </c:pt>
              </c:numCache>
            </c:numRef>
          </c:xVal>
          <c:yVal>
            <c:numRef>
              <c:f>Implicit_Fracs!$BS$5:$BS$314</c:f>
              <c:numCache>
                <c:formatCode>0.00E+00</c:formatCode>
                <c:ptCount val="310"/>
                <c:pt idx="0">
                  <c:v>7.28499377650241E-7</c:v>
                </c:pt>
                <c:pt idx="1">
                  <c:v>1.4556061841361901E-6</c:v>
                </c:pt>
                <c:pt idx="2">
                  <c:v>2.18277971903337E-6</c:v>
                </c:pt>
                <c:pt idx="3">
                  <c:v>2.9099946324466401E-6</c:v>
                </c:pt>
                <c:pt idx="4">
                  <c:v>3.6372390904321899E-6</c:v>
                </c:pt>
                <c:pt idx="5">
                  <c:v>4.3645061409847301E-6</c:v>
                </c:pt>
                <c:pt idx="6">
                  <c:v>5.0917911685477104E-6</c:v>
                </c:pt>
                <c:pt idx="7">
                  <c:v>5.8190908653161899E-6</c:v>
                </c:pt>
                <c:pt idx="8">
                  <c:v>6.5464027340848503E-6</c:v>
                </c:pt>
                <c:pt idx="9">
                  <c:v>7.2737248173081303E-6</c:v>
                </c:pt>
                <c:pt idx="10">
                  <c:v>8.0010555360178504E-6</c:v>
                </c:pt>
                <c:pt idx="11">
                  <c:v>8.7283935875540907E-6</c:v>
                </c:pt>
                <c:pt idx="12">
                  <c:v>9.4557378772796903E-6</c:v>
                </c:pt>
                <c:pt idx="13">
                  <c:v>1.01830874711134E-5</c:v>
                </c:pt>
                <c:pt idx="14">
                  <c:v>1.0910441561469899E-5</c:v>
                </c:pt>
                <c:pt idx="15">
                  <c:v>1.16377994421574E-5</c:v>
                </c:pt>
                <c:pt idx="16">
                  <c:v>1.23651604894694E-5</c:v>
                </c:pt>
                <c:pt idx="17">
                  <c:v>1.30925241476714E-5</c:v>
                </c:pt>
                <c:pt idx="18">
                  <c:v>1.3819889917666601E-5</c:v>
                </c:pt>
                <c:pt idx="19">
                  <c:v>1.4547257348034801E-5</c:v>
                </c:pt>
                <c:pt idx="20">
                  <c:v>1.5274626027834501E-5</c:v>
                </c:pt>
                <c:pt idx="21">
                  <c:v>1.6001995580780598E-5</c:v>
                </c:pt>
                <c:pt idx="22">
                  <c:v>1.6729365660452599E-5</c:v>
                </c:pt>
                <c:pt idx="23">
                  <c:v>1.7456735946345501E-5</c:v>
                </c:pt>
                <c:pt idx="24">
                  <c:v>1.8184106140576601E-5</c:v>
                </c:pt>
                <c:pt idx="25">
                  <c:v>1.8911475965100899E-5</c:v>
                </c:pt>
                <c:pt idx="26">
                  <c:v>1.96388451593665E-5</c:v>
                </c:pt>
                <c:pt idx="27">
                  <c:v>2.0366213478310399E-5</c:v>
                </c:pt>
                <c:pt idx="28">
                  <c:v>2.10935806906345E-5</c:v>
                </c:pt>
                <c:pt idx="29">
                  <c:v>2.1820946577325601E-5</c:v>
                </c:pt>
                <c:pt idx="30">
                  <c:v>2.2548310930366701E-5</c:v>
                </c:pt>
                <c:pt idx="31">
                  <c:v>2.32756735516095E-5</c:v>
                </c:pt>
                <c:pt idx="32">
                  <c:v>2.4003034251798301E-5</c:v>
                </c:pt>
                <c:pt idx="33">
                  <c:v>2.47303928496981E-5</c:v>
                </c:pt>
                <c:pt idx="34">
                  <c:v>2.5457749171329801E-5</c:v>
                </c:pt>
                <c:pt idx="35">
                  <c:v>2.61851030492903E-5</c:v>
                </c:pt>
                <c:pt idx="36">
                  <c:v>2.6912454322150798E-5</c:v>
                </c:pt>
                <c:pt idx="37">
                  <c:v>2.7639802822642499E-5</c:v>
                </c:pt>
                <c:pt idx="38">
                  <c:v>2.8367148388071499E-5</c:v>
                </c:pt>
                <c:pt idx="39">
                  <c:v>2.9094490860346699E-5</c:v>
                </c:pt>
                <c:pt idx="40">
                  <c:v>2.9821830085547798E-5</c:v>
                </c:pt>
                <c:pt idx="41">
                  <c:v>3.0549165913559497E-5</c:v>
                </c:pt>
                <c:pt idx="42">
                  <c:v>3.1276498197711401E-5</c:v>
                </c:pt>
                <c:pt idx="43">
                  <c:v>3.2003826794469597E-5</c:v>
                </c:pt>
                <c:pt idx="44">
                  <c:v>3.2731151563153103E-5</c:v>
                </c:pt>
                <c:pt idx="45">
                  <c:v>3.3458472365664498E-5</c:v>
                </c:pt>
                <c:pt idx="46">
                  <c:v>3.4185789066250401E-5</c:v>
                </c:pt>
                <c:pt idx="47">
                  <c:v>3.4913101531279399E-5</c:v>
                </c:pt>
                <c:pt idx="48">
                  <c:v>3.5640409629027703E-5</c:v>
                </c:pt>
                <c:pt idx="49">
                  <c:v>3.6367713229502103E-5</c:v>
                </c:pt>
                <c:pt idx="50">
                  <c:v>3.7095012204252003E-5</c:v>
                </c:pt>
                <c:pt idx="51">
                  <c:v>3.78223064262154E-5</c:v>
                </c:pt>
                <c:pt idx="52">
                  <c:v>3.8549595769549498E-5</c:v>
                </c:pt>
                <c:pt idx="53">
                  <c:v>3.9276880109502097E-5</c:v>
                </c:pt>
                <c:pt idx="54">
                  <c:v>4.0004159322262799E-5</c:v>
                </c:pt>
                <c:pt idx="55">
                  <c:v>4.0731433284855199E-5</c:v>
                </c:pt>
                <c:pt idx="56">
                  <c:v>4.1458701874994202E-5</c:v>
                </c:pt>
                <c:pt idx="57">
                  <c:v>4.2185964970989301E-5</c:v>
                </c:pt>
                <c:pt idx="58">
                  <c:v>4.2913222451631003E-5</c:v>
                </c:pt>
                <c:pt idx="59">
                  <c:v>4.3640474196092897E-5</c:v>
                </c:pt>
                <c:pt idx="60">
                  <c:v>4.4367720083833297E-5</c:v>
                </c:pt>
                <c:pt idx="61">
                  <c:v>4.5094959994503398E-5</c:v>
                </c:pt>
                <c:pt idx="62">
                  <c:v>4.5822193807851403E-5</c:v>
                </c:pt>
                <c:pt idx="63">
                  <c:v>4.6549421403656E-5</c:v>
                </c:pt>
                <c:pt idx="64">
                  <c:v>4.7276642661619897E-5</c:v>
                </c:pt>
                <c:pt idx="65">
                  <c:v>4.80038574613258E-5</c:v>
                </c:pt>
                <c:pt idx="66">
                  <c:v>4.8731065682116699E-5</c:v>
                </c:pt>
                <c:pt idx="67">
                  <c:v>4.9458267203061103E-5</c:v>
                </c:pt>
                <c:pt idx="68">
                  <c:v>5.0185461902866502E-5</c:v>
                </c:pt>
                <c:pt idx="69">
                  <c:v>5.0912649659806199E-5</c:v>
                </c:pt>
                <c:pt idx="70">
                  <c:v>5.1639830351664399E-5</c:v>
                </c:pt>
                <c:pt idx="71">
                  <c:v>5.2367003855659202E-5</c:v>
                </c:pt>
                <c:pt idx="72">
                  <c:v>5.3094170048375402E-5</c:v>
                </c:pt>
                <c:pt idx="73">
                  <c:v>5.38213288057248E-5</c:v>
                </c:pt>
                <c:pt idx="74">
                  <c:v>5.45484800028503E-5</c:v>
                </c:pt>
                <c:pt idx="75">
                  <c:v>5.5275623514090797E-5</c:v>
                </c:pt>
                <c:pt idx="76">
                  <c:v>5.60027592129093E-5</c:v>
                </c:pt>
                <c:pt idx="77">
                  <c:v>5.6729886971837399E-5</c:v>
                </c:pt>
                <c:pt idx="78">
                  <c:v>5.7457006662417799E-5</c:v>
                </c:pt>
                <c:pt idx="79">
                  <c:v>5.8184118155135799E-5</c:v>
                </c:pt>
                <c:pt idx="80">
                  <c:v>5.8911221319370802E-5</c:v>
                </c:pt>
                <c:pt idx="81">
                  <c:v>5.9638316023326798E-5</c:v>
                </c:pt>
                <c:pt idx="82">
                  <c:v>6.0365402133991398E-5</c:v>
                </c:pt>
                <c:pt idx="83">
                  <c:v>6.1092479517070301E-5</c:v>
                </c:pt>
                <c:pt idx="84">
                  <c:v>6.1819548036911302E-5</c:v>
                </c:pt>
                <c:pt idx="85">
                  <c:v>6.2546607556477005E-5</c:v>
                </c:pt>
                <c:pt idx="86">
                  <c:v>6.3273657937257399E-5</c:v>
                </c:pt>
                <c:pt idx="87">
                  <c:v>6.4000699039235497E-5</c:v>
                </c:pt>
                <c:pt idx="88">
                  <c:v>6.4727730720801107E-5</c:v>
                </c:pt>
                <c:pt idx="89">
                  <c:v>6.5454752838718503E-5</c:v>
                </c:pt>
                <c:pt idx="90">
                  <c:v>6.6181765248037595E-5</c:v>
                </c:pt>
                <c:pt idx="91">
                  <c:v>6.6908767802063699E-5</c:v>
                </c:pt>
                <c:pt idx="92">
                  <c:v>6.76357603522678E-5</c:v>
                </c:pt>
                <c:pt idx="93">
                  <c:v>6.8362742748228204E-5</c:v>
                </c:pt>
                <c:pt idx="94">
                  <c:v>6.9089714837591601E-5</c:v>
                </c:pt>
                <c:pt idx="95">
                  <c:v>6.9816676465974298E-5</c:v>
                </c:pt>
                <c:pt idx="96">
                  <c:v>7.0543627476907705E-5</c:v>
                </c:pt>
                <c:pt idx="97">
                  <c:v>7.1270567711787398E-5</c:v>
                </c:pt>
                <c:pt idx="98">
                  <c:v>7.1997497009786905E-5</c:v>
                </c:pt>
                <c:pt idx="99">
                  <c:v>7.2724415207780894E-5</c:v>
                </c:pt>
                <c:pt idx="100">
                  <c:v>7.3451322140293904E-5</c:v>
                </c:pt>
                <c:pt idx="101">
                  <c:v>7.4178217639430004E-5</c:v>
                </c:pt>
                <c:pt idx="102">
                  <c:v>7.4905101534769906E-5</c:v>
                </c:pt>
                <c:pt idx="103">
                  <c:v>7.5631973653317403E-5</c:v>
                </c:pt>
                <c:pt idx="104">
                  <c:v>7.6358833819420996E-5</c:v>
                </c:pt>
                <c:pt idx="105">
                  <c:v>7.7085681854683905E-5</c:v>
                </c:pt>
                <c:pt idx="106">
                  <c:v>7.7812517577889598E-5</c:v>
                </c:pt>
                <c:pt idx="107">
                  <c:v>7.8539340804920297E-5</c:v>
                </c:pt>
                <c:pt idx="108">
                  <c:v>7.9266151348662305E-5</c:v>
                </c:pt>
                <c:pt idx="109">
                  <c:v>7.9992949018932506E-5</c:v>
                </c:pt>
                <c:pt idx="110">
                  <c:v>8.0719733622376495E-5</c:v>
                </c:pt>
                <c:pt idx="111">
                  <c:v>8.1446504962369505E-5</c:v>
                </c:pt>
                <c:pt idx="112">
                  <c:v>8.2173262838939104E-5</c:v>
                </c:pt>
                <c:pt idx="113">
                  <c:v>8.2900007048652497E-5</c:v>
                </c:pt>
                <c:pt idx="114">
                  <c:v>8.3626737384523506E-5</c:v>
                </c:pt>
                <c:pt idx="115">
                  <c:v>8.4353453635916696E-5</c:v>
                </c:pt>
                <c:pt idx="116">
                  <c:v>8.5080155588404606E-5</c:v>
                </c:pt>
                <c:pt idx="117">
                  <c:v>8.5806843023710896E-5</c:v>
                </c:pt>
                <c:pt idx="118">
                  <c:v>8.6533515719544306E-5</c:v>
                </c:pt>
                <c:pt idx="119">
                  <c:v>8.7260173449519506E-5</c:v>
                </c:pt>
                <c:pt idx="120">
                  <c:v>8.79868159830263E-5</c:v>
                </c:pt>
                <c:pt idx="121">
                  <c:v>8.8713443085094307E-5</c:v>
                </c:pt>
                <c:pt idx="122">
                  <c:v>8.9440054516280403E-5</c:v>
                </c:pt>
                <c:pt idx="123">
                  <c:v>9.0166650032512996E-5</c:v>
                </c:pt>
                <c:pt idx="124">
                  <c:v>9.0893229384984205E-5</c:v>
                </c:pt>
                <c:pt idx="125">
                  <c:v>9.1619792319988202E-5</c:v>
                </c:pt>
                <c:pt idx="126">
                  <c:v>9.2346338578781398E-5</c:v>
                </c:pt>
                <c:pt idx="127">
                  <c:v>9.3072867897430497E-5</c:v>
                </c:pt>
                <c:pt idx="128">
                  <c:v>9.3799380006655999E-5</c:v>
                </c:pt>
                <c:pt idx="129">
                  <c:v>9.4525874631669397E-5</c:v>
                </c:pt>
                <c:pt idx="130">
                  <c:v>9.5252351492007296E-5</c:v>
                </c:pt>
                <c:pt idx="131">
                  <c:v>9.5978810301360998E-5</c:v>
                </c:pt>
                <c:pt idx="132">
                  <c:v>9.6705250767381906E-5</c:v>
                </c:pt>
                <c:pt idx="133">
                  <c:v>9.7431672591508702E-5</c:v>
                </c:pt>
                <c:pt idx="134">
                  <c:v>9.8158075468794196E-5</c:v>
                </c:pt>
                <c:pt idx="135">
                  <c:v>9.8884459087656302E-5</c:v>
                </c:pt>
                <c:pt idx="136">
                  <c:v>9.9610823129703195E-5</c:v>
                </c:pt>
                <c:pt idx="137" formatCode="General">
                  <c:v>1.0033716726951E-4</c:v>
                </c:pt>
                <c:pt idx="138" formatCode="General">
                  <c:v>1.0106349117441E-4</c:v>
                </c:pt>
                <c:pt idx="139" formatCode="General">
                  <c:v>1.0178979450424E-4</c:v>
                </c:pt>
                <c:pt idx="140" formatCode="General">
                  <c:v>1.02516076911111E-4</c:v>
                </c:pt>
                <c:pt idx="141" formatCode="General">
                  <c:v>1.0324233803915699E-4</c:v>
                </c:pt>
                <c:pt idx="142" formatCode="General">
                  <c:v>1.03968577524269E-4</c:v>
                </c:pt>
                <c:pt idx="143" formatCode="General">
                  <c:v>1.0469479499385E-4</c:v>
                </c:pt>
                <c:pt idx="144" formatCode="General">
                  <c:v>1.0542099006649099E-4</c:v>
                </c:pt>
                <c:pt idx="145" formatCode="General">
                  <c:v>1.0614716235170901E-4</c:v>
                </c:pt>
                <c:pt idx="146" formatCode="General">
                  <c:v>1.06873311449642E-4</c:v>
                </c:pt>
                <c:pt idx="147" formatCode="General">
                  <c:v>1.0759943695071699E-4</c:v>
                </c:pt>
                <c:pt idx="148" formatCode="General">
                  <c:v>1.08325538435332E-4</c:v>
                </c:pt>
                <c:pt idx="149" formatCode="General">
                  <c:v>1.09051615473507E-4</c:v>
                </c:pt>
                <c:pt idx="150" formatCode="General">
                  <c:v>1.09777667624521E-4</c:v>
                </c:pt>
                <c:pt idx="151" formatCode="General">
                  <c:v>1.10503694436557E-4</c:v>
                </c:pt>
                <c:pt idx="152" formatCode="General">
                  <c:v>1.1122969544629401E-4</c:v>
                </c:pt>
                <c:pt idx="153" formatCode="General">
                  <c:v>1.11955670178507E-4</c:v>
                </c:pt>
                <c:pt idx="154" formatCode="General">
                  <c:v>1.12681618145636E-4</c:v>
                </c:pt>
                <c:pt idx="155" formatCode="General">
                  <c:v>1.1340753884735901E-4</c:v>
                </c:pt>
                <c:pt idx="156" formatCode="General">
                  <c:v>1.14133431770118E-4</c:v>
                </c:pt>
                <c:pt idx="157" formatCode="General">
                  <c:v>1.14859296386632E-4</c:v>
                </c:pt>
                <c:pt idx="158" formatCode="General">
                  <c:v>1.15585132155392E-4</c:v>
                </c:pt>
                <c:pt idx="159" formatCode="General">
                  <c:v>1.16310938520152E-4</c:v>
                </c:pt>
                <c:pt idx="160" formatCode="General">
                  <c:v>1.17036714909344E-4</c:v>
                </c:pt>
                <c:pt idx="161" formatCode="General">
                  <c:v>1.17762460735525E-4</c:v>
                </c:pt>
                <c:pt idx="162" formatCode="General">
                  <c:v>1.18488175394751E-4</c:v>
                </c:pt>
                <c:pt idx="163" formatCode="General">
                  <c:v>1.19213858265962E-4</c:v>
                </c:pt>
                <c:pt idx="164" formatCode="General">
                  <c:v>1.19939508710304E-4</c:v>
                </c:pt>
                <c:pt idx="165" formatCode="General">
                  <c:v>1.2066512607043701E-4</c:v>
                </c:pt>
                <c:pt idx="166" formatCode="General">
                  <c:v>1.2139070966977299E-4</c:v>
                </c:pt>
                <c:pt idx="167" formatCode="General">
                  <c:v>1.2211625881175501E-4</c:v>
                </c:pt>
                <c:pt idx="168" formatCode="General">
                  <c:v>1.2284177277902699E-4</c:v>
                </c:pt>
                <c:pt idx="169" formatCode="General">
                  <c:v>1.2356725083257901E-4</c:v>
                </c:pt>
                <c:pt idx="170" formatCode="General">
                  <c:v>1.2429269221086301E-4</c:v>
                </c:pt>
                <c:pt idx="171" formatCode="General">
                  <c:v>1.2501809612885299E-4</c:v>
                </c:pt>
                <c:pt idx="172" formatCode="General">
                  <c:v>1.2574346177705401E-4</c:v>
                </c:pt>
                <c:pt idx="173" formatCode="General">
                  <c:v>1.2646878832048999E-4</c:v>
                </c:pt>
                <c:pt idx="174" formatCode="General">
                  <c:v>1.27194074897566E-4</c:v>
                </c:pt>
                <c:pt idx="175" formatCode="General">
                  <c:v>1.27919320618958E-4</c:v>
                </c:pt>
                <c:pt idx="176" formatCode="General">
                  <c:v>1.2864452456636701E-4</c:v>
                </c:pt>
                <c:pt idx="177" formatCode="General">
                  <c:v>1.29369685791255E-4</c:v>
                </c:pt>
                <c:pt idx="178" formatCode="General">
                  <c:v>1.3009480331347201E-4</c:v>
                </c:pt>
                <c:pt idx="179" formatCode="General">
                  <c:v>1.30819876119852E-4</c:v>
                </c:pt>
                <c:pt idx="180" formatCode="General">
                  <c:v>1.3154490316268701E-4</c:v>
                </c:pt>
                <c:pt idx="181" formatCode="General">
                  <c:v>1.32269883358106E-4</c:v>
                </c:pt>
                <c:pt idx="182" formatCode="General">
                  <c:v>1.3299481558444099E-4</c:v>
                </c:pt>
                <c:pt idx="183" formatCode="General">
                  <c:v>1.3371969868036801E-4</c:v>
                </c:pt>
                <c:pt idx="184" formatCode="General">
                  <c:v>1.34444531443071E-4</c:v>
                </c:pt>
                <c:pt idx="185" formatCode="General">
                  <c:v>1.3516931262616899E-4</c:v>
                </c:pt>
                <c:pt idx="186" formatCode="General">
                  <c:v>1.35894040937638E-4</c:v>
                </c:pt>
                <c:pt idx="187" formatCode="General">
                  <c:v>1.3661871503749501E-4</c:v>
                </c:pt>
                <c:pt idx="188" formatCode="General">
                  <c:v>1.37343333535413E-4</c:v>
                </c:pt>
                <c:pt idx="189" formatCode="General">
                  <c:v>1.3806789498815801E-4</c:v>
                </c:pt>
                <c:pt idx="190" formatCode="General">
                  <c:v>1.3879239789685199E-4</c:v>
                </c:pt>
                <c:pt idx="191" formatCode="General">
                  <c:v>1.3951684070407801E-4</c:v>
                </c:pt>
                <c:pt idx="192" formatCode="General">
                  <c:v>1.4024122179077299E-4</c:v>
                </c:pt>
                <c:pt idx="193" formatCode="General">
                  <c:v>1.4096553947293299E-4</c:v>
                </c:pt>
                <c:pt idx="194" formatCode="General">
                  <c:v>1.41689791998077E-4</c:v>
                </c:pt>
                <c:pt idx="195" formatCode="General">
                  <c:v>1.42413977541495E-4</c:v>
                </c:pt>
                <c:pt idx="196" formatCode="General">
                  <c:v>1.4313809420220399E-4</c:v>
                </c:pt>
                <c:pt idx="197" formatCode="General">
                  <c:v>1.43862139998636E-4</c:v>
                </c:pt>
                <c:pt idx="198" formatCode="General">
                  <c:v>1.4458611286401299E-4</c:v>
                </c:pt>
                <c:pt idx="199" formatCode="General">
                  <c:v>1.4531001064140101E-4</c:v>
                </c:pt>
                <c:pt idx="200" formatCode="General">
                  <c:v>1.4603383107837E-4</c:v>
                </c:pt>
                <c:pt idx="201" formatCode="General">
                  <c:v>1.4675757182128199E-4</c:v>
                </c:pt>
                <c:pt idx="202" formatCode="General">
                  <c:v>1.4748123040913199E-4</c:v>
                </c:pt>
                <c:pt idx="203" formatCode="General">
                  <c:v>1.4820480426693799E-4</c:v>
                </c:pt>
                <c:pt idx="204" formatCode="General">
                  <c:v>1.4892829069856501E-4</c:v>
                </c:pt>
                <c:pt idx="205" formatCode="General">
                  <c:v>1.49651686879031E-4</c:v>
                </c:pt>
                <c:pt idx="206" formatCode="General">
                  <c:v>1.50374989846189E-4</c:v>
                </c:pt>
                <c:pt idx="207" formatCode="General">
                  <c:v>1.5109819649168001E-4</c:v>
                </c:pt>
                <c:pt idx="208" formatCode="General">
                  <c:v>1.51821303551172E-4</c:v>
                </c:pt>
                <c:pt idx="209" formatCode="General">
                  <c:v>1.52544307593783E-4</c:v>
                </c:pt>
                <c:pt idx="210" formatCode="General">
                  <c:v>1.53267205010563E-4</c:v>
                </c:pt>
                <c:pt idx="211" formatCode="General">
                  <c:v>1.5398999200197901E-4</c:v>
                </c:pt>
                <c:pt idx="212" formatCode="General">
                  <c:v>1.54712664564287E-4</c:v>
                </c:pt>
                <c:pt idx="213" formatCode="General">
                  <c:v>1.55435218474666E-4</c:v>
                </c:pt>
                <c:pt idx="214" formatCode="General">
                  <c:v>1.56157649274981E-4</c:v>
                </c:pt>
                <c:pt idx="215" formatCode="General">
                  <c:v>1.5687995225402001E-4</c:v>
                </c:pt>
                <c:pt idx="216" formatCode="General">
                  <c:v>1.5760212242802601E-4</c:v>
                </c:pt>
                <c:pt idx="217" formatCode="General">
                  <c:v>1.58324154519319E-4</c:v>
                </c:pt>
                <c:pt idx="218" formatCode="General">
                  <c:v>1.5904604293278901E-4</c:v>
                </c:pt>
                <c:pt idx="219" formatCode="General">
                  <c:v>1.5976778173004301E-4</c:v>
                </c:pt>
                <c:pt idx="220" formatCode="General">
                  <c:v>1.60489364600798E-4</c:v>
                </c:pt>
                <c:pt idx="221" formatCode="General">
                  <c:v>1.6121078483130499E-4</c:v>
                </c:pt>
                <c:pt idx="222" formatCode="General">
                  <c:v>1.61932035269334E-4</c:v>
                </c:pt>
                <c:pt idx="223" formatCode="General">
                  <c:v>1.6265310828530999E-4</c:v>
                </c:pt>
                <c:pt idx="224" formatCode="General">
                  <c:v>1.63373995729036E-4</c:v>
                </c:pt>
                <c:pt idx="225" formatCode="General">
                  <c:v>1.6409468888144301E-4</c:v>
                </c:pt>
                <c:pt idx="226" formatCode="General">
                  <c:v>1.6481517840064E-4</c:v>
                </c:pt>
                <c:pt idx="227" formatCode="General">
                  <c:v>1.65535454261427E-4</c:v>
                </c:pt>
                <c:pt idx="228" formatCode="General">
                  <c:v>1.6625550568732201E-4</c:v>
                </c:pt>
                <c:pt idx="229" formatCode="General">
                  <c:v>1.6697532107398899E-4</c:v>
                </c:pt>
                <c:pt idx="230" formatCode="General">
                  <c:v>1.6769488790262699E-4</c:v>
                </c:pt>
                <c:pt idx="231" formatCode="General">
                  <c:v>1.6841419264188701E-4</c:v>
                </c:pt>
                <c:pt idx="232" formatCode="General">
                  <c:v>1.69133220636246E-4</c:v>
                </c:pt>
                <c:pt idx="233" formatCode="General">
                  <c:v>1.6985195597870201E-4</c:v>
                </c:pt>
                <c:pt idx="234" formatCode="General">
                  <c:v>1.7057038136501001E-4</c:v>
                </c:pt>
                <c:pt idx="235" formatCode="General">
                  <c:v>1.71288477926148E-4</c:v>
                </c:pt>
                <c:pt idx="236" formatCode="General">
                  <c:v>1.7200622503507599E-4</c:v>
                </c:pt>
                <c:pt idx="237" formatCode="General">
                  <c:v>1.72723600082886E-4</c:v>
                </c:pt>
                <c:pt idx="238" formatCode="General">
                  <c:v>1.7344057821832299E-4</c:v>
                </c:pt>
                <c:pt idx="239" formatCode="General">
                  <c:v>1.74157132043386E-4</c:v>
                </c:pt>
                <c:pt idx="240" formatCode="General">
                  <c:v>1.7487323125578501E-4</c:v>
                </c:pt>
                <c:pt idx="241" formatCode="General">
                  <c:v>1.7558884222677599E-4</c:v>
                </c:pt>
                <c:pt idx="242" formatCode="General">
                  <c:v>1.7630392749994701E-4</c:v>
                </c:pt>
                <c:pt idx="243" formatCode="General">
                  <c:v>1.7701844519263301E-4</c:v>
                </c:pt>
                <c:pt idx="244" formatCode="General">
                  <c:v>1.7773234827643501E-4</c:v>
                </c:pt>
                <c:pt idx="245" formatCode="General">
                  <c:v>1.7844558370658101E-4</c:v>
                </c:pt>
                <c:pt idx="246" formatCode="General">
                  <c:v>1.7915809136056899E-4</c:v>
                </c:pt>
                <c:pt idx="247" formatCode="General">
                  <c:v>1.79869802734087E-4</c:v>
                </c:pt>
                <c:pt idx="248" formatCode="General">
                  <c:v>1.8058063932499299E-4</c:v>
                </c:pt>
                <c:pt idx="249" formatCode="General">
                  <c:v>1.8129051061201401E-4</c:v>
                </c:pt>
                <c:pt idx="250" formatCode="General">
                  <c:v>1.8199931150106999E-4</c:v>
                </c:pt>
                <c:pt idx="251" formatCode="General">
                  <c:v>1.82706919063178E-4</c:v>
                </c:pt>
                <c:pt idx="252" formatCode="General">
                  <c:v>1.83413188317004E-4</c:v>
                </c:pt>
                <c:pt idx="253" formatCode="General">
                  <c:v>1.8411794670346901E-4</c:v>
                </c:pt>
                <c:pt idx="254" formatCode="General">
                  <c:v>1.8482098673999999E-4</c:v>
                </c:pt>
                <c:pt idx="255" formatCode="General">
                  <c:v>1.8552205609476501E-4</c:v>
                </c:pt>
                <c:pt idx="256" formatCode="General">
                  <c:v>1.8622084392947301E-4</c:v>
                </c:pt>
                <c:pt idx="257" formatCode="General">
                  <c:v>1.8691696172265E-4</c:v>
                </c:pt>
                <c:pt idx="258" formatCode="General">
                  <c:v>1.8760991572005199E-4</c:v>
                </c:pt>
                <c:pt idx="259" formatCode="General">
                  <c:v>1.88299066319414E-4</c:v>
                </c:pt>
                <c:pt idx="260" formatCode="General">
                  <c:v>1.88983566407614E-4</c:v>
                </c:pt>
                <c:pt idx="261" formatCode="General">
                  <c:v>1.8966226456053299E-4</c:v>
                </c:pt>
                <c:pt idx="262" formatCode="General">
                  <c:v>1.9033354721509899E-4</c:v>
                </c:pt>
                <c:pt idx="263" formatCode="General">
                  <c:v>1.90995070249635E-4</c:v>
                </c:pt>
                <c:pt idx="264" formatCode="General">
                  <c:v>1.91643281807419E-4</c:v>
                </c:pt>
                <c:pt idx="265" formatCode="General">
                  <c:v>1.9227254222580999E-4</c:v>
                </c:pt>
                <c:pt idx="266" formatCode="General">
                  <c:v>1.9287352240207601E-4</c:v>
                </c:pt>
                <c:pt idx="267" formatCode="General">
                  <c:v>1.93431205760055E-4</c:v>
                </c:pt>
                <c:pt idx="268" formatCode="General">
                  <c:v>1.9393622503941001E-4</c:v>
                </c:pt>
                <c:pt idx="269" formatCode="General">
                  <c:v>1.9395738079482601E-4</c:v>
                </c:pt>
                <c:pt idx="270" formatCode="General">
                  <c:v>1.9445197030873399E-4</c:v>
                </c:pt>
                <c:pt idx="271" formatCode="General">
                  <c:v>1.94956680556275E-4</c:v>
                </c:pt>
                <c:pt idx="272" formatCode="General">
                  <c:v>1.9546744684224699E-4</c:v>
                </c:pt>
                <c:pt idx="273" formatCode="General">
                  <c:v>1.95980995510454E-4</c:v>
                </c:pt>
                <c:pt idx="274" formatCode="General">
                  <c:v>1.9649578766124499E-4</c:v>
                </c:pt>
                <c:pt idx="275" formatCode="General">
                  <c:v>1.97011100759123E-4</c:v>
                </c:pt>
                <c:pt idx="276" formatCode="General">
                  <c:v>1.9704035400718901E-4</c:v>
                </c:pt>
                <c:pt idx="277" formatCode="General">
                  <c:v>2.1857043119491901E-4</c:v>
                </c:pt>
                <c:pt idx="278" formatCode="General">
                  <c:v>2.1857043152433901E-4</c:v>
                </c:pt>
                <c:pt idx="279" formatCode="General">
                  <c:v>2.49021173095182E-4</c:v>
                </c:pt>
                <c:pt idx="280" formatCode="General">
                  <c:v>2.5051806173559599E-4</c:v>
                </c:pt>
                <c:pt idx="281" formatCode="General">
                  <c:v>2.5201385911378E-4</c:v>
                </c:pt>
                <c:pt idx="282" formatCode="General">
                  <c:v>2.5350745045598402E-4</c:v>
                </c:pt>
                <c:pt idx="283" formatCode="General">
                  <c:v>2.5499859031658298E-4</c:v>
                </c:pt>
                <c:pt idx="284" formatCode="General">
                  <c:v>2.5648716469142999E-4</c:v>
                </c:pt>
                <c:pt idx="285" formatCode="General">
                  <c:v>2.57973062464074E-4</c:v>
                </c:pt>
                <c:pt idx="286" formatCode="General">
                  <c:v>2.5945614225147598E-4</c:v>
                </c:pt>
                <c:pt idx="287" formatCode="General">
                  <c:v>2.6093622007958701E-4</c:v>
                </c:pt>
                <c:pt idx="288" formatCode="General">
                  <c:v>2.6241306118037302E-4</c:v>
                </c:pt>
                <c:pt idx="289" formatCode="General">
                  <c:v>2.6388637091513797E-4</c:v>
                </c:pt>
                <c:pt idx="290" formatCode="General">
                  <c:v>2.6535578261037602E-4</c:v>
                </c:pt>
                <c:pt idx="291" formatCode="General">
                  <c:v>2.6682084054162699E-4</c:v>
                </c:pt>
                <c:pt idx="292" formatCode="General">
                  <c:v>2.68280975858634E-4</c:v>
                </c:pt>
                <c:pt idx="293" formatCode="General">
                  <c:v>2.6973547214513598E-4</c:v>
                </c:pt>
                <c:pt idx="294" formatCode="General">
                  <c:v>2.7118341532478599E-4</c:v>
                </c:pt>
                <c:pt idx="295" formatCode="General">
                  <c:v>2.7262361912249101E-4</c:v>
                </c:pt>
                <c:pt idx="296" formatCode="General">
                  <c:v>2.7405451091515797E-4</c:v>
                </c:pt>
                <c:pt idx="297" formatCode="General">
                  <c:v>2.7547395068119803E-4</c:v>
                </c:pt>
                <c:pt idx="298" formatCode="General">
                  <c:v>2.7687893147609199E-4</c:v>
                </c:pt>
                <c:pt idx="299" formatCode="General">
                  <c:v>2.7826505826400401E-4</c:v>
                </c:pt>
                <c:pt idx="300" formatCode="General">
                  <c:v>2.7962558476472301E-4</c:v>
                </c:pt>
                <c:pt idx="301" formatCode="General">
                  <c:v>2.8094950265925098E-4</c:v>
                </c:pt>
                <c:pt idx="302" formatCode="General">
                  <c:v>2.8221744487713499E-4</c:v>
                </c:pt>
                <c:pt idx="303" formatCode="General">
                  <c:v>2.8339243093259098E-4</c:v>
                </c:pt>
                <c:pt idx="304" formatCode="General">
                  <c:v>2.8440365667356001E-4</c:v>
                </c:pt>
                <c:pt idx="305" formatCode="General">
                  <c:v>2.85232373427582E-4</c:v>
                </c:pt>
                <c:pt idx="306" formatCode="General">
                  <c:v>2.85493868803433E-4</c:v>
                </c:pt>
                <c:pt idx="307" formatCode="General">
                  <c:v>2.8592119680783399E-4</c:v>
                </c:pt>
                <c:pt idx="308" formatCode="General">
                  <c:v>2.9768795156166202E-4</c:v>
                </c:pt>
                <c:pt idx="309" formatCode="General">
                  <c:v>2.9768795156166202E-4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1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0.09314</cdr:x>
      <cdr:y>0.12772</cdr:y>
    </cdr:from>
    <cdr:to>
      <cdr:x>0.90368</cdr:x>
      <cdr:y>0.9301</cdr:y>
    </cdr:to>
    <cdr:sp macro="" textlink="">
      <cdr:nvSpPr>
        <cdr:cNvPr id="2" name="FracNo 512 StartRow 3">
          <a:extLst xmlns:a="http://schemas.openxmlformats.org/drawingml/2006/main">
            <a:ext uri="{FF2B5EF4-FFF2-40B4-BE49-F238E27FC236}">
              <a16:creationId xmlns:a16="http://schemas.microsoft.com/office/drawing/2014/main" id="{C55D6B11-E86B-2A60-36E8-AF9903AFFDB2}"/>
            </a:ext>
          </a:extLst>
        </cdr:cNvPr>
        <cdr:cNvSpPr/>
      </cdr:nvSpPr>
      <cdr:spPr>
        <a:xfrm xmlns:a="http://schemas.openxmlformats.org/drawingml/2006/main">
          <a:off x="681366" y="973236"/>
          <a:ext cx="5929259" cy="61141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29259" h="6114130">
              <a:moveTo>
                <a:pt x="3283660" y="2717702"/>
              </a:moveTo>
              <a:lnTo>
                <a:pt x="2083275" y="3959310"/>
              </a:lnTo>
              <a:lnTo>
                <a:pt x="2055334" y="3988211"/>
              </a:lnTo>
              <a:lnTo>
                <a:pt x="0" y="6114129"/>
              </a:lnTo>
              <a:lnTo>
                <a:pt x="36259" y="6114129"/>
              </a:lnTo>
              <a:lnTo>
                <a:pt x="2073707" y="4006711"/>
              </a:lnTo>
              <a:lnTo>
                <a:pt x="2101404" y="3978062"/>
              </a:lnTo>
              <a:lnTo>
                <a:pt x="3301789" y="2736453"/>
              </a:lnTo>
              <a:lnTo>
                <a:pt x="4147795" y="1861393"/>
              </a:lnTo>
              <a:lnTo>
                <a:pt x="4175615" y="1832619"/>
              </a:lnTo>
              <a:lnTo>
                <a:pt x="5929258" y="18752"/>
              </a:lnTo>
              <a:lnTo>
                <a:pt x="5911129" y="0"/>
              </a:lnTo>
              <a:lnTo>
                <a:pt x="4157486" y="1813867"/>
              </a:lnTo>
              <a:lnTo>
                <a:pt x="4129666" y="18426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0.89764</cdr:x>
      <cdr:y>0.88559</cdr:y>
    </cdr:to>
    <cdr:sp macro="" textlink="">
      <cdr:nvSpPr>
        <cdr:cNvPr id="3" name="FracNo 181 StartRow 20">
          <a:extLst xmlns:a="http://schemas.openxmlformats.org/drawingml/2006/main">
            <a:ext uri="{FF2B5EF4-FFF2-40B4-BE49-F238E27FC236}">
              <a16:creationId xmlns:a16="http://schemas.microsoft.com/office/drawing/2014/main" id="{059B1E68-EB78-434F-187B-818D79101104}"/>
            </a:ext>
          </a:extLst>
        </cdr:cNvPr>
        <cdr:cNvSpPr/>
      </cdr:nvSpPr>
      <cdr:spPr>
        <a:xfrm xmlns:a="http://schemas.openxmlformats.org/drawingml/2006/main">
          <a:off x="671676" y="651036"/>
          <a:ext cx="5894713" cy="6097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4713" h="6097148">
              <a:moveTo>
                <a:pt x="4944586" y="982754"/>
              </a:moveTo>
              <a:lnTo>
                <a:pt x="4157485" y="1796886"/>
              </a:lnTo>
              <a:lnTo>
                <a:pt x="3811436" y="2154819"/>
              </a:lnTo>
              <a:lnTo>
                <a:pt x="2083275" y="3942329"/>
              </a:lnTo>
              <a:lnTo>
                <a:pt x="1735713" y="4301826"/>
              </a:lnTo>
              <a:lnTo>
                <a:pt x="0" y="6097147"/>
              </a:lnTo>
              <a:lnTo>
                <a:pt x="0" y="6059644"/>
              </a:lnTo>
              <a:lnTo>
                <a:pt x="1720609" y="4279946"/>
              </a:lnTo>
              <a:lnTo>
                <a:pt x="2065146" y="3923577"/>
              </a:lnTo>
              <a:lnTo>
                <a:pt x="3793307" y="2136067"/>
              </a:lnTo>
              <a:lnTo>
                <a:pt x="4139356" y="1778133"/>
              </a:lnTo>
              <a:lnTo>
                <a:pt x="4918242" y="972499"/>
              </a:lnTo>
              <a:lnTo>
                <a:pt x="5858453" y="0"/>
              </a:lnTo>
              <a:lnTo>
                <a:pt x="58947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0.13975</cdr:x>
      <cdr:y>0.13303</cdr:y>
    </cdr:from>
    <cdr:to>
      <cdr:x>0.94246</cdr:x>
      <cdr:y>0.9301</cdr:y>
    </cdr:to>
    <cdr:sp macro="" textlink="">
      <cdr:nvSpPr>
        <cdr:cNvPr id="4" name="FracNo 506 StartRow 37">
          <a:extLst xmlns:a="http://schemas.openxmlformats.org/drawingml/2006/main">
            <a:ext uri="{FF2B5EF4-FFF2-40B4-BE49-F238E27FC236}">
              <a16:creationId xmlns:a16="http://schemas.microsoft.com/office/drawing/2014/main" id="{FD1B0599-9FDC-B68A-B339-3F54A39D573E}"/>
            </a:ext>
          </a:extLst>
        </cdr:cNvPr>
        <cdr:cNvSpPr/>
      </cdr:nvSpPr>
      <cdr:spPr>
        <a:xfrm xmlns:a="http://schemas.openxmlformats.org/drawingml/2006/main">
          <a:off x="1022276" y="1013677"/>
          <a:ext cx="5872032" cy="6073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72032" h="6073689">
              <a:moveTo>
                <a:pt x="3148152" y="2854926"/>
              </a:moveTo>
              <a:lnTo>
                <a:pt x="2101405" y="3937621"/>
              </a:lnTo>
              <a:lnTo>
                <a:pt x="1734286" y="4317347"/>
              </a:lnTo>
              <a:lnTo>
                <a:pt x="36259" y="6073688"/>
              </a:lnTo>
              <a:lnTo>
                <a:pt x="0" y="6073688"/>
              </a:lnTo>
              <a:lnTo>
                <a:pt x="1712934" y="4301928"/>
              </a:lnTo>
              <a:lnTo>
                <a:pt x="2083276" y="3918869"/>
              </a:lnTo>
              <a:lnTo>
                <a:pt x="3130023" y="2836174"/>
              </a:lnTo>
              <a:lnTo>
                <a:pt x="3788756" y="2154819"/>
              </a:lnTo>
              <a:lnTo>
                <a:pt x="4159097" y="1771759"/>
              </a:lnTo>
              <a:lnTo>
                <a:pt x="5872031" y="0"/>
              </a:lnTo>
              <a:lnTo>
                <a:pt x="5872031" y="37504"/>
              </a:lnTo>
              <a:lnTo>
                <a:pt x="4174004" y="1793845"/>
              </a:lnTo>
              <a:lnTo>
                <a:pt x="3806885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0.78478</cdr:x>
      <cdr:y>0.77353</cdr:y>
    </cdr:to>
    <cdr:sp macro="" textlink="">
      <cdr:nvSpPr>
        <cdr:cNvPr id="5" name="FracNo 261 StartRow 54">
          <a:extLst xmlns:a="http://schemas.openxmlformats.org/drawingml/2006/main">
            <a:ext uri="{FF2B5EF4-FFF2-40B4-BE49-F238E27FC236}">
              <a16:creationId xmlns:a16="http://schemas.microsoft.com/office/drawing/2014/main" id="{F8E8B780-EE81-0580-4444-8BB46253CBC2}"/>
            </a:ext>
          </a:extLst>
        </cdr:cNvPr>
        <cdr:cNvSpPr/>
      </cdr:nvSpPr>
      <cdr:spPr>
        <a:xfrm xmlns:a="http://schemas.openxmlformats.org/drawingml/2006/main">
          <a:off x="671676" y="651036"/>
          <a:ext cx="5069156" cy="52432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9156" h="5243241">
              <a:moveTo>
                <a:pt x="3336787" y="1754358"/>
              </a:moveTo>
              <a:lnTo>
                <a:pt x="2967751" y="2136067"/>
              </a:lnTo>
              <a:lnTo>
                <a:pt x="2065146" y="3069669"/>
              </a:lnTo>
              <a:lnTo>
                <a:pt x="898660" y="4276214"/>
              </a:lnTo>
              <a:lnTo>
                <a:pt x="0" y="5205736"/>
              </a:lnTo>
              <a:lnTo>
                <a:pt x="0" y="5243240"/>
              </a:lnTo>
              <a:lnTo>
                <a:pt x="906549" y="4305558"/>
              </a:lnTo>
              <a:lnTo>
                <a:pt x="2083275" y="3088421"/>
              </a:lnTo>
              <a:lnTo>
                <a:pt x="2985880" y="2154819"/>
              </a:lnTo>
              <a:lnTo>
                <a:pt x="3357611" y="1770322"/>
              </a:lnTo>
              <a:lnTo>
                <a:pt x="4161748" y="938569"/>
              </a:lnTo>
              <a:lnTo>
                <a:pt x="5069155" y="0"/>
              </a:lnTo>
              <a:lnTo>
                <a:pt x="5032896" y="0"/>
              </a:lnTo>
              <a:lnTo>
                <a:pt x="4135094" y="9286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0.2075</cdr:x>
      <cdr:y>0.08544</cdr:y>
    </cdr:from>
    <cdr:to>
      <cdr:x>0.8589</cdr:x>
      <cdr:y>0.7298</cdr:y>
    </cdr:to>
    <cdr:sp macro="" textlink="">
      <cdr:nvSpPr>
        <cdr:cNvPr id="6" name="FracNo 196 StartRow 71">
          <a:extLst xmlns:a="http://schemas.openxmlformats.org/drawingml/2006/main">
            <a:ext uri="{FF2B5EF4-FFF2-40B4-BE49-F238E27FC236}">
              <a16:creationId xmlns:a16="http://schemas.microsoft.com/office/drawing/2014/main" id="{F24AD67B-40EF-E4C9-2949-5097689AF319}"/>
            </a:ext>
          </a:extLst>
        </cdr:cNvPr>
        <cdr:cNvSpPr/>
      </cdr:nvSpPr>
      <cdr:spPr>
        <a:xfrm xmlns:a="http://schemas.openxmlformats.org/drawingml/2006/main">
          <a:off x="1517914" y="651036"/>
          <a:ext cx="4765143" cy="49100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65143" h="4910035">
              <a:moveTo>
                <a:pt x="3802348" y="995858"/>
              </a:moveTo>
              <a:lnTo>
                <a:pt x="3311247" y="1503824"/>
              </a:lnTo>
              <a:lnTo>
                <a:pt x="2681866" y="2154819"/>
              </a:lnTo>
              <a:lnTo>
                <a:pt x="1237037" y="3649267"/>
              </a:lnTo>
              <a:lnTo>
                <a:pt x="607656" y="4300262"/>
              </a:lnTo>
              <a:lnTo>
                <a:pt x="18129" y="4910034"/>
              </a:lnTo>
              <a:lnTo>
                <a:pt x="0" y="4891282"/>
              </a:lnTo>
              <a:lnTo>
                <a:pt x="589527" y="4281510"/>
              </a:lnTo>
              <a:lnTo>
                <a:pt x="1218908" y="3630515"/>
              </a:lnTo>
              <a:lnTo>
                <a:pt x="2663737" y="2136067"/>
              </a:lnTo>
              <a:lnTo>
                <a:pt x="3293118" y="1485072"/>
              </a:lnTo>
              <a:lnTo>
                <a:pt x="3778095" y="983440"/>
              </a:lnTo>
              <a:lnTo>
                <a:pt x="4728883" y="0"/>
              </a:lnTo>
              <a:lnTo>
                <a:pt x="4765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0.29962</cdr:x>
      <cdr:y>0.29178</cdr:y>
    </cdr:from>
    <cdr:to>
      <cdr:x>0.94246</cdr:x>
      <cdr:y>0.9301</cdr:y>
    </cdr:to>
    <cdr:sp macro="" textlink="">
      <cdr:nvSpPr>
        <cdr:cNvPr id="7" name="FracNo 116 StartRow 88">
          <a:extLst xmlns:a="http://schemas.openxmlformats.org/drawingml/2006/main">
            <a:ext uri="{FF2B5EF4-FFF2-40B4-BE49-F238E27FC236}">
              <a16:creationId xmlns:a16="http://schemas.microsoft.com/office/drawing/2014/main" id="{55F10BC6-8B48-9EE9-FC80-1DC851614309}"/>
            </a:ext>
          </a:extLst>
        </cdr:cNvPr>
        <cdr:cNvSpPr/>
      </cdr:nvSpPr>
      <cdr:spPr>
        <a:xfrm xmlns:a="http://schemas.openxmlformats.org/drawingml/2006/main">
          <a:off x="2191811" y="2223376"/>
          <a:ext cx="4702497" cy="4863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2497" h="4863990">
              <a:moveTo>
                <a:pt x="1368494" y="3448498"/>
              </a:moveTo>
              <a:lnTo>
                <a:pt x="539513" y="4305948"/>
              </a:lnTo>
              <a:lnTo>
                <a:pt x="0" y="4863989"/>
              </a:lnTo>
              <a:lnTo>
                <a:pt x="36258" y="4863989"/>
              </a:lnTo>
              <a:lnTo>
                <a:pt x="568638" y="4313327"/>
              </a:lnTo>
              <a:lnTo>
                <a:pt x="1391714" y="3461985"/>
              </a:lnTo>
              <a:lnTo>
                <a:pt x="2101404" y="2727922"/>
              </a:lnTo>
              <a:lnTo>
                <a:pt x="2637350" y="2173570"/>
              </a:lnTo>
              <a:lnTo>
                <a:pt x="4168892" y="589432"/>
              </a:lnTo>
              <a:lnTo>
                <a:pt x="4702496" y="37503"/>
              </a:lnTo>
              <a:lnTo>
                <a:pt x="4702496" y="0"/>
              </a:lnTo>
              <a:lnTo>
                <a:pt x="4164208" y="556774"/>
              </a:lnTo>
              <a:lnTo>
                <a:pt x="2619221" y="2154818"/>
              </a:lnTo>
              <a:lnTo>
                <a:pt x="2083275" y="27091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0.18233</cdr:x>
      <cdr:y>0.30378</cdr:y>
    </cdr:from>
    <cdr:to>
      <cdr:x>0.81556</cdr:x>
      <cdr:y>0.9301</cdr:y>
    </cdr:to>
    <cdr:sp macro="" textlink="">
      <cdr:nvSpPr>
        <cdr:cNvPr id="8" name="FracNo 29 StartRow 105">
          <a:extLst xmlns:a="http://schemas.openxmlformats.org/drawingml/2006/main">
            <a:ext uri="{FF2B5EF4-FFF2-40B4-BE49-F238E27FC236}">
              <a16:creationId xmlns:a16="http://schemas.microsoft.com/office/drawing/2014/main" id="{33126149-A6A3-9AB4-C22E-00437E3900C6}"/>
            </a:ext>
          </a:extLst>
        </cdr:cNvPr>
        <cdr:cNvSpPr/>
      </cdr:nvSpPr>
      <cdr:spPr>
        <a:xfrm xmlns:a="http://schemas.openxmlformats.org/drawingml/2006/main">
          <a:off x="1333812" y="2314840"/>
          <a:ext cx="4632200" cy="4772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32200" h="4772526">
              <a:moveTo>
                <a:pt x="549560" y="4204093"/>
              </a:moveTo>
              <a:lnTo>
                <a:pt x="0" y="4772525"/>
              </a:lnTo>
              <a:lnTo>
                <a:pt x="36259" y="4772525"/>
              </a:lnTo>
              <a:lnTo>
                <a:pt x="578717" y="4211438"/>
              </a:lnTo>
              <a:lnTo>
                <a:pt x="1421139" y="3340085"/>
              </a:lnTo>
              <a:lnTo>
                <a:pt x="2101405" y="2636458"/>
              </a:lnTo>
              <a:lnTo>
                <a:pt x="3495349" y="1194642"/>
              </a:lnTo>
              <a:lnTo>
                <a:pt x="4175615" y="491015"/>
              </a:lnTo>
              <a:lnTo>
                <a:pt x="4632199" y="18751"/>
              </a:lnTo>
              <a:lnTo>
                <a:pt x="4614070" y="0"/>
              </a:lnTo>
              <a:lnTo>
                <a:pt x="4157486" y="472263"/>
              </a:lnTo>
              <a:lnTo>
                <a:pt x="3477220" y="1175891"/>
              </a:lnTo>
              <a:lnTo>
                <a:pt x="2083276" y="2617706"/>
              </a:lnTo>
              <a:lnTo>
                <a:pt x="1403010" y="33213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0.34535</cdr:x>
      <cdr:y>0.08544</cdr:y>
    </cdr:from>
    <cdr:to>
      <cdr:x>0.94234</cdr:x>
      <cdr:y>0.67577</cdr:y>
    </cdr:to>
    <cdr:sp macro="" textlink="">
      <cdr:nvSpPr>
        <cdr:cNvPr id="9" name="FracNo 30 StartRow 122">
          <a:extLst xmlns:a="http://schemas.openxmlformats.org/drawingml/2006/main">
            <a:ext uri="{FF2B5EF4-FFF2-40B4-BE49-F238E27FC236}">
              <a16:creationId xmlns:a16="http://schemas.microsoft.com/office/drawing/2014/main" id="{A1A8D514-1B22-F77E-43B8-831872C651B8}"/>
            </a:ext>
          </a:extLst>
        </cdr:cNvPr>
        <cdr:cNvSpPr/>
      </cdr:nvSpPr>
      <cdr:spPr>
        <a:xfrm xmlns:a="http://schemas.openxmlformats.org/drawingml/2006/main">
          <a:off x="2526314" y="651036"/>
          <a:ext cx="4367102" cy="4498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67102" h="4498325">
              <a:moveTo>
                <a:pt x="127405" y="4347792"/>
              </a:moveTo>
              <a:lnTo>
                <a:pt x="0" y="4479572"/>
              </a:lnTo>
              <a:lnTo>
                <a:pt x="18130" y="4498324"/>
              </a:lnTo>
              <a:lnTo>
                <a:pt x="145534" y="4366544"/>
              </a:lnTo>
              <a:lnTo>
                <a:pt x="209615" y="4300262"/>
              </a:lnTo>
              <a:lnTo>
                <a:pt x="228637" y="4280587"/>
              </a:lnTo>
              <a:lnTo>
                <a:pt x="2283826" y="2154819"/>
              </a:lnTo>
              <a:lnTo>
                <a:pt x="2302930" y="2135058"/>
              </a:lnTo>
              <a:lnTo>
                <a:pt x="4367101" y="0"/>
              </a:lnTo>
              <a:lnTo>
                <a:pt x="4330843" y="0"/>
              </a:lnTo>
              <a:lnTo>
                <a:pt x="2284635" y="2116478"/>
              </a:lnTo>
              <a:lnTo>
                <a:pt x="2265697" y="2136067"/>
              </a:lnTo>
              <a:lnTo>
                <a:pt x="210508" y="4261835"/>
              </a:lnTo>
              <a:lnTo>
                <a:pt x="191486" y="42815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0.68557</cdr:x>
      <cdr:y>0.67501</cdr:y>
    </cdr:to>
    <cdr:sp macro="" textlink="">
      <cdr:nvSpPr>
        <cdr:cNvPr id="10" name="FracNo 504 StartRow 139">
          <a:extLst xmlns:a="http://schemas.openxmlformats.org/drawingml/2006/main">
            <a:ext uri="{FF2B5EF4-FFF2-40B4-BE49-F238E27FC236}">
              <a16:creationId xmlns:a16="http://schemas.microsoft.com/office/drawing/2014/main" id="{A721B150-09A2-9CF1-4255-7029E5F2CF01}"/>
            </a:ext>
          </a:extLst>
        </cdr:cNvPr>
        <cdr:cNvSpPr/>
      </cdr:nvSpPr>
      <cdr:spPr>
        <a:xfrm xmlns:a="http://schemas.openxmlformats.org/drawingml/2006/main">
          <a:off x="671676" y="651036"/>
          <a:ext cx="4343394" cy="4492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43394" h="4492555">
              <a:moveTo>
                <a:pt x="2187357" y="2192575"/>
              </a:moveTo>
              <a:lnTo>
                <a:pt x="2065146" y="2318983"/>
              </a:lnTo>
              <a:lnTo>
                <a:pt x="176071" y="4272934"/>
              </a:lnTo>
              <a:lnTo>
                <a:pt x="0" y="4455051"/>
              </a:lnTo>
              <a:lnTo>
                <a:pt x="0" y="4492554"/>
              </a:lnTo>
              <a:lnTo>
                <a:pt x="177616" y="4308838"/>
              </a:lnTo>
              <a:lnTo>
                <a:pt x="2083275" y="2337735"/>
              </a:lnTo>
              <a:lnTo>
                <a:pt x="2205487" y="2211327"/>
              </a:lnTo>
              <a:lnTo>
                <a:pt x="2260118" y="2154819"/>
              </a:lnTo>
              <a:lnTo>
                <a:pt x="4165777" y="183716"/>
              </a:lnTo>
              <a:lnTo>
                <a:pt x="4343393" y="0"/>
              </a:lnTo>
              <a:lnTo>
                <a:pt x="4307135" y="0"/>
              </a:lnTo>
              <a:lnTo>
                <a:pt x="4131064" y="182117"/>
              </a:lnTo>
              <a:lnTo>
                <a:pt x="2241989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0.11123</cdr:x>
      <cdr:y>0.29892</cdr:y>
    </cdr:from>
    <cdr:to>
      <cdr:x>0.69032</cdr:x>
      <cdr:y>0.87393</cdr:y>
    </cdr:to>
    <cdr:sp macro="" textlink="">
      <cdr:nvSpPr>
        <cdr:cNvPr id="11" name="FracNo 273 StartRow 156">
          <a:extLst xmlns:a="http://schemas.openxmlformats.org/drawingml/2006/main">
            <a:ext uri="{FF2B5EF4-FFF2-40B4-BE49-F238E27FC236}">
              <a16:creationId xmlns:a16="http://schemas.microsoft.com/office/drawing/2014/main" id="{D1E8F9E4-75B4-2FE9-9CDC-0305EF062578}"/>
            </a:ext>
          </a:extLst>
        </cdr:cNvPr>
        <cdr:cNvSpPr/>
      </cdr:nvSpPr>
      <cdr:spPr>
        <a:xfrm xmlns:a="http://schemas.openxmlformats.org/drawingml/2006/main">
          <a:off x="813694" y="2277789"/>
          <a:ext cx="4236109" cy="4381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36109" h="4381586">
              <a:moveTo>
                <a:pt x="3914841" y="313549"/>
              </a:moveTo>
              <a:lnTo>
                <a:pt x="3725575" y="509314"/>
              </a:lnTo>
              <a:lnTo>
                <a:pt x="1923128" y="2373661"/>
              </a:lnTo>
              <a:lnTo>
                <a:pt x="1651365" y="2654757"/>
              </a:lnTo>
              <a:lnTo>
                <a:pt x="0" y="4362833"/>
              </a:lnTo>
              <a:lnTo>
                <a:pt x="18129" y="4381585"/>
              </a:lnTo>
              <a:lnTo>
                <a:pt x="1669494" y="2673509"/>
              </a:lnTo>
              <a:lnTo>
                <a:pt x="1941257" y="2392413"/>
              </a:lnTo>
              <a:lnTo>
                <a:pt x="3743705" y="528066"/>
              </a:lnTo>
              <a:lnTo>
                <a:pt x="3932970" y="332301"/>
              </a:lnTo>
              <a:lnTo>
                <a:pt x="4015467" y="246970"/>
              </a:lnTo>
              <a:lnTo>
                <a:pt x="4236108" y="18752"/>
              </a:lnTo>
              <a:lnTo>
                <a:pt x="4217979" y="0"/>
              </a:lnTo>
              <a:lnTo>
                <a:pt x="3997338" y="2282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0.36807</cdr:x>
      <cdr:y>0.35975</cdr:y>
    </cdr:from>
    <cdr:to>
      <cdr:x>0.94246</cdr:x>
      <cdr:y>0.9301</cdr:y>
    </cdr:to>
    <cdr:sp macro="" textlink="">
      <cdr:nvSpPr>
        <cdr:cNvPr id="12" name="FracNo 109 StartRow 173">
          <a:extLst xmlns:a="http://schemas.openxmlformats.org/drawingml/2006/main">
            <a:ext uri="{FF2B5EF4-FFF2-40B4-BE49-F238E27FC236}">
              <a16:creationId xmlns:a16="http://schemas.microsoft.com/office/drawing/2014/main" id="{286B894B-973E-1688-465A-3B8CE82C55DE}"/>
            </a:ext>
          </a:extLst>
        </cdr:cNvPr>
        <cdr:cNvSpPr/>
      </cdr:nvSpPr>
      <cdr:spPr>
        <a:xfrm xmlns:a="http://schemas.openxmlformats.org/drawingml/2006/main">
          <a:off x="2692541" y="2741301"/>
          <a:ext cx="4201767" cy="4346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1767" h="4346065">
              <a:moveTo>
                <a:pt x="2030409" y="2283430"/>
              </a:moveTo>
              <a:lnTo>
                <a:pt x="71315" y="4309803"/>
              </a:lnTo>
              <a:lnTo>
                <a:pt x="36258" y="4346064"/>
              </a:lnTo>
              <a:lnTo>
                <a:pt x="0" y="4346064"/>
              </a:lnTo>
              <a:lnTo>
                <a:pt x="35375" y="4309473"/>
              </a:lnTo>
              <a:lnTo>
                <a:pt x="2011657" y="2265323"/>
              </a:lnTo>
              <a:lnTo>
                <a:pt x="2083275" y="2191245"/>
              </a:lnTo>
              <a:lnTo>
                <a:pt x="2118491" y="2154820"/>
              </a:lnTo>
              <a:lnTo>
                <a:pt x="4166396" y="36585"/>
              </a:lnTo>
              <a:lnTo>
                <a:pt x="4201766" y="0"/>
              </a:lnTo>
              <a:lnTo>
                <a:pt x="4201766" y="37504"/>
              </a:lnTo>
              <a:lnTo>
                <a:pt x="4166704" y="73771"/>
              </a:lnTo>
              <a:lnTo>
                <a:pt x="2136620" y="2173571"/>
              </a:lnTo>
              <a:lnTo>
                <a:pt x="2101404" y="22099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0.1472</cdr:x>
      <cdr:y>0.38545</cdr:y>
    </cdr:from>
    <cdr:to>
      <cdr:x>0.69819</cdr:x>
      <cdr:y>0.9301</cdr:y>
    </cdr:to>
    <cdr:sp macro="" textlink="">
      <cdr:nvSpPr>
        <cdr:cNvPr id="13" name="FracNo 32 StartRow 190">
          <a:extLst xmlns:a="http://schemas.openxmlformats.org/drawingml/2006/main">
            <a:ext uri="{FF2B5EF4-FFF2-40B4-BE49-F238E27FC236}">
              <a16:creationId xmlns:a16="http://schemas.microsoft.com/office/drawing/2014/main" id="{BE87D656-8463-F7F6-E218-E1E0F8DF33D6}"/>
            </a:ext>
          </a:extLst>
        </cdr:cNvPr>
        <cdr:cNvSpPr/>
      </cdr:nvSpPr>
      <cdr:spPr>
        <a:xfrm xmlns:a="http://schemas.openxmlformats.org/drawingml/2006/main">
          <a:off x="1076801" y="2937117"/>
          <a:ext cx="4030583" cy="4150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0583" h="4150249">
              <a:moveTo>
                <a:pt x="444360" y="3728132"/>
              </a:moveTo>
              <a:lnTo>
                <a:pt x="36258" y="4150248"/>
              </a:lnTo>
              <a:lnTo>
                <a:pt x="0" y="4150248"/>
              </a:lnTo>
              <a:lnTo>
                <a:pt x="412607" y="3723471"/>
              </a:lnTo>
              <a:lnTo>
                <a:pt x="1660021" y="2433219"/>
              </a:lnTo>
              <a:lnTo>
                <a:pt x="2083275" y="1995429"/>
              </a:lnTo>
              <a:lnTo>
                <a:pt x="3734231" y="287775"/>
              </a:lnTo>
              <a:lnTo>
                <a:pt x="4012452" y="0"/>
              </a:lnTo>
              <a:lnTo>
                <a:pt x="4030582" y="18752"/>
              </a:lnTo>
              <a:lnTo>
                <a:pt x="3752360" y="306528"/>
              </a:lnTo>
              <a:lnTo>
                <a:pt x="2101404" y="2014181"/>
              </a:lnTo>
              <a:lnTo>
                <a:pt x="1678150" y="24519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0.39351</cdr:x>
      <cdr:y>0.38501</cdr:y>
    </cdr:from>
    <cdr:to>
      <cdr:x>0.94246</cdr:x>
      <cdr:y>0.9301</cdr:y>
    </cdr:to>
    <cdr:sp macro="" textlink="">
      <cdr:nvSpPr>
        <cdr:cNvPr id="14" name="FracNo 421 StartRow 205">
          <a:extLst xmlns:a="http://schemas.openxmlformats.org/drawingml/2006/main">
            <a:ext uri="{FF2B5EF4-FFF2-40B4-BE49-F238E27FC236}">
              <a16:creationId xmlns:a16="http://schemas.microsoft.com/office/drawing/2014/main" id="{BFA031E5-23A2-C926-A989-C967152E78C7}"/>
            </a:ext>
          </a:extLst>
        </cdr:cNvPr>
        <cdr:cNvSpPr/>
      </cdr:nvSpPr>
      <cdr:spPr>
        <a:xfrm xmlns:a="http://schemas.openxmlformats.org/drawingml/2006/main">
          <a:off x="2878604" y="2933754"/>
          <a:ext cx="4015704" cy="4153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5704" h="4153612">
              <a:moveTo>
                <a:pt x="2385925" y="1723252"/>
              </a:moveTo>
              <a:lnTo>
                <a:pt x="2101404" y="2017544"/>
              </a:lnTo>
              <a:lnTo>
                <a:pt x="1951217" y="2172889"/>
              </a:lnTo>
              <a:lnTo>
                <a:pt x="36258" y="4153611"/>
              </a:lnTo>
              <a:lnTo>
                <a:pt x="0" y="4153611"/>
              </a:lnTo>
              <a:lnTo>
                <a:pt x="1931769" y="2155501"/>
              </a:lnTo>
              <a:lnTo>
                <a:pt x="2083275" y="1998792"/>
              </a:lnTo>
              <a:lnTo>
                <a:pt x="2370491" y="1701713"/>
              </a:lnTo>
              <a:lnTo>
                <a:pt x="4015703" y="0"/>
              </a:lnTo>
              <a:lnTo>
                <a:pt x="401570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0.10143</cdr:x>
      <cdr:y>0.38987</cdr:y>
    </cdr:from>
    <cdr:to>
      <cdr:x>0.64797</cdr:x>
      <cdr:y>0.9301</cdr:y>
    </cdr:to>
    <cdr:sp macro="" textlink="">
      <cdr:nvSpPr>
        <cdr:cNvPr id="15" name="FracNo 513 StartRow 218">
          <a:extLst xmlns:a="http://schemas.openxmlformats.org/drawingml/2006/main">
            <a:ext uri="{FF2B5EF4-FFF2-40B4-BE49-F238E27FC236}">
              <a16:creationId xmlns:a16="http://schemas.microsoft.com/office/drawing/2014/main" id="{C766A201-4AB9-42B4-3DC4-E14112155953}"/>
            </a:ext>
          </a:extLst>
        </cdr:cNvPr>
        <cdr:cNvSpPr/>
      </cdr:nvSpPr>
      <cdr:spPr>
        <a:xfrm xmlns:a="http://schemas.openxmlformats.org/drawingml/2006/main">
          <a:off x="741974" y="2970775"/>
          <a:ext cx="3998042" cy="4116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98042" h="4116591">
              <a:moveTo>
                <a:pt x="3007673" y="1005627"/>
              </a:moveTo>
              <a:lnTo>
                <a:pt x="2083275" y="1961771"/>
              </a:lnTo>
              <a:lnTo>
                <a:pt x="1994461" y="2053635"/>
              </a:lnTo>
              <a:lnTo>
                <a:pt x="0" y="4116590"/>
              </a:lnTo>
              <a:lnTo>
                <a:pt x="36259" y="4116590"/>
              </a:lnTo>
              <a:lnTo>
                <a:pt x="2013364" y="2071588"/>
              </a:lnTo>
              <a:lnTo>
                <a:pt x="2101405" y="1980523"/>
              </a:lnTo>
              <a:lnTo>
                <a:pt x="3025803" y="1024379"/>
              </a:lnTo>
              <a:lnTo>
                <a:pt x="3998041" y="18752"/>
              </a:lnTo>
              <a:lnTo>
                <a:pt x="39799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0.24973</cdr:x>
      <cdr:y>0.39625</cdr:y>
    </cdr:from>
    <cdr:to>
      <cdr:x>0.78984</cdr:x>
      <cdr:y>0.9301</cdr:y>
    </cdr:to>
    <cdr:sp macro="" textlink="">
      <cdr:nvSpPr>
        <cdr:cNvPr id="16" name="FracNo 509 StartRow 231">
          <a:extLst xmlns:a="http://schemas.openxmlformats.org/drawingml/2006/main">
            <a:ext uri="{FF2B5EF4-FFF2-40B4-BE49-F238E27FC236}">
              <a16:creationId xmlns:a16="http://schemas.microsoft.com/office/drawing/2014/main" id="{39F8FA5D-5FC5-B24F-1EC4-A7A85C1A9509}"/>
            </a:ext>
          </a:extLst>
        </cdr:cNvPr>
        <cdr:cNvSpPr/>
      </cdr:nvSpPr>
      <cdr:spPr>
        <a:xfrm xmlns:a="http://schemas.openxmlformats.org/drawingml/2006/main">
          <a:off x="1826826" y="3019440"/>
          <a:ext cx="3950993" cy="40679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0993" h="4067926">
              <a:moveTo>
                <a:pt x="2852066" y="1155418"/>
              </a:moveTo>
              <a:lnTo>
                <a:pt x="2101404" y="1931858"/>
              </a:lnTo>
              <a:lnTo>
                <a:pt x="933252" y="3140126"/>
              </a:lnTo>
              <a:lnTo>
                <a:pt x="36259" y="4067925"/>
              </a:lnTo>
              <a:lnTo>
                <a:pt x="0" y="4067925"/>
              </a:lnTo>
              <a:lnTo>
                <a:pt x="904869" y="3131981"/>
              </a:lnTo>
              <a:lnTo>
                <a:pt x="2083275" y="1913106"/>
              </a:lnTo>
              <a:lnTo>
                <a:pt x="2833936" y="1136666"/>
              </a:lnTo>
              <a:lnTo>
                <a:pt x="2984206" y="981235"/>
              </a:lnTo>
              <a:lnTo>
                <a:pt x="3932863" y="0"/>
              </a:lnTo>
              <a:lnTo>
                <a:pt x="3950992" y="18752"/>
              </a:lnTo>
              <a:lnTo>
                <a:pt x="3002335" y="9999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0.40639</cdr:x>
      <cdr:y>0.11352</cdr:y>
    </cdr:from>
    <cdr:to>
      <cdr:x>0.94246</cdr:x>
      <cdr:y>0.64829</cdr:y>
    </cdr:to>
    <cdr:sp macro="" textlink="">
      <cdr:nvSpPr>
        <cdr:cNvPr id="17" name="FracNo 507 StartRow 246">
          <a:extLst xmlns:a="http://schemas.openxmlformats.org/drawingml/2006/main">
            <a:ext uri="{FF2B5EF4-FFF2-40B4-BE49-F238E27FC236}">
              <a16:creationId xmlns:a16="http://schemas.microsoft.com/office/drawing/2014/main" id="{0EC30DD0-85FD-05BC-64F0-D1990C9066B5}"/>
            </a:ext>
          </a:extLst>
        </cdr:cNvPr>
        <cdr:cNvSpPr/>
      </cdr:nvSpPr>
      <cdr:spPr>
        <a:xfrm xmlns:a="http://schemas.openxmlformats.org/drawingml/2006/main">
          <a:off x="2972796" y="865007"/>
          <a:ext cx="3921512" cy="4074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1512" h="4074937">
              <a:moveTo>
                <a:pt x="523912" y="3551783"/>
              </a:moveTo>
              <a:lnTo>
                <a:pt x="18129" y="4074936"/>
              </a:lnTo>
              <a:lnTo>
                <a:pt x="0" y="4056184"/>
              </a:lnTo>
              <a:lnTo>
                <a:pt x="505783" y="3533032"/>
              </a:lnTo>
              <a:lnTo>
                <a:pt x="1838236" y="2154819"/>
              </a:lnTo>
              <a:lnTo>
                <a:pt x="2064216" y="1921079"/>
              </a:lnTo>
              <a:lnTo>
                <a:pt x="3921511" y="0"/>
              </a:lnTo>
              <a:lnTo>
                <a:pt x="3921511" y="37504"/>
              </a:lnTo>
              <a:lnTo>
                <a:pt x="2080378" y="1941865"/>
              </a:lnTo>
              <a:lnTo>
                <a:pt x="1856365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0.18224</cdr:x>
      <cdr:y>0.12189</cdr:y>
    </cdr:from>
    <cdr:to>
      <cdr:x>0.70399</cdr:x>
      <cdr:y>0.63998</cdr:y>
    </cdr:to>
    <cdr:sp macro="" textlink="">
      <cdr:nvSpPr>
        <cdr:cNvPr id="18" name="FracNo 265 StartRow 259">
          <a:extLst xmlns:a="http://schemas.openxmlformats.org/drawingml/2006/main">
            <a:ext uri="{FF2B5EF4-FFF2-40B4-BE49-F238E27FC236}">
              <a16:creationId xmlns:a16="http://schemas.microsoft.com/office/drawing/2014/main" id="{94DBE219-D4E2-85E5-0B13-DA2626408460}"/>
            </a:ext>
          </a:extLst>
        </cdr:cNvPr>
        <cdr:cNvSpPr/>
      </cdr:nvSpPr>
      <cdr:spPr>
        <a:xfrm xmlns:a="http://schemas.openxmlformats.org/drawingml/2006/main">
          <a:off x="1333104" y="928827"/>
          <a:ext cx="3816749" cy="39478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6749" h="3947824">
              <a:moveTo>
                <a:pt x="2058487" y="1837395"/>
              </a:moveTo>
              <a:lnTo>
                <a:pt x="2020170" y="1877028"/>
              </a:lnTo>
              <a:lnTo>
                <a:pt x="1421847" y="2495898"/>
              </a:lnTo>
              <a:lnTo>
                <a:pt x="18130" y="3947823"/>
              </a:lnTo>
              <a:lnTo>
                <a:pt x="0" y="3929071"/>
              </a:lnTo>
              <a:lnTo>
                <a:pt x="1403718" y="2477147"/>
              </a:lnTo>
              <a:lnTo>
                <a:pt x="2002041" y="1858276"/>
              </a:lnTo>
              <a:lnTo>
                <a:pt x="2040358" y="1818643"/>
              </a:lnTo>
              <a:lnTo>
                <a:pt x="3477928" y="331704"/>
              </a:lnTo>
              <a:lnTo>
                <a:pt x="3798619" y="0"/>
              </a:lnTo>
              <a:lnTo>
                <a:pt x="3816748" y="18752"/>
              </a:lnTo>
              <a:lnTo>
                <a:pt x="3496057" y="3504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0.60314</cdr:x>
      <cdr:y>0.59316</cdr:y>
    </cdr:to>
    <cdr:sp macro="" textlink="">
      <cdr:nvSpPr>
        <cdr:cNvPr id="19" name="FracNo 271 StartRow 274">
          <a:extLst xmlns:a="http://schemas.openxmlformats.org/drawingml/2006/main">
            <a:ext uri="{FF2B5EF4-FFF2-40B4-BE49-F238E27FC236}">
              <a16:creationId xmlns:a16="http://schemas.microsoft.com/office/drawing/2014/main" id="{ED8DFF64-3E2F-8E82-B34C-E37671C008CE}"/>
            </a:ext>
          </a:extLst>
        </cdr:cNvPr>
        <cdr:cNvSpPr/>
      </cdr:nvSpPr>
      <cdr:spPr>
        <a:xfrm xmlns:a="http://schemas.openxmlformats.org/drawingml/2006/main">
          <a:off x="671676" y="651036"/>
          <a:ext cx="3740420" cy="3868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40420" h="3868873">
              <a:moveTo>
                <a:pt x="3622926" y="84024"/>
              </a:moveTo>
              <a:lnTo>
                <a:pt x="2065146" y="1695301"/>
              </a:lnTo>
              <a:lnTo>
                <a:pt x="1640877" y="2134141"/>
              </a:lnTo>
              <a:lnTo>
                <a:pt x="0" y="3831369"/>
              </a:lnTo>
              <a:lnTo>
                <a:pt x="0" y="3868872"/>
              </a:lnTo>
              <a:lnTo>
                <a:pt x="1655281" y="2156745"/>
              </a:lnTo>
              <a:lnTo>
                <a:pt x="2083275" y="1714053"/>
              </a:lnTo>
              <a:lnTo>
                <a:pt x="3658286" y="84953"/>
              </a:lnTo>
              <a:lnTo>
                <a:pt x="3740419" y="0"/>
              </a:lnTo>
              <a:lnTo>
                <a:pt x="37041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0.11063</cdr:x>
      <cdr:y>0.29905</cdr:y>
    </cdr:from>
    <cdr:to>
      <cdr:x>0.60946</cdr:x>
      <cdr:y>0.79437</cdr:y>
    </cdr:to>
    <cdr:sp macro="" textlink="">
      <cdr:nvSpPr>
        <cdr:cNvPr id="20" name="FracNo 268 StartRow 287">
          <a:extLst xmlns:a="http://schemas.openxmlformats.org/drawingml/2006/main">
            <a:ext uri="{FF2B5EF4-FFF2-40B4-BE49-F238E27FC236}">
              <a16:creationId xmlns:a16="http://schemas.microsoft.com/office/drawing/2014/main" id="{3E4688E9-0440-FD43-62DE-4B301646E5B2}"/>
            </a:ext>
          </a:extLst>
        </cdr:cNvPr>
        <cdr:cNvSpPr/>
      </cdr:nvSpPr>
      <cdr:spPr>
        <a:xfrm xmlns:a="http://schemas.openxmlformats.org/drawingml/2006/main">
          <a:off x="809284" y="2278799"/>
          <a:ext cx="3649024" cy="3774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9024" h="3774338">
              <a:moveTo>
                <a:pt x="3228067" y="416660"/>
              </a:moveTo>
              <a:lnTo>
                <a:pt x="3139466" y="508304"/>
              </a:lnTo>
              <a:lnTo>
                <a:pt x="1927538" y="1761852"/>
              </a:lnTo>
              <a:lnTo>
                <a:pt x="1065255" y="2653747"/>
              </a:lnTo>
              <a:lnTo>
                <a:pt x="0" y="3755586"/>
              </a:lnTo>
              <a:lnTo>
                <a:pt x="18129" y="3774337"/>
              </a:lnTo>
              <a:lnTo>
                <a:pt x="1083384" y="2672499"/>
              </a:lnTo>
              <a:lnTo>
                <a:pt x="1945667" y="1780604"/>
              </a:lnTo>
              <a:lnTo>
                <a:pt x="3157595" y="527056"/>
              </a:lnTo>
              <a:lnTo>
                <a:pt x="3246196" y="435412"/>
              </a:lnTo>
              <a:lnTo>
                <a:pt x="3649023" y="18752"/>
              </a:lnTo>
              <a:lnTo>
                <a:pt x="36308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0.42629</cdr:x>
      <cdr:y>0.45144</cdr:y>
    </cdr:from>
    <cdr:to>
      <cdr:x>0.90932</cdr:x>
      <cdr:y>0.93107</cdr:y>
    </cdr:to>
    <cdr:sp macro="" textlink="">
      <cdr:nvSpPr>
        <cdr:cNvPr id="21" name="FracNo 436 StartRow 302">
          <a:extLst xmlns:a="http://schemas.openxmlformats.org/drawingml/2006/main">
            <a:ext uri="{FF2B5EF4-FFF2-40B4-BE49-F238E27FC236}">
              <a16:creationId xmlns:a16="http://schemas.microsoft.com/office/drawing/2014/main" id="{52F6447B-8743-61D8-054F-2DF10FC6F2B6}"/>
            </a:ext>
          </a:extLst>
        </cdr:cNvPr>
        <cdr:cNvSpPr/>
      </cdr:nvSpPr>
      <cdr:spPr>
        <a:xfrm xmlns:a="http://schemas.openxmlformats.org/drawingml/2006/main">
          <a:off x="3118432" y="3439980"/>
          <a:ext cx="3533396" cy="3654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3396" h="3654741">
              <a:moveTo>
                <a:pt x="3281996" y="241281"/>
              </a:moveTo>
              <a:lnTo>
                <a:pt x="2072256" y="1492566"/>
              </a:lnTo>
              <a:lnTo>
                <a:pt x="1692600" y="1885260"/>
              </a:lnTo>
              <a:lnTo>
                <a:pt x="0" y="3635987"/>
              </a:lnTo>
              <a:lnTo>
                <a:pt x="18129" y="3654740"/>
              </a:lnTo>
              <a:lnTo>
                <a:pt x="1710729" y="1904012"/>
              </a:lnTo>
              <a:lnTo>
                <a:pt x="2090385" y="1511318"/>
              </a:lnTo>
              <a:lnTo>
                <a:pt x="3300125" y="260033"/>
              </a:lnTo>
              <a:lnTo>
                <a:pt x="3533395" y="18752"/>
              </a:lnTo>
              <a:lnTo>
                <a:pt x="3515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0.46655</cdr:x>
      <cdr:y>0.45754</cdr:y>
    </cdr:from>
    <cdr:to>
      <cdr:x>0.94246</cdr:x>
      <cdr:y>0.9301</cdr:y>
    </cdr:to>
    <cdr:sp macro="" textlink="">
      <cdr:nvSpPr>
        <cdr:cNvPr id="22" name="FracNo 101 StartRow 315">
          <a:extLst xmlns:a="http://schemas.openxmlformats.org/drawingml/2006/main">
            <a:ext uri="{FF2B5EF4-FFF2-40B4-BE49-F238E27FC236}">
              <a16:creationId xmlns:a16="http://schemas.microsoft.com/office/drawing/2014/main" id="{FCBA44F7-5673-F60D-E00E-CD2A249880BA}"/>
            </a:ext>
          </a:extLst>
        </cdr:cNvPr>
        <cdr:cNvSpPr/>
      </cdr:nvSpPr>
      <cdr:spPr>
        <a:xfrm xmlns:a="http://schemas.openxmlformats.org/drawingml/2006/main">
          <a:off x="3412919" y="3486419"/>
          <a:ext cx="3481389" cy="36009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81389" h="3600947">
              <a:moveTo>
                <a:pt x="636241" y="2942855"/>
              </a:moveTo>
              <a:lnTo>
                <a:pt x="0" y="3600946"/>
              </a:lnTo>
              <a:lnTo>
                <a:pt x="36258" y="3600946"/>
              </a:lnTo>
              <a:lnTo>
                <a:pt x="664250" y="2951388"/>
              </a:lnTo>
              <a:lnTo>
                <a:pt x="1416242" y="2173570"/>
              </a:lnTo>
              <a:lnTo>
                <a:pt x="2098410" y="1467976"/>
              </a:lnTo>
              <a:lnTo>
                <a:pt x="3481388" y="37504"/>
              </a:lnTo>
              <a:lnTo>
                <a:pt x="3481388" y="0"/>
              </a:lnTo>
              <a:lnTo>
                <a:pt x="2086269" y="1443030"/>
              </a:lnTo>
              <a:lnTo>
                <a:pt x="1398113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0.47419</cdr:x>
      <cdr:y>0.31949</cdr:y>
    </cdr:from>
    <cdr:to>
      <cdr:x>0.94246</cdr:x>
      <cdr:y>0.78693</cdr:y>
    </cdr:to>
    <cdr:sp macro="" textlink="">
      <cdr:nvSpPr>
        <cdr:cNvPr id="23" name="FracNo 107 StartRow 328">
          <a:extLst xmlns:a="http://schemas.openxmlformats.org/drawingml/2006/main">
            <a:ext uri="{FF2B5EF4-FFF2-40B4-BE49-F238E27FC236}">
              <a16:creationId xmlns:a16="http://schemas.microsoft.com/office/drawing/2014/main" id="{07BFB459-1E15-5DCC-2F73-7267F8391026}"/>
            </a:ext>
          </a:extLst>
        </cdr:cNvPr>
        <cdr:cNvSpPr/>
      </cdr:nvSpPr>
      <cdr:spPr>
        <a:xfrm xmlns:a="http://schemas.openxmlformats.org/drawingml/2006/main">
          <a:off x="3468798" y="2434483"/>
          <a:ext cx="3425510" cy="3561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25510" h="3561900">
              <a:moveTo>
                <a:pt x="175183" y="3361948"/>
              </a:moveTo>
              <a:lnTo>
                <a:pt x="0" y="3543147"/>
              </a:lnTo>
              <a:lnTo>
                <a:pt x="18129" y="3561899"/>
              </a:lnTo>
              <a:lnTo>
                <a:pt x="193313" y="3380700"/>
              </a:lnTo>
              <a:lnTo>
                <a:pt x="1028515" y="2516815"/>
              </a:lnTo>
              <a:lnTo>
                <a:pt x="1360363" y="2173571"/>
              </a:lnTo>
              <a:lnTo>
                <a:pt x="3095111" y="379248"/>
              </a:lnTo>
              <a:lnTo>
                <a:pt x="3425509" y="37503"/>
              </a:lnTo>
              <a:lnTo>
                <a:pt x="3425509" y="0"/>
              </a:lnTo>
              <a:lnTo>
                <a:pt x="3092211" y="344744"/>
              </a:lnTo>
              <a:lnTo>
                <a:pt x="1342234" y="2154819"/>
              </a:lnTo>
              <a:lnTo>
                <a:pt x="1010386" y="24980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0.49119</cdr:x>
      <cdr:y>0.28007</cdr:y>
    </cdr:from>
    <cdr:to>
      <cdr:x>0.94246</cdr:x>
      <cdr:y>0.73063</cdr:y>
    </cdr:to>
    <cdr:sp macro="" textlink="">
      <cdr:nvSpPr>
        <cdr:cNvPr id="24" name="FracNo 440 StartRow 343">
          <a:extLst xmlns:a="http://schemas.openxmlformats.org/drawingml/2006/main">
            <a:ext uri="{FF2B5EF4-FFF2-40B4-BE49-F238E27FC236}">
              <a16:creationId xmlns:a16="http://schemas.microsoft.com/office/drawing/2014/main" id="{00484370-B7F4-89E0-7F1C-F003C33676B6}"/>
            </a:ext>
          </a:extLst>
        </cdr:cNvPr>
        <cdr:cNvSpPr/>
      </cdr:nvSpPr>
      <cdr:spPr>
        <a:xfrm xmlns:a="http://schemas.openxmlformats.org/drawingml/2006/main">
          <a:off x="3593172" y="2134111"/>
          <a:ext cx="3301136" cy="3433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1136" h="3433256">
              <a:moveTo>
                <a:pt x="1494518" y="1906164"/>
              </a:moveTo>
              <a:lnTo>
                <a:pt x="1235989" y="2173571"/>
              </a:lnTo>
              <a:lnTo>
                <a:pt x="613743" y="2817187"/>
              </a:lnTo>
              <a:lnTo>
                <a:pt x="18129" y="3433255"/>
              </a:lnTo>
              <a:lnTo>
                <a:pt x="0" y="3414503"/>
              </a:lnTo>
              <a:lnTo>
                <a:pt x="595613" y="2798435"/>
              </a:lnTo>
              <a:lnTo>
                <a:pt x="1217860" y="2154819"/>
              </a:lnTo>
              <a:lnTo>
                <a:pt x="1478519" y="1885209"/>
              </a:lnTo>
              <a:lnTo>
                <a:pt x="2675781" y="646831"/>
              </a:lnTo>
              <a:lnTo>
                <a:pt x="3301135" y="0"/>
              </a:lnTo>
              <a:lnTo>
                <a:pt x="3301135" y="37504"/>
              </a:lnTo>
              <a:lnTo>
                <a:pt x="2681997" y="6779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0.1817</cdr:y>
    </cdr:from>
    <cdr:to>
      <cdr:x>0.54071</cdr:x>
      <cdr:y>0.62743</cdr:y>
    </cdr:to>
    <cdr:sp macro="" textlink="">
      <cdr:nvSpPr>
        <cdr:cNvPr id="25" name="FracNo 248 StartRow 358">
          <a:extLst xmlns:a="http://schemas.openxmlformats.org/drawingml/2006/main">
            <a:ext uri="{FF2B5EF4-FFF2-40B4-BE49-F238E27FC236}">
              <a16:creationId xmlns:a16="http://schemas.microsoft.com/office/drawing/2014/main" id="{0578FDD0-D497-2507-68F0-AFFC8BD19BC5}"/>
            </a:ext>
          </a:extLst>
        </cdr:cNvPr>
        <cdr:cNvSpPr/>
      </cdr:nvSpPr>
      <cdr:spPr>
        <a:xfrm xmlns:a="http://schemas.openxmlformats.org/drawingml/2006/main">
          <a:off x="671676" y="1384541"/>
          <a:ext cx="3283710" cy="3396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3710" h="3396478">
              <a:moveTo>
                <a:pt x="3234215" y="51193"/>
              </a:moveTo>
              <a:lnTo>
                <a:pt x="2074210" y="1251034"/>
              </a:lnTo>
              <a:lnTo>
                <a:pt x="1918649" y="1411938"/>
              </a:lnTo>
              <a:lnTo>
                <a:pt x="0" y="3396477"/>
              </a:lnTo>
              <a:lnTo>
                <a:pt x="0" y="3396477"/>
              </a:lnTo>
              <a:lnTo>
                <a:pt x="1918649" y="1411938"/>
              </a:lnTo>
              <a:lnTo>
                <a:pt x="2074210" y="1251034"/>
              </a:lnTo>
              <a:lnTo>
                <a:pt x="3234215" y="51193"/>
              </a:lnTo>
              <a:lnTo>
                <a:pt x="3283709" y="0"/>
              </a:lnTo>
              <a:lnTo>
                <a:pt x="32837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0.24284</cdr:x>
      <cdr:y>0.08544</cdr:y>
    </cdr:from>
    <cdr:to>
      <cdr:x>0.69383</cdr:x>
      <cdr:y>0.5308</cdr:y>
    </cdr:to>
    <cdr:sp macro="" textlink="">
      <cdr:nvSpPr>
        <cdr:cNvPr id="26" name="FracNo 661 StartRow 371">
          <a:extLst xmlns:a="http://schemas.openxmlformats.org/drawingml/2006/main">
            <a:ext uri="{FF2B5EF4-FFF2-40B4-BE49-F238E27FC236}">
              <a16:creationId xmlns:a16="http://schemas.microsoft.com/office/drawing/2014/main" id="{DE1BDC2D-30E4-5DE8-9C84-1DE00202446C}"/>
            </a:ext>
          </a:extLst>
        </cdr:cNvPr>
        <cdr:cNvSpPr/>
      </cdr:nvSpPr>
      <cdr:spPr>
        <a:xfrm xmlns:a="http://schemas.openxmlformats.org/drawingml/2006/main">
          <a:off x="1776387" y="651036"/>
          <a:ext cx="3299100" cy="3393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9100" h="3393646">
              <a:moveTo>
                <a:pt x="889485" y="2454861"/>
              </a:moveTo>
              <a:lnTo>
                <a:pt x="0" y="3374893"/>
              </a:lnTo>
              <a:lnTo>
                <a:pt x="18129" y="3393645"/>
              </a:lnTo>
              <a:lnTo>
                <a:pt x="907614" y="2473613"/>
              </a:lnTo>
              <a:lnTo>
                <a:pt x="978564" y="2400226"/>
              </a:lnTo>
              <a:lnTo>
                <a:pt x="1215824" y="2154819"/>
              </a:lnTo>
              <a:lnTo>
                <a:pt x="3060802" y="246480"/>
              </a:lnTo>
              <a:lnTo>
                <a:pt x="3299099" y="0"/>
              </a:lnTo>
              <a:lnTo>
                <a:pt x="3262840" y="0"/>
              </a:lnTo>
              <a:lnTo>
                <a:pt x="3026617" y="244336"/>
              </a:lnTo>
              <a:lnTo>
                <a:pt x="1197694" y="2136067"/>
              </a:lnTo>
              <a:lnTo>
                <a:pt x="960435" y="23814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0.46408</cdr:y>
    </cdr:from>
    <cdr:to>
      <cdr:x>0.53062</cdr:x>
      <cdr:y>0.90226</cdr:y>
    </cdr:to>
    <cdr:sp macro="" textlink="">
      <cdr:nvSpPr>
        <cdr:cNvPr id="27" name="FracNo 33 StartRow 386">
          <a:extLst xmlns:a="http://schemas.openxmlformats.org/drawingml/2006/main">
            <a:ext uri="{FF2B5EF4-FFF2-40B4-BE49-F238E27FC236}">
              <a16:creationId xmlns:a16="http://schemas.microsoft.com/office/drawing/2014/main" id="{B3783989-17CE-33F2-7C73-18F365AA87A5}"/>
            </a:ext>
          </a:extLst>
        </cdr:cNvPr>
        <cdr:cNvSpPr/>
      </cdr:nvSpPr>
      <cdr:spPr>
        <a:xfrm xmlns:a="http://schemas.openxmlformats.org/drawingml/2006/main">
          <a:off x="671676" y="3536264"/>
          <a:ext cx="3209939" cy="3338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9939" h="3338927">
              <a:moveTo>
                <a:pt x="438788" y="2885069"/>
              </a:moveTo>
              <a:lnTo>
                <a:pt x="0" y="3338926"/>
              </a:lnTo>
              <a:lnTo>
                <a:pt x="0" y="3301423"/>
              </a:lnTo>
              <a:lnTo>
                <a:pt x="434511" y="2851989"/>
              </a:lnTo>
              <a:lnTo>
                <a:pt x="1841886" y="1396282"/>
              </a:lnTo>
              <a:lnTo>
                <a:pt x="2065146" y="1165355"/>
              </a:lnTo>
              <a:lnTo>
                <a:pt x="3191809" y="0"/>
              </a:lnTo>
              <a:lnTo>
                <a:pt x="3209938" y="18752"/>
              </a:lnTo>
              <a:lnTo>
                <a:pt x="2083275" y="1184107"/>
              </a:lnTo>
              <a:lnTo>
                <a:pt x="1860015" y="14150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0.29867</cdr:x>
      <cdr:y>0.39243</cdr:y>
    </cdr:from>
    <cdr:to>
      <cdr:x>0.73765</cdr:x>
      <cdr:y>0.82833</cdr:y>
    </cdr:to>
    <cdr:sp macro="" textlink="">
      <cdr:nvSpPr>
        <cdr:cNvPr id="28" name="FracNo 26 StartRow 399">
          <a:extLst xmlns:a="http://schemas.openxmlformats.org/drawingml/2006/main">
            <a:ext uri="{FF2B5EF4-FFF2-40B4-BE49-F238E27FC236}">
              <a16:creationId xmlns:a16="http://schemas.microsoft.com/office/drawing/2014/main" id="{8B38916E-1EB2-5BEB-0612-1CA294C140F3}"/>
            </a:ext>
          </a:extLst>
        </cdr:cNvPr>
        <cdr:cNvSpPr/>
      </cdr:nvSpPr>
      <cdr:spPr>
        <a:xfrm xmlns:a="http://schemas.openxmlformats.org/drawingml/2006/main">
          <a:off x="2184805" y="2990324"/>
          <a:ext cx="3211282" cy="3321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1282" h="3321564">
              <a:moveTo>
                <a:pt x="286520" y="3006451"/>
              </a:moveTo>
              <a:lnTo>
                <a:pt x="0" y="3302811"/>
              </a:lnTo>
              <a:lnTo>
                <a:pt x="18129" y="3321563"/>
              </a:lnTo>
              <a:lnTo>
                <a:pt x="304649" y="3025203"/>
              </a:lnTo>
              <a:lnTo>
                <a:pt x="570146" y="2750589"/>
              </a:lnTo>
              <a:lnTo>
                <a:pt x="1333544" y="1960974"/>
              </a:lnTo>
              <a:lnTo>
                <a:pt x="2644356" y="605146"/>
              </a:lnTo>
              <a:lnTo>
                <a:pt x="3211281" y="18752"/>
              </a:lnTo>
              <a:lnTo>
                <a:pt x="3193151" y="0"/>
              </a:lnTo>
              <a:lnTo>
                <a:pt x="2626227" y="586394"/>
              </a:lnTo>
              <a:lnTo>
                <a:pt x="1315415" y="1942222"/>
              </a:lnTo>
              <a:lnTo>
                <a:pt x="552017" y="27318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0.27671</cdr:x>
      <cdr:y>0.49613</cdr:y>
    </cdr:from>
    <cdr:to>
      <cdr:x>0.71623</cdr:x>
      <cdr:y>0.9301</cdr:y>
    </cdr:to>
    <cdr:sp macro="" textlink="">
      <cdr:nvSpPr>
        <cdr:cNvPr id="29" name="FracNo 423 StartRow 414">
          <a:extLst xmlns:a="http://schemas.openxmlformats.org/drawingml/2006/main">
            <a:ext uri="{FF2B5EF4-FFF2-40B4-BE49-F238E27FC236}">
              <a16:creationId xmlns:a16="http://schemas.microsoft.com/office/drawing/2014/main" id="{4150E27F-BA98-7EC9-3755-74E3FB848D5E}"/>
            </a:ext>
          </a:extLst>
        </cdr:cNvPr>
        <cdr:cNvSpPr/>
      </cdr:nvSpPr>
      <cdr:spPr>
        <a:xfrm xmlns:a="http://schemas.openxmlformats.org/drawingml/2006/main">
          <a:off x="2024169" y="3780502"/>
          <a:ext cx="3215200" cy="3306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5200" h="3306864">
              <a:moveTo>
                <a:pt x="2974317" y="267906"/>
              </a:moveTo>
              <a:lnTo>
                <a:pt x="2804992" y="443045"/>
              </a:lnTo>
              <a:lnTo>
                <a:pt x="2101404" y="1170796"/>
              </a:lnTo>
              <a:lnTo>
                <a:pt x="736772" y="2582293"/>
              </a:lnTo>
              <a:lnTo>
                <a:pt x="36258" y="3306863"/>
              </a:lnTo>
              <a:lnTo>
                <a:pt x="0" y="3306863"/>
              </a:lnTo>
              <a:lnTo>
                <a:pt x="706663" y="2575932"/>
              </a:lnTo>
              <a:lnTo>
                <a:pt x="2083275" y="1152044"/>
              </a:lnTo>
              <a:lnTo>
                <a:pt x="2786863" y="424293"/>
              </a:lnTo>
              <a:lnTo>
                <a:pt x="2956187" y="249154"/>
              </a:lnTo>
              <a:lnTo>
                <a:pt x="3197069" y="0"/>
              </a:lnTo>
              <a:lnTo>
                <a:pt x="32151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0.23355</cdr:x>
      <cdr:y>0.49633</cdr:y>
    </cdr:from>
    <cdr:to>
      <cdr:x>0.67287</cdr:x>
      <cdr:y>0.9301</cdr:y>
    </cdr:to>
    <cdr:sp macro="" textlink="">
      <cdr:nvSpPr>
        <cdr:cNvPr id="30" name="FracNo 119 StartRow 429">
          <a:extLst xmlns:a="http://schemas.openxmlformats.org/drawingml/2006/main">
            <a:ext uri="{FF2B5EF4-FFF2-40B4-BE49-F238E27FC236}">
              <a16:creationId xmlns:a16="http://schemas.microsoft.com/office/drawing/2014/main" id="{DA52D394-9F15-CFFD-BC93-EB4D937F52E9}"/>
            </a:ext>
          </a:extLst>
        </cdr:cNvPr>
        <cdr:cNvSpPr/>
      </cdr:nvSpPr>
      <cdr:spPr>
        <a:xfrm xmlns:a="http://schemas.openxmlformats.org/drawingml/2006/main">
          <a:off x="1708498" y="3782050"/>
          <a:ext cx="3213703" cy="33053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3703" h="3305316">
              <a:moveTo>
                <a:pt x="1721279" y="1524924"/>
              </a:moveTo>
              <a:lnTo>
                <a:pt x="1024651" y="2245475"/>
              </a:lnTo>
              <a:lnTo>
                <a:pt x="0" y="3305315"/>
              </a:lnTo>
              <a:lnTo>
                <a:pt x="36259" y="3305315"/>
              </a:lnTo>
              <a:lnTo>
                <a:pt x="1050126" y="2256630"/>
              </a:lnTo>
              <a:lnTo>
                <a:pt x="1741920" y="1541078"/>
              </a:lnTo>
              <a:lnTo>
                <a:pt x="2101405" y="1169248"/>
              </a:lnTo>
              <a:lnTo>
                <a:pt x="3120663" y="114986"/>
              </a:lnTo>
              <a:lnTo>
                <a:pt x="3213702" y="18751"/>
              </a:lnTo>
              <a:lnTo>
                <a:pt x="3195573" y="0"/>
              </a:lnTo>
              <a:lnTo>
                <a:pt x="3102534" y="96234"/>
              </a:lnTo>
              <a:lnTo>
                <a:pt x="2083275" y="11504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0.30007</cdr:x>
      <cdr:y>0.34626</cdr:y>
    </cdr:from>
    <cdr:to>
      <cdr:x>0.72424</cdr:x>
      <cdr:y>0.76745</cdr:y>
    </cdr:to>
    <cdr:sp macro="" textlink="">
      <cdr:nvSpPr>
        <cdr:cNvPr id="31" name="FracNo 516 StartRow 444">
          <a:extLst xmlns:a="http://schemas.openxmlformats.org/drawingml/2006/main">
            <a:ext uri="{FF2B5EF4-FFF2-40B4-BE49-F238E27FC236}">
              <a16:creationId xmlns:a16="http://schemas.microsoft.com/office/drawing/2014/main" id="{333F55FE-FFBF-9A70-CB08-837FD9CBF572}"/>
            </a:ext>
          </a:extLst>
        </cdr:cNvPr>
        <cdr:cNvSpPr/>
      </cdr:nvSpPr>
      <cdr:spPr>
        <a:xfrm xmlns:a="http://schemas.openxmlformats.org/drawingml/2006/main">
          <a:off x="2195078" y="2638524"/>
          <a:ext cx="3102900" cy="3209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2900" h="3209460">
              <a:moveTo>
                <a:pt x="2123956" y="1031314"/>
              </a:moveTo>
              <a:lnTo>
                <a:pt x="885043" y="2312774"/>
              </a:lnTo>
              <a:lnTo>
                <a:pt x="559873" y="2649111"/>
              </a:lnTo>
              <a:lnTo>
                <a:pt x="18129" y="3209459"/>
              </a:lnTo>
              <a:lnTo>
                <a:pt x="0" y="3190707"/>
              </a:lnTo>
              <a:lnTo>
                <a:pt x="541744" y="2630359"/>
              </a:lnTo>
              <a:lnTo>
                <a:pt x="866913" y="2294022"/>
              </a:lnTo>
              <a:lnTo>
                <a:pt x="2105827" y="1012562"/>
              </a:lnTo>
              <a:lnTo>
                <a:pt x="2615954" y="484915"/>
              </a:lnTo>
              <a:lnTo>
                <a:pt x="2941124" y="148579"/>
              </a:lnTo>
              <a:lnTo>
                <a:pt x="3084769" y="0"/>
              </a:lnTo>
              <a:lnTo>
                <a:pt x="3102899" y="18752"/>
              </a:lnTo>
              <a:lnTo>
                <a:pt x="2959253" y="167331"/>
              </a:lnTo>
              <a:lnTo>
                <a:pt x="2634083" y="5036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0.51852</cdr:x>
      <cdr:y>0.50913</cdr:y>
    </cdr:from>
    <cdr:to>
      <cdr:x>0.94246</cdr:x>
      <cdr:y>0.9301</cdr:y>
    </cdr:to>
    <cdr:sp macro="" textlink="">
      <cdr:nvSpPr>
        <cdr:cNvPr id="32" name="FracNo 426 StartRow 461">
          <a:extLst xmlns:a="http://schemas.openxmlformats.org/drawingml/2006/main">
            <a:ext uri="{FF2B5EF4-FFF2-40B4-BE49-F238E27FC236}">
              <a16:creationId xmlns:a16="http://schemas.microsoft.com/office/drawing/2014/main" id="{134E6755-E0A7-FEE2-4842-09F92C7FC777}"/>
            </a:ext>
          </a:extLst>
        </cdr:cNvPr>
        <cdr:cNvSpPr/>
      </cdr:nvSpPr>
      <cdr:spPr>
        <a:xfrm xmlns:a="http://schemas.openxmlformats.org/drawingml/2006/main">
          <a:off x="3793041" y="3879595"/>
          <a:ext cx="3101267" cy="3207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1267" h="3207771">
              <a:moveTo>
                <a:pt x="2434911" y="689239"/>
              </a:moveTo>
              <a:lnTo>
                <a:pt x="2083275" y="1052951"/>
              </a:lnTo>
              <a:lnTo>
                <a:pt x="1013335" y="2159634"/>
              </a:lnTo>
              <a:lnTo>
                <a:pt x="0" y="3207770"/>
              </a:lnTo>
              <a:lnTo>
                <a:pt x="36258" y="3207770"/>
              </a:lnTo>
              <a:lnTo>
                <a:pt x="1040776" y="2168755"/>
              </a:lnTo>
              <a:lnTo>
                <a:pt x="2101404" y="1071703"/>
              </a:lnTo>
              <a:lnTo>
                <a:pt x="2446778" y="714468"/>
              </a:lnTo>
              <a:lnTo>
                <a:pt x="3101266" y="37504"/>
              </a:lnTo>
              <a:lnTo>
                <a:pt x="3101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0.52428</cdr:x>
      <cdr:y>0.51486</cdr:y>
    </cdr:from>
    <cdr:to>
      <cdr:x>0.94246</cdr:x>
      <cdr:y>0.9301</cdr:y>
    </cdr:to>
    <cdr:sp macro="" textlink="">
      <cdr:nvSpPr>
        <cdr:cNvPr id="33" name="FracNo 108 StartRow 474">
          <a:extLst xmlns:a="http://schemas.openxmlformats.org/drawingml/2006/main">
            <a:ext uri="{FF2B5EF4-FFF2-40B4-BE49-F238E27FC236}">
              <a16:creationId xmlns:a16="http://schemas.microsoft.com/office/drawing/2014/main" id="{3DF7741F-398A-D42B-A6DA-F2B9E883DC86}"/>
            </a:ext>
          </a:extLst>
        </cdr:cNvPr>
        <cdr:cNvSpPr/>
      </cdr:nvSpPr>
      <cdr:spPr>
        <a:xfrm xmlns:a="http://schemas.openxmlformats.org/drawingml/2006/main">
          <a:off x="3835204" y="3923206"/>
          <a:ext cx="3059104" cy="3164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59104" h="3164160">
              <a:moveTo>
                <a:pt x="24002" y="3139333"/>
              </a:moveTo>
              <a:lnTo>
                <a:pt x="0" y="3164159"/>
              </a:lnTo>
              <a:lnTo>
                <a:pt x="36259" y="3164159"/>
              </a:lnTo>
              <a:lnTo>
                <a:pt x="59814" y="3139795"/>
              </a:lnTo>
              <a:lnTo>
                <a:pt x="993957" y="2173571"/>
              </a:lnTo>
              <a:lnTo>
                <a:pt x="2096565" y="1033098"/>
              </a:lnTo>
              <a:lnTo>
                <a:pt x="3059103" y="37504"/>
              </a:lnTo>
              <a:lnTo>
                <a:pt x="3059103" y="0"/>
              </a:lnTo>
              <a:lnTo>
                <a:pt x="2088115" y="1004334"/>
              </a:lnTo>
              <a:lnTo>
                <a:pt x="975828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0.52597</cdr:x>
      <cdr:y>0.30224</cdr:y>
    </cdr:from>
    <cdr:to>
      <cdr:x>0.94246</cdr:x>
      <cdr:y>0.71826</cdr:y>
    </cdr:to>
    <cdr:sp macro="" textlink="">
      <cdr:nvSpPr>
        <cdr:cNvPr id="34" name="FracNo 740 StartRow 487">
          <a:extLst xmlns:a="http://schemas.openxmlformats.org/drawingml/2006/main">
            <a:ext uri="{FF2B5EF4-FFF2-40B4-BE49-F238E27FC236}">
              <a16:creationId xmlns:a16="http://schemas.microsoft.com/office/drawing/2014/main" id="{6D830A06-B1DB-BFD8-69B4-199B5647F7D1}"/>
            </a:ext>
          </a:extLst>
        </cdr:cNvPr>
        <cdr:cNvSpPr/>
      </cdr:nvSpPr>
      <cdr:spPr>
        <a:xfrm xmlns:a="http://schemas.openxmlformats.org/drawingml/2006/main">
          <a:off x="3847595" y="2303052"/>
          <a:ext cx="3046713" cy="3170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6713" h="3170096">
              <a:moveTo>
                <a:pt x="867445" y="2291611"/>
              </a:moveTo>
              <a:lnTo>
                <a:pt x="522651" y="2648246"/>
              </a:lnTo>
              <a:lnTo>
                <a:pt x="18129" y="3170095"/>
              </a:lnTo>
              <a:lnTo>
                <a:pt x="0" y="3151343"/>
              </a:lnTo>
              <a:lnTo>
                <a:pt x="504522" y="2629494"/>
              </a:lnTo>
              <a:lnTo>
                <a:pt x="849316" y="2272860"/>
              </a:lnTo>
              <a:lnTo>
                <a:pt x="963437" y="2154819"/>
              </a:lnTo>
              <a:lnTo>
                <a:pt x="2585792" y="476749"/>
              </a:lnTo>
              <a:lnTo>
                <a:pt x="3046712" y="0"/>
              </a:lnTo>
              <a:lnTo>
                <a:pt x="3046712" y="37504"/>
              </a:lnTo>
              <a:lnTo>
                <a:pt x="2589802" y="510104"/>
              </a:lnTo>
              <a:lnTo>
                <a:pt x="981566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0.50006</cdr:x>
      <cdr:y>0.49081</cdr:y>
    </cdr:to>
    <cdr:sp macro="" textlink="">
      <cdr:nvSpPr>
        <cdr:cNvPr id="35" name="FracNo 674 StartRow 502">
          <a:extLst xmlns:a="http://schemas.openxmlformats.org/drawingml/2006/main">
            <a:ext uri="{FF2B5EF4-FFF2-40B4-BE49-F238E27FC236}">
              <a16:creationId xmlns:a16="http://schemas.microsoft.com/office/drawing/2014/main" id="{EBD98F82-0CFB-97DE-3B78-6C0537F802F4}"/>
            </a:ext>
          </a:extLst>
        </cdr:cNvPr>
        <cdr:cNvSpPr/>
      </cdr:nvSpPr>
      <cdr:spPr>
        <a:xfrm xmlns:a="http://schemas.openxmlformats.org/drawingml/2006/main">
          <a:off x="671676" y="651036"/>
          <a:ext cx="2986383" cy="3088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6383" h="3088942">
              <a:moveTo>
                <a:pt x="438987" y="2597375"/>
              </a:moveTo>
              <a:lnTo>
                <a:pt x="0" y="3051437"/>
              </a:lnTo>
              <a:lnTo>
                <a:pt x="0" y="3088941"/>
              </a:lnTo>
              <a:lnTo>
                <a:pt x="447980" y="2625577"/>
              </a:lnTo>
              <a:lnTo>
                <a:pt x="903107" y="2154819"/>
              </a:lnTo>
              <a:lnTo>
                <a:pt x="2088433" y="928787"/>
              </a:lnTo>
              <a:lnTo>
                <a:pt x="2986382" y="0"/>
              </a:lnTo>
              <a:lnTo>
                <a:pt x="2950124" y="0"/>
              </a:lnTo>
              <a:lnTo>
                <a:pt x="2059988" y="920705"/>
              </a:lnTo>
              <a:lnTo>
                <a:pt x="884978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0.49261</cdr:x>
      <cdr:y>0.48341</cdr:y>
    </cdr:to>
    <cdr:sp macro="" textlink="">
      <cdr:nvSpPr>
        <cdr:cNvPr id="36" name="FracNo 678 StartRow 515">
          <a:extLst xmlns:a="http://schemas.openxmlformats.org/drawingml/2006/main">
            <a:ext uri="{FF2B5EF4-FFF2-40B4-BE49-F238E27FC236}">
              <a16:creationId xmlns:a16="http://schemas.microsoft.com/office/drawing/2014/main" id="{574C8B08-1532-3067-CBAE-5E1A5194E031}"/>
            </a:ext>
          </a:extLst>
        </cdr:cNvPr>
        <cdr:cNvSpPr/>
      </cdr:nvSpPr>
      <cdr:spPr>
        <a:xfrm xmlns:a="http://schemas.openxmlformats.org/drawingml/2006/main">
          <a:off x="671676" y="651036"/>
          <a:ext cx="2931844" cy="30325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1844" h="3032530">
              <a:moveTo>
                <a:pt x="311505" y="2672822"/>
              </a:moveTo>
              <a:lnTo>
                <a:pt x="0" y="2995025"/>
              </a:lnTo>
              <a:lnTo>
                <a:pt x="0" y="3032529"/>
              </a:lnTo>
              <a:lnTo>
                <a:pt x="318306" y="2703292"/>
              </a:lnTo>
              <a:lnTo>
                <a:pt x="848569" y="2154819"/>
              </a:lnTo>
              <a:lnTo>
                <a:pt x="2088671" y="872129"/>
              </a:lnTo>
              <a:lnTo>
                <a:pt x="2931843" y="0"/>
              </a:lnTo>
              <a:lnTo>
                <a:pt x="2895585" y="0"/>
              </a:lnTo>
              <a:lnTo>
                <a:pt x="2059750" y="864539"/>
              </a:lnTo>
              <a:lnTo>
                <a:pt x="830439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0.20485</cdr:x>
      <cdr:y>0.5357</cdr:y>
    </cdr:from>
    <cdr:to>
      <cdr:x>0.60452</cdr:x>
      <cdr:y>0.9301</cdr:y>
    </cdr:to>
    <cdr:sp macro="" textlink="">
      <cdr:nvSpPr>
        <cdr:cNvPr id="37" name="FracNo 518 StartRow 528">
          <a:extLst xmlns:a="http://schemas.openxmlformats.org/drawingml/2006/main">
            <a:ext uri="{FF2B5EF4-FFF2-40B4-BE49-F238E27FC236}">
              <a16:creationId xmlns:a16="http://schemas.microsoft.com/office/drawing/2014/main" id="{0A094728-2A92-44A8-B915-5C135E786D80}"/>
            </a:ext>
          </a:extLst>
        </cdr:cNvPr>
        <cdr:cNvSpPr/>
      </cdr:nvSpPr>
      <cdr:spPr>
        <a:xfrm xmlns:a="http://schemas.openxmlformats.org/drawingml/2006/main">
          <a:off x="1498520" y="4082031"/>
          <a:ext cx="2923682" cy="3005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3682" h="3005335">
              <a:moveTo>
                <a:pt x="2483908" y="436123"/>
              </a:moveTo>
              <a:lnTo>
                <a:pt x="2083275" y="850515"/>
              </a:lnTo>
              <a:lnTo>
                <a:pt x="1234609" y="1728326"/>
              </a:lnTo>
              <a:lnTo>
                <a:pt x="0" y="3005334"/>
              </a:lnTo>
              <a:lnTo>
                <a:pt x="36259" y="3005334"/>
              </a:lnTo>
              <a:lnTo>
                <a:pt x="1260124" y="1739439"/>
              </a:lnTo>
              <a:lnTo>
                <a:pt x="2101404" y="869267"/>
              </a:lnTo>
              <a:lnTo>
                <a:pt x="2502037" y="454875"/>
              </a:lnTo>
              <a:lnTo>
                <a:pt x="2923681" y="18752"/>
              </a:lnTo>
              <a:lnTo>
                <a:pt x="29055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0.37183</cdr:x>
      <cdr:y>0.34548</cdr:y>
    </cdr:from>
    <cdr:to>
      <cdr:x>0.7665</cdr:x>
      <cdr:y>0.73737</cdr:y>
    </cdr:to>
    <cdr:sp macro="" textlink="">
      <cdr:nvSpPr>
        <cdr:cNvPr id="38" name="FracNo 492 StartRow 541">
          <a:extLst xmlns:a="http://schemas.openxmlformats.org/drawingml/2006/main">
            <a:ext uri="{FF2B5EF4-FFF2-40B4-BE49-F238E27FC236}">
              <a16:creationId xmlns:a16="http://schemas.microsoft.com/office/drawing/2014/main" id="{CC81F3EE-F25D-5E04-EB17-61AA1600DFCB}"/>
            </a:ext>
          </a:extLst>
        </cdr:cNvPr>
        <cdr:cNvSpPr/>
      </cdr:nvSpPr>
      <cdr:spPr>
        <a:xfrm xmlns:a="http://schemas.openxmlformats.org/drawingml/2006/main">
          <a:off x="2719990" y="2632521"/>
          <a:ext cx="2887095" cy="2986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7095" h="2986244">
              <a:moveTo>
                <a:pt x="822314" y="2135688"/>
              </a:moveTo>
              <a:lnTo>
                <a:pt x="654369" y="2309401"/>
              </a:lnTo>
              <a:lnTo>
                <a:pt x="25896" y="2959456"/>
              </a:lnTo>
              <a:lnTo>
                <a:pt x="0" y="2986243"/>
              </a:lnTo>
              <a:lnTo>
                <a:pt x="0" y="2986243"/>
              </a:lnTo>
              <a:lnTo>
                <a:pt x="25896" y="2959456"/>
              </a:lnTo>
              <a:lnTo>
                <a:pt x="654369" y="2309401"/>
              </a:lnTo>
              <a:lnTo>
                <a:pt x="822314" y="2135688"/>
              </a:lnTo>
              <a:lnTo>
                <a:pt x="2100107" y="814014"/>
              </a:lnTo>
              <a:lnTo>
                <a:pt x="2728579" y="163958"/>
              </a:lnTo>
              <a:lnTo>
                <a:pt x="2887094" y="0"/>
              </a:lnTo>
              <a:lnTo>
                <a:pt x="2887094" y="0"/>
              </a:lnTo>
              <a:lnTo>
                <a:pt x="2728579" y="163958"/>
              </a:lnTo>
              <a:lnTo>
                <a:pt x="2100107" y="8140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0.48668</cdr:x>
      <cdr:y>0.08544</cdr:y>
    </cdr:from>
    <cdr:to>
      <cdr:x>0.87766</cdr:x>
      <cdr:y>0.47367</cdr:y>
    </cdr:to>
    <cdr:sp macro="" textlink="">
      <cdr:nvSpPr>
        <cdr:cNvPr id="39" name="FracNo 260 StartRow 558">
          <a:extLst xmlns:a="http://schemas.openxmlformats.org/drawingml/2006/main">
            <a:ext uri="{FF2B5EF4-FFF2-40B4-BE49-F238E27FC236}">
              <a16:creationId xmlns:a16="http://schemas.microsoft.com/office/drawing/2014/main" id="{C70B5B96-C010-B2E1-3652-AE0A68533733}"/>
            </a:ext>
          </a:extLst>
        </cdr:cNvPr>
        <cdr:cNvSpPr/>
      </cdr:nvSpPr>
      <cdr:spPr>
        <a:xfrm xmlns:a="http://schemas.openxmlformats.org/drawingml/2006/main">
          <a:off x="3560172" y="651036"/>
          <a:ext cx="2860119" cy="2958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0119" h="2958341">
              <a:moveTo>
                <a:pt x="935883" y="1990318"/>
              </a:moveTo>
              <a:lnTo>
                <a:pt x="785908" y="2145443"/>
              </a:lnTo>
              <a:lnTo>
                <a:pt x="0" y="2958340"/>
              </a:lnTo>
              <a:lnTo>
                <a:pt x="0" y="2958340"/>
              </a:lnTo>
              <a:lnTo>
                <a:pt x="785908" y="2145443"/>
              </a:lnTo>
              <a:lnTo>
                <a:pt x="935883" y="1990318"/>
              </a:lnTo>
              <a:lnTo>
                <a:pt x="1259925" y="1655147"/>
              </a:lnTo>
              <a:lnTo>
                <a:pt x="2860118" y="0"/>
              </a:lnTo>
              <a:lnTo>
                <a:pt x="2860118" y="0"/>
              </a:lnTo>
              <a:lnTo>
                <a:pt x="1259925" y="16551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0.52161</cdr:y>
    </cdr:from>
    <cdr:to>
      <cdr:x>0.47929</cdr:x>
      <cdr:y>0.90882</cdr:y>
    </cdr:to>
    <cdr:sp macro="" textlink="">
      <cdr:nvSpPr>
        <cdr:cNvPr id="40" name="FracNo 34 StartRow 571">
          <a:extLst xmlns:a="http://schemas.openxmlformats.org/drawingml/2006/main">
            <a:ext uri="{FF2B5EF4-FFF2-40B4-BE49-F238E27FC236}">
              <a16:creationId xmlns:a16="http://schemas.microsoft.com/office/drawing/2014/main" id="{F6E97BCC-C35D-2ECE-8EE5-75D55C386FB0}"/>
            </a:ext>
          </a:extLst>
        </cdr:cNvPr>
        <cdr:cNvSpPr/>
      </cdr:nvSpPr>
      <cdr:spPr>
        <a:xfrm xmlns:a="http://schemas.openxmlformats.org/drawingml/2006/main">
          <a:off x="671676" y="3974705"/>
          <a:ext cx="2834447" cy="2950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4447" h="2950539">
              <a:moveTo>
                <a:pt x="870599" y="2012538"/>
              </a:moveTo>
              <a:lnTo>
                <a:pt x="0" y="2913035"/>
              </a:lnTo>
              <a:lnTo>
                <a:pt x="0" y="2950538"/>
              </a:lnTo>
              <a:lnTo>
                <a:pt x="878949" y="2041405"/>
              </a:lnTo>
              <a:lnTo>
                <a:pt x="1908407" y="976593"/>
              </a:lnTo>
              <a:lnTo>
                <a:pt x="2083275" y="795720"/>
              </a:lnTo>
              <a:lnTo>
                <a:pt x="2834446" y="18751"/>
              </a:lnTo>
              <a:lnTo>
                <a:pt x="2816317" y="0"/>
              </a:lnTo>
              <a:lnTo>
                <a:pt x="2065146" y="776968"/>
              </a:lnTo>
              <a:lnTo>
                <a:pt x="1890278" y="9578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0.19491</cdr:y>
    </cdr:from>
    <cdr:to>
      <cdr:x>0.47732</cdr:x>
      <cdr:y>0.5777</cdr:y>
    </cdr:to>
    <cdr:sp macro="" textlink="">
      <cdr:nvSpPr>
        <cdr:cNvPr id="41" name="FracNo 652 StartRow 584">
          <a:extLst xmlns:a="http://schemas.openxmlformats.org/drawingml/2006/main">
            <a:ext uri="{FF2B5EF4-FFF2-40B4-BE49-F238E27FC236}">
              <a16:creationId xmlns:a16="http://schemas.microsoft.com/office/drawing/2014/main" id="{ADD3EF91-08E9-6BE8-7800-35FD4769CB15}"/>
            </a:ext>
          </a:extLst>
        </cdr:cNvPr>
        <cdr:cNvSpPr/>
      </cdr:nvSpPr>
      <cdr:spPr>
        <a:xfrm xmlns:a="http://schemas.openxmlformats.org/drawingml/2006/main">
          <a:off x="671676" y="1485233"/>
          <a:ext cx="2820026" cy="29168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0026" h="2916871">
              <a:moveTo>
                <a:pt x="255257" y="2652847"/>
              </a:moveTo>
              <a:lnTo>
                <a:pt x="0" y="2916870"/>
              </a:lnTo>
              <a:lnTo>
                <a:pt x="0" y="2916870"/>
              </a:lnTo>
              <a:lnTo>
                <a:pt x="255257" y="2652847"/>
              </a:lnTo>
              <a:lnTo>
                <a:pt x="1552314" y="1311246"/>
              </a:lnTo>
              <a:lnTo>
                <a:pt x="2074210" y="771427"/>
              </a:lnTo>
              <a:lnTo>
                <a:pt x="2820025" y="0"/>
              </a:lnTo>
              <a:lnTo>
                <a:pt x="2820025" y="0"/>
              </a:lnTo>
              <a:lnTo>
                <a:pt x="2074210" y="771427"/>
              </a:lnTo>
              <a:lnTo>
                <a:pt x="1552314" y="13112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0.47943</cdr:x>
      <cdr:y>0.08544</cdr:y>
    </cdr:from>
    <cdr:to>
      <cdr:x>0.86812</cdr:x>
      <cdr:y>0.46893</cdr:y>
    </cdr:to>
    <cdr:sp macro="" textlink="">
      <cdr:nvSpPr>
        <cdr:cNvPr id="42" name="FracNo 197 StartRow 597">
          <a:extLst xmlns:a="http://schemas.openxmlformats.org/drawingml/2006/main">
            <a:ext uri="{FF2B5EF4-FFF2-40B4-BE49-F238E27FC236}">
              <a16:creationId xmlns:a16="http://schemas.microsoft.com/office/drawing/2014/main" id="{7F022FEA-A2ED-D06D-51AB-888194A30DBC}"/>
            </a:ext>
          </a:extLst>
        </cdr:cNvPr>
        <cdr:cNvSpPr/>
      </cdr:nvSpPr>
      <cdr:spPr>
        <a:xfrm xmlns:a="http://schemas.openxmlformats.org/drawingml/2006/main">
          <a:off x="3507125" y="651036"/>
          <a:ext cx="2843331" cy="2922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3331" h="2922224">
              <a:moveTo>
                <a:pt x="2093039" y="776057"/>
              </a:moveTo>
              <a:lnTo>
                <a:pt x="1322036" y="1573538"/>
              </a:lnTo>
              <a:lnTo>
                <a:pt x="760055" y="2154819"/>
              </a:lnTo>
              <a:lnTo>
                <a:pt x="18130" y="2922223"/>
              </a:lnTo>
              <a:lnTo>
                <a:pt x="0" y="2903471"/>
              </a:lnTo>
              <a:lnTo>
                <a:pt x="741926" y="2136067"/>
              </a:lnTo>
              <a:lnTo>
                <a:pt x="1303907" y="1554786"/>
              </a:lnTo>
              <a:lnTo>
                <a:pt x="2065722" y="766809"/>
              </a:lnTo>
              <a:lnTo>
                <a:pt x="2807071" y="0"/>
              </a:lnTo>
              <a:lnTo>
                <a:pt x="28433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0.52989</cdr:x>
      <cdr:y>0.08544</cdr:y>
    </cdr:from>
    <cdr:to>
      <cdr:x>0.9179</cdr:x>
      <cdr:y>0.46827</cdr:y>
    </cdr:to>
    <cdr:sp macro="" textlink="">
      <cdr:nvSpPr>
        <cdr:cNvPr id="43" name="FracNo 194 StartRow 610">
          <a:extLst xmlns:a="http://schemas.openxmlformats.org/drawingml/2006/main">
            <a:ext uri="{FF2B5EF4-FFF2-40B4-BE49-F238E27FC236}">
              <a16:creationId xmlns:a16="http://schemas.microsoft.com/office/drawing/2014/main" id="{C18159AF-C9EE-56FB-C832-5009BA695484}"/>
            </a:ext>
          </a:extLst>
        </cdr:cNvPr>
        <cdr:cNvSpPr/>
      </cdr:nvSpPr>
      <cdr:spPr>
        <a:xfrm xmlns:a="http://schemas.openxmlformats.org/drawingml/2006/main">
          <a:off x="3876224" y="651036"/>
          <a:ext cx="2838431" cy="2917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8431" h="2917157">
              <a:moveTo>
                <a:pt x="2749110" y="54883"/>
              </a:moveTo>
              <a:lnTo>
                <a:pt x="934808" y="1931493"/>
              </a:lnTo>
              <a:lnTo>
                <a:pt x="737026" y="2136067"/>
              </a:lnTo>
              <a:lnTo>
                <a:pt x="0" y="2898404"/>
              </a:lnTo>
              <a:lnTo>
                <a:pt x="18129" y="2917156"/>
              </a:lnTo>
              <a:lnTo>
                <a:pt x="755155" y="2154819"/>
              </a:lnTo>
              <a:lnTo>
                <a:pt x="952937" y="1950244"/>
              </a:lnTo>
              <a:lnTo>
                <a:pt x="2784853" y="55416"/>
              </a:lnTo>
              <a:lnTo>
                <a:pt x="2838430" y="0"/>
              </a:lnTo>
              <a:lnTo>
                <a:pt x="28021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0.18985</cdr:y>
    </cdr:from>
    <cdr:to>
      <cdr:x>0.4747</cdr:x>
      <cdr:y>0.57249</cdr:y>
    </cdr:to>
    <cdr:sp macro="" textlink="">
      <cdr:nvSpPr>
        <cdr:cNvPr id="44" name="FracNo 594 StartRow 623">
          <a:extLst xmlns:a="http://schemas.openxmlformats.org/drawingml/2006/main">
            <a:ext uri="{FF2B5EF4-FFF2-40B4-BE49-F238E27FC236}">
              <a16:creationId xmlns:a16="http://schemas.microsoft.com/office/drawing/2014/main" id="{1DB28CB5-A9DC-9E4E-322B-5A134A0E93E9}"/>
            </a:ext>
          </a:extLst>
        </cdr:cNvPr>
        <cdr:cNvSpPr/>
      </cdr:nvSpPr>
      <cdr:spPr>
        <a:xfrm xmlns:a="http://schemas.openxmlformats.org/drawingml/2006/main">
          <a:off x="671676" y="1446627"/>
          <a:ext cx="2800832" cy="2915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0832" h="2915771">
              <a:moveTo>
                <a:pt x="1954626" y="894018"/>
              </a:moveTo>
              <a:lnTo>
                <a:pt x="1502765" y="1361397"/>
              </a:lnTo>
              <a:lnTo>
                <a:pt x="0" y="2915770"/>
              </a:lnTo>
              <a:lnTo>
                <a:pt x="0" y="2878266"/>
              </a:lnTo>
              <a:lnTo>
                <a:pt x="1488830" y="1338307"/>
              </a:lnTo>
              <a:lnTo>
                <a:pt x="1937426" y="874305"/>
              </a:lnTo>
              <a:lnTo>
                <a:pt x="2065146" y="742199"/>
              </a:lnTo>
              <a:lnTo>
                <a:pt x="2782702" y="0"/>
              </a:lnTo>
              <a:lnTo>
                <a:pt x="2800831" y="18753"/>
              </a:lnTo>
              <a:lnTo>
                <a:pt x="2083275" y="7609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0.18647</cdr:y>
    </cdr:from>
    <cdr:to>
      <cdr:x>0.4713</cdr:x>
      <cdr:y>0.56574</cdr:y>
    </cdr:to>
    <cdr:sp macro="" textlink="">
      <cdr:nvSpPr>
        <cdr:cNvPr id="45" name="FracNo 267 StartRow 636">
          <a:extLst xmlns:a="http://schemas.openxmlformats.org/drawingml/2006/main">
            <a:ext uri="{FF2B5EF4-FFF2-40B4-BE49-F238E27FC236}">
              <a16:creationId xmlns:a16="http://schemas.microsoft.com/office/drawing/2014/main" id="{CE9AC363-A178-2F87-721F-79E795C7CD73}"/>
            </a:ext>
          </a:extLst>
        </cdr:cNvPr>
        <cdr:cNvSpPr/>
      </cdr:nvSpPr>
      <cdr:spPr>
        <a:xfrm xmlns:a="http://schemas.openxmlformats.org/drawingml/2006/main">
          <a:off x="671676" y="1420888"/>
          <a:ext cx="2775947" cy="2890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5947" h="2890031">
              <a:moveTo>
                <a:pt x="2509331" y="257020"/>
              </a:moveTo>
              <a:lnTo>
                <a:pt x="2065146" y="716459"/>
              </a:lnTo>
              <a:lnTo>
                <a:pt x="1439708" y="1363376"/>
              </a:lnTo>
              <a:lnTo>
                <a:pt x="0" y="2852527"/>
              </a:lnTo>
              <a:lnTo>
                <a:pt x="0" y="2890030"/>
              </a:lnTo>
              <a:lnTo>
                <a:pt x="1452347" y="1387806"/>
              </a:lnTo>
              <a:lnTo>
                <a:pt x="2083275" y="735211"/>
              </a:lnTo>
              <a:lnTo>
                <a:pt x="2527461" y="275772"/>
              </a:lnTo>
              <a:lnTo>
                <a:pt x="2775946" y="18752"/>
              </a:lnTo>
              <a:lnTo>
                <a:pt x="27578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0.46658</cdr:x>
      <cdr:y>0.45757</cdr:y>
    </cdr:to>
    <cdr:sp macro="" textlink="">
      <cdr:nvSpPr>
        <cdr:cNvPr id="46" name="FracNo 600 StartRow 649">
          <a:extLst xmlns:a="http://schemas.openxmlformats.org/drawingml/2006/main">
            <a:ext uri="{FF2B5EF4-FFF2-40B4-BE49-F238E27FC236}">
              <a16:creationId xmlns:a16="http://schemas.microsoft.com/office/drawing/2014/main" id="{8F93DD55-0251-E150-1459-5C7FB73AB6B2}"/>
            </a:ext>
          </a:extLst>
        </cdr:cNvPr>
        <cdr:cNvSpPr/>
      </cdr:nvSpPr>
      <cdr:spPr>
        <a:xfrm xmlns:a="http://schemas.openxmlformats.org/drawingml/2006/main">
          <a:off x="671676" y="651036"/>
          <a:ext cx="2741486" cy="28356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1486" h="2835634">
              <a:moveTo>
                <a:pt x="1531983" y="1251039"/>
              </a:moveTo>
              <a:lnTo>
                <a:pt x="653011" y="2160197"/>
              </a:lnTo>
              <a:lnTo>
                <a:pt x="0" y="2835633"/>
              </a:lnTo>
              <a:lnTo>
                <a:pt x="0" y="2798129"/>
              </a:lnTo>
              <a:lnTo>
                <a:pt x="645280" y="2130689"/>
              </a:lnTo>
              <a:lnTo>
                <a:pt x="1512776" y="1233402"/>
              </a:lnTo>
              <a:lnTo>
                <a:pt x="2060981" y="666371"/>
              </a:lnTo>
              <a:lnTo>
                <a:pt x="2705227" y="0"/>
              </a:lnTo>
              <a:lnTo>
                <a:pt x="2741485" y="0"/>
              </a:lnTo>
              <a:lnTo>
                <a:pt x="2087440" y="6765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0.25254</cdr:x>
      <cdr:y>0.24736</cdr:y>
    </cdr:from>
    <cdr:to>
      <cdr:x>0.62585</cdr:x>
      <cdr:y>0.61805</cdr:y>
    </cdr:to>
    <cdr:sp macro="" textlink="">
      <cdr:nvSpPr>
        <cdr:cNvPr id="47" name="FracNo 502 StartRow 662">
          <a:extLst xmlns:a="http://schemas.openxmlformats.org/drawingml/2006/main">
            <a:ext uri="{FF2B5EF4-FFF2-40B4-BE49-F238E27FC236}">
              <a16:creationId xmlns:a16="http://schemas.microsoft.com/office/drawing/2014/main" id="{C2B1420A-916A-E3DF-EC61-8319BEFEE34A}"/>
            </a:ext>
          </a:extLst>
        </cdr:cNvPr>
        <cdr:cNvSpPr/>
      </cdr:nvSpPr>
      <cdr:spPr>
        <a:xfrm xmlns:a="http://schemas.openxmlformats.org/drawingml/2006/main">
          <a:off x="1847388" y="1884873"/>
          <a:ext cx="2730851" cy="28246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0851" h="2824634">
              <a:moveTo>
                <a:pt x="1384107" y="1411745"/>
              </a:moveTo>
              <a:lnTo>
                <a:pt x="907563" y="1904654"/>
              </a:lnTo>
              <a:lnTo>
                <a:pt x="18129" y="2824633"/>
              </a:lnTo>
              <a:lnTo>
                <a:pt x="0" y="2805881"/>
              </a:lnTo>
              <a:lnTo>
                <a:pt x="889434" y="1885903"/>
              </a:lnTo>
              <a:lnTo>
                <a:pt x="1365978" y="1392993"/>
              </a:lnTo>
              <a:lnTo>
                <a:pt x="1840447" y="902230"/>
              </a:lnTo>
              <a:lnTo>
                <a:pt x="2712720" y="0"/>
              </a:lnTo>
              <a:lnTo>
                <a:pt x="2730850" y="18752"/>
              </a:lnTo>
              <a:lnTo>
                <a:pt x="1858576" y="9209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0.10825</cdr:x>
      <cdr:y>0.56695</cdr:y>
    </cdr:from>
    <cdr:to>
      <cdr:x>0.47645</cdr:x>
      <cdr:y>0.9301</cdr:y>
    </cdr:to>
    <cdr:sp macro="" textlink="">
      <cdr:nvSpPr>
        <cdr:cNvPr id="48" name="FracNo 27 StartRow 675">
          <a:extLst xmlns:a="http://schemas.openxmlformats.org/drawingml/2006/main">
            <a:ext uri="{FF2B5EF4-FFF2-40B4-BE49-F238E27FC236}">
              <a16:creationId xmlns:a16="http://schemas.microsoft.com/office/drawing/2014/main" id="{E73AFD21-B77A-54E1-8221-891157EB6672}"/>
            </a:ext>
          </a:extLst>
        </cdr:cNvPr>
        <cdr:cNvSpPr/>
      </cdr:nvSpPr>
      <cdr:spPr>
        <a:xfrm xmlns:a="http://schemas.openxmlformats.org/drawingml/2006/main">
          <a:off x="791867" y="4320193"/>
          <a:ext cx="2693427" cy="2767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3427" h="2767173">
              <a:moveTo>
                <a:pt x="1685866" y="1023410"/>
              </a:moveTo>
              <a:lnTo>
                <a:pt x="0" y="2767172"/>
              </a:lnTo>
              <a:lnTo>
                <a:pt x="36258" y="2767172"/>
              </a:lnTo>
              <a:lnTo>
                <a:pt x="1706411" y="1039663"/>
              </a:lnTo>
              <a:lnTo>
                <a:pt x="1963084" y="774175"/>
              </a:lnTo>
              <a:lnTo>
                <a:pt x="2101404" y="631105"/>
              </a:lnTo>
              <a:lnTo>
                <a:pt x="2693426" y="18752"/>
              </a:lnTo>
              <a:lnTo>
                <a:pt x="2675297" y="0"/>
              </a:lnTo>
              <a:lnTo>
                <a:pt x="2083275" y="612353"/>
              </a:lnTo>
              <a:lnTo>
                <a:pt x="1944955" y="7554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0.58482</cdr:x>
      <cdr:y>0.49244</cdr:y>
    </cdr:from>
    <cdr:to>
      <cdr:x>0.94246</cdr:x>
      <cdr:y>0.85003</cdr:y>
    </cdr:to>
    <cdr:sp macro="" textlink="">
      <cdr:nvSpPr>
        <cdr:cNvPr id="49" name="FracNo 439 StartRow 688">
          <a:extLst xmlns:a="http://schemas.openxmlformats.org/drawingml/2006/main">
            <a:ext uri="{FF2B5EF4-FFF2-40B4-BE49-F238E27FC236}">
              <a16:creationId xmlns:a16="http://schemas.microsoft.com/office/drawing/2014/main" id="{4A6EB501-C533-B5A3-35E2-8D9AE6815C81}"/>
            </a:ext>
          </a:extLst>
        </cdr:cNvPr>
        <cdr:cNvSpPr/>
      </cdr:nvSpPr>
      <cdr:spPr>
        <a:xfrm xmlns:a="http://schemas.openxmlformats.org/drawingml/2006/main">
          <a:off x="4278058" y="3752381"/>
          <a:ext cx="2616250" cy="2724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6250" h="2724849">
              <a:moveTo>
                <a:pt x="2088506" y="583371"/>
              </a:moveTo>
              <a:lnTo>
                <a:pt x="1493397" y="1198917"/>
              </a:lnTo>
              <a:lnTo>
                <a:pt x="551103" y="2173571"/>
              </a:lnTo>
              <a:lnTo>
                <a:pt x="18129" y="2724848"/>
              </a:lnTo>
              <a:lnTo>
                <a:pt x="0" y="2706096"/>
              </a:lnTo>
              <a:lnTo>
                <a:pt x="532974" y="2154819"/>
              </a:lnTo>
              <a:lnTo>
                <a:pt x="1475268" y="1180165"/>
              </a:lnTo>
              <a:lnTo>
                <a:pt x="2079985" y="554680"/>
              </a:lnTo>
              <a:lnTo>
                <a:pt x="2616249" y="0"/>
              </a:lnTo>
              <a:lnTo>
                <a:pt x="261624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0.58655</cdr:x>
      <cdr:y>0.57006</cdr:y>
    </cdr:from>
    <cdr:to>
      <cdr:x>0.94246</cdr:x>
      <cdr:y>0.92594</cdr:y>
    </cdr:to>
    <cdr:sp macro="" textlink="">
      <cdr:nvSpPr>
        <cdr:cNvPr id="50" name="FracNo 425 StartRow 701">
          <a:extLst xmlns:a="http://schemas.openxmlformats.org/drawingml/2006/main">
            <a:ext uri="{FF2B5EF4-FFF2-40B4-BE49-F238E27FC236}">
              <a16:creationId xmlns:a16="http://schemas.microsoft.com/office/drawing/2014/main" id="{D493EE69-8293-FE4B-8738-D814621D9E83}"/>
            </a:ext>
          </a:extLst>
        </cdr:cNvPr>
        <cdr:cNvSpPr/>
      </cdr:nvSpPr>
      <cdr:spPr>
        <a:xfrm xmlns:a="http://schemas.openxmlformats.org/drawingml/2006/main">
          <a:off x="4290699" y="4343895"/>
          <a:ext cx="2603609" cy="2711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3609" h="2711775">
              <a:moveTo>
                <a:pt x="2381936" y="266788"/>
              </a:moveTo>
              <a:lnTo>
                <a:pt x="2052631" y="607403"/>
              </a:lnTo>
              <a:lnTo>
                <a:pt x="538462" y="2173571"/>
              </a:lnTo>
              <a:lnTo>
                <a:pt x="18129" y="2711774"/>
              </a:lnTo>
              <a:lnTo>
                <a:pt x="0" y="2693022"/>
              </a:lnTo>
              <a:lnTo>
                <a:pt x="520333" y="2154819"/>
              </a:lnTo>
              <a:lnTo>
                <a:pt x="2034502" y="588651"/>
              </a:lnTo>
              <a:lnTo>
                <a:pt x="2374642" y="236829"/>
              </a:lnTo>
              <a:lnTo>
                <a:pt x="2603608" y="0"/>
              </a:lnTo>
              <a:lnTo>
                <a:pt x="260360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0.58557</cdr:x>
      <cdr:y>0.57572</cdr:y>
    </cdr:from>
    <cdr:to>
      <cdr:x>0.94246</cdr:x>
      <cdr:y>0.9301</cdr:y>
    </cdr:to>
    <cdr:sp macro="" textlink="">
      <cdr:nvSpPr>
        <cdr:cNvPr id="51" name="FracNo 347 StartRow 714">
          <a:extLst xmlns:a="http://schemas.openxmlformats.org/drawingml/2006/main">
            <a:ext uri="{FF2B5EF4-FFF2-40B4-BE49-F238E27FC236}">
              <a16:creationId xmlns:a16="http://schemas.microsoft.com/office/drawing/2014/main" id="{B4019F07-C52D-0925-BC58-A0ED5CEAF21A}"/>
            </a:ext>
          </a:extLst>
        </cdr:cNvPr>
        <cdr:cNvSpPr/>
      </cdr:nvSpPr>
      <cdr:spPr>
        <a:xfrm xmlns:a="http://schemas.openxmlformats.org/drawingml/2006/main">
          <a:off x="4283575" y="4386975"/>
          <a:ext cx="2610733" cy="2700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0733" h="2700391">
              <a:moveTo>
                <a:pt x="1965445" y="704951"/>
              </a:moveTo>
              <a:lnTo>
                <a:pt x="552228" y="2166701"/>
              </a:lnTo>
              <a:lnTo>
                <a:pt x="36259" y="2700390"/>
              </a:lnTo>
              <a:lnTo>
                <a:pt x="0" y="2700390"/>
              </a:lnTo>
              <a:lnTo>
                <a:pt x="520815" y="2161689"/>
              </a:lnTo>
              <a:lnTo>
                <a:pt x="1949582" y="683855"/>
              </a:lnTo>
              <a:lnTo>
                <a:pt x="2085146" y="543636"/>
              </a:lnTo>
              <a:lnTo>
                <a:pt x="2610732" y="0"/>
              </a:lnTo>
              <a:lnTo>
                <a:pt x="2610732" y="37504"/>
              </a:lnTo>
              <a:lnTo>
                <a:pt x="2099533" y="5662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0.12963</cdr:x>
      <cdr:y>0.08544</cdr:y>
    </cdr:from>
    <cdr:to>
      <cdr:x>0.48712</cdr:x>
      <cdr:y>0.43795</cdr:y>
    </cdr:to>
    <cdr:sp macro="" textlink="">
      <cdr:nvSpPr>
        <cdr:cNvPr id="52" name="FracNo 669 StartRow 727">
          <a:extLst xmlns:a="http://schemas.openxmlformats.org/drawingml/2006/main">
            <a:ext uri="{FF2B5EF4-FFF2-40B4-BE49-F238E27FC236}">
              <a16:creationId xmlns:a16="http://schemas.microsoft.com/office/drawing/2014/main" id="{954B6162-3022-F0F7-AF51-FDA0A6E1AC40}"/>
            </a:ext>
          </a:extLst>
        </cdr:cNvPr>
        <cdr:cNvSpPr/>
      </cdr:nvSpPr>
      <cdr:spPr>
        <a:xfrm xmlns:a="http://schemas.openxmlformats.org/drawingml/2006/main">
          <a:off x="948233" y="651036"/>
          <a:ext cx="2615121" cy="2686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5121" h="2686178">
              <a:moveTo>
                <a:pt x="13293" y="2653676"/>
              </a:moveTo>
              <a:lnTo>
                <a:pt x="0" y="2667426"/>
              </a:lnTo>
              <a:lnTo>
                <a:pt x="18129" y="2686177"/>
              </a:lnTo>
              <a:lnTo>
                <a:pt x="31422" y="2672428"/>
              </a:lnTo>
              <a:lnTo>
                <a:pt x="531845" y="2154819"/>
              </a:lnTo>
              <a:lnTo>
                <a:pt x="1812289" y="830402"/>
              </a:lnTo>
              <a:lnTo>
                <a:pt x="2615120" y="0"/>
              </a:lnTo>
              <a:lnTo>
                <a:pt x="2578862" y="0"/>
              </a:lnTo>
              <a:lnTo>
                <a:pt x="1783017" y="823176"/>
              </a:lnTo>
              <a:lnTo>
                <a:pt x="513716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0.10692</cdr:x>
      <cdr:y>0.34751</cdr:y>
    </cdr:from>
    <cdr:to>
      <cdr:x>0.46256</cdr:x>
      <cdr:y>0.70064</cdr:y>
    </cdr:to>
    <cdr:sp macro="" textlink="">
      <cdr:nvSpPr>
        <cdr:cNvPr id="53" name="FracNo 677 StartRow 740">
          <a:extLst xmlns:a="http://schemas.openxmlformats.org/drawingml/2006/main">
            <a:ext uri="{FF2B5EF4-FFF2-40B4-BE49-F238E27FC236}">
              <a16:creationId xmlns:a16="http://schemas.microsoft.com/office/drawing/2014/main" id="{3713FD4B-CC0D-0705-CCD8-DE3036B95351}"/>
            </a:ext>
          </a:extLst>
        </cdr:cNvPr>
        <cdr:cNvSpPr/>
      </cdr:nvSpPr>
      <cdr:spPr>
        <a:xfrm xmlns:a="http://schemas.openxmlformats.org/drawingml/2006/main">
          <a:off x="782173" y="2648005"/>
          <a:ext cx="2601551" cy="2690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1551" h="2690895">
              <a:moveTo>
                <a:pt x="1485354" y="1135777"/>
              </a:moveTo>
              <a:lnTo>
                <a:pt x="374731" y="2284541"/>
              </a:lnTo>
              <a:lnTo>
                <a:pt x="0" y="2672142"/>
              </a:lnTo>
              <a:lnTo>
                <a:pt x="18129" y="2690894"/>
              </a:lnTo>
              <a:lnTo>
                <a:pt x="392861" y="2303293"/>
              </a:lnTo>
              <a:lnTo>
                <a:pt x="1503483" y="1154529"/>
              </a:lnTo>
              <a:lnTo>
                <a:pt x="1972778" y="669118"/>
              </a:lnTo>
              <a:lnTo>
                <a:pt x="2467071" y="157850"/>
              </a:lnTo>
              <a:lnTo>
                <a:pt x="2601550" y="18752"/>
              </a:lnTo>
              <a:lnTo>
                <a:pt x="2583421" y="0"/>
              </a:lnTo>
              <a:lnTo>
                <a:pt x="2448942" y="139098"/>
              </a:lnTo>
              <a:lnTo>
                <a:pt x="1954649" y="6503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0.5952</cdr:x>
      <cdr:y>0.58528</cdr:y>
    </cdr:from>
    <cdr:to>
      <cdr:x>0.94246</cdr:x>
      <cdr:y>0.9301</cdr:y>
    </cdr:to>
    <cdr:sp macro="" textlink="">
      <cdr:nvSpPr>
        <cdr:cNvPr id="54" name="FracNo 745 StartRow 755">
          <a:extLst xmlns:a="http://schemas.openxmlformats.org/drawingml/2006/main">
            <a:ext uri="{FF2B5EF4-FFF2-40B4-BE49-F238E27FC236}">
              <a16:creationId xmlns:a16="http://schemas.microsoft.com/office/drawing/2014/main" id="{DAE91975-8C5D-3991-3718-2DBAEBC19632}"/>
            </a:ext>
          </a:extLst>
        </cdr:cNvPr>
        <cdr:cNvSpPr/>
      </cdr:nvSpPr>
      <cdr:spPr>
        <a:xfrm xmlns:a="http://schemas.openxmlformats.org/drawingml/2006/main">
          <a:off x="4353987" y="4459805"/>
          <a:ext cx="2540321" cy="26275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0321" h="2627561">
              <a:moveTo>
                <a:pt x="2264866" y="284914"/>
              </a:moveTo>
              <a:lnTo>
                <a:pt x="2083276" y="472741"/>
              </a:lnTo>
              <a:lnTo>
                <a:pt x="449938" y="2162171"/>
              </a:lnTo>
              <a:lnTo>
                <a:pt x="0" y="2627560"/>
              </a:lnTo>
              <a:lnTo>
                <a:pt x="36259" y="2627560"/>
              </a:lnTo>
              <a:lnTo>
                <a:pt x="482281" y="2166220"/>
              </a:lnTo>
              <a:lnTo>
                <a:pt x="2101405" y="491493"/>
              </a:lnTo>
              <a:lnTo>
                <a:pt x="2275793" y="311116"/>
              </a:lnTo>
              <a:lnTo>
                <a:pt x="2540320" y="37504"/>
              </a:lnTo>
              <a:lnTo>
                <a:pt x="25403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0.4752</cdr:x>
      <cdr:y>0.23106</cdr:y>
    </cdr:from>
    <cdr:to>
      <cdr:x>0.81718</cdr:x>
      <cdr:y>0.57064</cdr:y>
    </cdr:to>
    <cdr:sp macro="" textlink="">
      <cdr:nvSpPr>
        <cdr:cNvPr id="55" name="FracNo 501 StartRow 768">
          <a:extLst xmlns:a="http://schemas.openxmlformats.org/drawingml/2006/main">
            <a:ext uri="{FF2B5EF4-FFF2-40B4-BE49-F238E27FC236}">
              <a16:creationId xmlns:a16="http://schemas.microsoft.com/office/drawing/2014/main" id="{A4E12DCD-4546-2BB5-4877-BAA70D1767A1}"/>
            </a:ext>
          </a:extLst>
        </cdr:cNvPr>
        <cdr:cNvSpPr/>
      </cdr:nvSpPr>
      <cdr:spPr>
        <a:xfrm xmlns:a="http://schemas.openxmlformats.org/drawingml/2006/main">
          <a:off x="3476174" y="1760676"/>
          <a:ext cx="2501676" cy="25875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01676" h="2587589">
              <a:moveTo>
                <a:pt x="1208707" y="1356123"/>
              </a:moveTo>
              <a:lnTo>
                <a:pt x="18129" y="2587588"/>
              </a:lnTo>
              <a:lnTo>
                <a:pt x="0" y="2568836"/>
              </a:lnTo>
              <a:lnTo>
                <a:pt x="1190578" y="1337371"/>
              </a:lnTo>
              <a:lnTo>
                <a:pt x="1334858" y="1188136"/>
              </a:lnTo>
              <a:lnTo>
                <a:pt x="1491198" y="1026427"/>
              </a:lnTo>
              <a:lnTo>
                <a:pt x="2483546" y="0"/>
              </a:lnTo>
              <a:lnTo>
                <a:pt x="2501675" y="18752"/>
              </a:lnTo>
              <a:lnTo>
                <a:pt x="1509328" y="1045179"/>
              </a:lnTo>
              <a:lnTo>
                <a:pt x="1352987" y="12068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0.60441</cdr:x>
      <cdr:y>0.20237</cdr:y>
    </cdr:from>
    <cdr:to>
      <cdr:x>0.94246</cdr:x>
      <cdr:y>0.54051</cdr:y>
    </cdr:to>
    <cdr:sp macro="" textlink="">
      <cdr:nvSpPr>
        <cdr:cNvPr id="56" name="FracNo 193 StartRow 781">
          <a:extLst xmlns:a="http://schemas.openxmlformats.org/drawingml/2006/main">
            <a:ext uri="{FF2B5EF4-FFF2-40B4-BE49-F238E27FC236}">
              <a16:creationId xmlns:a16="http://schemas.microsoft.com/office/drawing/2014/main" id="{7CB4A666-3D35-2DC7-5C99-FD9481CBF27B}"/>
            </a:ext>
          </a:extLst>
        </cdr:cNvPr>
        <cdr:cNvSpPr/>
      </cdr:nvSpPr>
      <cdr:spPr>
        <a:xfrm xmlns:a="http://schemas.openxmlformats.org/drawingml/2006/main">
          <a:off x="4421378" y="1542076"/>
          <a:ext cx="2472930" cy="25766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2930" h="2576608">
              <a:moveTo>
                <a:pt x="1948661" y="579777"/>
              </a:moveTo>
              <a:lnTo>
                <a:pt x="1287369" y="1263779"/>
              </a:lnTo>
              <a:lnTo>
                <a:pt x="407783" y="2173571"/>
              </a:lnTo>
              <a:lnTo>
                <a:pt x="18129" y="2576607"/>
              </a:lnTo>
              <a:lnTo>
                <a:pt x="0" y="2557856"/>
              </a:lnTo>
              <a:lnTo>
                <a:pt x="389654" y="2154820"/>
              </a:lnTo>
              <a:lnTo>
                <a:pt x="1269240" y="1245027"/>
              </a:lnTo>
              <a:lnTo>
                <a:pt x="1940644" y="550565"/>
              </a:lnTo>
              <a:lnTo>
                <a:pt x="2472929" y="0"/>
              </a:lnTo>
              <a:lnTo>
                <a:pt x="247292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0.60323</cdr:x>
      <cdr:y>0.59325</cdr:y>
    </cdr:from>
    <cdr:to>
      <cdr:x>0.94246</cdr:x>
      <cdr:y>0.9301</cdr:y>
    </cdr:to>
    <cdr:sp macro="" textlink="">
      <cdr:nvSpPr>
        <cdr:cNvPr id="57" name="FracNo 349 StartRow 794">
          <a:extLst xmlns:a="http://schemas.openxmlformats.org/drawingml/2006/main">
            <a:ext uri="{FF2B5EF4-FFF2-40B4-BE49-F238E27FC236}">
              <a16:creationId xmlns:a16="http://schemas.microsoft.com/office/drawing/2014/main" id="{0ED24D52-2A2F-057F-BE37-370674C597CB}"/>
            </a:ext>
          </a:extLst>
        </cdr:cNvPr>
        <cdr:cNvSpPr/>
      </cdr:nvSpPr>
      <cdr:spPr>
        <a:xfrm xmlns:a="http://schemas.openxmlformats.org/drawingml/2006/main">
          <a:off x="4412746" y="4520582"/>
          <a:ext cx="2481562" cy="2566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1562" h="2566784">
              <a:moveTo>
                <a:pt x="1215940" y="1309085"/>
              </a:moveTo>
              <a:lnTo>
                <a:pt x="392144" y="2161171"/>
              </a:lnTo>
              <a:lnTo>
                <a:pt x="0" y="2566783"/>
              </a:lnTo>
              <a:lnTo>
                <a:pt x="36259" y="2566783"/>
              </a:lnTo>
              <a:lnTo>
                <a:pt x="422557" y="2167218"/>
              </a:lnTo>
              <a:lnTo>
                <a:pt x="1234318" y="1327580"/>
              </a:lnTo>
              <a:lnTo>
                <a:pt x="2095148" y="437187"/>
              </a:lnTo>
              <a:lnTo>
                <a:pt x="2481561" y="37504"/>
              </a:lnTo>
              <a:lnTo>
                <a:pt x="2481561" y="0"/>
              </a:lnTo>
              <a:lnTo>
                <a:pt x="2089532" y="4054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0.42841</cdr:x>
      <cdr:y>0.41966</cdr:y>
    </cdr:to>
    <cdr:sp macro="" textlink="">
      <cdr:nvSpPr>
        <cdr:cNvPr id="58" name="FracNo 651 StartRow 807">
          <a:extLst xmlns:a="http://schemas.openxmlformats.org/drawingml/2006/main">
            <a:ext uri="{FF2B5EF4-FFF2-40B4-BE49-F238E27FC236}">
              <a16:creationId xmlns:a16="http://schemas.microsoft.com/office/drawing/2014/main" id="{02BA60A5-6D8A-F36E-6D58-08FCC559F138}"/>
            </a:ext>
          </a:extLst>
        </cdr:cNvPr>
        <cdr:cNvSpPr/>
      </cdr:nvSpPr>
      <cdr:spPr>
        <a:xfrm xmlns:a="http://schemas.openxmlformats.org/drawingml/2006/main">
          <a:off x="671676" y="651036"/>
          <a:ext cx="2462238" cy="2546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2238" h="2546796">
              <a:moveTo>
                <a:pt x="380878" y="2152837"/>
              </a:moveTo>
              <a:lnTo>
                <a:pt x="0" y="2546795"/>
              </a:lnTo>
              <a:lnTo>
                <a:pt x="0" y="2546795"/>
              </a:lnTo>
              <a:lnTo>
                <a:pt x="380878" y="2152837"/>
              </a:lnTo>
              <a:lnTo>
                <a:pt x="388027" y="2145443"/>
              </a:lnTo>
              <a:lnTo>
                <a:pt x="2074210" y="401353"/>
              </a:lnTo>
              <a:lnTo>
                <a:pt x="2462237" y="0"/>
              </a:lnTo>
              <a:lnTo>
                <a:pt x="2462237" y="0"/>
              </a:lnTo>
              <a:lnTo>
                <a:pt x="2074210" y="401353"/>
              </a:lnTo>
              <a:lnTo>
                <a:pt x="388027" y="21454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0.38663</cdr:x>
      <cdr:y>0.46144</cdr:y>
    </cdr:from>
    <cdr:to>
      <cdr:x>0.71688</cdr:x>
      <cdr:y>0.78936</cdr:y>
    </cdr:to>
    <cdr:sp macro="" textlink="">
      <cdr:nvSpPr>
        <cdr:cNvPr id="59" name="FracNo 434 StartRow 820">
          <a:extLst xmlns:a="http://schemas.openxmlformats.org/drawingml/2006/main">
            <a:ext uri="{FF2B5EF4-FFF2-40B4-BE49-F238E27FC236}">
              <a16:creationId xmlns:a16="http://schemas.microsoft.com/office/drawing/2014/main" id="{82737F59-23E9-9614-3215-E099B1EB6908}"/>
            </a:ext>
          </a:extLst>
        </cdr:cNvPr>
        <cdr:cNvSpPr/>
      </cdr:nvSpPr>
      <cdr:spPr>
        <a:xfrm xmlns:a="http://schemas.openxmlformats.org/drawingml/2006/main">
          <a:off x="2828308" y="3516205"/>
          <a:ext cx="2415790" cy="24987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5790" h="2498752">
              <a:moveTo>
                <a:pt x="2107688" y="337433"/>
              </a:moveTo>
              <a:lnTo>
                <a:pt x="2000853" y="447937"/>
              </a:lnTo>
              <a:lnTo>
                <a:pt x="1046473" y="1435093"/>
              </a:lnTo>
              <a:lnTo>
                <a:pt x="18129" y="2498751"/>
              </a:lnTo>
              <a:lnTo>
                <a:pt x="0" y="2480000"/>
              </a:lnTo>
              <a:lnTo>
                <a:pt x="1028343" y="1416341"/>
              </a:lnTo>
              <a:lnTo>
                <a:pt x="1982724" y="429185"/>
              </a:lnTo>
              <a:lnTo>
                <a:pt x="2089558" y="318681"/>
              </a:lnTo>
              <a:lnTo>
                <a:pt x="2397659" y="0"/>
              </a:lnTo>
              <a:lnTo>
                <a:pt x="24157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0.26315</cdr:x>
      <cdr:y>0.60414</cdr:y>
    </cdr:from>
    <cdr:to>
      <cdr:x>0.5939</cdr:x>
      <cdr:y>0.9301</cdr:y>
    </cdr:to>
    <cdr:sp macro="" textlink="">
      <cdr:nvSpPr>
        <cdr:cNvPr id="60" name="FracNo 515 StartRow 833">
          <a:extLst xmlns:a="http://schemas.openxmlformats.org/drawingml/2006/main">
            <a:ext uri="{FF2B5EF4-FFF2-40B4-BE49-F238E27FC236}">
              <a16:creationId xmlns:a16="http://schemas.microsoft.com/office/drawing/2014/main" id="{C789DC40-61C5-3F95-0150-F679C3D14366}"/>
            </a:ext>
          </a:extLst>
        </cdr:cNvPr>
        <cdr:cNvSpPr/>
      </cdr:nvSpPr>
      <cdr:spPr>
        <a:xfrm xmlns:a="http://schemas.openxmlformats.org/drawingml/2006/main">
          <a:off x="1925028" y="4603527"/>
          <a:ext cx="2419501" cy="2483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9501" h="2483839">
              <a:moveTo>
                <a:pt x="2204946" y="203170"/>
              </a:moveTo>
              <a:lnTo>
                <a:pt x="2083275" y="329019"/>
              </a:lnTo>
              <a:lnTo>
                <a:pt x="806237" y="1649913"/>
              </a:lnTo>
              <a:lnTo>
                <a:pt x="0" y="2483838"/>
              </a:lnTo>
              <a:lnTo>
                <a:pt x="36259" y="2483838"/>
              </a:lnTo>
              <a:lnTo>
                <a:pt x="835479" y="1657171"/>
              </a:lnTo>
              <a:lnTo>
                <a:pt x="2101405" y="347771"/>
              </a:lnTo>
              <a:lnTo>
                <a:pt x="2223076" y="221921"/>
              </a:lnTo>
              <a:lnTo>
                <a:pt x="2419500" y="18752"/>
              </a:lnTo>
              <a:lnTo>
                <a:pt x="24013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0.38516</cdr:x>
      <cdr:y>0.61084</cdr:y>
    </cdr:from>
    <cdr:to>
      <cdr:x>0.70916</cdr:x>
      <cdr:y>0.9301</cdr:y>
    </cdr:to>
    <cdr:sp macro="" textlink="">
      <cdr:nvSpPr>
        <cdr:cNvPr id="61" name="FracNo 110 StartRow 846">
          <a:extLst xmlns:a="http://schemas.openxmlformats.org/drawingml/2006/main">
            <a:ext uri="{FF2B5EF4-FFF2-40B4-BE49-F238E27FC236}">
              <a16:creationId xmlns:a16="http://schemas.microsoft.com/office/drawing/2014/main" id="{80138956-5DEF-C0E3-22C7-8771D9B45426}"/>
            </a:ext>
          </a:extLst>
        </cdr:cNvPr>
        <cdr:cNvSpPr/>
      </cdr:nvSpPr>
      <cdr:spPr>
        <a:xfrm xmlns:a="http://schemas.openxmlformats.org/drawingml/2006/main">
          <a:off x="2817516" y="4654617"/>
          <a:ext cx="2370106" cy="2432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0106" h="2432749">
              <a:moveTo>
                <a:pt x="1114896" y="1317068"/>
              </a:moveTo>
              <a:lnTo>
                <a:pt x="36258" y="2432748"/>
              </a:lnTo>
              <a:lnTo>
                <a:pt x="0" y="2432748"/>
              </a:lnTo>
              <a:lnTo>
                <a:pt x="1088537" y="1306828"/>
              </a:lnTo>
              <a:lnTo>
                <a:pt x="1993516" y="370770"/>
              </a:lnTo>
              <a:lnTo>
                <a:pt x="2083275" y="277929"/>
              </a:lnTo>
              <a:lnTo>
                <a:pt x="2351976" y="0"/>
              </a:lnTo>
              <a:lnTo>
                <a:pt x="2370105" y="18752"/>
              </a:lnTo>
              <a:lnTo>
                <a:pt x="2101404" y="296681"/>
              </a:lnTo>
              <a:lnTo>
                <a:pt x="2011645" y="3895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0.57901</cdr:x>
      <cdr:y>0.38442</cdr:y>
    </cdr:from>
    <cdr:to>
      <cdr:x>0.89834</cdr:x>
      <cdr:y>0.7015</cdr:y>
    </cdr:to>
    <cdr:sp macro="" textlink="">
      <cdr:nvSpPr>
        <cdr:cNvPr id="62" name="FracNo 422 StartRow 859">
          <a:extLst xmlns:a="http://schemas.openxmlformats.org/drawingml/2006/main">
            <a:ext uri="{FF2B5EF4-FFF2-40B4-BE49-F238E27FC236}">
              <a16:creationId xmlns:a16="http://schemas.microsoft.com/office/drawing/2014/main" id="{466F8F88-3EF5-667B-C5BD-CE3475E60CF2}"/>
            </a:ext>
          </a:extLst>
        </cdr:cNvPr>
        <cdr:cNvSpPr/>
      </cdr:nvSpPr>
      <cdr:spPr>
        <a:xfrm xmlns:a="http://schemas.openxmlformats.org/drawingml/2006/main">
          <a:off x="4235586" y="2929277"/>
          <a:ext cx="2335939" cy="2416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5939" h="2416160">
              <a:moveTo>
                <a:pt x="822546" y="1584117"/>
              </a:moveTo>
              <a:lnTo>
                <a:pt x="593575" y="1820950"/>
              </a:lnTo>
              <a:lnTo>
                <a:pt x="399181" y="2022021"/>
              </a:lnTo>
              <a:lnTo>
                <a:pt x="18129" y="2416159"/>
              </a:lnTo>
              <a:lnTo>
                <a:pt x="0" y="2397407"/>
              </a:lnTo>
              <a:lnTo>
                <a:pt x="381051" y="2003269"/>
              </a:lnTo>
              <a:lnTo>
                <a:pt x="575446" y="1802199"/>
              </a:lnTo>
              <a:lnTo>
                <a:pt x="804416" y="1565365"/>
              </a:lnTo>
              <a:lnTo>
                <a:pt x="2317809" y="0"/>
              </a:lnTo>
              <a:lnTo>
                <a:pt x="23359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0.62378</cdr:x>
      <cdr:y>0.61366</cdr:y>
    </cdr:from>
    <cdr:to>
      <cdr:x>0.94246</cdr:x>
      <cdr:y>0.9301</cdr:y>
    </cdr:to>
    <cdr:sp macro="" textlink="">
      <cdr:nvSpPr>
        <cdr:cNvPr id="63" name="FracNo 724 StartRow 872">
          <a:extLst xmlns:a="http://schemas.openxmlformats.org/drawingml/2006/main">
            <a:ext uri="{FF2B5EF4-FFF2-40B4-BE49-F238E27FC236}">
              <a16:creationId xmlns:a16="http://schemas.microsoft.com/office/drawing/2014/main" id="{BDDF6B70-0C55-D4CD-4CB7-D4ADE11BDE6F}"/>
            </a:ext>
          </a:extLst>
        </cdr:cNvPr>
        <cdr:cNvSpPr/>
      </cdr:nvSpPr>
      <cdr:spPr>
        <a:xfrm xmlns:a="http://schemas.openxmlformats.org/drawingml/2006/main">
          <a:off x="4563058" y="4676056"/>
          <a:ext cx="2331250" cy="2411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1250" h="2411310">
              <a:moveTo>
                <a:pt x="1568968" y="825963"/>
              </a:moveTo>
              <a:lnTo>
                <a:pt x="273765" y="2165646"/>
              </a:lnTo>
              <a:lnTo>
                <a:pt x="36258" y="2411309"/>
              </a:lnTo>
              <a:lnTo>
                <a:pt x="0" y="2411309"/>
              </a:lnTo>
              <a:lnTo>
                <a:pt x="240312" y="2162744"/>
              </a:lnTo>
              <a:lnTo>
                <a:pt x="1555299" y="802598"/>
              </a:lnTo>
              <a:lnTo>
                <a:pt x="2089524" y="250027"/>
              </a:lnTo>
              <a:lnTo>
                <a:pt x="2331249" y="0"/>
              </a:lnTo>
              <a:lnTo>
                <a:pt x="2331249" y="37504"/>
              </a:lnTo>
              <a:lnTo>
                <a:pt x="2095155" y="2817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0.16596</cdr:x>
      <cdr:y>0.35795</cdr:y>
    </cdr:from>
    <cdr:to>
      <cdr:x>0.48264</cdr:x>
      <cdr:y>0.6724</cdr:y>
    </cdr:to>
    <cdr:sp macro="" textlink="">
      <cdr:nvSpPr>
        <cdr:cNvPr id="64" name="FracNo 725 StartRow 885">
          <a:extLst xmlns:a="http://schemas.openxmlformats.org/drawingml/2006/main">
            <a:ext uri="{FF2B5EF4-FFF2-40B4-BE49-F238E27FC236}">
              <a16:creationId xmlns:a16="http://schemas.microsoft.com/office/drawing/2014/main" id="{168F7D99-05EA-9A0F-210A-2E1104EFD883}"/>
            </a:ext>
          </a:extLst>
        </cdr:cNvPr>
        <cdr:cNvSpPr/>
      </cdr:nvSpPr>
      <cdr:spPr>
        <a:xfrm xmlns:a="http://schemas.openxmlformats.org/drawingml/2006/main">
          <a:off x="1214055" y="2727584"/>
          <a:ext cx="2316584" cy="2396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6584" h="2396141">
              <a:moveTo>
                <a:pt x="1138002" y="1237808"/>
              </a:moveTo>
              <a:lnTo>
                <a:pt x="184830" y="2223714"/>
              </a:lnTo>
              <a:lnTo>
                <a:pt x="18129" y="2396140"/>
              </a:lnTo>
              <a:lnTo>
                <a:pt x="0" y="2377388"/>
              </a:lnTo>
              <a:lnTo>
                <a:pt x="166701" y="2204962"/>
              </a:lnTo>
              <a:lnTo>
                <a:pt x="1119873" y="1219056"/>
              </a:lnTo>
              <a:lnTo>
                <a:pt x="1522767" y="802326"/>
              </a:lnTo>
              <a:lnTo>
                <a:pt x="2240911" y="59519"/>
              </a:lnTo>
              <a:lnTo>
                <a:pt x="2298454" y="0"/>
              </a:lnTo>
              <a:lnTo>
                <a:pt x="2316583" y="18752"/>
              </a:lnTo>
              <a:lnTo>
                <a:pt x="2259041" y="78271"/>
              </a:lnTo>
              <a:lnTo>
                <a:pt x="1540896" y="8210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0.33277</cdr:x>
      <cdr:y>0.27875</cdr:y>
    </cdr:from>
    <cdr:to>
      <cdr:x>0.64847</cdr:x>
      <cdr:y>0.59222</cdr:y>
    </cdr:to>
    <cdr:sp macro="" textlink="">
      <cdr:nvSpPr>
        <cdr:cNvPr id="65" name="FracNo 519 StartRow 900">
          <a:extLst xmlns:a="http://schemas.openxmlformats.org/drawingml/2006/main">
            <a:ext uri="{FF2B5EF4-FFF2-40B4-BE49-F238E27FC236}">
              <a16:creationId xmlns:a16="http://schemas.microsoft.com/office/drawing/2014/main" id="{694BEFC2-FC79-1760-224F-AC247A0E25D6}"/>
            </a:ext>
          </a:extLst>
        </cdr:cNvPr>
        <cdr:cNvSpPr/>
      </cdr:nvSpPr>
      <cdr:spPr>
        <a:xfrm xmlns:a="http://schemas.openxmlformats.org/drawingml/2006/main">
          <a:off x="2434297" y="2124067"/>
          <a:ext cx="2309360" cy="23886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9360" h="2388667">
              <a:moveTo>
                <a:pt x="1050035" y="1321323"/>
              </a:moveTo>
              <a:lnTo>
                <a:pt x="320654" y="2075753"/>
              </a:lnTo>
              <a:lnTo>
                <a:pt x="18129" y="2388666"/>
              </a:lnTo>
              <a:lnTo>
                <a:pt x="0" y="2369915"/>
              </a:lnTo>
              <a:lnTo>
                <a:pt x="302525" y="2057001"/>
              </a:lnTo>
              <a:lnTo>
                <a:pt x="1031905" y="1302572"/>
              </a:lnTo>
              <a:lnTo>
                <a:pt x="1650207" y="663036"/>
              </a:lnTo>
              <a:lnTo>
                <a:pt x="2291229" y="0"/>
              </a:lnTo>
              <a:lnTo>
                <a:pt x="2309359" y="18751"/>
              </a:lnTo>
              <a:lnTo>
                <a:pt x="1668337" y="6817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0.40692</cdr:x>
      <cdr:y>0.34322</cdr:y>
    </cdr:from>
    <cdr:to>
      <cdr:x>0.72118</cdr:x>
      <cdr:y>0.65526</cdr:y>
    </cdr:to>
    <cdr:sp macro="" textlink="">
      <cdr:nvSpPr>
        <cdr:cNvPr id="66" name="FracNo 503 StartRow 913">
          <a:extLst xmlns:a="http://schemas.openxmlformats.org/drawingml/2006/main">
            <a:ext uri="{FF2B5EF4-FFF2-40B4-BE49-F238E27FC236}">
              <a16:creationId xmlns:a16="http://schemas.microsoft.com/office/drawing/2014/main" id="{0BDA4870-D029-6328-2007-0170B2666975}"/>
            </a:ext>
          </a:extLst>
        </cdr:cNvPr>
        <cdr:cNvSpPr/>
      </cdr:nvSpPr>
      <cdr:spPr>
        <a:xfrm xmlns:a="http://schemas.openxmlformats.org/drawingml/2006/main">
          <a:off x="2976736" y="2615338"/>
          <a:ext cx="2298827" cy="2377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8827" h="2377773">
              <a:moveTo>
                <a:pt x="1170162" y="1148673"/>
              </a:moveTo>
              <a:lnTo>
                <a:pt x="40424" y="2317208"/>
              </a:lnTo>
              <a:lnTo>
                <a:pt x="0" y="2359020"/>
              </a:lnTo>
              <a:lnTo>
                <a:pt x="18129" y="2377772"/>
              </a:lnTo>
              <a:lnTo>
                <a:pt x="58553" y="2335960"/>
              </a:lnTo>
              <a:lnTo>
                <a:pt x="1188291" y="1167425"/>
              </a:lnTo>
              <a:lnTo>
                <a:pt x="1852425" y="480483"/>
              </a:lnTo>
              <a:lnTo>
                <a:pt x="2132764" y="190517"/>
              </a:lnTo>
              <a:lnTo>
                <a:pt x="2298826" y="18752"/>
              </a:lnTo>
              <a:lnTo>
                <a:pt x="2280696" y="0"/>
              </a:lnTo>
              <a:lnTo>
                <a:pt x="2114635" y="171765"/>
              </a:lnTo>
              <a:lnTo>
                <a:pt x="1834296" y="4617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0.62953</cdr:x>
      <cdr:y>0.48159</cdr:y>
    </cdr:from>
    <cdr:to>
      <cdr:x>0.94246</cdr:x>
      <cdr:y>0.79478</cdr:y>
    </cdr:to>
    <cdr:sp macro="" textlink="">
      <cdr:nvSpPr>
        <cdr:cNvPr id="67" name="FracNo 358 StartRow 928">
          <a:extLst xmlns:a="http://schemas.openxmlformats.org/drawingml/2006/main">
            <a:ext uri="{FF2B5EF4-FFF2-40B4-BE49-F238E27FC236}">
              <a16:creationId xmlns:a16="http://schemas.microsoft.com/office/drawing/2014/main" id="{0AC4480A-929A-0261-6A64-7131970140F4}"/>
            </a:ext>
          </a:extLst>
        </cdr:cNvPr>
        <cdr:cNvSpPr/>
      </cdr:nvSpPr>
      <cdr:spPr>
        <a:xfrm xmlns:a="http://schemas.openxmlformats.org/drawingml/2006/main">
          <a:off x="4605173" y="3669738"/>
          <a:ext cx="2289135" cy="2386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9135" h="2386501">
              <a:moveTo>
                <a:pt x="651471" y="1731408"/>
              </a:moveTo>
              <a:lnTo>
                <a:pt x="223988" y="2173571"/>
              </a:lnTo>
              <a:lnTo>
                <a:pt x="18129" y="2386500"/>
              </a:lnTo>
              <a:lnTo>
                <a:pt x="0" y="2367748"/>
              </a:lnTo>
              <a:lnTo>
                <a:pt x="205859" y="2154819"/>
              </a:lnTo>
              <a:lnTo>
                <a:pt x="635717" y="1710200"/>
              </a:lnTo>
              <a:lnTo>
                <a:pt x="1070643" y="1260337"/>
              </a:lnTo>
              <a:lnTo>
                <a:pt x="2289134" y="0"/>
              </a:lnTo>
              <a:lnTo>
                <a:pt x="2289134" y="37504"/>
              </a:lnTo>
              <a:lnTo>
                <a:pt x="1083994" y="12840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0.22818</cdr:x>
      <cdr:y>0.28949</cdr:y>
    </cdr:from>
    <cdr:to>
      <cdr:x>0.54117</cdr:x>
      <cdr:y>0.60027</cdr:y>
    </cdr:to>
    <cdr:sp macro="" textlink="">
      <cdr:nvSpPr>
        <cdr:cNvPr id="68" name="FracNo 666 StartRow 941">
          <a:extLst xmlns:a="http://schemas.openxmlformats.org/drawingml/2006/main">
            <a:ext uri="{FF2B5EF4-FFF2-40B4-BE49-F238E27FC236}">
              <a16:creationId xmlns:a16="http://schemas.microsoft.com/office/drawing/2014/main" id="{FCFDA78D-FBA2-E6EB-3B8D-6102BA41F367}"/>
            </a:ext>
          </a:extLst>
        </cdr:cNvPr>
        <cdr:cNvSpPr/>
      </cdr:nvSpPr>
      <cdr:spPr>
        <a:xfrm xmlns:a="http://schemas.openxmlformats.org/drawingml/2006/main">
          <a:off x="1669201" y="2205916"/>
          <a:ext cx="2289530" cy="2368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9530" h="2368157">
              <a:moveTo>
                <a:pt x="60012" y="2324835"/>
              </a:moveTo>
              <a:lnTo>
                <a:pt x="18129" y="2368156"/>
              </a:lnTo>
              <a:lnTo>
                <a:pt x="0" y="2349404"/>
              </a:lnTo>
              <a:lnTo>
                <a:pt x="41883" y="2306083"/>
              </a:lnTo>
              <a:lnTo>
                <a:pt x="1067621" y="1245119"/>
              </a:lnTo>
              <a:lnTo>
                <a:pt x="1709509" y="581187"/>
              </a:lnTo>
              <a:lnTo>
                <a:pt x="2271400" y="0"/>
              </a:lnTo>
              <a:lnTo>
                <a:pt x="2289529" y="18752"/>
              </a:lnTo>
              <a:lnTo>
                <a:pt x="1727638" y="599939"/>
              </a:lnTo>
              <a:lnTo>
                <a:pt x="1085750" y="12638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0.41078</cdr:x>
      <cdr:y>0.55212</cdr:y>
    </cdr:from>
    <cdr:to>
      <cdr:x>0.72245</cdr:x>
      <cdr:y>0.8616</cdr:y>
    </cdr:to>
    <cdr:sp macro="" textlink="">
      <cdr:nvSpPr>
        <cdr:cNvPr id="69" name="FracNo 106 StartRow 954">
          <a:extLst xmlns:a="http://schemas.openxmlformats.org/drawingml/2006/main">
            <a:ext uri="{FF2B5EF4-FFF2-40B4-BE49-F238E27FC236}">
              <a16:creationId xmlns:a16="http://schemas.microsoft.com/office/drawing/2014/main" id="{A96F8AE4-843B-5F6A-138E-D0FFC77CAEC5}"/>
            </a:ext>
          </a:extLst>
        </cdr:cNvPr>
        <cdr:cNvSpPr/>
      </cdr:nvSpPr>
      <cdr:spPr>
        <a:xfrm xmlns:a="http://schemas.openxmlformats.org/drawingml/2006/main">
          <a:off x="3004928" y="4207171"/>
          <a:ext cx="2279954" cy="2358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9954" h="2358253">
              <a:moveTo>
                <a:pt x="143490" y="2228587"/>
              </a:moveTo>
              <a:lnTo>
                <a:pt x="18129" y="2358252"/>
              </a:lnTo>
              <a:lnTo>
                <a:pt x="0" y="2339500"/>
              </a:lnTo>
              <a:lnTo>
                <a:pt x="125361" y="2209835"/>
              </a:lnTo>
              <a:lnTo>
                <a:pt x="1560533" y="725375"/>
              </a:lnTo>
              <a:lnTo>
                <a:pt x="1806104" y="471371"/>
              </a:lnTo>
              <a:lnTo>
                <a:pt x="2261824" y="0"/>
              </a:lnTo>
              <a:lnTo>
                <a:pt x="2279953" y="18752"/>
              </a:lnTo>
              <a:lnTo>
                <a:pt x="1824233" y="490123"/>
              </a:lnTo>
              <a:lnTo>
                <a:pt x="1578662" y="7441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0.63388</cdr:x>
      <cdr:y>0.25322</cdr:y>
    </cdr:from>
    <cdr:to>
      <cdr:x>0.94246</cdr:x>
      <cdr:y>0.56209</cdr:y>
    </cdr:to>
    <cdr:sp macro="" textlink="">
      <cdr:nvSpPr>
        <cdr:cNvPr id="70" name="FracNo 520 StartRow 967">
          <a:extLst xmlns:a="http://schemas.openxmlformats.org/drawingml/2006/main">
            <a:ext uri="{FF2B5EF4-FFF2-40B4-BE49-F238E27FC236}">
              <a16:creationId xmlns:a16="http://schemas.microsoft.com/office/drawing/2014/main" id="{48E30A00-F154-BD9F-5F44-2503521FAE3D}"/>
            </a:ext>
          </a:extLst>
        </cdr:cNvPr>
        <cdr:cNvSpPr/>
      </cdr:nvSpPr>
      <cdr:spPr>
        <a:xfrm xmlns:a="http://schemas.openxmlformats.org/drawingml/2006/main">
          <a:off x="4636970" y="1929506"/>
          <a:ext cx="2257338" cy="23536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7338" h="2353611">
              <a:moveTo>
                <a:pt x="129077" y="2201350"/>
              </a:moveTo>
              <a:lnTo>
                <a:pt x="0" y="2334859"/>
              </a:lnTo>
              <a:lnTo>
                <a:pt x="18130" y="2353610"/>
              </a:lnTo>
              <a:lnTo>
                <a:pt x="147206" y="2220102"/>
              </a:lnTo>
              <a:lnTo>
                <a:pt x="192191" y="2173571"/>
              </a:lnTo>
              <a:lnTo>
                <a:pt x="1440863" y="882018"/>
              </a:lnTo>
              <a:lnTo>
                <a:pt x="2257337" y="37504"/>
              </a:lnTo>
              <a:lnTo>
                <a:pt x="2257337" y="0"/>
              </a:lnTo>
              <a:lnTo>
                <a:pt x="1433695" y="851928"/>
              </a:lnTo>
              <a:lnTo>
                <a:pt x="174062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0.34613</cdr:y>
    </cdr:from>
    <cdr:to>
      <cdr:x>0.39197</cdr:x>
      <cdr:y>0.64663</cdr:y>
    </cdr:to>
    <cdr:sp macro="" textlink="">
      <cdr:nvSpPr>
        <cdr:cNvPr id="71" name="FracNo 270 StartRow 980">
          <a:extLst xmlns:a="http://schemas.openxmlformats.org/drawingml/2006/main">
            <a:ext uri="{FF2B5EF4-FFF2-40B4-BE49-F238E27FC236}">
              <a16:creationId xmlns:a16="http://schemas.microsoft.com/office/drawing/2014/main" id="{A1C08B0D-4BCA-CD49-B4C5-8934A392FB38}"/>
            </a:ext>
          </a:extLst>
        </cdr:cNvPr>
        <cdr:cNvSpPr/>
      </cdr:nvSpPr>
      <cdr:spPr>
        <a:xfrm xmlns:a="http://schemas.openxmlformats.org/drawingml/2006/main">
          <a:off x="671676" y="2637494"/>
          <a:ext cx="2195676" cy="2289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5676" h="2289831">
              <a:moveTo>
                <a:pt x="2128850" y="87871"/>
              </a:moveTo>
              <a:lnTo>
                <a:pt x="2083275" y="135011"/>
              </a:lnTo>
              <a:lnTo>
                <a:pt x="2050892" y="168506"/>
              </a:lnTo>
              <a:lnTo>
                <a:pt x="0" y="2289830"/>
              </a:lnTo>
              <a:lnTo>
                <a:pt x="0" y="2252327"/>
              </a:lnTo>
              <a:lnTo>
                <a:pt x="2033044" y="149463"/>
              </a:lnTo>
              <a:lnTo>
                <a:pt x="2065146" y="116259"/>
              </a:lnTo>
              <a:lnTo>
                <a:pt x="2110720" y="69119"/>
              </a:lnTo>
              <a:lnTo>
                <a:pt x="2177545" y="0"/>
              </a:lnTo>
              <a:lnTo>
                <a:pt x="219567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0.62453</cdr:x>
      <cdr:y>0.49086</cdr:y>
    </cdr:from>
    <cdr:to>
      <cdr:x>0.92313</cdr:x>
      <cdr:y>0.78735</cdr:y>
    </cdr:to>
    <cdr:sp macro="" textlink="">
      <cdr:nvSpPr>
        <cdr:cNvPr id="72" name="FracNo 420 StartRow 993">
          <a:extLst xmlns:a="http://schemas.openxmlformats.org/drawingml/2006/main">
            <a:ext uri="{FF2B5EF4-FFF2-40B4-BE49-F238E27FC236}">
              <a16:creationId xmlns:a16="http://schemas.microsoft.com/office/drawing/2014/main" id="{9054D3B5-F829-2FDD-127E-7BAA1D3A8F40}"/>
            </a:ext>
          </a:extLst>
        </cdr:cNvPr>
        <cdr:cNvSpPr/>
      </cdr:nvSpPr>
      <cdr:spPr>
        <a:xfrm xmlns:a="http://schemas.openxmlformats.org/drawingml/2006/main">
          <a:off x="4568576" y="3740325"/>
          <a:ext cx="2184295" cy="2259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4295" h="2259308">
              <a:moveTo>
                <a:pt x="2126950" y="59312"/>
              </a:moveTo>
              <a:lnTo>
                <a:pt x="1022592" y="1201597"/>
              </a:lnTo>
              <a:lnTo>
                <a:pt x="251521" y="1999148"/>
              </a:lnTo>
              <a:lnTo>
                <a:pt x="0" y="2259307"/>
              </a:lnTo>
              <a:lnTo>
                <a:pt x="0" y="2259307"/>
              </a:lnTo>
              <a:lnTo>
                <a:pt x="251521" y="1999148"/>
              </a:lnTo>
              <a:lnTo>
                <a:pt x="1022592" y="1201597"/>
              </a:lnTo>
              <a:lnTo>
                <a:pt x="2126950" y="59312"/>
              </a:lnTo>
              <a:lnTo>
                <a:pt x="2184294" y="0"/>
              </a:lnTo>
              <a:lnTo>
                <a:pt x="21842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0.36371</cdr:x>
      <cdr:y>0.35169</cdr:y>
    </cdr:from>
    <cdr:to>
      <cdr:x>0.66222</cdr:x>
      <cdr:y>0.6481</cdr:y>
    </cdr:to>
    <cdr:sp macro="" textlink="">
      <cdr:nvSpPr>
        <cdr:cNvPr id="73" name="FracNo 484 StartRow 1006">
          <a:extLst xmlns:a="http://schemas.openxmlformats.org/drawingml/2006/main">
            <a:ext uri="{FF2B5EF4-FFF2-40B4-BE49-F238E27FC236}">
              <a16:creationId xmlns:a16="http://schemas.microsoft.com/office/drawing/2014/main" id="{ADD61D15-AA2B-C228-CC7A-DA02BB649870}"/>
            </a:ext>
          </a:extLst>
        </cdr:cNvPr>
        <cdr:cNvSpPr/>
      </cdr:nvSpPr>
      <cdr:spPr>
        <a:xfrm xmlns:a="http://schemas.openxmlformats.org/drawingml/2006/main">
          <a:off x="2660637" y="2679885"/>
          <a:ext cx="2183653" cy="2258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3653" h="2258644">
              <a:moveTo>
                <a:pt x="1325714" y="887401"/>
              </a:moveTo>
              <a:lnTo>
                <a:pt x="85249" y="2170466"/>
              </a:lnTo>
              <a:lnTo>
                <a:pt x="0" y="2258643"/>
              </a:lnTo>
              <a:lnTo>
                <a:pt x="0" y="2258643"/>
              </a:lnTo>
              <a:lnTo>
                <a:pt x="85249" y="2170466"/>
              </a:lnTo>
              <a:lnTo>
                <a:pt x="1325714" y="887401"/>
              </a:lnTo>
              <a:lnTo>
                <a:pt x="2070929" y="116594"/>
              </a:lnTo>
              <a:lnTo>
                <a:pt x="2159460" y="25023"/>
              </a:lnTo>
              <a:lnTo>
                <a:pt x="2183652" y="0"/>
              </a:lnTo>
              <a:lnTo>
                <a:pt x="2183652" y="0"/>
              </a:lnTo>
              <a:lnTo>
                <a:pt x="2159460" y="25023"/>
              </a:lnTo>
              <a:lnTo>
                <a:pt x="2070929" y="1165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0.64243</cdr:x>
      <cdr:y>0.63217</cdr:y>
    </cdr:from>
    <cdr:to>
      <cdr:x>0.94246</cdr:x>
      <cdr:y>0.9301</cdr:y>
    </cdr:to>
    <cdr:sp macro="" textlink="">
      <cdr:nvSpPr>
        <cdr:cNvPr id="74" name="FracNo 348 StartRow 1021">
          <a:extLst xmlns:a="http://schemas.openxmlformats.org/drawingml/2006/main">
            <a:ext uri="{FF2B5EF4-FFF2-40B4-BE49-F238E27FC236}">
              <a16:creationId xmlns:a16="http://schemas.microsoft.com/office/drawing/2014/main" id="{32393E72-57A3-9289-5D78-F3A77CC17CDB}"/>
            </a:ext>
          </a:extLst>
        </cdr:cNvPr>
        <cdr:cNvSpPr/>
      </cdr:nvSpPr>
      <cdr:spPr>
        <a:xfrm xmlns:a="http://schemas.openxmlformats.org/drawingml/2006/main">
          <a:off x="4699483" y="4817166"/>
          <a:ext cx="2194825" cy="2270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4825" h="2270200">
              <a:moveTo>
                <a:pt x="376901" y="1880354"/>
              </a:moveTo>
              <a:lnTo>
                <a:pt x="104980" y="2161614"/>
              </a:lnTo>
              <a:lnTo>
                <a:pt x="0" y="2270199"/>
              </a:lnTo>
              <a:lnTo>
                <a:pt x="36259" y="2270199"/>
              </a:lnTo>
              <a:lnTo>
                <a:pt x="136248" y="2166776"/>
              </a:lnTo>
              <a:lnTo>
                <a:pt x="404031" y="1889796"/>
              </a:lnTo>
              <a:lnTo>
                <a:pt x="2092854" y="142975"/>
              </a:lnTo>
              <a:lnTo>
                <a:pt x="2194824" y="37504"/>
              </a:lnTo>
              <a:lnTo>
                <a:pt x="2194824" y="0"/>
              </a:lnTo>
              <a:lnTo>
                <a:pt x="2091825" y="1065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0.46782</cdr:x>
      <cdr:y>0.54519</cdr:y>
    </cdr:from>
    <cdr:to>
      <cdr:x>0.76757</cdr:x>
      <cdr:y>0.84282</cdr:y>
    </cdr:to>
    <cdr:sp macro="" textlink="">
      <cdr:nvSpPr>
        <cdr:cNvPr id="75" name="FracNo 424 StartRow 1034">
          <a:extLst xmlns:a="http://schemas.openxmlformats.org/drawingml/2006/main">
            <a:ext uri="{FF2B5EF4-FFF2-40B4-BE49-F238E27FC236}">
              <a16:creationId xmlns:a16="http://schemas.microsoft.com/office/drawing/2014/main" id="{AB4BD9AB-9C25-BBF0-4275-C347D3B3825F}"/>
            </a:ext>
          </a:extLst>
        </cdr:cNvPr>
        <cdr:cNvSpPr/>
      </cdr:nvSpPr>
      <cdr:spPr>
        <a:xfrm xmlns:a="http://schemas.openxmlformats.org/drawingml/2006/main">
          <a:off x="3422231" y="4154320"/>
          <a:ext cx="2192681" cy="22679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2681" h="2267982">
              <a:moveTo>
                <a:pt x="1741383" y="485547"/>
              </a:moveTo>
              <a:lnTo>
                <a:pt x="1440292" y="796978"/>
              </a:lnTo>
              <a:lnTo>
                <a:pt x="1406930" y="831486"/>
              </a:lnTo>
              <a:lnTo>
                <a:pt x="18129" y="2267981"/>
              </a:lnTo>
              <a:lnTo>
                <a:pt x="0" y="2249229"/>
              </a:lnTo>
              <a:lnTo>
                <a:pt x="1388801" y="812734"/>
              </a:lnTo>
              <a:lnTo>
                <a:pt x="1422163" y="778226"/>
              </a:lnTo>
              <a:lnTo>
                <a:pt x="1723254" y="466796"/>
              </a:lnTo>
              <a:lnTo>
                <a:pt x="2174551" y="0"/>
              </a:lnTo>
              <a:lnTo>
                <a:pt x="21926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0.34303</cdr:y>
    </cdr:from>
    <cdr:to>
      <cdr:x>0.38886</cdr:x>
      <cdr:y>0.64044</cdr:y>
    </cdr:to>
    <cdr:sp macro="" textlink="">
      <cdr:nvSpPr>
        <cdr:cNvPr id="76" name="FracNo 664 StartRow 1047">
          <a:extLst xmlns:a="http://schemas.openxmlformats.org/drawingml/2006/main">
            <a:ext uri="{FF2B5EF4-FFF2-40B4-BE49-F238E27FC236}">
              <a16:creationId xmlns:a16="http://schemas.microsoft.com/office/drawing/2014/main" id="{267B0FB7-2D42-EB54-2E3F-B492FF367E61}"/>
            </a:ext>
          </a:extLst>
        </cdr:cNvPr>
        <cdr:cNvSpPr/>
      </cdr:nvSpPr>
      <cdr:spPr>
        <a:xfrm xmlns:a="http://schemas.openxmlformats.org/drawingml/2006/main">
          <a:off x="671676" y="2613915"/>
          <a:ext cx="2172880" cy="2266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2880" h="2266253">
              <a:moveTo>
                <a:pt x="1562583" y="650007"/>
              </a:moveTo>
              <a:lnTo>
                <a:pt x="0" y="2266252"/>
              </a:lnTo>
              <a:lnTo>
                <a:pt x="0" y="2228749"/>
              </a:lnTo>
              <a:lnTo>
                <a:pt x="1548457" y="627114"/>
              </a:lnTo>
              <a:lnTo>
                <a:pt x="1987312" y="173188"/>
              </a:lnTo>
              <a:lnTo>
                <a:pt x="2065146" y="92681"/>
              </a:lnTo>
              <a:lnTo>
                <a:pt x="2154750" y="0"/>
              </a:lnTo>
              <a:lnTo>
                <a:pt x="2172879" y="18752"/>
              </a:lnTo>
              <a:lnTo>
                <a:pt x="2083275" y="111433"/>
              </a:lnTo>
              <a:lnTo>
                <a:pt x="2005441" y="1919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0.64677</cdr:x>
      <cdr:y>0.09876</cdr:y>
    </cdr:from>
    <cdr:to>
      <cdr:x>0.9437</cdr:x>
      <cdr:y>0.3936</cdr:y>
    </cdr:to>
    <cdr:sp macro="" textlink="">
      <cdr:nvSpPr>
        <cdr:cNvPr id="77" name="FracNo 192 StartRow 1060">
          <a:extLst xmlns:a="http://schemas.openxmlformats.org/drawingml/2006/main">
            <a:ext uri="{FF2B5EF4-FFF2-40B4-BE49-F238E27FC236}">
              <a16:creationId xmlns:a16="http://schemas.microsoft.com/office/drawing/2014/main" id="{6AF06DA6-CAF4-CE1C-9A37-98E19CA1CCDA}"/>
            </a:ext>
          </a:extLst>
        </cdr:cNvPr>
        <cdr:cNvSpPr/>
      </cdr:nvSpPr>
      <cdr:spPr>
        <a:xfrm xmlns:a="http://schemas.openxmlformats.org/drawingml/2006/main">
          <a:off x="4731281" y="752560"/>
          <a:ext cx="2172092" cy="2246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2092" h="2246686">
              <a:moveTo>
                <a:pt x="1648375" y="560454"/>
              </a:moveTo>
              <a:lnTo>
                <a:pt x="205099" y="2053295"/>
              </a:lnTo>
              <a:lnTo>
                <a:pt x="97880" y="2164195"/>
              </a:lnTo>
              <a:lnTo>
                <a:pt x="18129" y="2246685"/>
              </a:lnTo>
              <a:lnTo>
                <a:pt x="0" y="2227933"/>
              </a:lnTo>
              <a:lnTo>
                <a:pt x="79751" y="2145444"/>
              </a:lnTo>
              <a:lnTo>
                <a:pt x="186970" y="2034543"/>
              </a:lnTo>
              <a:lnTo>
                <a:pt x="1630245" y="541702"/>
              </a:lnTo>
              <a:lnTo>
                <a:pt x="2153962" y="0"/>
              </a:lnTo>
              <a:lnTo>
                <a:pt x="2172091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0.64946</cdr:x>
      <cdr:y>0.63915</cdr:y>
    </cdr:from>
    <cdr:to>
      <cdr:x>0.94246</cdr:x>
      <cdr:y>0.9301</cdr:y>
    </cdr:to>
    <cdr:sp macro="" textlink="">
      <cdr:nvSpPr>
        <cdr:cNvPr id="78" name="FracNo 360 StartRow 1073">
          <a:extLst xmlns:a="http://schemas.openxmlformats.org/drawingml/2006/main">
            <a:ext uri="{FF2B5EF4-FFF2-40B4-BE49-F238E27FC236}">
              <a16:creationId xmlns:a16="http://schemas.microsoft.com/office/drawing/2014/main" id="{21838F1B-52B3-CD7C-02B6-E569DEDCDBDE}"/>
            </a:ext>
          </a:extLst>
        </cdr:cNvPr>
        <cdr:cNvSpPr/>
      </cdr:nvSpPr>
      <cdr:spPr>
        <a:xfrm xmlns:a="http://schemas.openxmlformats.org/drawingml/2006/main">
          <a:off x="4750894" y="4870343"/>
          <a:ext cx="2143414" cy="2217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3414" h="2217023">
              <a:moveTo>
                <a:pt x="1946806" y="240863"/>
              </a:moveTo>
              <a:lnTo>
                <a:pt x="87092" y="2164443"/>
              </a:lnTo>
              <a:lnTo>
                <a:pt x="36259" y="2217022"/>
              </a:lnTo>
              <a:lnTo>
                <a:pt x="0" y="2217022"/>
              </a:lnTo>
              <a:lnTo>
                <a:pt x="51314" y="2163946"/>
              </a:lnTo>
              <a:lnTo>
                <a:pt x="1939884" y="210519"/>
              </a:lnTo>
              <a:lnTo>
                <a:pt x="2090026" y="55221"/>
              </a:lnTo>
              <a:lnTo>
                <a:pt x="2143413" y="0"/>
              </a:lnTo>
              <a:lnTo>
                <a:pt x="2143413" y="37504"/>
              </a:lnTo>
              <a:lnTo>
                <a:pt x="2094654" y="879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0.18587</cdr:x>
      <cdr:y>0.32025</cdr:y>
    </cdr:from>
    <cdr:to>
      <cdr:x>0.47681</cdr:x>
      <cdr:y>0.60914</cdr:y>
    </cdr:to>
    <cdr:sp macro="" textlink="">
      <cdr:nvSpPr>
        <cdr:cNvPr id="79" name="FracNo 269 StartRow 1086">
          <a:extLst xmlns:a="http://schemas.openxmlformats.org/drawingml/2006/main">
            <a:ext uri="{FF2B5EF4-FFF2-40B4-BE49-F238E27FC236}">
              <a16:creationId xmlns:a16="http://schemas.microsoft.com/office/drawing/2014/main" id="{19BC7985-5A32-7119-1550-2189D910646B}"/>
            </a:ext>
          </a:extLst>
        </cdr:cNvPr>
        <cdr:cNvSpPr/>
      </cdr:nvSpPr>
      <cdr:spPr>
        <a:xfrm xmlns:a="http://schemas.openxmlformats.org/drawingml/2006/main">
          <a:off x="1359696" y="2440343"/>
          <a:ext cx="2128237" cy="2201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8237" h="2201325">
              <a:moveTo>
                <a:pt x="1933315" y="182864"/>
              </a:moveTo>
              <a:lnTo>
                <a:pt x="1774860" y="346760"/>
              </a:lnTo>
              <a:lnTo>
                <a:pt x="1377126" y="758153"/>
              </a:lnTo>
              <a:lnTo>
                <a:pt x="0" y="2182572"/>
              </a:lnTo>
              <a:lnTo>
                <a:pt x="18129" y="2201324"/>
              </a:lnTo>
              <a:lnTo>
                <a:pt x="1395255" y="776905"/>
              </a:lnTo>
              <a:lnTo>
                <a:pt x="1792989" y="365512"/>
              </a:lnTo>
              <a:lnTo>
                <a:pt x="1951444" y="201616"/>
              </a:lnTo>
              <a:lnTo>
                <a:pt x="2128236" y="18752"/>
              </a:lnTo>
              <a:lnTo>
                <a:pt x="21101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0.58909</cdr:y>
    </cdr:from>
    <cdr:to>
      <cdr:x>0.37782</cdr:x>
      <cdr:y>0.87308</cdr:y>
    </cdr:to>
    <cdr:sp macro="" textlink="">
      <cdr:nvSpPr>
        <cdr:cNvPr id="80" name="FracNo 15 StartRow 1099">
          <a:extLst xmlns:a="http://schemas.openxmlformats.org/drawingml/2006/main">
            <a:ext uri="{FF2B5EF4-FFF2-40B4-BE49-F238E27FC236}">
              <a16:creationId xmlns:a16="http://schemas.microsoft.com/office/drawing/2014/main" id="{0937A327-D68A-6296-ABE3-35B4D58EAA29}"/>
            </a:ext>
          </a:extLst>
        </cdr:cNvPr>
        <cdr:cNvSpPr/>
      </cdr:nvSpPr>
      <cdr:spPr>
        <a:xfrm xmlns:a="http://schemas.openxmlformats.org/drawingml/2006/main">
          <a:off x="671676" y="4488830"/>
          <a:ext cx="2092186" cy="21640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2186" h="2164036">
              <a:moveTo>
                <a:pt x="1362813" y="754421"/>
              </a:moveTo>
              <a:lnTo>
                <a:pt x="0" y="2164035"/>
              </a:lnTo>
              <a:lnTo>
                <a:pt x="0" y="2164035"/>
              </a:lnTo>
              <a:lnTo>
                <a:pt x="1362813" y="754421"/>
              </a:lnTo>
              <a:lnTo>
                <a:pt x="1654137" y="453092"/>
              </a:lnTo>
              <a:lnTo>
                <a:pt x="2074210" y="18593"/>
              </a:lnTo>
              <a:lnTo>
                <a:pt x="2092185" y="0"/>
              </a:lnTo>
              <a:lnTo>
                <a:pt x="2092185" y="0"/>
              </a:lnTo>
              <a:lnTo>
                <a:pt x="2074210" y="18593"/>
              </a:lnTo>
              <a:lnTo>
                <a:pt x="1654137" y="4530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0.11862</cdr:x>
      <cdr:y>0.64509</cdr:y>
    </cdr:from>
    <cdr:to>
      <cdr:x>0.40812</cdr:x>
      <cdr:y>0.9301</cdr:y>
    </cdr:to>
    <cdr:sp macro="" textlink="">
      <cdr:nvSpPr>
        <cdr:cNvPr id="81" name="FracNo 730 StartRow 1112">
          <a:extLst xmlns:a="http://schemas.openxmlformats.org/drawingml/2006/main">
            <a:ext uri="{FF2B5EF4-FFF2-40B4-BE49-F238E27FC236}">
              <a16:creationId xmlns:a16="http://schemas.microsoft.com/office/drawing/2014/main" id="{BCE86F5E-3352-4A05-8A3E-E052473BC6C9}"/>
            </a:ext>
          </a:extLst>
        </cdr:cNvPr>
        <cdr:cNvSpPr/>
      </cdr:nvSpPr>
      <cdr:spPr>
        <a:xfrm xmlns:a="http://schemas.openxmlformats.org/drawingml/2006/main">
          <a:off x="867712" y="4915589"/>
          <a:ext cx="2117799" cy="2171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7799" h="2171777">
              <a:moveTo>
                <a:pt x="1776974" y="371281"/>
              </a:moveTo>
              <a:lnTo>
                <a:pt x="36258" y="2171776"/>
              </a:lnTo>
              <a:lnTo>
                <a:pt x="0" y="2171776"/>
              </a:lnTo>
              <a:lnTo>
                <a:pt x="1757765" y="353646"/>
              </a:lnTo>
              <a:lnTo>
                <a:pt x="1869110" y="238477"/>
              </a:lnTo>
              <a:lnTo>
                <a:pt x="2083275" y="16957"/>
              </a:lnTo>
              <a:lnTo>
                <a:pt x="2099669" y="0"/>
              </a:lnTo>
              <a:lnTo>
                <a:pt x="2117798" y="18752"/>
              </a:lnTo>
              <a:lnTo>
                <a:pt x="2101404" y="35709"/>
              </a:lnTo>
              <a:lnTo>
                <a:pt x="1887239" y="2572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0.65924</cdr:x>
      <cdr:y>0.64887</cdr:y>
    </cdr:from>
    <cdr:to>
      <cdr:x>0.94246</cdr:x>
      <cdr:y>0.9301</cdr:y>
    </cdr:to>
    <cdr:sp macro="" textlink="">
      <cdr:nvSpPr>
        <cdr:cNvPr id="82" name="FracNo 329 StartRow 1125">
          <a:extLst xmlns:a="http://schemas.openxmlformats.org/drawingml/2006/main">
            <a:ext uri="{FF2B5EF4-FFF2-40B4-BE49-F238E27FC236}">
              <a16:creationId xmlns:a16="http://schemas.microsoft.com/office/drawing/2014/main" id="{11C9CA2A-01B4-D537-6CE5-4C37EB85C375}"/>
            </a:ext>
          </a:extLst>
        </cdr:cNvPr>
        <cdr:cNvSpPr/>
      </cdr:nvSpPr>
      <cdr:spPr>
        <a:xfrm xmlns:a="http://schemas.openxmlformats.org/drawingml/2006/main">
          <a:off x="4822460" y="4944366"/>
          <a:ext cx="2071848" cy="2143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1848" h="2143000">
              <a:moveTo>
                <a:pt x="1755840" y="326860"/>
              </a:moveTo>
              <a:lnTo>
                <a:pt x="0" y="2142999"/>
              </a:lnTo>
              <a:lnTo>
                <a:pt x="0" y="2142999"/>
              </a:lnTo>
              <a:lnTo>
                <a:pt x="1755840" y="326860"/>
              </a:lnTo>
              <a:lnTo>
                <a:pt x="2071847" y="0"/>
              </a:lnTo>
              <a:lnTo>
                <a:pt x="20718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0.15385</cdr:x>
      <cdr:y>0.65037</cdr:y>
    </cdr:from>
    <cdr:to>
      <cdr:x>0.43804</cdr:x>
      <cdr:y>0.9301</cdr:y>
    </cdr:to>
    <cdr:sp macro="" textlink="">
      <cdr:nvSpPr>
        <cdr:cNvPr id="83" name="FracNo 105 StartRow 1134">
          <a:extLst xmlns:a="http://schemas.openxmlformats.org/drawingml/2006/main">
            <a:ext uri="{FF2B5EF4-FFF2-40B4-BE49-F238E27FC236}">
              <a16:creationId xmlns:a16="http://schemas.microsoft.com/office/drawing/2014/main" id="{F89D1121-D700-5F91-04BD-157E4B30345F}"/>
            </a:ext>
          </a:extLst>
        </cdr:cNvPr>
        <cdr:cNvSpPr/>
      </cdr:nvSpPr>
      <cdr:spPr>
        <a:xfrm xmlns:a="http://schemas.openxmlformats.org/drawingml/2006/main">
          <a:off x="1125430" y="4955839"/>
          <a:ext cx="2078885" cy="2131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8885" h="2131527">
              <a:moveTo>
                <a:pt x="1644619" y="430428"/>
              </a:moveTo>
              <a:lnTo>
                <a:pt x="1611207" y="464987"/>
              </a:lnTo>
              <a:lnTo>
                <a:pt x="0" y="2131526"/>
              </a:lnTo>
              <a:lnTo>
                <a:pt x="36259" y="2131526"/>
              </a:lnTo>
              <a:lnTo>
                <a:pt x="1629706" y="483356"/>
              </a:lnTo>
              <a:lnTo>
                <a:pt x="1663091" y="448825"/>
              </a:lnTo>
              <a:lnTo>
                <a:pt x="2078884" y="18752"/>
              </a:lnTo>
              <a:lnTo>
                <a:pt x="20607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0.53379</cdr:x>
      <cdr:y>0.08544</cdr:y>
    </cdr:from>
    <cdr:to>
      <cdr:x>0.81797</cdr:x>
      <cdr:y>0.36515</cdr:y>
    </cdr:to>
    <cdr:sp macro="" textlink="">
      <cdr:nvSpPr>
        <cdr:cNvPr id="84" name="FracNo 279 StartRow 1145">
          <a:extLst xmlns:a="http://schemas.openxmlformats.org/drawingml/2006/main">
            <a:ext uri="{FF2B5EF4-FFF2-40B4-BE49-F238E27FC236}">
              <a16:creationId xmlns:a16="http://schemas.microsoft.com/office/drawing/2014/main" id="{E00B9998-AB18-B010-226F-21FCE189AC1C}"/>
            </a:ext>
          </a:extLst>
        </cdr:cNvPr>
        <cdr:cNvSpPr/>
      </cdr:nvSpPr>
      <cdr:spPr>
        <a:xfrm xmlns:a="http://schemas.openxmlformats.org/drawingml/2006/main">
          <a:off x="3904799" y="651036"/>
          <a:ext cx="2078800" cy="2131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8800" h="2131438">
              <a:moveTo>
                <a:pt x="327945" y="1810982"/>
              </a:moveTo>
              <a:lnTo>
                <a:pt x="18129" y="2131437"/>
              </a:lnTo>
              <a:lnTo>
                <a:pt x="0" y="2112685"/>
              </a:lnTo>
              <a:lnTo>
                <a:pt x="307698" y="1794420"/>
              </a:lnTo>
              <a:lnTo>
                <a:pt x="903125" y="1178544"/>
              </a:lnTo>
              <a:lnTo>
                <a:pt x="2042540" y="0"/>
              </a:lnTo>
              <a:lnTo>
                <a:pt x="2078799" y="0"/>
              </a:lnTo>
              <a:lnTo>
                <a:pt x="927470" y="11908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0.47941</cdr:x>
      <cdr:y>0.24658</cdr:y>
    </cdr:from>
    <cdr:to>
      <cdr:x>0.76147</cdr:x>
      <cdr:y>0.52665</cdr:y>
    </cdr:to>
    <cdr:sp macro="" textlink="">
      <cdr:nvSpPr>
        <cdr:cNvPr id="85" name="FracNo 726 StartRow 1156">
          <a:extLst xmlns:a="http://schemas.openxmlformats.org/drawingml/2006/main">
            <a:ext uri="{FF2B5EF4-FFF2-40B4-BE49-F238E27FC236}">
              <a16:creationId xmlns:a16="http://schemas.microsoft.com/office/drawing/2014/main" id="{C2C8BFE7-4E0E-4BAD-DC23-3D662A4D52B8}"/>
            </a:ext>
          </a:extLst>
        </cdr:cNvPr>
        <cdr:cNvSpPr/>
      </cdr:nvSpPr>
      <cdr:spPr>
        <a:xfrm xmlns:a="http://schemas.openxmlformats.org/drawingml/2006/main">
          <a:off x="3506970" y="1878918"/>
          <a:ext cx="2063309" cy="2134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3309" h="2134168">
              <a:moveTo>
                <a:pt x="1981489" y="103382"/>
              </a:moveTo>
              <a:lnTo>
                <a:pt x="1322191" y="785321"/>
              </a:lnTo>
              <a:lnTo>
                <a:pt x="1185277" y="926937"/>
              </a:lnTo>
              <a:lnTo>
                <a:pt x="18129" y="2134167"/>
              </a:lnTo>
              <a:lnTo>
                <a:pt x="0" y="2115415"/>
              </a:lnTo>
              <a:lnTo>
                <a:pt x="1167147" y="908185"/>
              </a:lnTo>
              <a:lnTo>
                <a:pt x="1304062" y="766568"/>
              </a:lnTo>
              <a:lnTo>
                <a:pt x="1963360" y="84630"/>
              </a:lnTo>
              <a:lnTo>
                <a:pt x="2045179" y="0"/>
              </a:lnTo>
              <a:lnTo>
                <a:pt x="20633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0.66332</cdr:x>
      <cdr:y>0.65292</cdr:y>
    </cdr:from>
    <cdr:to>
      <cdr:x>0.94246</cdr:x>
      <cdr:y>0.9301</cdr:y>
    </cdr:to>
    <cdr:sp macro="" textlink="">
      <cdr:nvSpPr>
        <cdr:cNvPr id="86" name="FracNo 742 StartRow 1169">
          <a:extLst xmlns:a="http://schemas.openxmlformats.org/drawingml/2006/main">
            <a:ext uri="{FF2B5EF4-FFF2-40B4-BE49-F238E27FC236}">
              <a16:creationId xmlns:a16="http://schemas.microsoft.com/office/drawing/2014/main" id="{9CBBC78B-50C4-7FBB-5BDD-EEC5748590E5}"/>
            </a:ext>
          </a:extLst>
        </cdr:cNvPr>
        <cdr:cNvSpPr/>
      </cdr:nvSpPr>
      <cdr:spPr>
        <a:xfrm xmlns:a="http://schemas.openxmlformats.org/drawingml/2006/main">
          <a:off x="4852337" y="4975270"/>
          <a:ext cx="2041971" cy="2112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1971" h="2112096">
              <a:moveTo>
                <a:pt x="66465" y="2080852"/>
              </a:moveTo>
              <a:lnTo>
                <a:pt x="36259" y="2112095"/>
              </a:lnTo>
              <a:lnTo>
                <a:pt x="0" y="2112095"/>
              </a:lnTo>
              <a:lnTo>
                <a:pt x="30752" y="2080287"/>
              </a:lnTo>
              <a:lnTo>
                <a:pt x="2041970" y="0"/>
              </a:lnTo>
              <a:lnTo>
                <a:pt x="2041970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0.48104</cdr:x>
      <cdr:y>0.08544</cdr:y>
    </cdr:from>
    <cdr:to>
      <cdr:x>0.76131</cdr:x>
      <cdr:y>0.36128</cdr:y>
    </cdr:to>
    <cdr:sp macro="" textlink="">
      <cdr:nvSpPr>
        <cdr:cNvPr id="87" name="FracNo 277 StartRow 1178">
          <a:extLst xmlns:a="http://schemas.openxmlformats.org/drawingml/2006/main">
            <a:ext uri="{FF2B5EF4-FFF2-40B4-BE49-F238E27FC236}">
              <a16:creationId xmlns:a16="http://schemas.microsoft.com/office/drawing/2014/main" id="{6C835D9D-6012-E645-6B7D-722784C5961F}"/>
            </a:ext>
          </a:extLst>
        </cdr:cNvPr>
        <cdr:cNvSpPr/>
      </cdr:nvSpPr>
      <cdr:spPr>
        <a:xfrm xmlns:a="http://schemas.openxmlformats.org/drawingml/2006/main">
          <a:off x="3518877" y="651036"/>
          <a:ext cx="2050231" cy="2101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0231" h="2101888">
              <a:moveTo>
                <a:pt x="459794" y="1607551"/>
              </a:moveTo>
              <a:lnTo>
                <a:pt x="0" y="2083135"/>
              </a:lnTo>
              <a:lnTo>
                <a:pt x="18130" y="2101887"/>
              </a:lnTo>
              <a:lnTo>
                <a:pt x="481368" y="1622740"/>
              </a:lnTo>
              <a:lnTo>
                <a:pt x="1315106" y="760370"/>
              </a:lnTo>
              <a:lnTo>
                <a:pt x="2050230" y="0"/>
              </a:lnTo>
              <a:lnTo>
                <a:pt x="2013972" y="0"/>
              </a:lnTo>
              <a:lnTo>
                <a:pt x="1287334" y="7515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0.48831</cdr:y>
    </cdr:from>
    <cdr:to>
      <cdr:x>0.36455</cdr:x>
      <cdr:y>0.76158</cdr:y>
    </cdr:to>
    <cdr:sp macro="" textlink="">
      <cdr:nvSpPr>
        <cdr:cNvPr id="88" name="FracNo 675 StartRow 1189">
          <a:extLst xmlns:a="http://schemas.openxmlformats.org/drawingml/2006/main">
            <a:ext uri="{FF2B5EF4-FFF2-40B4-BE49-F238E27FC236}">
              <a16:creationId xmlns:a16="http://schemas.microsoft.com/office/drawing/2014/main" id="{D45F92EA-BC1E-E09A-8E01-1BAD81D2DB05}"/>
            </a:ext>
          </a:extLst>
        </cdr:cNvPr>
        <cdr:cNvSpPr/>
      </cdr:nvSpPr>
      <cdr:spPr>
        <a:xfrm xmlns:a="http://schemas.openxmlformats.org/drawingml/2006/main">
          <a:off x="671676" y="3720928"/>
          <a:ext cx="1995076" cy="2082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5076" h="2082343">
              <a:moveTo>
                <a:pt x="1914183" y="102422"/>
              </a:moveTo>
              <a:lnTo>
                <a:pt x="818496" y="1235738"/>
              </a:lnTo>
              <a:lnTo>
                <a:pt x="0" y="2082342"/>
              </a:lnTo>
              <a:lnTo>
                <a:pt x="0" y="2044839"/>
              </a:lnTo>
              <a:lnTo>
                <a:pt x="810745" y="1206250"/>
              </a:lnTo>
              <a:lnTo>
                <a:pt x="1896767" y="82932"/>
              </a:lnTo>
              <a:lnTo>
                <a:pt x="1976946" y="0"/>
              </a:lnTo>
              <a:lnTo>
                <a:pt x="19950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0.26513</cdr:x>
      <cdr:y>0.36406</cdr:y>
    </cdr:from>
    <cdr:to>
      <cdr:x>0.53765</cdr:x>
      <cdr:y>0.63467</cdr:y>
    </cdr:to>
    <cdr:sp macro="" textlink="">
      <cdr:nvSpPr>
        <cdr:cNvPr id="89" name="FracNo 517 StartRow 1200">
          <a:extLst xmlns:a="http://schemas.openxmlformats.org/drawingml/2006/main">
            <a:ext uri="{FF2B5EF4-FFF2-40B4-BE49-F238E27FC236}">
              <a16:creationId xmlns:a16="http://schemas.microsoft.com/office/drawing/2014/main" id="{290F3CC7-11C1-123C-B192-99F288470862}"/>
            </a:ext>
          </a:extLst>
        </cdr:cNvPr>
        <cdr:cNvSpPr/>
      </cdr:nvSpPr>
      <cdr:spPr>
        <a:xfrm xmlns:a="http://schemas.openxmlformats.org/drawingml/2006/main">
          <a:off x="1939452" y="2774138"/>
          <a:ext cx="1993548" cy="2062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3548" h="2062010">
              <a:moveTo>
                <a:pt x="1529957" y="460759"/>
              </a:moveTo>
              <a:lnTo>
                <a:pt x="797370" y="1218504"/>
              </a:lnTo>
              <a:lnTo>
                <a:pt x="0" y="2043257"/>
              </a:lnTo>
              <a:lnTo>
                <a:pt x="18130" y="2062009"/>
              </a:lnTo>
              <a:lnTo>
                <a:pt x="815499" y="1237256"/>
              </a:lnTo>
              <a:lnTo>
                <a:pt x="1548086" y="479511"/>
              </a:lnTo>
              <a:lnTo>
                <a:pt x="1981012" y="31717"/>
              </a:lnTo>
              <a:lnTo>
                <a:pt x="1993547" y="18752"/>
              </a:lnTo>
              <a:lnTo>
                <a:pt x="1975418" y="0"/>
              </a:lnTo>
              <a:lnTo>
                <a:pt x="1962883" y="129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0.67121</cdr:x>
      <cdr:y>0.34928</cdr:y>
    </cdr:from>
    <cdr:to>
      <cdr:x>0.94246</cdr:x>
      <cdr:y>0.62109</cdr:y>
    </cdr:to>
    <cdr:sp macro="" textlink="">
      <cdr:nvSpPr>
        <cdr:cNvPr id="90" name="FracNo 735 StartRow 1213">
          <a:extLst xmlns:a="http://schemas.openxmlformats.org/drawingml/2006/main">
            <a:ext uri="{FF2B5EF4-FFF2-40B4-BE49-F238E27FC236}">
              <a16:creationId xmlns:a16="http://schemas.microsoft.com/office/drawing/2014/main" id="{86C0716D-BC4D-14B0-0D08-B8A92823D7DC}"/>
            </a:ext>
          </a:extLst>
        </cdr:cNvPr>
        <cdr:cNvSpPr/>
      </cdr:nvSpPr>
      <cdr:spPr>
        <a:xfrm xmlns:a="http://schemas.openxmlformats.org/drawingml/2006/main">
          <a:off x="4910050" y="2661532"/>
          <a:ext cx="1984258" cy="20711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4258" h="2071153">
              <a:moveTo>
                <a:pt x="605339" y="1426274"/>
              </a:moveTo>
              <a:lnTo>
                <a:pt x="0" y="2052401"/>
              </a:lnTo>
              <a:lnTo>
                <a:pt x="18129" y="2071152"/>
              </a:lnTo>
              <a:lnTo>
                <a:pt x="618083" y="1450595"/>
              </a:lnTo>
              <a:lnTo>
                <a:pt x="1872662" y="152931"/>
              </a:lnTo>
              <a:lnTo>
                <a:pt x="1984257" y="37504"/>
              </a:lnTo>
              <a:lnTo>
                <a:pt x="1984257" y="0"/>
              </a:lnTo>
              <a:lnTo>
                <a:pt x="1871178" y="1169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0.09248</cdr:x>
      <cdr:y>0.17261</cdr:y>
    </cdr:from>
    <cdr:to>
      <cdr:x>0.36175</cdr:x>
      <cdr:y>0.43998</cdr:y>
    </cdr:to>
    <cdr:sp macro="" textlink="">
      <cdr:nvSpPr>
        <cdr:cNvPr id="91" name="FracNo 563 StartRow 1224">
          <a:extLst xmlns:a="http://schemas.openxmlformats.org/drawingml/2006/main">
            <a:ext uri="{FF2B5EF4-FFF2-40B4-BE49-F238E27FC236}">
              <a16:creationId xmlns:a16="http://schemas.microsoft.com/office/drawing/2014/main" id="{EF04E6A8-5977-ADB2-1CB9-950C2455FBA0}"/>
            </a:ext>
          </a:extLst>
        </cdr:cNvPr>
        <cdr:cNvSpPr/>
      </cdr:nvSpPr>
      <cdr:spPr>
        <a:xfrm xmlns:a="http://schemas.openxmlformats.org/drawingml/2006/main">
          <a:off x="676523" y="1315266"/>
          <a:ext cx="1969726" cy="2037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9726" h="2037371">
              <a:moveTo>
                <a:pt x="1542728" y="441660"/>
              </a:moveTo>
              <a:lnTo>
                <a:pt x="537691" y="1481213"/>
              </a:lnTo>
              <a:lnTo>
                <a:pt x="0" y="2037370"/>
              </a:lnTo>
              <a:lnTo>
                <a:pt x="0" y="2037370"/>
              </a:lnTo>
              <a:lnTo>
                <a:pt x="537691" y="1481213"/>
              </a:lnTo>
              <a:lnTo>
                <a:pt x="1542728" y="441660"/>
              </a:lnTo>
              <a:lnTo>
                <a:pt x="1969725" y="0"/>
              </a:lnTo>
              <a:lnTo>
                <a:pt x="19697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0.09292</cdr:x>
      <cdr:y>0.17305</cdr:y>
    </cdr:from>
    <cdr:to>
      <cdr:x>0.36467</cdr:x>
      <cdr:y>0.44288</cdr:y>
    </cdr:to>
    <cdr:sp macro="" textlink="">
      <cdr:nvSpPr>
        <cdr:cNvPr id="92" name="FracNo 586 StartRow 1235">
          <a:extLst xmlns:a="http://schemas.openxmlformats.org/drawingml/2006/main">
            <a:ext uri="{FF2B5EF4-FFF2-40B4-BE49-F238E27FC236}">
              <a16:creationId xmlns:a16="http://schemas.microsoft.com/office/drawing/2014/main" id="{9E128D4E-F65F-6B52-E317-3393AE69E8C0}"/>
            </a:ext>
          </a:extLst>
        </cdr:cNvPr>
        <cdr:cNvSpPr/>
      </cdr:nvSpPr>
      <cdr:spPr>
        <a:xfrm xmlns:a="http://schemas.openxmlformats.org/drawingml/2006/main">
          <a:off x="679764" y="1318619"/>
          <a:ext cx="1987856" cy="2056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7856" h="2056122">
              <a:moveTo>
                <a:pt x="1389608" y="600039"/>
              </a:moveTo>
              <a:lnTo>
                <a:pt x="549997" y="1468484"/>
              </a:lnTo>
              <a:lnTo>
                <a:pt x="0" y="2037369"/>
              </a:lnTo>
              <a:lnTo>
                <a:pt x="18129" y="2056121"/>
              </a:lnTo>
              <a:lnTo>
                <a:pt x="568126" y="1487236"/>
              </a:lnTo>
              <a:lnTo>
                <a:pt x="1407737" y="618791"/>
              </a:lnTo>
              <a:lnTo>
                <a:pt x="1987855" y="18751"/>
              </a:lnTo>
              <a:lnTo>
                <a:pt x="19697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0.67376</cdr:x>
      <cdr:y>0.40492</cdr:y>
    </cdr:from>
    <cdr:to>
      <cdr:x>0.94246</cdr:x>
      <cdr:y>0.6742</cdr:y>
    </cdr:to>
    <cdr:sp macro="" textlink="">
      <cdr:nvSpPr>
        <cdr:cNvPr id="93" name="FracNo 431 StartRow 1246">
          <a:extLst xmlns:a="http://schemas.openxmlformats.org/drawingml/2006/main">
            <a:ext uri="{FF2B5EF4-FFF2-40B4-BE49-F238E27FC236}">
              <a16:creationId xmlns:a16="http://schemas.microsoft.com/office/drawing/2014/main" id="{8B470581-AA32-52FD-DE98-DB344597AF79}"/>
            </a:ext>
          </a:extLst>
        </cdr:cNvPr>
        <cdr:cNvSpPr/>
      </cdr:nvSpPr>
      <cdr:spPr>
        <a:xfrm xmlns:a="http://schemas.openxmlformats.org/drawingml/2006/main">
          <a:off x="4928685" y="3085506"/>
          <a:ext cx="1965623" cy="2051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5623" h="2051878">
              <a:moveTo>
                <a:pt x="1251256" y="738899"/>
              </a:moveTo>
              <a:lnTo>
                <a:pt x="179907" y="1847040"/>
              </a:lnTo>
              <a:lnTo>
                <a:pt x="0" y="2033125"/>
              </a:lnTo>
              <a:lnTo>
                <a:pt x="18129" y="2051877"/>
              </a:lnTo>
              <a:lnTo>
                <a:pt x="198036" y="1865792"/>
              </a:lnTo>
              <a:lnTo>
                <a:pt x="1258509" y="768901"/>
              </a:lnTo>
              <a:lnTo>
                <a:pt x="1965622" y="37504"/>
              </a:lnTo>
              <a:lnTo>
                <a:pt x="19656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0.21365</cdr:x>
      <cdr:y>0.468</cdr:y>
    </cdr:from>
    <cdr:to>
      <cdr:x>0.48097</cdr:x>
      <cdr:y>0.73344</cdr:y>
    </cdr:to>
    <cdr:sp macro="" textlink="">
      <cdr:nvSpPr>
        <cdr:cNvPr id="94" name="FracNo 487 StartRow 1257">
          <a:extLst xmlns:a="http://schemas.openxmlformats.org/drawingml/2006/main">
            <a:ext uri="{FF2B5EF4-FFF2-40B4-BE49-F238E27FC236}">
              <a16:creationId xmlns:a16="http://schemas.microsoft.com/office/drawing/2014/main" id="{49EED779-4B5C-FE5D-D12E-19537C5A501F}"/>
            </a:ext>
          </a:extLst>
        </cdr:cNvPr>
        <cdr:cNvSpPr/>
      </cdr:nvSpPr>
      <cdr:spPr>
        <a:xfrm xmlns:a="http://schemas.openxmlformats.org/drawingml/2006/main">
          <a:off x="1562897" y="3566178"/>
          <a:ext cx="1955513" cy="2022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5513" h="2022669">
              <a:moveTo>
                <a:pt x="1955512" y="0"/>
              </a:moveTo>
              <a:lnTo>
                <a:pt x="1182989" y="799053"/>
              </a:lnTo>
              <a:lnTo>
                <a:pt x="625446" y="1375744"/>
              </a:lnTo>
              <a:lnTo>
                <a:pt x="0" y="2022668"/>
              </a:lnTo>
              <a:lnTo>
                <a:pt x="0" y="2022668"/>
              </a:lnTo>
              <a:lnTo>
                <a:pt x="625446" y="1375744"/>
              </a:lnTo>
              <a:lnTo>
                <a:pt x="1182989" y="799053"/>
              </a:lnTo>
              <a:lnTo>
                <a:pt x="195551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0.6774</cdr:x>
      <cdr:y>0.6669</cdr:y>
    </cdr:from>
    <cdr:to>
      <cdr:x>0.94246</cdr:x>
      <cdr:y>0.9301</cdr:y>
    </cdr:to>
    <cdr:sp macro="" textlink="">
      <cdr:nvSpPr>
        <cdr:cNvPr id="95" name="FracNo 326 StartRow 1269">
          <a:extLst xmlns:a="http://schemas.openxmlformats.org/drawingml/2006/main">
            <a:ext uri="{FF2B5EF4-FFF2-40B4-BE49-F238E27FC236}">
              <a16:creationId xmlns:a16="http://schemas.microsoft.com/office/drawing/2014/main" id="{B4B8542A-E2E0-2443-C5C7-81ABDB2396BE}"/>
            </a:ext>
          </a:extLst>
        </cdr:cNvPr>
        <cdr:cNvSpPr/>
      </cdr:nvSpPr>
      <cdr:spPr>
        <a:xfrm xmlns:a="http://schemas.openxmlformats.org/drawingml/2006/main">
          <a:off x="4955328" y="5081797"/>
          <a:ext cx="1938980" cy="2005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8980" h="2005569">
              <a:moveTo>
                <a:pt x="1376893" y="581390"/>
              </a:moveTo>
              <a:lnTo>
                <a:pt x="0" y="2005568"/>
              </a:lnTo>
              <a:lnTo>
                <a:pt x="0" y="2005568"/>
              </a:lnTo>
              <a:lnTo>
                <a:pt x="1376893" y="581390"/>
              </a:lnTo>
              <a:lnTo>
                <a:pt x="1938979" y="0"/>
              </a:lnTo>
              <a:lnTo>
                <a:pt x="19389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0.38658</cdr:y>
    </cdr:from>
    <cdr:to>
      <cdr:x>0.35778</cdr:x>
      <cdr:y>0.65313</cdr:y>
    </cdr:to>
    <cdr:sp macro="" textlink="">
      <cdr:nvSpPr>
        <cdr:cNvPr id="96" name="FracNo 668 StartRow 1278">
          <a:extLst xmlns:a="http://schemas.openxmlformats.org/drawingml/2006/main">
            <a:ext uri="{FF2B5EF4-FFF2-40B4-BE49-F238E27FC236}">
              <a16:creationId xmlns:a16="http://schemas.microsoft.com/office/drawing/2014/main" id="{5625ED9B-B612-F21F-F183-35A1F96152E4}"/>
            </a:ext>
          </a:extLst>
        </cdr:cNvPr>
        <cdr:cNvSpPr/>
      </cdr:nvSpPr>
      <cdr:spPr>
        <a:xfrm xmlns:a="http://schemas.openxmlformats.org/drawingml/2006/main">
          <a:off x="662611" y="2945713"/>
          <a:ext cx="1954629" cy="2031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4629" h="2031131">
              <a:moveTo>
                <a:pt x="536677" y="1485398"/>
              </a:moveTo>
              <a:lnTo>
                <a:pt x="24967" y="2014682"/>
              </a:lnTo>
              <a:lnTo>
                <a:pt x="9065" y="2031130"/>
              </a:lnTo>
              <a:lnTo>
                <a:pt x="0" y="2003002"/>
              </a:lnTo>
              <a:lnTo>
                <a:pt x="15632" y="1986833"/>
              </a:lnTo>
              <a:lnTo>
                <a:pt x="525010" y="1459962"/>
              </a:lnTo>
              <a:lnTo>
                <a:pt x="1936499" y="0"/>
              </a:lnTo>
              <a:lnTo>
                <a:pt x="19546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0.46007</cdr:x>
      <cdr:y>0.08544</cdr:y>
    </cdr:from>
    <cdr:to>
      <cdr:x>0.72398</cdr:x>
      <cdr:y>0.34749</cdr:y>
    </cdr:to>
    <cdr:sp macro="" textlink="">
      <cdr:nvSpPr>
        <cdr:cNvPr id="97" name="FracNo 258 StartRow 1289">
          <a:extLst xmlns:a="http://schemas.openxmlformats.org/drawingml/2006/main">
            <a:ext uri="{FF2B5EF4-FFF2-40B4-BE49-F238E27FC236}">
              <a16:creationId xmlns:a16="http://schemas.microsoft.com/office/drawing/2014/main" id="{B6A4E2EB-0E88-2EE8-406F-19945B478049}"/>
            </a:ext>
          </a:extLst>
        </cdr:cNvPr>
        <cdr:cNvSpPr/>
      </cdr:nvSpPr>
      <cdr:spPr>
        <a:xfrm xmlns:a="http://schemas.openxmlformats.org/drawingml/2006/main">
          <a:off x="3365497" y="651036"/>
          <a:ext cx="1930571" cy="1996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0571" h="1996870">
              <a:moveTo>
                <a:pt x="0" y="1996869"/>
              </a:moveTo>
              <a:lnTo>
                <a:pt x="0" y="1996869"/>
              </a:lnTo>
              <a:lnTo>
                <a:pt x="1454600" y="492315"/>
              </a:lnTo>
              <a:lnTo>
                <a:pt x="1930570" y="0"/>
              </a:lnTo>
              <a:lnTo>
                <a:pt x="1930570" y="0"/>
              </a:lnTo>
              <a:lnTo>
                <a:pt x="1454600" y="4923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0.4716</cdr:x>
      <cdr:y>0.39123</cdr:y>
    </cdr:from>
    <cdr:to>
      <cdr:x>0.73397</cdr:x>
      <cdr:y>0.65176</cdr:y>
    </cdr:to>
    <cdr:sp macro="" textlink="">
      <cdr:nvSpPr>
        <cdr:cNvPr id="98" name="FracNo 485 StartRow 1298">
          <a:extLst xmlns:a="http://schemas.openxmlformats.org/drawingml/2006/main">
            <a:ext uri="{FF2B5EF4-FFF2-40B4-BE49-F238E27FC236}">
              <a16:creationId xmlns:a16="http://schemas.microsoft.com/office/drawing/2014/main" id="{D373E9BA-F2BA-FFAF-9FA2-E2982E2D9F14}"/>
            </a:ext>
          </a:extLst>
        </cdr:cNvPr>
        <cdr:cNvSpPr/>
      </cdr:nvSpPr>
      <cdr:spPr>
        <a:xfrm xmlns:a="http://schemas.openxmlformats.org/drawingml/2006/main">
          <a:off x="3449822" y="2981189"/>
          <a:ext cx="1919304" cy="19852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9304" h="1985217">
              <a:moveTo>
                <a:pt x="504553" y="1463334"/>
              </a:moveTo>
              <a:lnTo>
                <a:pt x="23669" y="1960733"/>
              </a:lnTo>
              <a:lnTo>
                <a:pt x="0" y="1985216"/>
              </a:lnTo>
              <a:lnTo>
                <a:pt x="0" y="1985216"/>
              </a:lnTo>
              <a:lnTo>
                <a:pt x="23669" y="1960733"/>
              </a:lnTo>
              <a:lnTo>
                <a:pt x="504553" y="1463334"/>
              </a:lnTo>
              <a:lnTo>
                <a:pt x="1370275" y="567882"/>
              </a:lnTo>
              <a:lnTo>
                <a:pt x="1919303" y="0"/>
              </a:lnTo>
              <a:lnTo>
                <a:pt x="1919303" y="0"/>
              </a:lnTo>
              <a:lnTo>
                <a:pt x="1370275" y="5678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0.44119</cdr:x>
      <cdr:y>0.08544</cdr:y>
    </cdr:from>
    <cdr:to>
      <cdr:x>0.70183</cdr:x>
      <cdr:y>0.34424</cdr:y>
    </cdr:to>
    <cdr:sp macro="" textlink="">
      <cdr:nvSpPr>
        <cdr:cNvPr id="99" name="FracNo 250 StartRow 1311">
          <a:extLst xmlns:a="http://schemas.openxmlformats.org/drawingml/2006/main">
            <a:ext uri="{FF2B5EF4-FFF2-40B4-BE49-F238E27FC236}">
              <a16:creationId xmlns:a16="http://schemas.microsoft.com/office/drawing/2014/main" id="{2ABD3414-E4D9-6BFF-B2C3-47EC75800235}"/>
            </a:ext>
          </a:extLst>
        </cdr:cNvPr>
        <cdr:cNvSpPr/>
      </cdr:nvSpPr>
      <cdr:spPr>
        <a:xfrm xmlns:a="http://schemas.openxmlformats.org/drawingml/2006/main">
          <a:off x="3227398" y="651036"/>
          <a:ext cx="1906611" cy="19720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6611" h="1972088">
              <a:moveTo>
                <a:pt x="463868" y="1492289"/>
              </a:moveTo>
              <a:lnTo>
                <a:pt x="0" y="1972087"/>
              </a:lnTo>
              <a:lnTo>
                <a:pt x="0" y="1972087"/>
              </a:lnTo>
              <a:lnTo>
                <a:pt x="463868" y="1492289"/>
              </a:lnTo>
              <a:lnTo>
                <a:pt x="1592699" y="324691"/>
              </a:lnTo>
              <a:lnTo>
                <a:pt x="1906610" y="0"/>
              </a:lnTo>
              <a:lnTo>
                <a:pt x="1906610" y="0"/>
              </a:lnTo>
              <a:lnTo>
                <a:pt x="1592699" y="3246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0.61334</cdr:x>
      <cdr:y>0.67633</cdr:y>
    </cdr:from>
    <cdr:to>
      <cdr:x>0.87139</cdr:x>
      <cdr:y>0.9301</cdr:y>
    </cdr:to>
    <cdr:sp macro="" textlink="">
      <cdr:nvSpPr>
        <cdr:cNvPr id="100" name="FracNo 350 StartRow 1322">
          <a:extLst xmlns:a="http://schemas.openxmlformats.org/drawingml/2006/main">
            <a:ext uri="{FF2B5EF4-FFF2-40B4-BE49-F238E27FC236}">
              <a16:creationId xmlns:a16="http://schemas.microsoft.com/office/drawing/2014/main" id="{2791F19C-493A-FD2E-9365-C9E9DD58806F}"/>
            </a:ext>
          </a:extLst>
        </cdr:cNvPr>
        <cdr:cNvSpPr/>
      </cdr:nvSpPr>
      <cdr:spPr>
        <a:xfrm xmlns:a="http://schemas.openxmlformats.org/drawingml/2006/main">
          <a:off x="4486711" y="5153644"/>
          <a:ext cx="1887649" cy="19337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7649" h="1933722">
              <a:moveTo>
                <a:pt x="840440" y="1101923"/>
              </a:moveTo>
              <a:lnTo>
                <a:pt x="347985" y="1611290"/>
              </a:lnTo>
              <a:lnTo>
                <a:pt x="36259" y="1933721"/>
              </a:lnTo>
              <a:lnTo>
                <a:pt x="0" y="1933721"/>
              </a:lnTo>
              <a:lnTo>
                <a:pt x="318787" y="1603987"/>
              </a:lnTo>
              <a:lnTo>
                <a:pt x="814782" y="1090958"/>
              </a:lnTo>
              <a:lnTo>
                <a:pt x="1869519" y="0"/>
              </a:lnTo>
              <a:lnTo>
                <a:pt x="18876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0.21143</cdr:x>
      <cdr:y>0.68267</cdr:y>
    </cdr:from>
    <cdr:to>
      <cdr:x>0.46309</cdr:x>
      <cdr:y>0.9301</cdr:y>
    </cdr:to>
    <cdr:sp macro="" textlink="">
      <cdr:nvSpPr>
        <cdr:cNvPr id="101" name="FracNo 738 StartRow 1333">
          <a:extLst xmlns:a="http://schemas.openxmlformats.org/drawingml/2006/main">
            <a:ext uri="{FF2B5EF4-FFF2-40B4-BE49-F238E27FC236}">
              <a16:creationId xmlns:a16="http://schemas.microsoft.com/office/drawing/2014/main" id="{4D57A6D5-EBF9-60B2-CD4E-55663B4AC589}"/>
            </a:ext>
          </a:extLst>
        </cdr:cNvPr>
        <cdr:cNvSpPr/>
      </cdr:nvSpPr>
      <cdr:spPr>
        <a:xfrm xmlns:a="http://schemas.openxmlformats.org/drawingml/2006/main">
          <a:off x="1546676" y="5201971"/>
          <a:ext cx="1840926" cy="18853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0926" h="1885395">
              <a:moveTo>
                <a:pt x="1111624" y="735595"/>
              </a:moveTo>
              <a:lnTo>
                <a:pt x="0" y="1885394"/>
              </a:lnTo>
              <a:lnTo>
                <a:pt x="36259" y="1885394"/>
              </a:lnTo>
              <a:lnTo>
                <a:pt x="1130949" y="753110"/>
              </a:lnTo>
              <a:lnTo>
                <a:pt x="1208275" y="673128"/>
              </a:lnTo>
              <a:lnTo>
                <a:pt x="1840925" y="18752"/>
              </a:lnTo>
              <a:lnTo>
                <a:pt x="1822796" y="0"/>
              </a:lnTo>
              <a:lnTo>
                <a:pt x="1190146" y="6543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0.69246</cdr:x>
      <cdr:y>0.68185</cdr:y>
    </cdr:from>
    <cdr:to>
      <cdr:x>0.94246</cdr:x>
      <cdr:y>0.9301</cdr:y>
    </cdr:to>
    <cdr:sp macro="" textlink="">
      <cdr:nvSpPr>
        <cdr:cNvPr id="102" name="FracNo 353 StartRow 1344">
          <a:extLst xmlns:a="http://schemas.openxmlformats.org/drawingml/2006/main">
            <a:ext uri="{FF2B5EF4-FFF2-40B4-BE49-F238E27FC236}">
              <a16:creationId xmlns:a16="http://schemas.microsoft.com/office/drawing/2014/main" id="{A120FE3A-C575-66F0-9E6A-30B6FE658E14}"/>
            </a:ext>
          </a:extLst>
        </cdr:cNvPr>
        <cdr:cNvSpPr/>
      </cdr:nvSpPr>
      <cdr:spPr>
        <a:xfrm xmlns:a="http://schemas.openxmlformats.org/drawingml/2006/main">
          <a:off x="5065462" y="5195714"/>
          <a:ext cx="1828846" cy="1891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8846" h="1891652">
              <a:moveTo>
                <a:pt x="293472" y="1588101"/>
              </a:moveTo>
              <a:lnTo>
                <a:pt x="0" y="1891651"/>
              </a:lnTo>
              <a:lnTo>
                <a:pt x="36259" y="1891651"/>
              </a:lnTo>
              <a:lnTo>
                <a:pt x="323912" y="1594119"/>
              </a:lnTo>
              <a:lnTo>
                <a:pt x="1828845" y="37504"/>
              </a:lnTo>
              <a:lnTo>
                <a:pt x="18288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0.34168</cdr:x>
      <cdr:y>0.33354</cdr:y>
    </cdr:to>
    <cdr:sp macro="" textlink="">
      <cdr:nvSpPr>
        <cdr:cNvPr id="103" name="FracNo 593 StartRow 1353">
          <a:extLst xmlns:a="http://schemas.openxmlformats.org/drawingml/2006/main">
            <a:ext uri="{FF2B5EF4-FFF2-40B4-BE49-F238E27FC236}">
              <a16:creationId xmlns:a16="http://schemas.microsoft.com/office/drawing/2014/main" id="{B4FACB70-368F-90F9-D594-696F4517E027}"/>
            </a:ext>
          </a:extLst>
        </cdr:cNvPr>
        <cdr:cNvSpPr/>
      </cdr:nvSpPr>
      <cdr:spPr>
        <a:xfrm xmlns:a="http://schemas.openxmlformats.org/drawingml/2006/main">
          <a:off x="671676" y="651036"/>
          <a:ext cx="1827753" cy="1890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7753" h="1890522">
              <a:moveTo>
                <a:pt x="1694251" y="100581"/>
              </a:moveTo>
              <a:lnTo>
                <a:pt x="0" y="1853017"/>
              </a:lnTo>
              <a:lnTo>
                <a:pt x="0" y="1890521"/>
              </a:lnTo>
              <a:lnTo>
                <a:pt x="1728542" y="102617"/>
              </a:lnTo>
              <a:lnTo>
                <a:pt x="1827752" y="0"/>
              </a:lnTo>
              <a:lnTo>
                <a:pt x="17914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0.37351</cdr:y>
    </cdr:from>
    <cdr:to>
      <cdr:x>0.33466</cdr:x>
      <cdr:y>0.61711</cdr:y>
    </cdr:to>
    <cdr:sp macro="" textlink="">
      <cdr:nvSpPr>
        <cdr:cNvPr id="104" name="FracNo 662 StartRow 1362">
          <a:extLst xmlns:a="http://schemas.openxmlformats.org/drawingml/2006/main">
            <a:ext uri="{FF2B5EF4-FFF2-40B4-BE49-F238E27FC236}">
              <a16:creationId xmlns:a16="http://schemas.microsoft.com/office/drawing/2014/main" id="{3B280A72-C83F-3866-4E00-ACBD4BC3627E}"/>
            </a:ext>
          </a:extLst>
        </cdr:cNvPr>
        <cdr:cNvSpPr/>
      </cdr:nvSpPr>
      <cdr:spPr>
        <a:xfrm xmlns:a="http://schemas.openxmlformats.org/drawingml/2006/main">
          <a:off x="671676" y="2846126"/>
          <a:ext cx="1776465" cy="1856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6465" h="1856224">
              <a:moveTo>
                <a:pt x="1560094" y="242552"/>
              </a:moveTo>
              <a:lnTo>
                <a:pt x="0" y="1856223"/>
              </a:lnTo>
              <a:lnTo>
                <a:pt x="0" y="1818719"/>
              </a:lnTo>
              <a:lnTo>
                <a:pt x="1544173" y="221516"/>
              </a:lnTo>
              <a:lnTo>
                <a:pt x="1758335" y="0"/>
              </a:lnTo>
              <a:lnTo>
                <a:pt x="17764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0.11913</cdr:x>
      <cdr:y>0.08544</cdr:y>
    </cdr:from>
    <cdr:to>
      <cdr:x>0.36409</cdr:x>
      <cdr:y>0.32621</cdr:y>
    </cdr:to>
    <cdr:sp macro="" textlink="">
      <cdr:nvSpPr>
        <cdr:cNvPr id="105" name="FracNo 590 StartRow 1371">
          <a:extLst xmlns:a="http://schemas.openxmlformats.org/drawingml/2006/main">
            <a:ext uri="{FF2B5EF4-FFF2-40B4-BE49-F238E27FC236}">
              <a16:creationId xmlns:a16="http://schemas.microsoft.com/office/drawing/2014/main" id="{478C5A0C-8B8E-C557-179F-6E7A84711314}"/>
            </a:ext>
          </a:extLst>
        </cdr:cNvPr>
        <cdr:cNvSpPr/>
      </cdr:nvSpPr>
      <cdr:spPr>
        <a:xfrm xmlns:a="http://schemas.openxmlformats.org/drawingml/2006/main">
          <a:off x="871463" y="651036"/>
          <a:ext cx="1791927" cy="18347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1927" h="1834714">
              <a:moveTo>
                <a:pt x="955990" y="827140"/>
              </a:moveTo>
              <a:lnTo>
                <a:pt x="0" y="1815961"/>
              </a:lnTo>
              <a:lnTo>
                <a:pt x="18130" y="1834713"/>
              </a:lnTo>
              <a:lnTo>
                <a:pt x="983991" y="835681"/>
              </a:lnTo>
              <a:lnTo>
                <a:pt x="1791926" y="0"/>
              </a:lnTo>
              <a:lnTo>
                <a:pt x="17556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0.31344</cdr:y>
    </cdr:from>
    <cdr:to>
      <cdr:x>0.33229</cdr:x>
      <cdr:y>0.55222</cdr:y>
    </cdr:to>
    <cdr:sp macro="" textlink="">
      <cdr:nvSpPr>
        <cdr:cNvPr id="106" name="FracNo 648 StartRow 1380">
          <a:extLst xmlns:a="http://schemas.openxmlformats.org/drawingml/2006/main">
            <a:ext uri="{FF2B5EF4-FFF2-40B4-BE49-F238E27FC236}">
              <a16:creationId xmlns:a16="http://schemas.microsoft.com/office/drawing/2014/main" id="{43B6C188-40C0-2C6A-57D6-31FA0DFFA254}"/>
            </a:ext>
          </a:extLst>
        </cdr:cNvPr>
        <cdr:cNvSpPr/>
      </cdr:nvSpPr>
      <cdr:spPr>
        <a:xfrm xmlns:a="http://schemas.openxmlformats.org/drawingml/2006/main">
          <a:off x="671676" y="2388404"/>
          <a:ext cx="1759066" cy="18194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9066" h="1819475">
              <a:moveTo>
                <a:pt x="1084797" y="697423"/>
              </a:moveTo>
              <a:lnTo>
                <a:pt x="0" y="1819474"/>
              </a:lnTo>
              <a:lnTo>
                <a:pt x="0" y="1819474"/>
              </a:lnTo>
              <a:lnTo>
                <a:pt x="1084797" y="697423"/>
              </a:lnTo>
              <a:lnTo>
                <a:pt x="1364538" y="408075"/>
              </a:lnTo>
              <a:lnTo>
                <a:pt x="1759065" y="0"/>
              </a:lnTo>
              <a:lnTo>
                <a:pt x="1759065" y="0"/>
              </a:lnTo>
              <a:lnTo>
                <a:pt x="1364538" y="4080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0.58731</cdr:y>
    </cdr:from>
    <cdr:to>
      <cdr:x>0.33278</cdr:x>
      <cdr:y>0.82903</cdr:y>
    </cdr:to>
    <cdr:sp macro="" textlink="">
      <cdr:nvSpPr>
        <cdr:cNvPr id="107" name="FracNo 22 StartRow 1391">
          <a:extLst xmlns:a="http://schemas.openxmlformats.org/drawingml/2006/main">
            <a:ext uri="{FF2B5EF4-FFF2-40B4-BE49-F238E27FC236}">
              <a16:creationId xmlns:a16="http://schemas.microsoft.com/office/drawing/2014/main" id="{8C53B812-C443-8E7F-3B0D-8AAFB63FEEA8}"/>
            </a:ext>
          </a:extLst>
        </cdr:cNvPr>
        <cdr:cNvSpPr/>
      </cdr:nvSpPr>
      <cdr:spPr>
        <a:xfrm xmlns:a="http://schemas.openxmlformats.org/drawingml/2006/main">
          <a:off x="671676" y="4475276"/>
          <a:ext cx="1762667" cy="1841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2667" h="1841953">
              <a:moveTo>
                <a:pt x="715019" y="1064874"/>
              </a:moveTo>
              <a:lnTo>
                <a:pt x="0" y="1804448"/>
              </a:lnTo>
              <a:lnTo>
                <a:pt x="0" y="1841952"/>
              </a:lnTo>
              <a:lnTo>
                <a:pt x="724972" y="1092083"/>
              </a:lnTo>
              <a:lnTo>
                <a:pt x="1320579" y="476022"/>
              </a:lnTo>
              <a:lnTo>
                <a:pt x="1762666" y="18752"/>
              </a:lnTo>
              <a:lnTo>
                <a:pt x="1744537" y="0"/>
              </a:lnTo>
              <a:lnTo>
                <a:pt x="1302450" y="4572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0.47373</cdr:x>
      <cdr:y>0.08544</cdr:y>
    </cdr:from>
    <cdr:to>
      <cdr:x>0.71457</cdr:x>
      <cdr:y>0.32212</cdr:y>
    </cdr:to>
    <cdr:sp macro="" textlink="">
      <cdr:nvSpPr>
        <cdr:cNvPr id="108" name="FracNo 266 StartRow 1402">
          <a:extLst xmlns:a="http://schemas.openxmlformats.org/drawingml/2006/main">
            <a:ext uri="{FF2B5EF4-FFF2-40B4-BE49-F238E27FC236}">
              <a16:creationId xmlns:a16="http://schemas.microsoft.com/office/drawing/2014/main" id="{72020B2B-9932-02D9-C4B0-71E567CCB66A}"/>
            </a:ext>
          </a:extLst>
        </cdr:cNvPr>
        <cdr:cNvSpPr/>
      </cdr:nvSpPr>
      <cdr:spPr>
        <a:xfrm xmlns:a="http://schemas.openxmlformats.org/drawingml/2006/main">
          <a:off x="3465425" y="651036"/>
          <a:ext cx="1761779" cy="18035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1779" h="1803531">
              <a:moveTo>
                <a:pt x="180356" y="1598228"/>
              </a:moveTo>
              <a:lnTo>
                <a:pt x="0" y="1784778"/>
              </a:lnTo>
              <a:lnTo>
                <a:pt x="18129" y="1803530"/>
              </a:lnTo>
              <a:lnTo>
                <a:pt x="200316" y="1615086"/>
              </a:lnTo>
              <a:lnTo>
                <a:pt x="1370531" y="404683"/>
              </a:lnTo>
              <a:lnTo>
                <a:pt x="1761778" y="0"/>
              </a:lnTo>
              <a:lnTo>
                <a:pt x="1725519" y="0"/>
              </a:lnTo>
              <a:lnTo>
                <a:pt x="1338812" y="3999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0.42906</cdr:y>
    </cdr:from>
    <cdr:to>
      <cdr:x>0.32822</cdr:x>
      <cdr:y>0.66625</cdr:y>
    </cdr:to>
    <cdr:sp macro="" textlink="">
      <cdr:nvSpPr>
        <cdr:cNvPr id="109" name="FracNo 676 StartRow 1413">
          <a:extLst xmlns:a="http://schemas.openxmlformats.org/drawingml/2006/main">
            <a:ext uri="{FF2B5EF4-FFF2-40B4-BE49-F238E27FC236}">
              <a16:creationId xmlns:a16="http://schemas.microsoft.com/office/drawing/2014/main" id="{E9B1F186-A052-4574-B974-4578E0A7F476}"/>
            </a:ext>
          </a:extLst>
        </cdr:cNvPr>
        <cdr:cNvSpPr/>
      </cdr:nvSpPr>
      <cdr:spPr>
        <a:xfrm xmlns:a="http://schemas.openxmlformats.org/drawingml/2006/main">
          <a:off x="671676" y="3269403"/>
          <a:ext cx="1729296" cy="1807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9296" h="1807435">
              <a:moveTo>
                <a:pt x="897292" y="879327"/>
              </a:moveTo>
              <a:lnTo>
                <a:pt x="113447" y="1690091"/>
              </a:lnTo>
              <a:lnTo>
                <a:pt x="0" y="1807434"/>
              </a:lnTo>
              <a:lnTo>
                <a:pt x="0" y="1769930"/>
              </a:lnTo>
              <a:lnTo>
                <a:pt x="111165" y="1654947"/>
              </a:lnTo>
              <a:lnTo>
                <a:pt x="887323" y="852135"/>
              </a:lnTo>
              <a:lnTo>
                <a:pt x="1711165" y="0"/>
              </a:lnTo>
              <a:lnTo>
                <a:pt x="17292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0.70769</cdr:x>
      <cdr:y>0.37873</cdr:y>
    </cdr:from>
    <cdr:to>
      <cdr:x>0.94246</cdr:x>
      <cdr:y>0.61431</cdr:y>
    </cdr:to>
    <cdr:sp macro="" textlink="">
      <cdr:nvSpPr>
        <cdr:cNvPr id="110" name="FracNo 427 StartRow 1424">
          <a:extLst xmlns:a="http://schemas.openxmlformats.org/drawingml/2006/main">
            <a:ext uri="{FF2B5EF4-FFF2-40B4-BE49-F238E27FC236}">
              <a16:creationId xmlns:a16="http://schemas.microsoft.com/office/drawing/2014/main" id="{911CB302-D105-3E94-7420-04AF055652A7}"/>
            </a:ext>
          </a:extLst>
        </cdr:cNvPr>
        <cdr:cNvSpPr/>
      </cdr:nvSpPr>
      <cdr:spPr>
        <a:xfrm xmlns:a="http://schemas.openxmlformats.org/drawingml/2006/main">
          <a:off x="5176917" y="2885928"/>
          <a:ext cx="1717391" cy="1795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7391" h="1795122">
              <a:moveTo>
                <a:pt x="1283141" y="486666"/>
              </a:moveTo>
              <a:lnTo>
                <a:pt x="18129" y="1795121"/>
              </a:lnTo>
              <a:lnTo>
                <a:pt x="0" y="1776369"/>
              </a:lnTo>
              <a:lnTo>
                <a:pt x="1278508" y="453955"/>
              </a:lnTo>
              <a:lnTo>
                <a:pt x="1717390" y="0"/>
              </a:lnTo>
              <a:lnTo>
                <a:pt x="171739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0.30542</cdr:y>
    </cdr:from>
    <cdr:to>
      <cdr:x>0.32421</cdr:x>
      <cdr:y>0.53617</cdr:y>
    </cdr:to>
    <cdr:sp macro="" textlink="">
      <cdr:nvSpPr>
        <cdr:cNvPr id="111" name="FracNo 656 StartRow 1433">
          <a:extLst xmlns:a="http://schemas.openxmlformats.org/drawingml/2006/main">
            <a:ext uri="{FF2B5EF4-FFF2-40B4-BE49-F238E27FC236}">
              <a16:creationId xmlns:a16="http://schemas.microsoft.com/office/drawing/2014/main" id="{7AE2A1FE-9AAF-DDC6-FEEE-EA566E94E961}"/>
            </a:ext>
          </a:extLst>
        </cdr:cNvPr>
        <cdr:cNvSpPr/>
      </cdr:nvSpPr>
      <cdr:spPr>
        <a:xfrm xmlns:a="http://schemas.openxmlformats.org/drawingml/2006/main">
          <a:off x="671676" y="2327271"/>
          <a:ext cx="1699963" cy="1758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9963" h="1758343">
              <a:moveTo>
                <a:pt x="734503" y="998615"/>
              </a:moveTo>
              <a:lnTo>
                <a:pt x="0" y="1758342"/>
              </a:lnTo>
              <a:lnTo>
                <a:pt x="0" y="1758342"/>
              </a:lnTo>
              <a:lnTo>
                <a:pt x="734503" y="998615"/>
              </a:lnTo>
              <a:lnTo>
                <a:pt x="1246333" y="469208"/>
              </a:lnTo>
              <a:lnTo>
                <a:pt x="1699962" y="0"/>
              </a:lnTo>
              <a:lnTo>
                <a:pt x="1699962" y="0"/>
              </a:lnTo>
              <a:lnTo>
                <a:pt x="1246333" y="4692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0.29772</cdr:y>
    </cdr:from>
    <cdr:to>
      <cdr:x>0.32527</cdr:x>
      <cdr:y>0.53199</cdr:y>
    </cdr:to>
    <cdr:sp macro="" textlink="">
      <cdr:nvSpPr>
        <cdr:cNvPr id="112" name="FracNo 667 StartRow 1444">
          <a:extLst xmlns:a="http://schemas.openxmlformats.org/drawingml/2006/main">
            <a:ext uri="{FF2B5EF4-FFF2-40B4-BE49-F238E27FC236}">
              <a16:creationId xmlns:a16="http://schemas.microsoft.com/office/drawing/2014/main" id="{FC13DDBA-0483-32D7-ED09-0D7F2A97FEDD}"/>
            </a:ext>
          </a:extLst>
        </cdr:cNvPr>
        <cdr:cNvSpPr/>
      </cdr:nvSpPr>
      <cdr:spPr>
        <a:xfrm xmlns:a="http://schemas.openxmlformats.org/drawingml/2006/main">
          <a:off x="671676" y="2268616"/>
          <a:ext cx="1707758" cy="1785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7758" h="1785158">
              <a:moveTo>
                <a:pt x="250899" y="1488138"/>
              </a:moveTo>
              <a:lnTo>
                <a:pt x="0" y="1747653"/>
              </a:lnTo>
              <a:lnTo>
                <a:pt x="0" y="1785157"/>
              </a:lnTo>
              <a:lnTo>
                <a:pt x="254726" y="1521682"/>
              </a:lnTo>
              <a:lnTo>
                <a:pt x="1206485" y="537239"/>
              </a:lnTo>
              <a:lnTo>
                <a:pt x="1707757" y="18752"/>
              </a:lnTo>
              <a:lnTo>
                <a:pt x="1689628" y="0"/>
              </a:lnTo>
              <a:lnTo>
                <a:pt x="1188355" y="5184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0.71032</cdr:x>
      <cdr:y>0.38394</cdr:y>
    </cdr:from>
    <cdr:to>
      <cdr:x>0.94246</cdr:x>
      <cdr:y>0.61446</cdr:y>
    </cdr:to>
    <cdr:sp macro="" textlink="">
      <cdr:nvSpPr>
        <cdr:cNvPr id="113" name="FracNo 412 StartRow 1455">
          <a:extLst xmlns:a="http://schemas.openxmlformats.org/drawingml/2006/main">
            <a:ext uri="{FF2B5EF4-FFF2-40B4-BE49-F238E27FC236}">
              <a16:creationId xmlns:a16="http://schemas.microsoft.com/office/drawing/2014/main" id="{F1726D30-7015-B028-4B2D-90E72F10D3E2}"/>
            </a:ext>
          </a:extLst>
        </cdr:cNvPr>
        <cdr:cNvSpPr/>
      </cdr:nvSpPr>
      <cdr:spPr>
        <a:xfrm xmlns:a="http://schemas.openxmlformats.org/drawingml/2006/main">
          <a:off x="5196113" y="2925638"/>
          <a:ext cx="1698195" cy="17565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8195" h="1756515">
              <a:moveTo>
                <a:pt x="971382" y="751772"/>
              </a:moveTo>
              <a:lnTo>
                <a:pt x="0" y="1756514"/>
              </a:lnTo>
              <a:lnTo>
                <a:pt x="0" y="1756514"/>
              </a:lnTo>
              <a:lnTo>
                <a:pt x="971382" y="751772"/>
              </a:lnTo>
              <a:lnTo>
                <a:pt x="1698194" y="0"/>
              </a:lnTo>
              <a:lnTo>
                <a:pt x="16981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0.34576</cdr:x>
      <cdr:y>0.69877</cdr:y>
    </cdr:from>
    <cdr:to>
      <cdr:x>0.58121</cdr:x>
      <cdr:y>0.9301</cdr:y>
    </cdr:to>
    <cdr:sp macro="" textlink="">
      <cdr:nvSpPr>
        <cdr:cNvPr id="114" name="FracNo 113 StartRow 1464">
          <a:extLst xmlns:a="http://schemas.openxmlformats.org/drawingml/2006/main">
            <a:ext uri="{FF2B5EF4-FFF2-40B4-BE49-F238E27FC236}">
              <a16:creationId xmlns:a16="http://schemas.microsoft.com/office/drawing/2014/main" id="{07D52E0E-C4A3-6384-658F-6AF90430BF50}"/>
            </a:ext>
          </a:extLst>
        </cdr:cNvPr>
        <cdr:cNvSpPr/>
      </cdr:nvSpPr>
      <cdr:spPr>
        <a:xfrm xmlns:a="http://schemas.openxmlformats.org/drawingml/2006/main">
          <a:off x="2529313" y="5324590"/>
          <a:ext cx="1722378" cy="17627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2378" h="1762776">
              <a:moveTo>
                <a:pt x="893792" y="838288"/>
              </a:moveTo>
              <a:lnTo>
                <a:pt x="200469" y="1555422"/>
              </a:lnTo>
              <a:lnTo>
                <a:pt x="0" y="1762775"/>
              </a:lnTo>
              <a:lnTo>
                <a:pt x="36258" y="1762775"/>
              </a:lnTo>
              <a:lnTo>
                <a:pt x="232678" y="1559610"/>
              </a:lnTo>
              <a:lnTo>
                <a:pt x="919510" y="849191"/>
              </a:lnTo>
              <a:lnTo>
                <a:pt x="1722377" y="18752"/>
              </a:lnTo>
              <a:lnTo>
                <a:pt x="17042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0.70837</cdr:x>
      <cdr:y>0.69765</cdr:y>
    </cdr:from>
    <cdr:to>
      <cdr:x>0.94246</cdr:x>
      <cdr:y>0.9301</cdr:y>
    </cdr:to>
    <cdr:sp macro="" textlink="">
      <cdr:nvSpPr>
        <cdr:cNvPr id="115" name="FracNo 354 StartRow 1475">
          <a:extLst xmlns:a="http://schemas.openxmlformats.org/drawingml/2006/main">
            <a:ext uri="{FF2B5EF4-FFF2-40B4-BE49-F238E27FC236}">
              <a16:creationId xmlns:a16="http://schemas.microsoft.com/office/drawing/2014/main" id="{15455B99-F8FA-A96F-29C2-A169D5FF6AE0}"/>
            </a:ext>
          </a:extLst>
        </cdr:cNvPr>
        <cdr:cNvSpPr/>
      </cdr:nvSpPr>
      <cdr:spPr>
        <a:xfrm xmlns:a="http://schemas.openxmlformats.org/drawingml/2006/main">
          <a:off x="5181873" y="5316122"/>
          <a:ext cx="1712435" cy="1771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2435" h="1771244">
              <a:moveTo>
                <a:pt x="247877" y="1552357"/>
              </a:moveTo>
              <a:lnTo>
                <a:pt x="36258" y="1771243"/>
              </a:lnTo>
              <a:lnTo>
                <a:pt x="0" y="1771243"/>
              </a:lnTo>
              <a:lnTo>
                <a:pt x="216196" y="1547623"/>
              </a:lnTo>
              <a:lnTo>
                <a:pt x="1712434" y="0"/>
              </a:lnTo>
              <a:lnTo>
                <a:pt x="171243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0.53781</cdr:x>
      <cdr:y>0.70023</cdr:y>
    </cdr:from>
    <cdr:to>
      <cdr:x>0.76931</cdr:x>
      <cdr:y>0.9301</cdr:y>
    </cdr:to>
    <cdr:sp macro="" textlink="">
      <cdr:nvSpPr>
        <cdr:cNvPr id="116" name="FracNo 749 StartRow 1484">
          <a:extLst xmlns:a="http://schemas.openxmlformats.org/drawingml/2006/main">
            <a:ext uri="{FF2B5EF4-FFF2-40B4-BE49-F238E27FC236}">
              <a16:creationId xmlns:a16="http://schemas.microsoft.com/office/drawing/2014/main" id="{C3D165F8-148B-1A8F-CD21-7D243C0D2795}"/>
            </a:ext>
          </a:extLst>
        </cdr:cNvPr>
        <cdr:cNvSpPr/>
      </cdr:nvSpPr>
      <cdr:spPr>
        <a:xfrm xmlns:a="http://schemas.openxmlformats.org/drawingml/2006/main">
          <a:off x="3934192" y="5335775"/>
          <a:ext cx="1693436" cy="1751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3436" h="1751591">
              <a:moveTo>
                <a:pt x="1394002" y="309716"/>
              </a:moveTo>
              <a:lnTo>
                <a:pt x="885905" y="835262"/>
              </a:lnTo>
              <a:lnTo>
                <a:pt x="0" y="1751590"/>
              </a:lnTo>
              <a:lnTo>
                <a:pt x="0" y="1751590"/>
              </a:lnTo>
              <a:lnTo>
                <a:pt x="885905" y="835262"/>
              </a:lnTo>
              <a:lnTo>
                <a:pt x="1394002" y="309716"/>
              </a:lnTo>
              <a:lnTo>
                <a:pt x="1693435" y="0"/>
              </a:lnTo>
              <a:lnTo>
                <a:pt x="16934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0.26655</cdr:y>
    </cdr:from>
    <cdr:to>
      <cdr:x>0.3229</cdr:x>
      <cdr:y>0.49846</cdr:y>
    </cdr:to>
    <cdr:sp macro="" textlink="">
      <cdr:nvSpPr>
        <cdr:cNvPr id="117" name="FracNo 744 StartRow 1495">
          <a:extLst xmlns:a="http://schemas.openxmlformats.org/drawingml/2006/main">
            <a:ext uri="{FF2B5EF4-FFF2-40B4-BE49-F238E27FC236}">
              <a16:creationId xmlns:a16="http://schemas.microsoft.com/office/drawing/2014/main" id="{22853A34-414A-EB0D-CB27-71345F48ECB1}"/>
            </a:ext>
          </a:extLst>
        </cdr:cNvPr>
        <cdr:cNvSpPr/>
      </cdr:nvSpPr>
      <cdr:spPr>
        <a:xfrm xmlns:a="http://schemas.openxmlformats.org/drawingml/2006/main">
          <a:off x="671676" y="2031087"/>
          <a:ext cx="1690384" cy="1767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0384" h="1767188">
              <a:moveTo>
                <a:pt x="90253" y="1636330"/>
              </a:moveTo>
              <a:lnTo>
                <a:pt x="0" y="1729683"/>
              </a:lnTo>
              <a:lnTo>
                <a:pt x="0" y="1767187"/>
              </a:lnTo>
              <a:lnTo>
                <a:pt x="91991" y="1672036"/>
              </a:lnTo>
              <a:lnTo>
                <a:pt x="959468" y="774768"/>
              </a:lnTo>
              <a:lnTo>
                <a:pt x="1690383" y="18752"/>
              </a:lnTo>
              <a:lnTo>
                <a:pt x="1672254" y="0"/>
              </a:lnTo>
              <a:lnTo>
                <a:pt x="941339" y="7560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0.71214</cdr:x>
      <cdr:y>0.26582</cdr:y>
    </cdr:from>
    <cdr:to>
      <cdr:x>0.94246</cdr:x>
      <cdr:y>0.49699</cdr:y>
    </cdr:to>
    <cdr:sp macro="" textlink="">
      <cdr:nvSpPr>
        <cdr:cNvPr id="118" name="FracNo 430 StartRow 1506">
          <a:extLst xmlns:a="http://schemas.openxmlformats.org/drawingml/2006/main">
            <a:ext uri="{FF2B5EF4-FFF2-40B4-BE49-F238E27FC236}">
              <a16:creationId xmlns:a16="http://schemas.microsoft.com/office/drawing/2014/main" id="{740D2161-1947-091F-AA67-DE35F8B2B514}"/>
            </a:ext>
          </a:extLst>
        </cdr:cNvPr>
        <cdr:cNvSpPr/>
      </cdr:nvSpPr>
      <cdr:spPr>
        <a:xfrm xmlns:a="http://schemas.openxmlformats.org/drawingml/2006/main">
          <a:off x="5209417" y="2025521"/>
          <a:ext cx="1684891" cy="17615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4891" h="1761506">
              <a:moveTo>
                <a:pt x="260152" y="1511170"/>
              </a:moveTo>
              <a:lnTo>
                <a:pt x="18129" y="1761505"/>
              </a:lnTo>
              <a:lnTo>
                <a:pt x="0" y="1742753"/>
              </a:lnTo>
              <a:lnTo>
                <a:pt x="244312" y="1490051"/>
              </a:lnTo>
              <a:lnTo>
                <a:pt x="953058" y="756966"/>
              </a:lnTo>
              <a:lnTo>
                <a:pt x="1684890" y="0"/>
              </a:lnTo>
              <a:lnTo>
                <a:pt x="1684890" y="37504"/>
              </a:lnTo>
              <a:lnTo>
                <a:pt x="962260" y="7849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0.50895</cdr:x>
      <cdr:y>0.70151</cdr:y>
    </cdr:from>
    <cdr:to>
      <cdr:x>0.74164</cdr:x>
      <cdr:y>0.9301</cdr:y>
    </cdr:to>
    <cdr:sp macro="" textlink="">
      <cdr:nvSpPr>
        <cdr:cNvPr id="119" name="FracNo 118 StartRow 1517">
          <a:extLst xmlns:a="http://schemas.openxmlformats.org/drawingml/2006/main">
            <a:ext uri="{FF2B5EF4-FFF2-40B4-BE49-F238E27FC236}">
              <a16:creationId xmlns:a16="http://schemas.microsoft.com/office/drawing/2014/main" id="{C2B6D60A-2B7B-A017-6612-E5E00824C095}"/>
            </a:ext>
          </a:extLst>
        </cdr:cNvPr>
        <cdr:cNvSpPr/>
      </cdr:nvSpPr>
      <cdr:spPr>
        <a:xfrm xmlns:a="http://schemas.openxmlformats.org/drawingml/2006/main">
          <a:off x="3723055" y="5345474"/>
          <a:ext cx="1702187" cy="1741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2187" h="1741892">
              <a:moveTo>
                <a:pt x="872806" y="876614"/>
              </a:moveTo>
              <a:lnTo>
                <a:pt x="36258" y="1741891"/>
              </a:lnTo>
              <a:lnTo>
                <a:pt x="0" y="1741891"/>
              </a:lnTo>
              <a:lnTo>
                <a:pt x="850723" y="861952"/>
              </a:lnTo>
              <a:lnTo>
                <a:pt x="1087977" y="616550"/>
              </a:lnTo>
              <a:lnTo>
                <a:pt x="1684057" y="0"/>
              </a:lnTo>
              <a:lnTo>
                <a:pt x="1702186" y="18752"/>
              </a:lnTo>
              <a:lnTo>
                <a:pt x="1106106" y="6353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0.71248</cdr:x>
      <cdr:y>0.23117</cdr:y>
    </cdr:from>
    <cdr:to>
      <cdr:x>0.94246</cdr:x>
      <cdr:y>0.462</cdr:y>
    </cdr:to>
    <cdr:sp macro="" textlink="">
      <cdr:nvSpPr>
        <cdr:cNvPr id="120" name="FracNo 743 StartRow 1528">
          <a:extLst xmlns:a="http://schemas.openxmlformats.org/drawingml/2006/main">
            <a:ext uri="{FF2B5EF4-FFF2-40B4-BE49-F238E27FC236}">
              <a16:creationId xmlns:a16="http://schemas.microsoft.com/office/drawing/2014/main" id="{3ABD90A2-12C5-5CB4-92BC-CA7C0CD338A6}"/>
            </a:ext>
          </a:extLst>
        </cdr:cNvPr>
        <cdr:cNvSpPr/>
      </cdr:nvSpPr>
      <cdr:spPr>
        <a:xfrm xmlns:a="http://schemas.openxmlformats.org/drawingml/2006/main">
          <a:off x="5211904" y="1761478"/>
          <a:ext cx="1682404" cy="1758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2404" h="1758934">
              <a:moveTo>
                <a:pt x="1389910" y="340042"/>
              </a:moveTo>
              <a:lnTo>
                <a:pt x="708960" y="1044377"/>
              </a:lnTo>
              <a:lnTo>
                <a:pt x="18129" y="1758933"/>
              </a:lnTo>
              <a:lnTo>
                <a:pt x="0" y="1740181"/>
              </a:lnTo>
              <a:lnTo>
                <a:pt x="690831" y="1025625"/>
              </a:lnTo>
              <a:lnTo>
                <a:pt x="1384462" y="308173"/>
              </a:lnTo>
              <a:lnTo>
                <a:pt x="1682403" y="0"/>
              </a:lnTo>
              <a:lnTo>
                <a:pt x="168240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0.38052</cdr:x>
      <cdr:y>0.36464</cdr:y>
    </cdr:from>
    <cdr:to>
      <cdr:x>0.60924</cdr:x>
      <cdr:y>0.59176</cdr:y>
    </cdr:to>
    <cdr:sp macro="" textlink="">
      <cdr:nvSpPr>
        <cdr:cNvPr id="121" name="FracNo 493 StartRow 1539">
          <a:extLst xmlns:a="http://schemas.openxmlformats.org/drawingml/2006/main">
            <a:ext uri="{FF2B5EF4-FFF2-40B4-BE49-F238E27FC236}">
              <a16:creationId xmlns:a16="http://schemas.microsoft.com/office/drawing/2014/main" id="{494C85EF-6112-5F52-9D10-AE5EB530537B}"/>
            </a:ext>
          </a:extLst>
        </cdr:cNvPr>
        <cdr:cNvSpPr/>
      </cdr:nvSpPr>
      <cdr:spPr>
        <a:xfrm xmlns:a="http://schemas.openxmlformats.org/drawingml/2006/main">
          <a:off x="2783560" y="2778571"/>
          <a:ext cx="1673175" cy="17306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3175" h="1730635">
              <a:moveTo>
                <a:pt x="1298802" y="387228"/>
              </a:moveTo>
              <a:lnTo>
                <a:pt x="0" y="1730634"/>
              </a:lnTo>
              <a:lnTo>
                <a:pt x="0" y="1730634"/>
              </a:lnTo>
              <a:lnTo>
                <a:pt x="1298802" y="387228"/>
              </a:lnTo>
              <a:lnTo>
                <a:pt x="1655860" y="17908"/>
              </a:lnTo>
              <a:lnTo>
                <a:pt x="1673174" y="0"/>
              </a:lnTo>
              <a:lnTo>
                <a:pt x="1673174" y="0"/>
              </a:lnTo>
              <a:lnTo>
                <a:pt x="1655860" y="179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0.56819</cdr:x>
      <cdr:y>0.70312</cdr:y>
    </cdr:from>
    <cdr:to>
      <cdr:x>0.79926</cdr:x>
      <cdr:y>0.9301</cdr:y>
    </cdr:to>
    <cdr:sp macro="" textlink="">
      <cdr:nvSpPr>
        <cdr:cNvPr id="122" name="FracNo 359 StartRow 1550">
          <a:extLst xmlns:a="http://schemas.openxmlformats.org/drawingml/2006/main">
            <a:ext uri="{FF2B5EF4-FFF2-40B4-BE49-F238E27FC236}">
              <a16:creationId xmlns:a16="http://schemas.microsoft.com/office/drawing/2014/main" id="{79D78D50-8661-F1F4-A09F-5367B1E6DAAF}"/>
            </a:ext>
          </a:extLst>
        </cdr:cNvPr>
        <cdr:cNvSpPr/>
      </cdr:nvSpPr>
      <cdr:spPr>
        <a:xfrm xmlns:a="http://schemas.openxmlformats.org/drawingml/2006/main">
          <a:off x="4156458" y="5357804"/>
          <a:ext cx="1690267" cy="1729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0267" h="1729562">
              <a:moveTo>
                <a:pt x="790787" y="911618"/>
              </a:moveTo>
              <a:lnTo>
                <a:pt x="652982" y="1054155"/>
              </a:lnTo>
              <a:lnTo>
                <a:pt x="0" y="1729561"/>
              </a:lnTo>
              <a:lnTo>
                <a:pt x="36259" y="1729561"/>
              </a:lnTo>
              <a:lnTo>
                <a:pt x="674296" y="1069612"/>
              </a:lnTo>
              <a:lnTo>
                <a:pt x="811670" y="927520"/>
              </a:lnTo>
              <a:lnTo>
                <a:pt x="1690266" y="18752"/>
              </a:lnTo>
              <a:lnTo>
                <a:pt x="16721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0.69272</cdr:x>
      <cdr:y>0.08544</cdr:y>
    </cdr:from>
    <cdr:to>
      <cdr:x>0.9126</cdr:x>
      <cdr:y>0.30377</cdr:y>
    </cdr:to>
    <cdr:sp macro="" textlink="">
      <cdr:nvSpPr>
        <cdr:cNvPr id="123" name="FracNo 176 StartRow 1561">
          <a:extLst xmlns:a="http://schemas.openxmlformats.org/drawingml/2006/main">
            <a:ext uri="{FF2B5EF4-FFF2-40B4-BE49-F238E27FC236}">
              <a16:creationId xmlns:a16="http://schemas.microsoft.com/office/drawing/2014/main" id="{EF6288B8-E561-2CB4-4CCB-E800F4A0132A}"/>
            </a:ext>
          </a:extLst>
        </cdr:cNvPr>
        <cdr:cNvSpPr/>
      </cdr:nvSpPr>
      <cdr:spPr>
        <a:xfrm xmlns:a="http://schemas.openxmlformats.org/drawingml/2006/main">
          <a:off x="5067374" y="651036"/>
          <a:ext cx="1608444" cy="1663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8444" h="1663681">
              <a:moveTo>
                <a:pt x="367820" y="1283228"/>
              </a:moveTo>
              <a:lnTo>
                <a:pt x="0" y="1663680"/>
              </a:lnTo>
              <a:lnTo>
                <a:pt x="0" y="1663680"/>
              </a:lnTo>
              <a:lnTo>
                <a:pt x="367820" y="1283228"/>
              </a:lnTo>
              <a:lnTo>
                <a:pt x="1608443" y="0"/>
              </a:lnTo>
              <a:lnTo>
                <a:pt x="16084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0.44716</cdr:x>
      <cdr:y>0.22075</cdr:y>
    </cdr:from>
    <cdr:to>
      <cdr:x>0.66691</cdr:x>
      <cdr:y>0.43896</cdr:y>
    </cdr:to>
    <cdr:sp macro="" textlink="">
      <cdr:nvSpPr>
        <cdr:cNvPr id="124" name="FracNo 514 StartRow 1570">
          <a:extLst xmlns:a="http://schemas.openxmlformats.org/drawingml/2006/main">
            <a:ext uri="{FF2B5EF4-FFF2-40B4-BE49-F238E27FC236}">
              <a16:creationId xmlns:a16="http://schemas.microsoft.com/office/drawing/2014/main" id="{1581F90D-0AB8-F0A1-403D-66DFFFB7C353}"/>
            </a:ext>
          </a:extLst>
        </cdr:cNvPr>
        <cdr:cNvSpPr/>
      </cdr:nvSpPr>
      <cdr:spPr>
        <a:xfrm xmlns:a="http://schemas.openxmlformats.org/drawingml/2006/main">
          <a:off x="3271044" y="1682095"/>
          <a:ext cx="1607570" cy="1662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7570" h="1662777">
              <a:moveTo>
                <a:pt x="275517" y="1396549"/>
              </a:moveTo>
              <a:lnTo>
                <a:pt x="18129" y="1662776"/>
              </a:lnTo>
              <a:lnTo>
                <a:pt x="0" y="1644024"/>
              </a:lnTo>
              <a:lnTo>
                <a:pt x="257388" y="1377797"/>
              </a:lnTo>
              <a:lnTo>
                <a:pt x="521119" y="1105008"/>
              </a:lnTo>
              <a:lnTo>
                <a:pt x="1539988" y="51149"/>
              </a:lnTo>
              <a:lnTo>
                <a:pt x="1589440" y="0"/>
              </a:lnTo>
              <a:lnTo>
                <a:pt x="1607569" y="18752"/>
              </a:lnTo>
              <a:lnTo>
                <a:pt x="1558117" y="69901"/>
              </a:lnTo>
              <a:lnTo>
                <a:pt x="539249" y="11237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0.6062</cdr:x>
      <cdr:y>0.08544</cdr:y>
    </cdr:from>
    <cdr:to>
      <cdr:x>0.8255</cdr:x>
      <cdr:y>0.30074</cdr:y>
    </cdr:to>
    <cdr:sp macro="" textlink="">
      <cdr:nvSpPr>
        <cdr:cNvPr id="125" name="FracNo 187 StartRow 1583">
          <a:extLst xmlns:a="http://schemas.openxmlformats.org/drawingml/2006/main">
            <a:ext uri="{FF2B5EF4-FFF2-40B4-BE49-F238E27FC236}">
              <a16:creationId xmlns:a16="http://schemas.microsoft.com/office/drawing/2014/main" id="{BF5CA37D-5635-2617-F49C-A93029EF349E}"/>
            </a:ext>
          </a:extLst>
        </cdr:cNvPr>
        <cdr:cNvSpPr/>
      </cdr:nvSpPr>
      <cdr:spPr>
        <a:xfrm xmlns:a="http://schemas.openxmlformats.org/drawingml/2006/main">
          <a:off x="4434453" y="651036"/>
          <a:ext cx="1604252" cy="1640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4252" h="1640594">
              <a:moveTo>
                <a:pt x="399364" y="1208762"/>
              </a:moveTo>
              <a:lnTo>
                <a:pt x="376579" y="1232329"/>
              </a:lnTo>
              <a:lnTo>
                <a:pt x="0" y="1621841"/>
              </a:lnTo>
              <a:lnTo>
                <a:pt x="18129" y="1640593"/>
              </a:lnTo>
              <a:lnTo>
                <a:pt x="394708" y="1251081"/>
              </a:lnTo>
              <a:lnTo>
                <a:pt x="417839" y="1227156"/>
              </a:lnTo>
              <a:lnTo>
                <a:pt x="1604251" y="0"/>
              </a:lnTo>
              <a:lnTo>
                <a:pt x="15679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0.68706</cdr:x>
      <cdr:y>0.08544</cdr:y>
    </cdr:from>
    <cdr:to>
      <cdr:x>0.90623</cdr:x>
      <cdr:y>0.30061</cdr:y>
    </cdr:to>
    <cdr:sp macro="" textlink="">
      <cdr:nvSpPr>
        <cdr:cNvPr id="126" name="FracNo 186 StartRow 1594">
          <a:extLst xmlns:a="http://schemas.openxmlformats.org/drawingml/2006/main">
            <a:ext uri="{FF2B5EF4-FFF2-40B4-BE49-F238E27FC236}">
              <a16:creationId xmlns:a16="http://schemas.microsoft.com/office/drawing/2014/main" id="{ECFC5595-719D-7E8D-EF78-58FFFB2EDCC0}"/>
            </a:ext>
          </a:extLst>
        </cdr:cNvPr>
        <cdr:cNvSpPr/>
      </cdr:nvSpPr>
      <cdr:spPr>
        <a:xfrm xmlns:a="http://schemas.openxmlformats.org/drawingml/2006/main">
          <a:off x="5025963" y="651036"/>
          <a:ext cx="1603292" cy="1639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3292" h="1639600">
              <a:moveTo>
                <a:pt x="328415" y="1318658"/>
              </a:moveTo>
              <a:lnTo>
                <a:pt x="18130" y="1639599"/>
              </a:lnTo>
              <a:lnTo>
                <a:pt x="0" y="1620847"/>
              </a:lnTo>
              <a:lnTo>
                <a:pt x="306737" y="1303577"/>
              </a:lnTo>
              <a:lnTo>
                <a:pt x="1567032" y="0"/>
              </a:lnTo>
              <a:lnTo>
                <a:pt x="16032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0.7248</cdr:x>
      <cdr:y>0.71397</cdr:y>
    </cdr:from>
    <cdr:to>
      <cdr:x>0.94246</cdr:x>
      <cdr:y>0.9301</cdr:y>
    </cdr:to>
    <cdr:sp macro="" textlink="">
      <cdr:nvSpPr>
        <cdr:cNvPr id="127" name="FracNo 355 StartRow 1603">
          <a:extLst xmlns:a="http://schemas.openxmlformats.org/drawingml/2006/main">
            <a:ext uri="{FF2B5EF4-FFF2-40B4-BE49-F238E27FC236}">
              <a16:creationId xmlns:a16="http://schemas.microsoft.com/office/drawing/2014/main" id="{A1CE2F5B-3794-221D-867F-73EABB3F30ED}"/>
            </a:ext>
          </a:extLst>
        </cdr:cNvPr>
        <cdr:cNvSpPr/>
      </cdr:nvSpPr>
      <cdr:spPr>
        <a:xfrm xmlns:a="http://schemas.openxmlformats.org/drawingml/2006/main">
          <a:off x="5302080" y="5440457"/>
          <a:ext cx="1592228" cy="16469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2228" h="1646909">
              <a:moveTo>
                <a:pt x="1238156" y="366232"/>
              </a:moveTo>
              <a:lnTo>
                <a:pt x="0" y="1646908"/>
              </a:lnTo>
              <a:lnTo>
                <a:pt x="36258" y="1646908"/>
              </a:lnTo>
              <a:lnTo>
                <a:pt x="1246219" y="395396"/>
              </a:lnTo>
              <a:lnTo>
                <a:pt x="1592227" y="37504"/>
              </a:lnTo>
              <a:lnTo>
                <a:pt x="15922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0.32255</cdr:x>
      <cdr:y>0.08544</cdr:y>
    </cdr:from>
    <cdr:to>
      <cdr:x>0.54106</cdr:x>
      <cdr:y>0.29994</cdr:y>
    </cdr:to>
    <cdr:sp macro="" textlink="">
      <cdr:nvSpPr>
        <cdr:cNvPr id="128" name="FracNo 278 StartRow 1612">
          <a:extLst xmlns:a="http://schemas.openxmlformats.org/drawingml/2006/main">
            <a:ext uri="{FF2B5EF4-FFF2-40B4-BE49-F238E27FC236}">
              <a16:creationId xmlns:a16="http://schemas.microsoft.com/office/drawing/2014/main" id="{12A59F3F-FF2F-8EF5-4A1D-5CDD857E24DD}"/>
            </a:ext>
          </a:extLst>
        </cdr:cNvPr>
        <cdr:cNvSpPr/>
      </cdr:nvSpPr>
      <cdr:spPr>
        <a:xfrm xmlns:a="http://schemas.openxmlformats.org/drawingml/2006/main">
          <a:off x="2359552" y="651036"/>
          <a:ext cx="1598382" cy="16345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8382" h="1634521">
              <a:moveTo>
                <a:pt x="1471183" y="131566"/>
              </a:moveTo>
              <a:lnTo>
                <a:pt x="395399" y="1244295"/>
              </a:lnTo>
              <a:lnTo>
                <a:pt x="18130" y="1634520"/>
              </a:lnTo>
              <a:lnTo>
                <a:pt x="0" y="1615768"/>
              </a:lnTo>
              <a:lnTo>
                <a:pt x="377270" y="1225543"/>
              </a:lnTo>
              <a:lnTo>
                <a:pt x="1436841" y="129583"/>
              </a:lnTo>
              <a:lnTo>
                <a:pt x="1562122" y="0"/>
              </a:lnTo>
              <a:lnTo>
                <a:pt x="15983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0.18995</cdr:x>
      <cdr:y>0.6438</cdr:y>
    </cdr:from>
    <cdr:to>
      <cdr:x>0.40435</cdr:x>
      <cdr:y>0.85669</cdr:y>
    </cdr:to>
    <cdr:sp macro="" textlink="">
      <cdr:nvSpPr>
        <cdr:cNvPr id="129" name="FracNo 19 StartRow 1623">
          <a:extLst xmlns:a="http://schemas.openxmlformats.org/drawingml/2006/main">
            <a:ext uri="{FF2B5EF4-FFF2-40B4-BE49-F238E27FC236}">
              <a16:creationId xmlns:a16="http://schemas.microsoft.com/office/drawing/2014/main" id="{9E79F2FC-416D-D512-A4D8-FD342CE930CC}"/>
            </a:ext>
          </a:extLst>
        </cdr:cNvPr>
        <cdr:cNvSpPr/>
      </cdr:nvSpPr>
      <cdr:spPr>
        <a:xfrm xmlns:a="http://schemas.openxmlformats.org/drawingml/2006/main">
          <a:off x="1389509" y="4905765"/>
          <a:ext cx="1568374" cy="1622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8374" h="1622234">
              <a:moveTo>
                <a:pt x="122681" y="1495339"/>
              </a:moveTo>
              <a:lnTo>
                <a:pt x="0" y="1622233"/>
              </a:lnTo>
              <a:lnTo>
                <a:pt x="0" y="1622233"/>
              </a:lnTo>
              <a:lnTo>
                <a:pt x="122681" y="1495339"/>
              </a:lnTo>
              <a:lnTo>
                <a:pt x="1356377" y="219275"/>
              </a:lnTo>
              <a:lnTo>
                <a:pt x="1533416" y="36157"/>
              </a:lnTo>
              <a:lnTo>
                <a:pt x="1568373" y="0"/>
              </a:lnTo>
              <a:lnTo>
                <a:pt x="1568373" y="0"/>
              </a:lnTo>
              <a:lnTo>
                <a:pt x="1533416" y="36157"/>
              </a:lnTo>
              <a:lnTo>
                <a:pt x="1356377" y="2192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0.66061</cdr:x>
      <cdr:y>0.67924</cdr:y>
    </cdr:from>
    <cdr:to>
      <cdr:x>0.87184</cdr:x>
      <cdr:y>0.88899</cdr:y>
    </cdr:to>
    <cdr:sp macro="" textlink="">
      <cdr:nvSpPr>
        <cdr:cNvPr id="130" name="FracNo 324 StartRow 1636">
          <a:extLst xmlns:a="http://schemas.openxmlformats.org/drawingml/2006/main">
            <a:ext uri="{FF2B5EF4-FFF2-40B4-BE49-F238E27FC236}">
              <a16:creationId xmlns:a16="http://schemas.microsoft.com/office/drawing/2014/main" id="{226FB7B7-3577-AE94-58B4-5AB7EC4E4F45}"/>
            </a:ext>
          </a:extLst>
        </cdr:cNvPr>
        <cdr:cNvSpPr/>
      </cdr:nvSpPr>
      <cdr:spPr>
        <a:xfrm xmlns:a="http://schemas.openxmlformats.org/drawingml/2006/main">
          <a:off x="4832473" y="5175821"/>
          <a:ext cx="1545199" cy="1598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5199" h="1598263">
              <a:moveTo>
                <a:pt x="242338" y="1347603"/>
              </a:moveTo>
              <a:lnTo>
                <a:pt x="0" y="1598262"/>
              </a:lnTo>
              <a:lnTo>
                <a:pt x="0" y="1598262"/>
              </a:lnTo>
              <a:lnTo>
                <a:pt x="242338" y="1347603"/>
              </a:lnTo>
              <a:lnTo>
                <a:pt x="1545198" y="0"/>
              </a:lnTo>
              <a:lnTo>
                <a:pt x="15451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0.19445</cdr:x>
      <cdr:y>0.65149</cdr:y>
    </cdr:from>
    <cdr:to>
      <cdr:x>0.40808</cdr:x>
      <cdr:y>0.86362</cdr:y>
    </cdr:to>
    <cdr:sp macro="" textlink="">
      <cdr:nvSpPr>
        <cdr:cNvPr id="131" name="FracNo 38 StartRow 1645">
          <a:extLst xmlns:a="http://schemas.openxmlformats.org/drawingml/2006/main">
            <a:ext uri="{FF2B5EF4-FFF2-40B4-BE49-F238E27FC236}">
              <a16:creationId xmlns:a16="http://schemas.microsoft.com/office/drawing/2014/main" id="{811B1C9C-1EE5-729A-6F3B-2598A86927D0}"/>
            </a:ext>
          </a:extLst>
        </cdr:cNvPr>
        <cdr:cNvSpPr/>
      </cdr:nvSpPr>
      <cdr:spPr>
        <a:xfrm xmlns:a="http://schemas.openxmlformats.org/drawingml/2006/main">
          <a:off x="1422422" y="4964354"/>
          <a:ext cx="1562772" cy="1616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772" h="1616441">
              <a:moveTo>
                <a:pt x="390678" y="1231097"/>
              </a:moveTo>
              <a:lnTo>
                <a:pt x="18129" y="1616440"/>
              </a:lnTo>
              <a:lnTo>
                <a:pt x="0" y="1597688"/>
              </a:lnTo>
              <a:lnTo>
                <a:pt x="372548" y="1212345"/>
              </a:lnTo>
              <a:lnTo>
                <a:pt x="1314400" y="238149"/>
              </a:lnTo>
              <a:lnTo>
                <a:pt x="1544641" y="0"/>
              </a:lnTo>
              <a:lnTo>
                <a:pt x="1562771" y="18752"/>
              </a:lnTo>
              <a:lnTo>
                <a:pt x="1332529" y="2569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0.30532</cdr:x>
      <cdr:y>0.29744</cdr:y>
    </cdr:to>
    <cdr:sp macro="" textlink="">
      <cdr:nvSpPr>
        <cdr:cNvPr id="132" name="FracNo 582 StartRow 1656">
          <a:extLst xmlns:a="http://schemas.openxmlformats.org/drawingml/2006/main">
            <a:ext uri="{FF2B5EF4-FFF2-40B4-BE49-F238E27FC236}">
              <a16:creationId xmlns:a16="http://schemas.microsoft.com/office/drawing/2014/main" id="{043C3F2F-028C-9A3F-726A-B845822C8E4F}"/>
            </a:ext>
          </a:extLst>
        </cdr:cNvPr>
        <cdr:cNvSpPr/>
      </cdr:nvSpPr>
      <cdr:spPr>
        <a:xfrm xmlns:a="http://schemas.openxmlformats.org/drawingml/2006/main">
          <a:off x="671676" y="651036"/>
          <a:ext cx="1561815" cy="1615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1815" h="1615451">
              <a:moveTo>
                <a:pt x="231558" y="1375940"/>
              </a:moveTo>
              <a:lnTo>
                <a:pt x="0" y="1615450"/>
              </a:lnTo>
              <a:lnTo>
                <a:pt x="0" y="1577947"/>
              </a:lnTo>
              <a:lnTo>
                <a:pt x="226182" y="1343997"/>
              </a:lnTo>
              <a:lnTo>
                <a:pt x="1525556" y="0"/>
              </a:lnTo>
              <a:lnTo>
                <a:pt x="15618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0.64167</cdr:x>
      <cdr:y>0.30205</cdr:y>
    </cdr:from>
    <cdr:to>
      <cdr:x>0.85446</cdr:x>
      <cdr:y>0.51334</cdr:y>
    </cdr:to>
    <cdr:sp macro="" textlink="">
      <cdr:nvSpPr>
        <cdr:cNvPr id="133" name="FracNo 183 StartRow 1665">
          <a:extLst xmlns:a="http://schemas.openxmlformats.org/drawingml/2006/main">
            <a:ext uri="{FF2B5EF4-FFF2-40B4-BE49-F238E27FC236}">
              <a16:creationId xmlns:a16="http://schemas.microsoft.com/office/drawing/2014/main" id="{6A48AA82-35E5-FD03-E33B-2993BB4BD18C}"/>
            </a:ext>
          </a:extLst>
        </cdr:cNvPr>
        <cdr:cNvSpPr/>
      </cdr:nvSpPr>
      <cdr:spPr>
        <a:xfrm xmlns:a="http://schemas.openxmlformats.org/drawingml/2006/main">
          <a:off x="4693954" y="2301625"/>
          <a:ext cx="1556569" cy="1610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6569" h="1610023">
              <a:moveTo>
                <a:pt x="1355192" y="227042"/>
              </a:moveTo>
              <a:lnTo>
                <a:pt x="1087208" y="504230"/>
              </a:lnTo>
              <a:lnTo>
                <a:pt x="135207" y="1488924"/>
              </a:lnTo>
              <a:lnTo>
                <a:pt x="18130" y="1610022"/>
              </a:lnTo>
              <a:lnTo>
                <a:pt x="0" y="1591270"/>
              </a:lnTo>
              <a:lnTo>
                <a:pt x="117078" y="1470172"/>
              </a:lnTo>
              <a:lnTo>
                <a:pt x="1069078" y="485478"/>
              </a:lnTo>
              <a:lnTo>
                <a:pt x="1337063" y="208291"/>
              </a:lnTo>
              <a:lnTo>
                <a:pt x="1538438" y="0"/>
              </a:lnTo>
              <a:lnTo>
                <a:pt x="15565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0.68198</cdr:x>
      <cdr:y>0.08544</cdr:y>
    </cdr:from>
    <cdr:to>
      <cdr:x>0.89112</cdr:x>
      <cdr:y>0.2931</cdr:y>
    </cdr:to>
    <cdr:sp macro="" textlink="">
      <cdr:nvSpPr>
        <cdr:cNvPr id="134" name="FracNo 170 StartRow 1678">
          <a:extLst xmlns:a="http://schemas.openxmlformats.org/drawingml/2006/main">
            <a:ext uri="{FF2B5EF4-FFF2-40B4-BE49-F238E27FC236}">
              <a16:creationId xmlns:a16="http://schemas.microsoft.com/office/drawing/2014/main" id="{1FF9BBD1-5F17-032D-995C-925DF6D55BC4}"/>
            </a:ext>
          </a:extLst>
        </cdr:cNvPr>
        <cdr:cNvSpPr/>
      </cdr:nvSpPr>
      <cdr:spPr>
        <a:xfrm xmlns:a="http://schemas.openxmlformats.org/drawingml/2006/main">
          <a:off x="4988810" y="651036"/>
          <a:ext cx="1529880" cy="1582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9880" h="1582419">
              <a:moveTo>
                <a:pt x="1222950" y="317470"/>
              </a:moveTo>
              <a:lnTo>
                <a:pt x="0" y="1582418"/>
              </a:lnTo>
              <a:lnTo>
                <a:pt x="0" y="1582418"/>
              </a:lnTo>
              <a:lnTo>
                <a:pt x="1222950" y="317470"/>
              </a:lnTo>
              <a:lnTo>
                <a:pt x="1529879" y="0"/>
              </a:lnTo>
              <a:lnTo>
                <a:pt x="15298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0.27999</cdr:x>
      <cdr:y>0.20825</cdr:y>
    </cdr:from>
    <cdr:to>
      <cdr:x>0.48921</cdr:x>
      <cdr:y>0.41599</cdr:y>
    </cdr:to>
    <cdr:sp macro="" textlink="">
      <cdr:nvSpPr>
        <cdr:cNvPr id="135" name="FracNo 272 StartRow 1687">
          <a:extLst xmlns:a="http://schemas.openxmlformats.org/drawingml/2006/main">
            <a:ext uri="{FF2B5EF4-FFF2-40B4-BE49-F238E27FC236}">
              <a16:creationId xmlns:a16="http://schemas.microsoft.com/office/drawing/2014/main" id="{8E4EAF36-EDE6-5CBF-46E6-28C0F1188623}"/>
            </a:ext>
          </a:extLst>
        </cdr:cNvPr>
        <cdr:cNvSpPr/>
      </cdr:nvSpPr>
      <cdr:spPr>
        <a:xfrm xmlns:a="http://schemas.openxmlformats.org/drawingml/2006/main">
          <a:off x="2048191" y="1586876"/>
          <a:ext cx="1530446" cy="1583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0446" h="1583005">
              <a:moveTo>
                <a:pt x="1333789" y="184658"/>
              </a:moveTo>
              <a:lnTo>
                <a:pt x="688631" y="851972"/>
              </a:lnTo>
              <a:lnTo>
                <a:pt x="351938" y="1200227"/>
              </a:lnTo>
              <a:lnTo>
                <a:pt x="0" y="1564252"/>
              </a:lnTo>
              <a:lnTo>
                <a:pt x="18129" y="1583004"/>
              </a:lnTo>
              <a:lnTo>
                <a:pt x="370068" y="1218979"/>
              </a:lnTo>
              <a:lnTo>
                <a:pt x="706760" y="870724"/>
              </a:lnTo>
              <a:lnTo>
                <a:pt x="1351918" y="203410"/>
              </a:lnTo>
              <a:lnTo>
                <a:pt x="1530445" y="18752"/>
              </a:lnTo>
              <a:lnTo>
                <a:pt x="15123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0.53861</cdr:x>
      <cdr:y>0.08544</cdr:y>
    </cdr:from>
    <cdr:to>
      <cdr:x>0.74899</cdr:x>
      <cdr:y>0.29188</cdr:y>
    </cdr:to>
    <cdr:sp macro="" textlink="">
      <cdr:nvSpPr>
        <cdr:cNvPr id="136" name="FracNo 736 StartRow 1700">
          <a:extLst xmlns:a="http://schemas.openxmlformats.org/drawingml/2006/main">
            <a:ext uri="{FF2B5EF4-FFF2-40B4-BE49-F238E27FC236}">
              <a16:creationId xmlns:a16="http://schemas.microsoft.com/office/drawing/2014/main" id="{78D7F592-6842-C263-E212-181D8B318795}"/>
            </a:ext>
          </a:extLst>
        </cdr:cNvPr>
        <cdr:cNvSpPr/>
      </cdr:nvSpPr>
      <cdr:spPr>
        <a:xfrm xmlns:a="http://schemas.openxmlformats.org/drawingml/2006/main">
          <a:off x="3940047" y="651036"/>
          <a:ext cx="1538962" cy="1573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8962" h="1573061">
              <a:moveTo>
                <a:pt x="413744" y="1163859"/>
              </a:moveTo>
              <a:lnTo>
                <a:pt x="18130" y="1573060"/>
              </a:lnTo>
              <a:lnTo>
                <a:pt x="0" y="1554308"/>
              </a:lnTo>
              <a:lnTo>
                <a:pt x="392116" y="1148726"/>
              </a:lnTo>
              <a:lnTo>
                <a:pt x="867116" y="657413"/>
              </a:lnTo>
              <a:lnTo>
                <a:pt x="1502702" y="0"/>
              </a:lnTo>
              <a:lnTo>
                <a:pt x="1538961" y="0"/>
              </a:lnTo>
              <a:lnTo>
                <a:pt x="892983" y="6681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0.73522</cdr:x>
      <cdr:y>0.18668</cdr:y>
    </cdr:from>
    <cdr:to>
      <cdr:x>0.94246</cdr:x>
      <cdr:y>0.39493</cdr:y>
    </cdr:to>
    <cdr:sp macro="" textlink="">
      <cdr:nvSpPr>
        <cdr:cNvPr id="137" name="FracNo 190 StartRow 1711">
          <a:extLst xmlns:a="http://schemas.openxmlformats.org/drawingml/2006/main">
            <a:ext uri="{FF2B5EF4-FFF2-40B4-BE49-F238E27FC236}">
              <a16:creationId xmlns:a16="http://schemas.microsoft.com/office/drawing/2014/main" id="{66733B38-7190-20F2-7766-9990CFC6E092}"/>
            </a:ext>
          </a:extLst>
        </cdr:cNvPr>
        <cdr:cNvSpPr/>
      </cdr:nvSpPr>
      <cdr:spPr>
        <a:xfrm xmlns:a="http://schemas.openxmlformats.org/drawingml/2006/main">
          <a:off x="5378262" y="1422532"/>
          <a:ext cx="1516046" cy="1586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6046" h="1586862">
              <a:moveTo>
                <a:pt x="562366" y="1023934"/>
              </a:moveTo>
              <a:lnTo>
                <a:pt x="214909" y="1383323"/>
              </a:lnTo>
              <a:lnTo>
                <a:pt x="18130" y="1586861"/>
              </a:lnTo>
              <a:lnTo>
                <a:pt x="0" y="1568109"/>
              </a:lnTo>
              <a:lnTo>
                <a:pt x="196780" y="1364571"/>
              </a:lnTo>
              <a:lnTo>
                <a:pt x="549078" y="1000174"/>
              </a:lnTo>
              <a:lnTo>
                <a:pt x="1516045" y="0"/>
              </a:lnTo>
              <a:lnTo>
                <a:pt x="151604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0.15601</cdr:x>
      <cdr:y>0.64579</cdr:y>
    </cdr:from>
    <cdr:to>
      <cdr:x>0.36139</cdr:x>
      <cdr:y>0.84973</cdr:y>
    </cdr:to>
    <cdr:sp macro="" textlink="">
      <cdr:nvSpPr>
        <cdr:cNvPr id="138" name="FracNo 17 StartRow 1722">
          <a:extLst xmlns:a="http://schemas.openxmlformats.org/drawingml/2006/main">
            <a:ext uri="{FF2B5EF4-FFF2-40B4-BE49-F238E27FC236}">
              <a16:creationId xmlns:a16="http://schemas.microsoft.com/office/drawing/2014/main" id="{916B19AA-198D-2A7C-8C51-62C57979F0F5}"/>
            </a:ext>
          </a:extLst>
        </cdr:cNvPr>
        <cdr:cNvSpPr/>
      </cdr:nvSpPr>
      <cdr:spPr>
        <a:xfrm xmlns:a="http://schemas.openxmlformats.org/drawingml/2006/main">
          <a:off x="1141247" y="4920933"/>
          <a:ext cx="1502381" cy="1553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2381" h="1553976">
              <a:moveTo>
                <a:pt x="203577" y="1343406"/>
              </a:moveTo>
              <a:lnTo>
                <a:pt x="0" y="1553975"/>
              </a:lnTo>
              <a:lnTo>
                <a:pt x="0" y="1553975"/>
              </a:lnTo>
              <a:lnTo>
                <a:pt x="203577" y="1343406"/>
              </a:lnTo>
              <a:lnTo>
                <a:pt x="1482088" y="20989"/>
              </a:lnTo>
              <a:lnTo>
                <a:pt x="1502380" y="0"/>
              </a:lnTo>
              <a:lnTo>
                <a:pt x="1502380" y="0"/>
              </a:lnTo>
              <a:lnTo>
                <a:pt x="1482088" y="209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0.22739</cdr:x>
      <cdr:y>0.72647</cdr:y>
    </cdr:from>
    <cdr:to>
      <cdr:x>0.43495</cdr:x>
      <cdr:y>0.9301</cdr:y>
    </cdr:to>
    <cdr:sp macro="" textlink="">
      <cdr:nvSpPr>
        <cdr:cNvPr id="139" name="FracNo 741 StartRow 1733">
          <a:extLst xmlns:a="http://schemas.openxmlformats.org/drawingml/2006/main">
            <a:ext uri="{FF2B5EF4-FFF2-40B4-BE49-F238E27FC236}">
              <a16:creationId xmlns:a16="http://schemas.microsoft.com/office/drawing/2014/main" id="{FC805F98-62BC-205F-A055-011AB876CE46}"/>
            </a:ext>
          </a:extLst>
        </cdr:cNvPr>
        <cdr:cNvSpPr/>
      </cdr:nvSpPr>
      <cdr:spPr>
        <a:xfrm xmlns:a="http://schemas.openxmlformats.org/drawingml/2006/main">
          <a:off x="1663439" y="5535698"/>
          <a:ext cx="1518279" cy="1551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8279" h="1551668">
              <a:moveTo>
                <a:pt x="1128944" y="383952"/>
              </a:moveTo>
              <a:lnTo>
                <a:pt x="1072930" y="441890"/>
              </a:lnTo>
              <a:lnTo>
                <a:pt x="0" y="1551667"/>
              </a:lnTo>
              <a:lnTo>
                <a:pt x="36258" y="1551667"/>
              </a:lnTo>
              <a:lnTo>
                <a:pt x="1091965" y="459705"/>
              </a:lnTo>
              <a:lnTo>
                <a:pt x="1147861" y="401890"/>
              </a:lnTo>
              <a:lnTo>
                <a:pt x="1518278" y="18751"/>
              </a:lnTo>
              <a:lnTo>
                <a:pt x="15001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0.28521</cdr:x>
      <cdr:y>0.72687</cdr:y>
    </cdr:from>
    <cdr:to>
      <cdr:x>0.49236</cdr:x>
      <cdr:y>0.9301</cdr:y>
    </cdr:to>
    <cdr:sp macro="" textlink="">
      <cdr:nvSpPr>
        <cdr:cNvPr id="140" name="FracNo 35 StartRow 1744">
          <a:extLst xmlns:a="http://schemas.openxmlformats.org/drawingml/2006/main">
            <a:ext uri="{FF2B5EF4-FFF2-40B4-BE49-F238E27FC236}">
              <a16:creationId xmlns:a16="http://schemas.microsoft.com/office/drawing/2014/main" id="{34820F68-C238-4A3B-B8AD-870E6FA34B02}"/>
            </a:ext>
          </a:extLst>
        </cdr:cNvPr>
        <cdr:cNvSpPr/>
      </cdr:nvSpPr>
      <cdr:spPr>
        <a:xfrm xmlns:a="http://schemas.openxmlformats.org/drawingml/2006/main">
          <a:off x="2086402" y="5538732"/>
          <a:ext cx="1515346" cy="15486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5346" h="1548634">
              <a:moveTo>
                <a:pt x="6174" y="1542247"/>
              </a:moveTo>
              <a:lnTo>
                <a:pt x="0" y="1548633"/>
              </a:lnTo>
              <a:lnTo>
                <a:pt x="36259" y="1548633"/>
              </a:lnTo>
              <a:lnTo>
                <a:pt x="42261" y="1542425"/>
              </a:lnTo>
              <a:lnTo>
                <a:pt x="668549" y="894629"/>
              </a:lnTo>
              <a:lnTo>
                <a:pt x="1515345" y="18752"/>
              </a:lnTo>
              <a:lnTo>
                <a:pt x="1497216" y="0"/>
              </a:lnTo>
              <a:lnTo>
                <a:pt x="650420" y="8758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0.73892</cdr:x>
      <cdr:y>0.49916</cdr:y>
    </cdr:from>
    <cdr:to>
      <cdr:x>0.94246</cdr:x>
      <cdr:y>0.70373</cdr:y>
    </cdr:to>
    <cdr:sp macro="" textlink="">
      <cdr:nvSpPr>
        <cdr:cNvPr id="141" name="FracNo 428 StartRow 1755">
          <a:extLst xmlns:a="http://schemas.openxmlformats.org/drawingml/2006/main">
            <a:ext uri="{FF2B5EF4-FFF2-40B4-BE49-F238E27FC236}">
              <a16:creationId xmlns:a16="http://schemas.microsoft.com/office/drawing/2014/main" id="{86C4F996-B182-BDE2-AC28-8B5ADE4A501E}"/>
            </a:ext>
          </a:extLst>
        </cdr:cNvPr>
        <cdr:cNvSpPr/>
      </cdr:nvSpPr>
      <cdr:spPr>
        <a:xfrm xmlns:a="http://schemas.openxmlformats.org/drawingml/2006/main">
          <a:off x="5405356" y="3803573"/>
          <a:ext cx="1488952" cy="1558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8952" h="1558838">
              <a:moveTo>
                <a:pt x="828118" y="683527"/>
              </a:moveTo>
              <a:lnTo>
                <a:pt x="397462" y="1128973"/>
              </a:lnTo>
              <a:lnTo>
                <a:pt x="0" y="1540085"/>
              </a:lnTo>
              <a:lnTo>
                <a:pt x="18130" y="1558837"/>
              </a:lnTo>
              <a:lnTo>
                <a:pt x="415591" y="1147725"/>
              </a:lnTo>
              <a:lnTo>
                <a:pt x="839094" y="709678"/>
              </a:lnTo>
              <a:lnTo>
                <a:pt x="1488951" y="37504"/>
              </a:lnTo>
              <a:lnTo>
                <a:pt x="14889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0.12306</cdr:x>
      <cdr:y>0.10643</cdr:y>
    </cdr:from>
    <cdr:to>
      <cdr:x>0.32669</cdr:x>
      <cdr:y>0.30863</cdr:y>
    </cdr:to>
    <cdr:sp macro="" textlink="">
      <cdr:nvSpPr>
        <cdr:cNvPr id="142" name="FracNo 581 StartRow 1766">
          <a:extLst xmlns:a="http://schemas.openxmlformats.org/drawingml/2006/main">
            <a:ext uri="{FF2B5EF4-FFF2-40B4-BE49-F238E27FC236}">
              <a16:creationId xmlns:a16="http://schemas.microsoft.com/office/drawing/2014/main" id="{C21299F5-916B-78AE-4499-BC88EDABD054}"/>
            </a:ext>
          </a:extLst>
        </cdr:cNvPr>
        <cdr:cNvSpPr/>
      </cdr:nvSpPr>
      <cdr:spPr>
        <a:xfrm xmlns:a="http://schemas.openxmlformats.org/drawingml/2006/main">
          <a:off x="900186" y="810973"/>
          <a:ext cx="1489630" cy="15407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630" h="1540786">
              <a:moveTo>
                <a:pt x="1412924" y="98090"/>
              </a:moveTo>
              <a:lnTo>
                <a:pt x="18129" y="1540785"/>
              </a:lnTo>
              <a:lnTo>
                <a:pt x="0" y="1522033"/>
              </a:lnTo>
              <a:lnTo>
                <a:pt x="1394794" y="79339"/>
              </a:lnTo>
              <a:lnTo>
                <a:pt x="1471499" y="0"/>
              </a:lnTo>
              <a:lnTo>
                <a:pt x="14896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0.12858</cdr:x>
      <cdr:y>0.11192</cdr:y>
    </cdr:from>
    <cdr:to>
      <cdr:x>0.32974</cdr:x>
      <cdr:y>0.31166</cdr:y>
    </cdr:to>
    <cdr:sp macro="" textlink="">
      <cdr:nvSpPr>
        <cdr:cNvPr id="143" name="FracNo 565 StartRow 1775">
          <a:extLst xmlns:a="http://schemas.openxmlformats.org/drawingml/2006/main">
            <a:ext uri="{FF2B5EF4-FFF2-40B4-BE49-F238E27FC236}">
              <a16:creationId xmlns:a16="http://schemas.microsoft.com/office/drawing/2014/main" id="{8BC72F8B-7A53-BA9E-55D0-69689E8B7AF6}"/>
            </a:ext>
          </a:extLst>
        </cdr:cNvPr>
        <cdr:cNvSpPr/>
      </cdr:nvSpPr>
      <cdr:spPr>
        <a:xfrm xmlns:a="http://schemas.openxmlformats.org/drawingml/2006/main">
          <a:off x="940624" y="852799"/>
          <a:ext cx="1471500" cy="15220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1500" h="1522035">
              <a:moveTo>
                <a:pt x="921516" y="568870"/>
              </a:moveTo>
              <a:lnTo>
                <a:pt x="0" y="1522034"/>
              </a:lnTo>
              <a:lnTo>
                <a:pt x="0" y="1522034"/>
              </a:lnTo>
              <a:lnTo>
                <a:pt x="921516" y="568870"/>
              </a:lnTo>
              <a:lnTo>
                <a:pt x="1471499" y="0"/>
              </a:lnTo>
              <a:lnTo>
                <a:pt x="14714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0.33356</cdr:x>
      <cdr:y>0.17544</cdr:y>
    </cdr:from>
    <cdr:to>
      <cdr:x>0.53441</cdr:x>
      <cdr:y>0.37487</cdr:y>
    </cdr:to>
    <cdr:sp macro="" textlink="">
      <cdr:nvSpPr>
        <cdr:cNvPr id="144" name="FracNo 642 StartRow 1784">
          <a:extLst xmlns:a="http://schemas.openxmlformats.org/drawingml/2006/main">
            <a:ext uri="{FF2B5EF4-FFF2-40B4-BE49-F238E27FC236}">
              <a16:creationId xmlns:a16="http://schemas.microsoft.com/office/drawing/2014/main" id="{18E07E3C-3212-51A1-7546-0D146A0FEF98}"/>
            </a:ext>
          </a:extLst>
        </cdr:cNvPr>
        <cdr:cNvSpPr/>
      </cdr:nvSpPr>
      <cdr:spPr>
        <a:xfrm xmlns:a="http://schemas.openxmlformats.org/drawingml/2006/main">
          <a:off x="2440067" y="1336856"/>
          <a:ext cx="1469216" cy="1519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9216" h="1519672">
              <a:moveTo>
                <a:pt x="0" y="1519671"/>
              </a:moveTo>
              <a:lnTo>
                <a:pt x="0" y="1519671"/>
              </a:lnTo>
              <a:lnTo>
                <a:pt x="58054" y="1459623"/>
              </a:lnTo>
              <a:lnTo>
                <a:pt x="305819" y="1203349"/>
              </a:lnTo>
              <a:lnTo>
                <a:pt x="1469215" y="0"/>
              </a:lnTo>
              <a:lnTo>
                <a:pt x="1469215" y="0"/>
              </a:lnTo>
              <a:lnTo>
                <a:pt x="305819" y="1203349"/>
              </a:lnTo>
              <a:lnTo>
                <a:pt x="58054" y="14596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0.72771</cdr:y>
    </cdr:from>
    <cdr:to>
      <cdr:x>0.2911</cdr:x>
      <cdr:y>0.92805</cdr:y>
    </cdr:to>
    <cdr:sp macro="" textlink="">
      <cdr:nvSpPr>
        <cdr:cNvPr id="145" name="FracNo 31 StartRow 1795">
          <a:extLst xmlns:a="http://schemas.openxmlformats.org/drawingml/2006/main">
            <a:ext uri="{FF2B5EF4-FFF2-40B4-BE49-F238E27FC236}">
              <a16:creationId xmlns:a16="http://schemas.microsoft.com/office/drawing/2014/main" id="{EE6B8892-A21A-C30F-C9EC-F31B9BD82849}"/>
            </a:ext>
          </a:extLst>
        </cdr:cNvPr>
        <cdr:cNvSpPr/>
      </cdr:nvSpPr>
      <cdr:spPr>
        <a:xfrm xmlns:a="http://schemas.openxmlformats.org/drawingml/2006/main">
          <a:off x="671676" y="5545129"/>
          <a:ext cx="1457804" cy="1526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7804" h="1526619">
              <a:moveTo>
                <a:pt x="1169557" y="316897"/>
              </a:moveTo>
              <a:lnTo>
                <a:pt x="0" y="1526618"/>
              </a:lnTo>
              <a:lnTo>
                <a:pt x="0" y="1489115"/>
              </a:lnTo>
              <a:lnTo>
                <a:pt x="1155012" y="294437"/>
              </a:lnTo>
              <a:lnTo>
                <a:pt x="1439674" y="0"/>
              </a:lnTo>
              <a:lnTo>
                <a:pt x="14578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0.64424</cdr:x>
      <cdr:y>0.08544</cdr:y>
    </cdr:from>
    <cdr:to>
      <cdr:x>0.84214</cdr:x>
      <cdr:y>0.27948</cdr:y>
    </cdr:to>
    <cdr:sp macro="" textlink="">
      <cdr:nvSpPr>
        <cdr:cNvPr id="146" name="FracNo 184 StartRow 1804">
          <a:extLst xmlns:a="http://schemas.openxmlformats.org/drawingml/2006/main">
            <a:ext uri="{FF2B5EF4-FFF2-40B4-BE49-F238E27FC236}">
              <a16:creationId xmlns:a16="http://schemas.microsoft.com/office/drawing/2014/main" id="{D266184A-3229-B433-3CE2-DEF8896E7252}"/>
            </a:ext>
          </a:extLst>
        </cdr:cNvPr>
        <cdr:cNvSpPr/>
      </cdr:nvSpPr>
      <cdr:spPr>
        <a:xfrm xmlns:a="http://schemas.openxmlformats.org/drawingml/2006/main">
          <a:off x="4712779" y="651036"/>
          <a:ext cx="1447636" cy="1478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7636" h="1478598">
              <a:moveTo>
                <a:pt x="1241503" y="175706"/>
              </a:moveTo>
              <a:lnTo>
                <a:pt x="98253" y="1358218"/>
              </a:lnTo>
              <a:lnTo>
                <a:pt x="0" y="1459845"/>
              </a:lnTo>
              <a:lnTo>
                <a:pt x="18129" y="1478597"/>
              </a:lnTo>
              <a:lnTo>
                <a:pt x="116382" y="1376970"/>
              </a:lnTo>
              <a:lnTo>
                <a:pt x="1275416" y="178132"/>
              </a:lnTo>
              <a:lnTo>
                <a:pt x="1447635" y="0"/>
              </a:lnTo>
              <a:lnTo>
                <a:pt x="14113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0.48193</cdr:x>
      <cdr:y>0.61913</cdr:y>
    </cdr:from>
    <cdr:to>
      <cdr:x>0.6742</cdr:x>
      <cdr:y>0.81005</cdr:y>
    </cdr:to>
    <cdr:sp macro="" textlink="">
      <cdr:nvSpPr>
        <cdr:cNvPr id="147" name="FracNo 112 StartRow 1815">
          <a:extLst xmlns:a="http://schemas.openxmlformats.org/drawingml/2006/main">
            <a:ext uri="{FF2B5EF4-FFF2-40B4-BE49-F238E27FC236}">
              <a16:creationId xmlns:a16="http://schemas.microsoft.com/office/drawing/2014/main" id="{6A5C8640-C181-5041-227C-031536B39591}"/>
            </a:ext>
          </a:extLst>
        </cdr:cNvPr>
        <cdr:cNvSpPr/>
      </cdr:nvSpPr>
      <cdr:spPr>
        <a:xfrm xmlns:a="http://schemas.openxmlformats.org/drawingml/2006/main">
          <a:off x="3525407" y="4717788"/>
          <a:ext cx="1406500" cy="14548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6500" h="1454802">
              <a:moveTo>
                <a:pt x="628960" y="785488"/>
              </a:moveTo>
              <a:lnTo>
                <a:pt x="0" y="1436049"/>
              </a:lnTo>
              <a:lnTo>
                <a:pt x="18129" y="1454801"/>
              </a:lnTo>
              <a:lnTo>
                <a:pt x="647089" y="804240"/>
              </a:lnTo>
              <a:lnTo>
                <a:pt x="1198871" y="233510"/>
              </a:lnTo>
              <a:lnTo>
                <a:pt x="1303754" y="125024"/>
              </a:lnTo>
              <a:lnTo>
                <a:pt x="1406499" y="18751"/>
              </a:lnTo>
              <a:lnTo>
                <a:pt x="1388369" y="0"/>
              </a:lnTo>
              <a:lnTo>
                <a:pt x="1285625" y="106272"/>
              </a:lnTo>
              <a:lnTo>
                <a:pt x="1180741" y="2147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0.5999</cdr:x>
      <cdr:y>0.34587</cdr:y>
    </cdr:from>
    <cdr:to>
      <cdr:x>0.79141</cdr:x>
      <cdr:y>0.53603</cdr:y>
    </cdr:to>
    <cdr:sp macro="" textlink="">
      <cdr:nvSpPr>
        <cdr:cNvPr id="148" name="FracNo 437 StartRow 1828">
          <a:extLst xmlns:a="http://schemas.openxmlformats.org/drawingml/2006/main">
            <a:ext uri="{FF2B5EF4-FFF2-40B4-BE49-F238E27FC236}">
              <a16:creationId xmlns:a16="http://schemas.microsoft.com/office/drawing/2014/main" id="{5F2A95C4-79A8-456C-7745-47C547D2EDDE}"/>
            </a:ext>
          </a:extLst>
        </cdr:cNvPr>
        <cdr:cNvSpPr/>
      </cdr:nvSpPr>
      <cdr:spPr>
        <a:xfrm xmlns:a="http://schemas.openxmlformats.org/drawingml/2006/main">
          <a:off x="4388393" y="2635510"/>
          <a:ext cx="1400947" cy="1449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0947" h="1449058">
              <a:moveTo>
                <a:pt x="585773" y="824416"/>
              </a:moveTo>
              <a:lnTo>
                <a:pt x="422639" y="993152"/>
              </a:lnTo>
              <a:lnTo>
                <a:pt x="0" y="1430305"/>
              </a:lnTo>
              <a:lnTo>
                <a:pt x="18130" y="1449057"/>
              </a:lnTo>
              <a:lnTo>
                <a:pt x="440768" y="1011904"/>
              </a:lnTo>
              <a:lnTo>
                <a:pt x="603902" y="843168"/>
              </a:lnTo>
              <a:lnTo>
                <a:pt x="1254386" y="170345"/>
              </a:lnTo>
              <a:lnTo>
                <a:pt x="1400946" y="18752"/>
              </a:lnTo>
              <a:lnTo>
                <a:pt x="1382816" y="0"/>
              </a:lnTo>
              <a:lnTo>
                <a:pt x="1236257" y="1515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0.126</cdr:x>
      <cdr:y>0.24705</cdr:y>
    </cdr:from>
    <cdr:to>
      <cdr:x>0.31463</cdr:x>
      <cdr:y>0.43436</cdr:y>
    </cdr:to>
    <cdr:sp macro="" textlink="">
      <cdr:nvSpPr>
        <cdr:cNvPr id="149" name="FracNo 733 StartRow 1841">
          <a:extLst xmlns:a="http://schemas.openxmlformats.org/drawingml/2006/main">
            <a:ext uri="{FF2B5EF4-FFF2-40B4-BE49-F238E27FC236}">
              <a16:creationId xmlns:a16="http://schemas.microsoft.com/office/drawing/2014/main" id="{631ABE67-FBAE-D70D-B07B-5E334D4956D8}"/>
            </a:ext>
          </a:extLst>
        </cdr:cNvPr>
        <cdr:cNvSpPr/>
      </cdr:nvSpPr>
      <cdr:spPr>
        <a:xfrm xmlns:a="http://schemas.openxmlformats.org/drawingml/2006/main">
          <a:off x="921729" y="1882546"/>
          <a:ext cx="1379868" cy="1427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9868" h="1427255">
              <a:moveTo>
                <a:pt x="196399" y="1242863"/>
              </a:moveTo>
              <a:lnTo>
                <a:pt x="18130" y="1427254"/>
              </a:lnTo>
              <a:lnTo>
                <a:pt x="0" y="1408503"/>
              </a:lnTo>
              <a:lnTo>
                <a:pt x="178270" y="1224111"/>
              </a:lnTo>
              <a:lnTo>
                <a:pt x="487214" y="904557"/>
              </a:lnTo>
              <a:lnTo>
                <a:pt x="1361738" y="0"/>
              </a:lnTo>
              <a:lnTo>
                <a:pt x="1379867" y="18752"/>
              </a:lnTo>
              <a:lnTo>
                <a:pt x="505343" y="9233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0.46147</cdr:x>
      <cdr:y>0.08544</cdr:y>
    </cdr:from>
    <cdr:to>
      <cdr:x>0.64941</cdr:x>
      <cdr:y>0.2696</cdr:y>
    </cdr:to>
    <cdr:sp macro="" textlink="">
      <cdr:nvSpPr>
        <cdr:cNvPr id="150" name="FracNo 262 StartRow 1852">
          <a:extLst xmlns:a="http://schemas.openxmlformats.org/drawingml/2006/main">
            <a:ext uri="{FF2B5EF4-FFF2-40B4-BE49-F238E27FC236}">
              <a16:creationId xmlns:a16="http://schemas.microsoft.com/office/drawing/2014/main" id="{2E0BA89C-0C43-8DFC-B136-DF92C3A6AFFF}"/>
            </a:ext>
          </a:extLst>
        </cdr:cNvPr>
        <cdr:cNvSpPr/>
      </cdr:nvSpPr>
      <cdr:spPr>
        <a:xfrm xmlns:a="http://schemas.openxmlformats.org/drawingml/2006/main">
          <a:off x="3375740" y="651036"/>
          <a:ext cx="1374860" cy="14033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4860" h="1403324">
              <a:moveTo>
                <a:pt x="502050" y="902784"/>
              </a:moveTo>
              <a:lnTo>
                <a:pt x="18130" y="1403323"/>
              </a:lnTo>
              <a:lnTo>
                <a:pt x="0" y="1384571"/>
              </a:lnTo>
              <a:lnTo>
                <a:pt x="477454" y="890720"/>
              </a:lnTo>
              <a:lnTo>
                <a:pt x="1338601" y="0"/>
              </a:lnTo>
              <a:lnTo>
                <a:pt x="13748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0.32397</cdr:y>
    </cdr:from>
    <cdr:to>
      <cdr:x>0.27268</cdr:x>
      <cdr:y>0.50602</cdr:y>
    </cdr:to>
    <cdr:sp macro="" textlink="">
      <cdr:nvSpPr>
        <cdr:cNvPr id="151" name="FracNo 589 StartRow 1861">
          <a:extLst xmlns:a="http://schemas.openxmlformats.org/drawingml/2006/main">
            <a:ext uri="{FF2B5EF4-FFF2-40B4-BE49-F238E27FC236}">
              <a16:creationId xmlns:a16="http://schemas.microsoft.com/office/drawing/2014/main" id="{AB83B13C-C2A2-0129-FD6A-99C20895FC1B}"/>
            </a:ext>
          </a:extLst>
        </cdr:cNvPr>
        <cdr:cNvSpPr/>
      </cdr:nvSpPr>
      <cdr:spPr>
        <a:xfrm xmlns:a="http://schemas.openxmlformats.org/drawingml/2006/main">
          <a:off x="671676" y="2468638"/>
          <a:ext cx="1323035" cy="13872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3035" h="1387222">
              <a:moveTo>
                <a:pt x="1024236" y="290307"/>
              </a:moveTo>
              <a:lnTo>
                <a:pt x="997250" y="318220"/>
              </a:lnTo>
              <a:lnTo>
                <a:pt x="0" y="1349717"/>
              </a:lnTo>
              <a:lnTo>
                <a:pt x="0" y="1387221"/>
              </a:lnTo>
              <a:lnTo>
                <a:pt x="1014905" y="337462"/>
              </a:lnTo>
              <a:lnTo>
                <a:pt x="1041933" y="309506"/>
              </a:lnTo>
              <a:lnTo>
                <a:pt x="1323034" y="18751"/>
              </a:lnTo>
              <a:lnTo>
                <a:pt x="13049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0.42395</cdr:y>
    </cdr:from>
    <cdr:to>
      <cdr:x>0.27266</cdr:x>
      <cdr:y>0.60598</cdr:y>
    </cdr:to>
    <cdr:sp macro="" textlink="">
      <cdr:nvSpPr>
        <cdr:cNvPr id="152" name="FracNo 665 StartRow 1872">
          <a:extLst xmlns:a="http://schemas.openxmlformats.org/drawingml/2006/main">
            <a:ext uri="{FF2B5EF4-FFF2-40B4-BE49-F238E27FC236}">
              <a16:creationId xmlns:a16="http://schemas.microsoft.com/office/drawing/2014/main" id="{6B565C3D-C3A9-353F-6EE0-50EDE993EDA6}"/>
            </a:ext>
          </a:extLst>
        </cdr:cNvPr>
        <cdr:cNvSpPr/>
      </cdr:nvSpPr>
      <cdr:spPr>
        <a:xfrm xmlns:a="http://schemas.openxmlformats.org/drawingml/2006/main">
          <a:off x="671676" y="3230471"/>
          <a:ext cx="1322892" cy="1387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2892" h="1387075">
              <a:moveTo>
                <a:pt x="1257107" y="86796"/>
              </a:moveTo>
              <a:lnTo>
                <a:pt x="0" y="1387074"/>
              </a:lnTo>
              <a:lnTo>
                <a:pt x="0" y="1349570"/>
              </a:lnTo>
              <a:lnTo>
                <a:pt x="1239879" y="67111"/>
              </a:lnTo>
              <a:lnTo>
                <a:pt x="1304762" y="0"/>
              </a:lnTo>
              <a:lnTo>
                <a:pt x="13228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0.76166</cdr:x>
      <cdr:y>0.218</cdr:y>
    </cdr:from>
    <cdr:to>
      <cdr:x>0.94246</cdr:x>
      <cdr:y>0.4</cdr:y>
    </cdr:to>
    <cdr:sp macro="" textlink="">
      <cdr:nvSpPr>
        <cdr:cNvPr id="153" name="FracNo 185 StartRow 1881">
          <a:extLst xmlns:a="http://schemas.openxmlformats.org/drawingml/2006/main">
            <a:ext uri="{FF2B5EF4-FFF2-40B4-BE49-F238E27FC236}">
              <a16:creationId xmlns:a16="http://schemas.microsoft.com/office/drawing/2014/main" id="{13738697-D994-AB39-601D-B531AE98ACA9}"/>
            </a:ext>
          </a:extLst>
        </cdr:cNvPr>
        <cdr:cNvSpPr/>
      </cdr:nvSpPr>
      <cdr:spPr>
        <a:xfrm xmlns:a="http://schemas.openxmlformats.org/drawingml/2006/main">
          <a:off x="5571694" y="1661185"/>
          <a:ext cx="1322614" cy="1386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2614" h="1386788">
              <a:moveTo>
                <a:pt x="776428" y="564942"/>
              </a:moveTo>
              <a:lnTo>
                <a:pt x="234078" y="1125918"/>
              </a:lnTo>
              <a:lnTo>
                <a:pt x="0" y="1368034"/>
              </a:lnTo>
              <a:lnTo>
                <a:pt x="18129" y="1386787"/>
              </a:lnTo>
              <a:lnTo>
                <a:pt x="252207" y="1144670"/>
              </a:lnTo>
              <a:lnTo>
                <a:pt x="785525" y="593037"/>
              </a:lnTo>
              <a:lnTo>
                <a:pt x="1322613" y="37504"/>
              </a:lnTo>
              <a:lnTo>
                <a:pt x="1322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0.18334</cdr:x>
      <cdr:y>0.42615</cdr:y>
    </cdr:from>
    <cdr:to>
      <cdr:x>0.36261</cdr:x>
      <cdr:y>0.60416</cdr:y>
    </cdr:to>
    <cdr:sp macro="" textlink="">
      <cdr:nvSpPr>
        <cdr:cNvPr id="154" name="FracNo 659 StartRow 1892">
          <a:extLst xmlns:a="http://schemas.openxmlformats.org/drawingml/2006/main">
            <a:ext uri="{FF2B5EF4-FFF2-40B4-BE49-F238E27FC236}">
              <a16:creationId xmlns:a16="http://schemas.microsoft.com/office/drawing/2014/main" id="{BDAFB657-A48E-DD3B-022B-4B0119DC4237}"/>
            </a:ext>
          </a:extLst>
        </cdr:cNvPr>
        <cdr:cNvSpPr/>
      </cdr:nvSpPr>
      <cdr:spPr>
        <a:xfrm xmlns:a="http://schemas.openxmlformats.org/drawingml/2006/main">
          <a:off x="1341136" y="3247251"/>
          <a:ext cx="1311430" cy="1356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1430" h="1356468">
              <a:moveTo>
                <a:pt x="1159967" y="156665"/>
              </a:moveTo>
              <a:lnTo>
                <a:pt x="0" y="1356467"/>
              </a:lnTo>
              <a:lnTo>
                <a:pt x="0" y="1356467"/>
              </a:lnTo>
              <a:lnTo>
                <a:pt x="1159967" y="156665"/>
              </a:lnTo>
              <a:lnTo>
                <a:pt x="1311429" y="0"/>
              </a:lnTo>
              <a:lnTo>
                <a:pt x="13114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0.42304</cdr:y>
    </cdr:from>
    <cdr:to>
      <cdr:x>0.26927</cdr:x>
      <cdr:y>0.59923</cdr:y>
    </cdr:to>
    <cdr:sp macro="" textlink="">
      <cdr:nvSpPr>
        <cdr:cNvPr id="155" name="FracNo 646 StartRow 1901">
          <a:extLst xmlns:a="http://schemas.openxmlformats.org/drawingml/2006/main">
            <a:ext uri="{FF2B5EF4-FFF2-40B4-BE49-F238E27FC236}">
              <a16:creationId xmlns:a16="http://schemas.microsoft.com/office/drawing/2014/main" id="{B27C5AC9-AFDC-57EA-FA69-5B3BD02E4F9F}"/>
            </a:ext>
          </a:extLst>
        </cdr:cNvPr>
        <cdr:cNvSpPr/>
      </cdr:nvSpPr>
      <cdr:spPr>
        <a:xfrm xmlns:a="http://schemas.openxmlformats.org/drawingml/2006/main">
          <a:off x="671676" y="3223530"/>
          <a:ext cx="1298052" cy="1342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8052" h="1342630">
              <a:moveTo>
                <a:pt x="962789" y="346776"/>
              </a:moveTo>
              <a:lnTo>
                <a:pt x="0" y="1342629"/>
              </a:lnTo>
              <a:lnTo>
                <a:pt x="0" y="1342629"/>
              </a:lnTo>
              <a:lnTo>
                <a:pt x="962789" y="346776"/>
              </a:lnTo>
              <a:lnTo>
                <a:pt x="1298051" y="0"/>
              </a:lnTo>
              <a:lnTo>
                <a:pt x="12980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0.76388</cdr:x>
      <cdr:y>0.36788</cdr:y>
    </cdr:from>
    <cdr:to>
      <cdr:x>0.94246</cdr:x>
      <cdr:y>0.54644</cdr:y>
    </cdr:to>
    <cdr:sp macro="" textlink="">
      <cdr:nvSpPr>
        <cdr:cNvPr id="156" name="FracNo 438 StartRow 1910">
          <a:extLst xmlns:a="http://schemas.openxmlformats.org/drawingml/2006/main">
            <a:ext uri="{FF2B5EF4-FFF2-40B4-BE49-F238E27FC236}">
              <a16:creationId xmlns:a16="http://schemas.microsoft.com/office/drawing/2014/main" id="{08A6C275-1923-33ED-F7F3-D6A1255AAAC6}"/>
            </a:ext>
          </a:extLst>
        </cdr:cNvPr>
        <cdr:cNvSpPr/>
      </cdr:nvSpPr>
      <cdr:spPr>
        <a:xfrm xmlns:a="http://schemas.openxmlformats.org/drawingml/2006/main">
          <a:off x="5587916" y="2803270"/>
          <a:ext cx="1306392" cy="1360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6392" h="1360632">
              <a:moveTo>
                <a:pt x="461688" y="901840"/>
              </a:moveTo>
              <a:lnTo>
                <a:pt x="18129" y="1360631"/>
              </a:lnTo>
              <a:lnTo>
                <a:pt x="0" y="1341879"/>
              </a:lnTo>
              <a:lnTo>
                <a:pt x="446680" y="879860"/>
              </a:lnTo>
              <a:lnTo>
                <a:pt x="1297327" y="0"/>
              </a:lnTo>
              <a:lnTo>
                <a:pt x="1306391" y="281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0.65735</cdr:x>
      <cdr:y>0.40873</cdr:y>
    </cdr:from>
    <cdr:to>
      <cdr:x>0.83456</cdr:x>
      <cdr:y>0.5847</cdr:y>
    </cdr:to>
    <cdr:sp macro="" textlink="">
      <cdr:nvSpPr>
        <cdr:cNvPr id="157" name="FracNo 417 StartRow 1919">
          <a:extLst xmlns:a="http://schemas.openxmlformats.org/drawingml/2006/main">
            <a:ext uri="{FF2B5EF4-FFF2-40B4-BE49-F238E27FC236}">
              <a16:creationId xmlns:a16="http://schemas.microsoft.com/office/drawing/2014/main" id="{8F32F40B-CF96-C022-5216-3C04CFB9C4FE}"/>
            </a:ext>
          </a:extLst>
        </cdr:cNvPr>
        <cdr:cNvSpPr/>
      </cdr:nvSpPr>
      <cdr:spPr>
        <a:xfrm xmlns:a="http://schemas.openxmlformats.org/drawingml/2006/main">
          <a:off x="4808624" y="3114547"/>
          <a:ext cx="1296316" cy="13408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6316" h="1340834">
              <a:moveTo>
                <a:pt x="832448" y="479798"/>
              </a:moveTo>
              <a:lnTo>
                <a:pt x="11473" y="1328967"/>
              </a:lnTo>
              <a:lnTo>
                <a:pt x="0" y="1340833"/>
              </a:lnTo>
              <a:lnTo>
                <a:pt x="0" y="1340833"/>
              </a:lnTo>
              <a:lnTo>
                <a:pt x="11473" y="1328967"/>
              </a:lnTo>
              <a:lnTo>
                <a:pt x="832448" y="479798"/>
              </a:lnTo>
              <a:lnTo>
                <a:pt x="1296315" y="0"/>
              </a:lnTo>
              <a:lnTo>
                <a:pt x="12963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0.3696</cdr:x>
      <cdr:y>0.64573</cdr:y>
    </cdr:from>
    <cdr:to>
      <cdr:x>0.54635</cdr:x>
      <cdr:y>0.82124</cdr:y>
    </cdr:to>
    <cdr:sp macro="" textlink="">
      <cdr:nvSpPr>
        <cdr:cNvPr id="158" name="FracNo 92 StartRow 1930">
          <a:extLst xmlns:a="http://schemas.openxmlformats.org/drawingml/2006/main">
            <a:ext uri="{FF2B5EF4-FFF2-40B4-BE49-F238E27FC236}">
              <a16:creationId xmlns:a16="http://schemas.microsoft.com/office/drawing/2014/main" id="{6B5025E1-0092-2599-4692-7B31AAF01A58}"/>
            </a:ext>
          </a:extLst>
        </cdr:cNvPr>
        <cdr:cNvSpPr/>
      </cdr:nvSpPr>
      <cdr:spPr>
        <a:xfrm xmlns:a="http://schemas.openxmlformats.org/drawingml/2006/main">
          <a:off x="2703693" y="4920498"/>
          <a:ext cx="1292963" cy="13373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2963" h="1337366">
              <a:moveTo>
                <a:pt x="1207851" y="88034"/>
              </a:moveTo>
              <a:lnTo>
                <a:pt x="42193" y="1293723"/>
              </a:lnTo>
              <a:lnTo>
                <a:pt x="0" y="1337365"/>
              </a:lnTo>
              <a:lnTo>
                <a:pt x="0" y="1337365"/>
              </a:lnTo>
              <a:lnTo>
                <a:pt x="42193" y="1293723"/>
              </a:lnTo>
              <a:lnTo>
                <a:pt x="1207851" y="88034"/>
              </a:lnTo>
              <a:lnTo>
                <a:pt x="1272250" y="21424"/>
              </a:lnTo>
              <a:lnTo>
                <a:pt x="1292962" y="0"/>
              </a:lnTo>
              <a:lnTo>
                <a:pt x="1292962" y="0"/>
              </a:lnTo>
              <a:lnTo>
                <a:pt x="1272250" y="214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0.10392</cdr:y>
    </cdr:from>
    <cdr:to>
      <cdr:x>0.26865</cdr:x>
      <cdr:y>0.28197</cdr:y>
    </cdr:to>
    <cdr:sp macro="" textlink="">
      <cdr:nvSpPr>
        <cdr:cNvPr id="159" name="FracNo 598 StartRow 1943">
          <a:extLst xmlns:a="http://schemas.openxmlformats.org/drawingml/2006/main">
            <a:ext uri="{FF2B5EF4-FFF2-40B4-BE49-F238E27FC236}">
              <a16:creationId xmlns:a16="http://schemas.microsoft.com/office/drawing/2014/main" id="{45772BB3-9CB8-8225-9CAC-AD3B40691E13}"/>
            </a:ext>
          </a:extLst>
        </cdr:cNvPr>
        <cdr:cNvSpPr/>
      </cdr:nvSpPr>
      <cdr:spPr>
        <a:xfrm xmlns:a="http://schemas.openxmlformats.org/drawingml/2006/main">
          <a:off x="671676" y="791848"/>
          <a:ext cx="1293565" cy="1356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3565" h="1356741">
              <a:moveTo>
                <a:pt x="111875" y="1203520"/>
              </a:moveTo>
              <a:lnTo>
                <a:pt x="0" y="1319236"/>
              </a:lnTo>
              <a:lnTo>
                <a:pt x="0" y="1356740"/>
              </a:lnTo>
              <a:lnTo>
                <a:pt x="113465" y="1239379"/>
              </a:lnTo>
              <a:lnTo>
                <a:pt x="1293564" y="18753"/>
              </a:lnTo>
              <a:lnTo>
                <a:pt x="12754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0.16419</cdr:x>
      <cdr:y>0.75765</cdr:y>
    </cdr:from>
    <cdr:to>
      <cdr:x>0.34034</cdr:x>
      <cdr:y>0.9301</cdr:y>
    </cdr:to>
    <cdr:sp macro="" textlink="">
      <cdr:nvSpPr>
        <cdr:cNvPr id="160" name="FracNo 24 StartRow 1952">
          <a:extLst xmlns:a="http://schemas.openxmlformats.org/drawingml/2006/main">
            <a:ext uri="{FF2B5EF4-FFF2-40B4-BE49-F238E27FC236}">
              <a16:creationId xmlns:a16="http://schemas.microsoft.com/office/drawing/2014/main" id="{8A7BA9CE-005C-0552-7227-4FB8400C3804}"/>
            </a:ext>
          </a:extLst>
        </cdr:cNvPr>
        <cdr:cNvSpPr/>
      </cdr:nvSpPr>
      <cdr:spPr>
        <a:xfrm xmlns:a="http://schemas.openxmlformats.org/drawingml/2006/main">
          <a:off x="1201066" y="5773264"/>
          <a:ext cx="1288601" cy="1314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8601" h="1314102">
              <a:moveTo>
                <a:pt x="584544" y="709483"/>
              </a:moveTo>
              <a:lnTo>
                <a:pt x="0" y="1314101"/>
              </a:lnTo>
              <a:lnTo>
                <a:pt x="36259" y="1314101"/>
              </a:lnTo>
              <a:lnTo>
                <a:pt x="612461" y="718111"/>
              </a:lnTo>
              <a:lnTo>
                <a:pt x="1288600" y="18752"/>
              </a:lnTo>
              <a:lnTo>
                <a:pt x="12704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0.72107</cdr:x>
      <cdr:y>0.38203</cdr:y>
    </cdr:from>
    <cdr:to>
      <cdr:x>0.89346</cdr:x>
      <cdr:y>0.55321</cdr:y>
    </cdr:to>
    <cdr:sp macro="" textlink="">
      <cdr:nvSpPr>
        <cdr:cNvPr id="161" name="FracNo 418 StartRow 1961">
          <a:extLst xmlns:a="http://schemas.openxmlformats.org/drawingml/2006/main">
            <a:ext uri="{FF2B5EF4-FFF2-40B4-BE49-F238E27FC236}">
              <a16:creationId xmlns:a16="http://schemas.microsoft.com/office/drawing/2014/main" id="{A271961E-8DFF-4C85-D85A-4D3757750D4F}"/>
            </a:ext>
          </a:extLst>
        </cdr:cNvPr>
        <cdr:cNvSpPr/>
      </cdr:nvSpPr>
      <cdr:spPr>
        <a:xfrm xmlns:a="http://schemas.openxmlformats.org/drawingml/2006/main">
          <a:off x="5274766" y="2911100"/>
          <a:ext cx="1261056" cy="1304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1056" h="1304363">
              <a:moveTo>
                <a:pt x="0" y="1304362"/>
              </a:moveTo>
              <a:lnTo>
                <a:pt x="0" y="1304362"/>
              </a:lnTo>
              <a:lnTo>
                <a:pt x="1261055" y="0"/>
              </a:lnTo>
              <a:lnTo>
                <a:pt x="12610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0.26662</cdr:x>
      <cdr:y>0.25901</cdr:y>
    </cdr:to>
    <cdr:sp macro="" textlink="">
      <cdr:nvSpPr>
        <cdr:cNvPr id="162" name="FracNo 747 StartRow 1968">
          <a:extLst xmlns:a="http://schemas.openxmlformats.org/drawingml/2006/main">
            <a:ext uri="{FF2B5EF4-FFF2-40B4-BE49-F238E27FC236}">
              <a16:creationId xmlns:a16="http://schemas.microsoft.com/office/drawing/2014/main" id="{942CBF83-481B-26F5-CF98-4A3821E72B9C}"/>
            </a:ext>
          </a:extLst>
        </cdr:cNvPr>
        <cdr:cNvSpPr/>
      </cdr:nvSpPr>
      <cdr:spPr>
        <a:xfrm xmlns:a="http://schemas.openxmlformats.org/drawingml/2006/main">
          <a:off x="671676" y="651036"/>
          <a:ext cx="1278713" cy="13226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8713" h="1322627">
              <a:moveTo>
                <a:pt x="428956" y="878938"/>
              </a:moveTo>
              <a:lnTo>
                <a:pt x="0" y="1322626"/>
              </a:lnTo>
              <a:lnTo>
                <a:pt x="0" y="1285122"/>
              </a:lnTo>
              <a:lnTo>
                <a:pt x="416792" y="854016"/>
              </a:lnTo>
              <a:lnTo>
                <a:pt x="1242453" y="0"/>
              </a:lnTo>
              <a:lnTo>
                <a:pt x="12787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0.21654</cdr:x>
      <cdr:y>0.08544</cdr:y>
    </cdr:from>
    <cdr:to>
      <cdr:x>0.38794</cdr:x>
      <cdr:y>0.25563</cdr:y>
    </cdr:to>
    <cdr:sp macro="" textlink="">
      <cdr:nvSpPr>
        <cdr:cNvPr id="163" name="FracNo 561 StartRow 1977">
          <a:extLst xmlns:a="http://schemas.openxmlformats.org/drawingml/2006/main">
            <a:ext uri="{FF2B5EF4-FFF2-40B4-BE49-F238E27FC236}">
              <a16:creationId xmlns:a16="http://schemas.microsoft.com/office/drawing/2014/main" id="{B0C58C52-26D8-F409-DF73-5D56ADC95EE3}"/>
            </a:ext>
          </a:extLst>
        </cdr:cNvPr>
        <cdr:cNvSpPr/>
      </cdr:nvSpPr>
      <cdr:spPr>
        <a:xfrm xmlns:a="http://schemas.openxmlformats.org/drawingml/2006/main">
          <a:off x="1584052" y="651036"/>
          <a:ext cx="1253836" cy="1296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3836" h="1296895">
              <a:moveTo>
                <a:pt x="1144930" y="112645"/>
              </a:moveTo>
              <a:lnTo>
                <a:pt x="0" y="1296894"/>
              </a:lnTo>
              <a:lnTo>
                <a:pt x="0" y="1296894"/>
              </a:lnTo>
              <a:lnTo>
                <a:pt x="1144930" y="112645"/>
              </a:lnTo>
              <a:lnTo>
                <a:pt x="1161834" y="95160"/>
              </a:lnTo>
              <a:lnTo>
                <a:pt x="1253835" y="0"/>
              </a:lnTo>
              <a:lnTo>
                <a:pt x="1253835" y="0"/>
              </a:lnTo>
              <a:lnTo>
                <a:pt x="1161834" y="951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0.71925</cdr:x>
      <cdr:y>0.17516</cdr:y>
    </cdr:from>
    <cdr:to>
      <cdr:x>0.89153</cdr:x>
      <cdr:y>0.34623</cdr:y>
    </cdr:to>
    <cdr:sp macro="" textlink="">
      <cdr:nvSpPr>
        <cdr:cNvPr id="164" name="FracNo 182 StartRow 1988">
          <a:extLst xmlns:a="http://schemas.openxmlformats.org/drawingml/2006/main">
            <a:ext uri="{FF2B5EF4-FFF2-40B4-BE49-F238E27FC236}">
              <a16:creationId xmlns:a16="http://schemas.microsoft.com/office/drawing/2014/main" id="{985E19B2-0A38-5647-04F8-68DBE61D606C}"/>
            </a:ext>
          </a:extLst>
        </cdr:cNvPr>
        <cdr:cNvSpPr/>
      </cdr:nvSpPr>
      <cdr:spPr>
        <a:xfrm xmlns:a="http://schemas.openxmlformats.org/drawingml/2006/main">
          <a:off x="5261450" y="1334717"/>
          <a:ext cx="1260251" cy="13035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0251" h="1303530">
              <a:moveTo>
                <a:pt x="982921" y="268102"/>
              </a:moveTo>
              <a:lnTo>
                <a:pt x="0" y="1284777"/>
              </a:lnTo>
              <a:lnTo>
                <a:pt x="18130" y="1303529"/>
              </a:lnTo>
              <a:lnTo>
                <a:pt x="1001050" y="286854"/>
              </a:lnTo>
              <a:lnTo>
                <a:pt x="1260250" y="18752"/>
              </a:lnTo>
              <a:lnTo>
                <a:pt x="12421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0.27986</cdr:x>
      <cdr:y>0.24494</cdr:y>
    </cdr:from>
    <cdr:to>
      <cdr:x>0.44951</cdr:x>
      <cdr:y>0.4134</cdr:y>
    </cdr:to>
    <cdr:sp macro="" textlink="">
      <cdr:nvSpPr>
        <cdr:cNvPr id="165" name="FracNo 254 StartRow 1997">
          <a:extLst xmlns:a="http://schemas.openxmlformats.org/drawingml/2006/main">
            <a:ext uri="{FF2B5EF4-FFF2-40B4-BE49-F238E27FC236}">
              <a16:creationId xmlns:a16="http://schemas.microsoft.com/office/drawing/2014/main" id="{CAFA4452-891A-3685-03BA-A5C27B5FA3AA}"/>
            </a:ext>
          </a:extLst>
        </cdr:cNvPr>
        <cdr:cNvSpPr/>
      </cdr:nvSpPr>
      <cdr:spPr>
        <a:xfrm xmlns:a="http://schemas.openxmlformats.org/drawingml/2006/main">
          <a:off x="2047218" y="1866458"/>
          <a:ext cx="1241044" cy="1283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044" h="1283664">
              <a:moveTo>
                <a:pt x="1074049" y="172728"/>
              </a:moveTo>
              <a:lnTo>
                <a:pt x="698668" y="561001"/>
              </a:lnTo>
              <a:lnTo>
                <a:pt x="341900" y="930021"/>
              </a:lnTo>
              <a:lnTo>
                <a:pt x="0" y="1283663"/>
              </a:lnTo>
              <a:lnTo>
                <a:pt x="0" y="1283663"/>
              </a:lnTo>
              <a:lnTo>
                <a:pt x="341900" y="930021"/>
              </a:lnTo>
              <a:lnTo>
                <a:pt x="698668" y="561001"/>
              </a:lnTo>
              <a:lnTo>
                <a:pt x="1074049" y="172728"/>
              </a:lnTo>
              <a:lnTo>
                <a:pt x="1241043" y="0"/>
              </a:lnTo>
              <a:lnTo>
                <a:pt x="12410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0.6268</cdr:y>
    </cdr:from>
    <cdr:to>
      <cdr:x>0.26217</cdr:x>
      <cdr:y>0.79841</cdr:y>
    </cdr:to>
    <cdr:sp macro="" textlink="">
      <cdr:nvSpPr>
        <cdr:cNvPr id="166" name="FracNo 39 StartRow 2010">
          <a:extLst xmlns:a="http://schemas.openxmlformats.org/drawingml/2006/main">
            <a:ext uri="{FF2B5EF4-FFF2-40B4-BE49-F238E27FC236}">
              <a16:creationId xmlns:a16="http://schemas.microsoft.com/office/drawing/2014/main" id="{E2BB0ADA-D006-542D-D1AF-5969EFF39759}"/>
            </a:ext>
          </a:extLst>
        </cdr:cNvPr>
        <cdr:cNvSpPr/>
      </cdr:nvSpPr>
      <cdr:spPr>
        <a:xfrm xmlns:a="http://schemas.openxmlformats.org/drawingml/2006/main">
          <a:off x="671676" y="4776236"/>
          <a:ext cx="1246114" cy="1307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6114" h="1307661">
              <a:moveTo>
                <a:pt x="644274" y="641260"/>
              </a:moveTo>
              <a:lnTo>
                <a:pt x="0" y="1307660"/>
              </a:lnTo>
              <a:lnTo>
                <a:pt x="0" y="1270156"/>
              </a:lnTo>
              <a:lnTo>
                <a:pt x="633607" y="614790"/>
              </a:lnTo>
              <a:lnTo>
                <a:pt x="1076864" y="156310"/>
              </a:lnTo>
              <a:lnTo>
                <a:pt x="1227984" y="0"/>
              </a:lnTo>
              <a:lnTo>
                <a:pt x="1246113" y="18752"/>
              </a:lnTo>
              <a:lnTo>
                <a:pt x="1094993" y="1750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0.21232</cdr:x>
      <cdr:y>0.08544</cdr:y>
    </cdr:from>
    <cdr:to>
      <cdr:x>0.38446</cdr:x>
      <cdr:y>0.25391</cdr:y>
    </cdr:to>
    <cdr:sp macro="" textlink="">
      <cdr:nvSpPr>
        <cdr:cNvPr id="167" name="FracNo 583 StartRow 2021">
          <a:extLst xmlns:a="http://schemas.openxmlformats.org/drawingml/2006/main">
            <a:ext uri="{FF2B5EF4-FFF2-40B4-BE49-F238E27FC236}">
              <a16:creationId xmlns:a16="http://schemas.microsoft.com/office/drawing/2014/main" id="{D89F2D07-481D-E266-276D-001E247B2F88}"/>
            </a:ext>
          </a:extLst>
        </cdr:cNvPr>
        <cdr:cNvSpPr/>
      </cdr:nvSpPr>
      <cdr:spPr>
        <a:xfrm xmlns:a="http://schemas.openxmlformats.org/drawingml/2006/main">
          <a:off x="1553195" y="651036"/>
          <a:ext cx="1259236" cy="1283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9236" h="1283730">
              <a:moveTo>
                <a:pt x="757407" y="481559"/>
              </a:moveTo>
              <a:lnTo>
                <a:pt x="0" y="1264977"/>
              </a:lnTo>
              <a:lnTo>
                <a:pt x="18129" y="1283729"/>
              </a:lnTo>
              <a:lnTo>
                <a:pt x="786012" y="489474"/>
              </a:lnTo>
              <a:lnTo>
                <a:pt x="1209886" y="51045"/>
              </a:lnTo>
              <a:lnTo>
                <a:pt x="1259235" y="0"/>
              </a:lnTo>
              <a:lnTo>
                <a:pt x="1222977" y="0"/>
              </a:lnTo>
              <a:lnTo>
                <a:pt x="1175497" y="491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0.77645</cdr:x>
      <cdr:y>0.76525</cdr:y>
    </cdr:from>
    <cdr:to>
      <cdr:x>0.94246</cdr:x>
      <cdr:y>0.9301</cdr:y>
    </cdr:to>
    <cdr:sp macro="" textlink="">
      <cdr:nvSpPr>
        <cdr:cNvPr id="168" name="FracNo 753 StartRow 2032">
          <a:extLst xmlns:a="http://schemas.openxmlformats.org/drawingml/2006/main">
            <a:ext uri="{FF2B5EF4-FFF2-40B4-BE49-F238E27FC236}">
              <a16:creationId xmlns:a16="http://schemas.microsoft.com/office/drawing/2014/main" id="{FCB9DD28-2166-75E8-E2CE-1E5116C82041}"/>
            </a:ext>
          </a:extLst>
        </cdr:cNvPr>
        <cdr:cNvSpPr/>
      </cdr:nvSpPr>
      <cdr:spPr>
        <a:xfrm xmlns:a="http://schemas.openxmlformats.org/drawingml/2006/main">
          <a:off x="5679878" y="5831230"/>
          <a:ext cx="1214430" cy="1256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4430" h="1256136">
              <a:moveTo>
                <a:pt x="302913" y="942819"/>
              </a:moveTo>
              <a:lnTo>
                <a:pt x="0" y="1256135"/>
              </a:lnTo>
              <a:lnTo>
                <a:pt x="0" y="1256135"/>
              </a:lnTo>
              <a:lnTo>
                <a:pt x="302913" y="942819"/>
              </a:lnTo>
              <a:lnTo>
                <a:pt x="1214429" y="0"/>
              </a:lnTo>
              <a:lnTo>
                <a:pt x="12144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0.73362</cdr:x>
      <cdr:y>0.76541</cdr:y>
    </cdr:from>
    <cdr:to>
      <cdr:x>0.89948</cdr:x>
      <cdr:y>0.9301</cdr:y>
    </cdr:to>
    <cdr:sp macro="" textlink="">
      <cdr:nvSpPr>
        <cdr:cNvPr id="169" name="FracNo 327 StartRow 2041">
          <a:extLst xmlns:a="http://schemas.openxmlformats.org/drawingml/2006/main">
            <a:ext uri="{FF2B5EF4-FFF2-40B4-BE49-F238E27FC236}">
              <a16:creationId xmlns:a16="http://schemas.microsoft.com/office/drawing/2014/main" id="{8DCB8063-15B6-BE92-4FBA-F32511B7E628}"/>
            </a:ext>
          </a:extLst>
        </cdr:cNvPr>
        <cdr:cNvSpPr/>
      </cdr:nvSpPr>
      <cdr:spPr>
        <a:xfrm xmlns:a="http://schemas.openxmlformats.org/drawingml/2006/main">
          <a:off x="5366598" y="5832444"/>
          <a:ext cx="1213256" cy="1254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3256" h="1254922">
              <a:moveTo>
                <a:pt x="1213255" y="0"/>
              </a:moveTo>
              <a:lnTo>
                <a:pt x="0" y="1254921"/>
              </a:lnTo>
              <a:lnTo>
                <a:pt x="0" y="1254921"/>
              </a:lnTo>
              <a:lnTo>
                <a:pt x="121325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0.62384</cdr:x>
      <cdr:y>0.08544</cdr:y>
    </cdr:from>
    <cdr:to>
      <cdr:x>0.79234</cdr:x>
      <cdr:y>0.25029</cdr:y>
    </cdr:to>
    <cdr:sp macro="" textlink="">
      <cdr:nvSpPr>
        <cdr:cNvPr id="170" name="FracNo 739 StartRow 2049">
          <a:extLst xmlns:a="http://schemas.openxmlformats.org/drawingml/2006/main">
            <a:ext uri="{FF2B5EF4-FFF2-40B4-BE49-F238E27FC236}">
              <a16:creationId xmlns:a16="http://schemas.microsoft.com/office/drawing/2014/main" id="{90DD23C9-BC91-E3FB-415C-368C16F87DCB}"/>
            </a:ext>
          </a:extLst>
        </cdr:cNvPr>
        <cdr:cNvSpPr/>
      </cdr:nvSpPr>
      <cdr:spPr>
        <a:xfrm xmlns:a="http://schemas.openxmlformats.org/drawingml/2006/main">
          <a:off x="4563550" y="651036"/>
          <a:ext cx="1232573" cy="1256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2573" h="1256150">
              <a:moveTo>
                <a:pt x="954132" y="250499"/>
              </a:moveTo>
              <a:lnTo>
                <a:pt x="247482" y="981416"/>
              </a:lnTo>
              <a:lnTo>
                <a:pt x="0" y="1237397"/>
              </a:lnTo>
              <a:lnTo>
                <a:pt x="18129" y="1256149"/>
              </a:lnTo>
              <a:lnTo>
                <a:pt x="265611" y="1000168"/>
              </a:lnTo>
              <a:lnTo>
                <a:pt x="985763" y="255285"/>
              </a:lnTo>
              <a:lnTo>
                <a:pt x="1232572" y="0"/>
              </a:lnTo>
              <a:lnTo>
                <a:pt x="11963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0.41349</cdr:x>
      <cdr:y>0.69826</cdr:y>
    </cdr:from>
    <cdr:to>
      <cdr:x>0.57822</cdr:x>
      <cdr:y>0.86183</cdr:y>
    </cdr:to>
    <cdr:sp macro="" textlink="">
      <cdr:nvSpPr>
        <cdr:cNvPr id="171" name="FracNo 83 StartRow 2060">
          <a:extLst xmlns:a="http://schemas.openxmlformats.org/drawingml/2006/main">
            <a:ext uri="{FF2B5EF4-FFF2-40B4-BE49-F238E27FC236}">
              <a16:creationId xmlns:a16="http://schemas.microsoft.com/office/drawing/2014/main" id="{705E3E19-E7AB-1564-1ACE-1125936463D7}"/>
            </a:ext>
          </a:extLst>
        </cdr:cNvPr>
        <cdr:cNvSpPr/>
      </cdr:nvSpPr>
      <cdr:spPr>
        <a:xfrm xmlns:a="http://schemas.openxmlformats.org/drawingml/2006/main">
          <a:off x="3024741" y="5320711"/>
          <a:ext cx="1205071" cy="1246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5071" h="1246455">
              <a:moveTo>
                <a:pt x="1526" y="1244877"/>
              </a:moveTo>
              <a:lnTo>
                <a:pt x="0" y="1246454"/>
              </a:lnTo>
              <a:lnTo>
                <a:pt x="0" y="1246454"/>
              </a:lnTo>
              <a:lnTo>
                <a:pt x="1526" y="1244877"/>
              </a:lnTo>
              <a:lnTo>
                <a:pt x="1205070" y="0"/>
              </a:lnTo>
              <a:lnTo>
                <a:pt x="12050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0.6181</cdr:y>
    </cdr:from>
    <cdr:to>
      <cdr:x>0.25755</cdr:x>
      <cdr:y>0.78512</cdr:y>
    </cdr:to>
    <cdr:sp macro="" textlink="">
      <cdr:nvSpPr>
        <cdr:cNvPr id="172" name="FracNo 663 StartRow 2069">
          <a:extLst xmlns:a="http://schemas.openxmlformats.org/drawingml/2006/main">
            <a:ext uri="{FF2B5EF4-FFF2-40B4-BE49-F238E27FC236}">
              <a16:creationId xmlns:a16="http://schemas.microsoft.com/office/drawing/2014/main" id="{684E875C-5093-20EC-E9A0-081893F9E92F}"/>
            </a:ext>
          </a:extLst>
        </cdr:cNvPr>
        <cdr:cNvSpPr/>
      </cdr:nvSpPr>
      <cdr:spPr>
        <a:xfrm xmlns:a="http://schemas.openxmlformats.org/drawingml/2006/main">
          <a:off x="671676" y="4709896"/>
          <a:ext cx="1212349" cy="1272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2349" h="1272735">
              <a:moveTo>
                <a:pt x="1089731" y="108075"/>
              </a:moveTo>
              <a:lnTo>
                <a:pt x="979871" y="221708"/>
              </a:lnTo>
              <a:lnTo>
                <a:pt x="0" y="1235230"/>
              </a:lnTo>
              <a:lnTo>
                <a:pt x="0" y="1272734"/>
              </a:lnTo>
              <a:lnTo>
                <a:pt x="996179" y="242344"/>
              </a:lnTo>
              <a:lnTo>
                <a:pt x="1106973" y="127746"/>
              </a:lnTo>
              <a:lnTo>
                <a:pt x="1212348" y="18751"/>
              </a:lnTo>
              <a:lnTo>
                <a:pt x="11942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0.40498</cdr:x>
      <cdr:y>0.36266</cdr:y>
    </cdr:from>
    <cdr:to>
      <cdr:x>0.56852</cdr:x>
      <cdr:y>0.52505</cdr:y>
    </cdr:to>
    <cdr:sp macro="" textlink="">
      <cdr:nvSpPr>
        <cdr:cNvPr id="173" name="FracNo 494 StartRow 2080">
          <a:extLst xmlns:a="http://schemas.openxmlformats.org/drawingml/2006/main">
            <a:ext uri="{FF2B5EF4-FFF2-40B4-BE49-F238E27FC236}">
              <a16:creationId xmlns:a16="http://schemas.microsoft.com/office/drawing/2014/main" id="{456AB6F7-4042-D9FA-B62E-644297DB823E}"/>
            </a:ext>
          </a:extLst>
        </cdr:cNvPr>
        <cdr:cNvSpPr/>
      </cdr:nvSpPr>
      <cdr:spPr>
        <a:xfrm xmlns:a="http://schemas.openxmlformats.org/drawingml/2006/main">
          <a:off x="2962489" y="2763487"/>
          <a:ext cx="1196331" cy="1237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6331" h="1237414">
              <a:moveTo>
                <a:pt x="463868" y="757616"/>
              </a:moveTo>
              <a:lnTo>
                <a:pt x="0" y="1237413"/>
              </a:lnTo>
              <a:lnTo>
                <a:pt x="0" y="1237413"/>
              </a:lnTo>
              <a:lnTo>
                <a:pt x="463868" y="757616"/>
              </a:lnTo>
              <a:lnTo>
                <a:pt x="1164433" y="32992"/>
              </a:lnTo>
              <a:lnTo>
                <a:pt x="1196330" y="0"/>
              </a:lnTo>
              <a:lnTo>
                <a:pt x="1196330" y="0"/>
              </a:lnTo>
              <a:lnTo>
                <a:pt x="1164433" y="329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0.31262</cdr:x>
      <cdr:y>0.08544</cdr:y>
    </cdr:from>
    <cdr:to>
      <cdr:x>0.47584</cdr:x>
      <cdr:y>0.24751</cdr:y>
    </cdr:to>
    <cdr:sp macro="" textlink="">
      <cdr:nvSpPr>
        <cdr:cNvPr id="174" name="FracNo 571 StartRow 2091">
          <a:extLst xmlns:a="http://schemas.openxmlformats.org/drawingml/2006/main">
            <a:ext uri="{FF2B5EF4-FFF2-40B4-BE49-F238E27FC236}">
              <a16:creationId xmlns:a16="http://schemas.microsoft.com/office/drawing/2014/main" id="{3D7B008C-25E7-680F-E1A6-087179BECFE4}"/>
            </a:ext>
          </a:extLst>
        </cdr:cNvPr>
        <cdr:cNvSpPr/>
      </cdr:nvSpPr>
      <cdr:spPr>
        <a:xfrm xmlns:a="http://schemas.openxmlformats.org/drawingml/2006/main">
          <a:off x="2286864" y="651036"/>
          <a:ext cx="1194020" cy="12350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4020" h="1235025">
              <a:moveTo>
                <a:pt x="0" y="1235024"/>
              </a:moveTo>
              <a:lnTo>
                <a:pt x="0" y="1235024"/>
              </a:lnTo>
              <a:lnTo>
                <a:pt x="459022" y="760238"/>
              </a:lnTo>
              <a:lnTo>
                <a:pt x="1194019" y="0"/>
              </a:lnTo>
              <a:lnTo>
                <a:pt x="1194019" y="0"/>
              </a:lnTo>
              <a:lnTo>
                <a:pt x="459022" y="7602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0.29639</cdr:x>
      <cdr:y>0.77332</cdr:y>
    </cdr:from>
    <cdr:to>
      <cdr:x>0.45428</cdr:x>
      <cdr:y>0.9301</cdr:y>
    </cdr:to>
    <cdr:sp macro="" textlink="">
      <cdr:nvSpPr>
        <cdr:cNvPr id="175" name="FracNo 88 StartRow 2100">
          <a:extLst xmlns:a="http://schemas.openxmlformats.org/drawingml/2006/main">
            <a:ext uri="{FF2B5EF4-FFF2-40B4-BE49-F238E27FC236}">
              <a16:creationId xmlns:a16="http://schemas.microsoft.com/office/drawing/2014/main" id="{3D8863A4-76E8-E951-CF3D-2AD86B7FCF6C}"/>
            </a:ext>
          </a:extLst>
        </cdr:cNvPr>
        <cdr:cNvSpPr/>
      </cdr:nvSpPr>
      <cdr:spPr>
        <a:xfrm xmlns:a="http://schemas.openxmlformats.org/drawingml/2006/main">
          <a:off x="2168183" y="5892709"/>
          <a:ext cx="1154992" cy="11946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4992" h="1194657">
              <a:moveTo>
                <a:pt x="1019355" y="140294"/>
              </a:moveTo>
              <a:lnTo>
                <a:pt x="577703" y="597113"/>
              </a:lnTo>
              <a:lnTo>
                <a:pt x="0" y="1194656"/>
              </a:lnTo>
              <a:lnTo>
                <a:pt x="0" y="1194656"/>
              </a:lnTo>
              <a:lnTo>
                <a:pt x="577703" y="597113"/>
              </a:lnTo>
              <a:lnTo>
                <a:pt x="1019355" y="140294"/>
              </a:lnTo>
              <a:lnTo>
                <a:pt x="1154991" y="0"/>
              </a:lnTo>
              <a:lnTo>
                <a:pt x="11549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0.78596</cdr:x>
      <cdr:y>0.62264</cdr:y>
    </cdr:from>
    <cdr:to>
      <cdr:x>0.94246</cdr:x>
      <cdr:y>0.77805</cdr:y>
    </cdr:to>
    <cdr:sp macro="" textlink="">
      <cdr:nvSpPr>
        <cdr:cNvPr id="176" name="FracNo 323 StartRow 2111">
          <a:extLst xmlns:a="http://schemas.openxmlformats.org/drawingml/2006/main">
            <a:ext uri="{FF2B5EF4-FFF2-40B4-BE49-F238E27FC236}">
              <a16:creationId xmlns:a16="http://schemas.microsoft.com/office/drawing/2014/main" id="{B1958A01-8143-7116-15AB-27A52426CF21}"/>
            </a:ext>
          </a:extLst>
        </cdr:cNvPr>
        <cdr:cNvSpPr/>
      </cdr:nvSpPr>
      <cdr:spPr>
        <a:xfrm xmlns:a="http://schemas.openxmlformats.org/drawingml/2006/main">
          <a:off x="5749437" y="4744535"/>
          <a:ext cx="1144871" cy="1184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4871" h="1184188">
              <a:moveTo>
                <a:pt x="0" y="1184187"/>
              </a:moveTo>
              <a:lnTo>
                <a:pt x="0" y="1184187"/>
              </a:lnTo>
              <a:lnTo>
                <a:pt x="954036" y="197387"/>
              </a:lnTo>
              <a:lnTo>
                <a:pt x="1144870" y="0"/>
              </a:lnTo>
              <a:lnTo>
                <a:pt x="1144870" y="0"/>
              </a:lnTo>
              <a:lnTo>
                <a:pt x="954036" y="1973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0.78544</cdr:x>
      <cdr:y>0.23842</cdr:y>
    </cdr:from>
    <cdr:to>
      <cdr:x>0.94246</cdr:x>
      <cdr:y>0.39681</cdr:y>
    </cdr:to>
    <cdr:sp macro="" textlink="">
      <cdr:nvSpPr>
        <cdr:cNvPr id="177" name="FracNo 188 StartRow 2120">
          <a:extLst xmlns:a="http://schemas.openxmlformats.org/drawingml/2006/main">
            <a:ext uri="{FF2B5EF4-FFF2-40B4-BE49-F238E27FC236}">
              <a16:creationId xmlns:a16="http://schemas.microsoft.com/office/drawing/2014/main" id="{6D4F5F7B-083D-2CDB-9840-4FBF7A3B50D4}"/>
            </a:ext>
          </a:extLst>
        </cdr:cNvPr>
        <cdr:cNvSpPr/>
      </cdr:nvSpPr>
      <cdr:spPr>
        <a:xfrm xmlns:a="http://schemas.openxmlformats.org/drawingml/2006/main">
          <a:off x="5745638" y="1816789"/>
          <a:ext cx="1148670" cy="1206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670" h="1206870">
              <a:moveTo>
                <a:pt x="1103817" y="46393"/>
              </a:moveTo>
              <a:lnTo>
                <a:pt x="210571" y="970314"/>
              </a:lnTo>
              <a:lnTo>
                <a:pt x="0" y="1188117"/>
              </a:lnTo>
              <a:lnTo>
                <a:pt x="18129" y="1206869"/>
              </a:lnTo>
              <a:lnTo>
                <a:pt x="228700" y="989066"/>
              </a:lnTo>
              <a:lnTo>
                <a:pt x="1104683" y="83000"/>
              </a:lnTo>
              <a:lnTo>
                <a:pt x="1148669" y="37504"/>
              </a:lnTo>
              <a:lnTo>
                <a:pt x="11486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0.52995</cdr:y>
    </cdr:from>
    <cdr:to>
      <cdr:x>0.24693</cdr:x>
      <cdr:y>0.68643</cdr:y>
    </cdr:to>
    <cdr:sp macro="" textlink="">
      <cdr:nvSpPr>
        <cdr:cNvPr id="178" name="FracNo 727 StartRow 2131">
          <a:extLst xmlns:a="http://schemas.openxmlformats.org/drawingml/2006/main">
            <a:ext uri="{FF2B5EF4-FFF2-40B4-BE49-F238E27FC236}">
              <a16:creationId xmlns:a16="http://schemas.microsoft.com/office/drawing/2014/main" id="{48EDEEB4-D806-7EB2-21E1-03CF1D2B20B1}"/>
            </a:ext>
          </a:extLst>
        </cdr:cNvPr>
        <cdr:cNvSpPr/>
      </cdr:nvSpPr>
      <cdr:spPr>
        <a:xfrm xmlns:a="http://schemas.openxmlformats.org/drawingml/2006/main">
          <a:off x="671676" y="4038185"/>
          <a:ext cx="1134690" cy="1192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4690" h="1192409">
              <a:moveTo>
                <a:pt x="233175" y="913722"/>
              </a:moveTo>
              <a:lnTo>
                <a:pt x="0" y="1154905"/>
              </a:lnTo>
              <a:lnTo>
                <a:pt x="0" y="1192408"/>
              </a:lnTo>
              <a:lnTo>
                <a:pt x="249957" y="933867"/>
              </a:lnTo>
              <a:lnTo>
                <a:pt x="270022" y="913113"/>
              </a:lnTo>
              <a:lnTo>
                <a:pt x="1134689" y="18751"/>
              </a:lnTo>
              <a:lnTo>
                <a:pt x="1116560" y="0"/>
              </a:lnTo>
              <a:lnTo>
                <a:pt x="251893" y="8943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0.30254</cdr:x>
      <cdr:y>0.67772</cdr:y>
    </cdr:from>
    <cdr:to>
      <cdr:x>0.45562</cdr:x>
      <cdr:y>0.82972</cdr:y>
    </cdr:to>
    <cdr:sp macro="" textlink="">
      <cdr:nvSpPr>
        <cdr:cNvPr id="179" name="FracNo 89 StartRow 2142">
          <a:extLst xmlns:a="http://schemas.openxmlformats.org/drawingml/2006/main">
            <a:ext uri="{FF2B5EF4-FFF2-40B4-BE49-F238E27FC236}">
              <a16:creationId xmlns:a16="http://schemas.microsoft.com/office/drawing/2014/main" id="{D0872E99-E4C3-FAE6-8D45-791B0AFE7DF7}"/>
            </a:ext>
          </a:extLst>
        </cdr:cNvPr>
        <cdr:cNvSpPr/>
      </cdr:nvSpPr>
      <cdr:spPr>
        <a:xfrm xmlns:a="http://schemas.openxmlformats.org/drawingml/2006/main">
          <a:off x="2213160" y="5164206"/>
          <a:ext cx="1119802" cy="11582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802" h="1158258">
              <a:moveTo>
                <a:pt x="1091935" y="28823"/>
              </a:moveTo>
              <a:lnTo>
                <a:pt x="532726" y="607236"/>
              </a:lnTo>
              <a:lnTo>
                <a:pt x="0" y="1158257"/>
              </a:lnTo>
              <a:lnTo>
                <a:pt x="0" y="1158257"/>
              </a:lnTo>
              <a:lnTo>
                <a:pt x="532726" y="607236"/>
              </a:lnTo>
              <a:lnTo>
                <a:pt x="1091935" y="28823"/>
              </a:lnTo>
              <a:lnTo>
                <a:pt x="1119801" y="0"/>
              </a:lnTo>
              <a:lnTo>
                <a:pt x="11198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0.78862</cdr:x>
      <cdr:y>0.19279</cdr:y>
    </cdr:from>
    <cdr:to>
      <cdr:x>0.94246</cdr:x>
      <cdr:y>0.34802</cdr:y>
    </cdr:to>
    <cdr:sp macro="" textlink="">
      <cdr:nvSpPr>
        <cdr:cNvPr id="180" name="FracNo 195 StartRow 2153">
          <a:extLst xmlns:a="http://schemas.openxmlformats.org/drawingml/2006/main">
            <a:ext uri="{FF2B5EF4-FFF2-40B4-BE49-F238E27FC236}">
              <a16:creationId xmlns:a16="http://schemas.microsoft.com/office/drawing/2014/main" id="{DDCAAEC7-48CC-BFC2-D79C-E42AC8612BD9}"/>
            </a:ext>
          </a:extLst>
        </cdr:cNvPr>
        <cdr:cNvSpPr/>
      </cdr:nvSpPr>
      <cdr:spPr>
        <a:xfrm xmlns:a="http://schemas.openxmlformats.org/drawingml/2006/main">
          <a:off x="5768903" y="1469071"/>
          <a:ext cx="1125405" cy="1182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5405" h="1182806">
              <a:moveTo>
                <a:pt x="809479" y="364279"/>
              </a:moveTo>
              <a:lnTo>
                <a:pt x="18129" y="1182805"/>
              </a:lnTo>
              <a:lnTo>
                <a:pt x="0" y="1164053"/>
              </a:lnTo>
              <a:lnTo>
                <a:pt x="804307" y="332125"/>
              </a:lnTo>
              <a:lnTo>
                <a:pt x="1125404" y="0"/>
              </a:lnTo>
              <a:lnTo>
                <a:pt x="112540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0.59174</cdr:x>
      <cdr:y>0.70479</cdr:y>
    </cdr:from>
    <cdr:to>
      <cdr:x>0.74247</cdr:x>
      <cdr:y>0.85445</cdr:y>
    </cdr:to>
    <cdr:sp macro="" textlink="">
      <cdr:nvSpPr>
        <cdr:cNvPr id="181" name="FracNo 337 StartRow 2162">
          <a:extLst xmlns:a="http://schemas.openxmlformats.org/drawingml/2006/main">
            <a:ext uri="{FF2B5EF4-FFF2-40B4-BE49-F238E27FC236}">
              <a16:creationId xmlns:a16="http://schemas.microsoft.com/office/drawing/2014/main" id="{7C34C4E8-3FD2-925D-8E65-DA1331309A7B}"/>
            </a:ext>
          </a:extLst>
        </cdr:cNvPr>
        <cdr:cNvSpPr/>
      </cdr:nvSpPr>
      <cdr:spPr>
        <a:xfrm xmlns:a="http://schemas.openxmlformats.org/drawingml/2006/main">
          <a:off x="4328730" y="5370475"/>
          <a:ext cx="1102553" cy="11404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2553" h="1140417">
              <a:moveTo>
                <a:pt x="585363" y="534950"/>
              </a:moveTo>
              <a:lnTo>
                <a:pt x="491367" y="632174"/>
              </a:lnTo>
              <a:lnTo>
                <a:pt x="0" y="1140416"/>
              </a:lnTo>
              <a:lnTo>
                <a:pt x="0" y="1140416"/>
              </a:lnTo>
              <a:lnTo>
                <a:pt x="491367" y="632174"/>
              </a:lnTo>
              <a:lnTo>
                <a:pt x="585363" y="534950"/>
              </a:lnTo>
              <a:lnTo>
                <a:pt x="1102552" y="0"/>
              </a:lnTo>
              <a:lnTo>
                <a:pt x="11025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0.43314</cdr:x>
      <cdr:y>0.57844</cdr:y>
    </cdr:from>
    <cdr:to>
      <cdr:x>0.58289</cdr:x>
      <cdr:y>0.72714</cdr:y>
    </cdr:to>
    <cdr:sp macro="" textlink="">
      <cdr:nvSpPr>
        <cdr:cNvPr id="182" name="FracNo 98 StartRow 2173">
          <a:extLst xmlns:a="http://schemas.openxmlformats.org/drawingml/2006/main">
            <a:ext uri="{FF2B5EF4-FFF2-40B4-BE49-F238E27FC236}">
              <a16:creationId xmlns:a16="http://schemas.microsoft.com/office/drawing/2014/main" id="{184A9A46-CDF5-AA05-34AF-72B5335E4B8E}"/>
            </a:ext>
          </a:extLst>
        </cdr:cNvPr>
        <cdr:cNvSpPr/>
      </cdr:nvSpPr>
      <cdr:spPr>
        <a:xfrm xmlns:a="http://schemas.openxmlformats.org/drawingml/2006/main">
          <a:off x="3168524" y="4407738"/>
          <a:ext cx="1095446" cy="1133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5446" h="1133066">
              <a:moveTo>
                <a:pt x="0" y="1133065"/>
              </a:moveTo>
              <a:lnTo>
                <a:pt x="0" y="1133065"/>
              </a:lnTo>
              <a:lnTo>
                <a:pt x="578997" y="534184"/>
              </a:lnTo>
              <a:lnTo>
                <a:pt x="1095445" y="0"/>
              </a:lnTo>
              <a:lnTo>
                <a:pt x="1095445" y="0"/>
              </a:lnTo>
              <a:lnTo>
                <a:pt x="578997" y="5341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0.24397</cdr:x>
      <cdr:y>0.23652</cdr:y>
    </cdr:to>
    <cdr:sp macro="" textlink="">
      <cdr:nvSpPr>
        <cdr:cNvPr id="183" name="FracNo 588 StartRow 2182">
          <a:extLst xmlns:a="http://schemas.openxmlformats.org/drawingml/2006/main">
            <a:ext uri="{FF2B5EF4-FFF2-40B4-BE49-F238E27FC236}">
              <a16:creationId xmlns:a16="http://schemas.microsoft.com/office/drawing/2014/main" id="{B7E668A6-A6E7-33CF-F358-F9E52022158A}"/>
            </a:ext>
          </a:extLst>
        </cdr:cNvPr>
        <cdr:cNvSpPr/>
      </cdr:nvSpPr>
      <cdr:spPr>
        <a:xfrm xmlns:a="http://schemas.openxmlformats.org/drawingml/2006/main">
          <a:off x="671676" y="651036"/>
          <a:ext cx="1113046" cy="11512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3046" h="1151270">
              <a:moveTo>
                <a:pt x="723004" y="365933"/>
              </a:moveTo>
              <a:lnTo>
                <a:pt x="0" y="1113766"/>
              </a:lnTo>
              <a:lnTo>
                <a:pt x="0" y="1151269"/>
              </a:lnTo>
              <a:lnTo>
                <a:pt x="747349" y="378255"/>
              </a:lnTo>
              <a:lnTo>
                <a:pt x="1113045" y="0"/>
              </a:lnTo>
              <a:lnTo>
                <a:pt x="10767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0.79409</cdr:x>
      <cdr:y>0.55297</cdr:y>
    </cdr:from>
    <cdr:to>
      <cdr:x>0.94246</cdr:x>
      <cdr:y>0.70276</cdr:y>
    </cdr:to>
    <cdr:sp macro="" textlink="">
      <cdr:nvSpPr>
        <cdr:cNvPr id="184" name="FracNo 342 StartRow 2191">
          <a:extLst xmlns:a="http://schemas.openxmlformats.org/drawingml/2006/main">
            <a:ext uri="{FF2B5EF4-FFF2-40B4-BE49-F238E27FC236}">
              <a16:creationId xmlns:a16="http://schemas.microsoft.com/office/drawing/2014/main" id="{9CB320A3-33C3-708D-A059-95E4066C74C1}"/>
            </a:ext>
          </a:extLst>
        </cdr:cNvPr>
        <cdr:cNvSpPr/>
      </cdr:nvSpPr>
      <cdr:spPr>
        <a:xfrm xmlns:a="http://schemas.openxmlformats.org/drawingml/2006/main">
          <a:off x="5808935" y="4213605"/>
          <a:ext cx="1085373" cy="11413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5373" h="1141399">
              <a:moveTo>
                <a:pt x="58204" y="1062443"/>
              </a:moveTo>
              <a:lnTo>
                <a:pt x="0" y="1122646"/>
              </a:lnTo>
              <a:lnTo>
                <a:pt x="18129" y="1141398"/>
              </a:lnTo>
              <a:lnTo>
                <a:pt x="75457" y="1082101"/>
              </a:lnTo>
              <a:lnTo>
                <a:pt x="405471" y="740754"/>
              </a:lnTo>
              <a:lnTo>
                <a:pt x="1085372" y="37504"/>
              </a:lnTo>
              <a:lnTo>
                <a:pt x="1085372" y="0"/>
              </a:lnTo>
              <a:lnTo>
                <a:pt x="393261" y="7158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</cdr:x>
      <cdr:y>0.77302</cdr:y>
    </cdr:from>
    <cdr:to>
      <cdr:x>0.6155</cdr:x>
      <cdr:y>0.9175</cdr:y>
    </cdr:to>
    <cdr:sp macro="" textlink="">
      <cdr:nvSpPr>
        <cdr:cNvPr id="185" name="FracNo 90 StartRow 2202">
          <a:extLst xmlns:a="http://schemas.openxmlformats.org/drawingml/2006/main">
            <a:ext uri="{FF2B5EF4-FFF2-40B4-BE49-F238E27FC236}">
              <a16:creationId xmlns:a16="http://schemas.microsoft.com/office/drawing/2014/main" id="{B7685DAF-516C-B2A0-CA65-64A25622ACAA}"/>
            </a:ext>
          </a:extLst>
        </cdr:cNvPr>
        <cdr:cNvSpPr/>
      </cdr:nvSpPr>
      <cdr:spPr>
        <a:xfrm xmlns:a="http://schemas.openxmlformats.org/drawingml/2006/main">
          <a:off x="3438112" y="5890387"/>
          <a:ext cx="1064399" cy="1100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4399" h="1100953">
              <a:moveTo>
                <a:pt x="0" y="1100952"/>
              </a:moveTo>
              <a:lnTo>
                <a:pt x="0" y="1100952"/>
              </a:lnTo>
              <a:lnTo>
                <a:pt x="1064398" y="0"/>
              </a:lnTo>
              <a:lnTo>
                <a:pt x="10643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0.24605</cdr:x>
      <cdr:y>0.7887</cdr:y>
    </cdr:from>
    <cdr:to>
      <cdr:x>0.38845</cdr:x>
      <cdr:y>0.9301</cdr:y>
    </cdr:to>
    <cdr:sp macro="" textlink="">
      <cdr:nvSpPr>
        <cdr:cNvPr id="186" name="FracNo 93 StartRow 2209">
          <a:extLst xmlns:a="http://schemas.openxmlformats.org/drawingml/2006/main">
            <a:ext uri="{FF2B5EF4-FFF2-40B4-BE49-F238E27FC236}">
              <a16:creationId xmlns:a16="http://schemas.microsoft.com/office/drawing/2014/main" id="{6F65F972-3691-D078-3550-C36DD072EB70}"/>
            </a:ext>
          </a:extLst>
        </cdr:cNvPr>
        <cdr:cNvSpPr/>
      </cdr:nvSpPr>
      <cdr:spPr>
        <a:xfrm xmlns:a="http://schemas.openxmlformats.org/drawingml/2006/main">
          <a:off x="1799891" y="6009917"/>
          <a:ext cx="1041676" cy="1077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1676" h="1077449">
              <a:moveTo>
                <a:pt x="1041675" y="0"/>
              </a:moveTo>
              <a:lnTo>
                <a:pt x="945995" y="98965"/>
              </a:lnTo>
              <a:lnTo>
                <a:pt x="0" y="1077448"/>
              </a:lnTo>
              <a:lnTo>
                <a:pt x="0" y="1077448"/>
              </a:lnTo>
              <a:lnTo>
                <a:pt x="945995" y="98965"/>
              </a:lnTo>
              <a:lnTo>
                <a:pt x="104167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0.59454</cdr:x>
      <cdr:y>0.63301</cdr:y>
    </cdr:from>
    <cdr:to>
      <cdr:x>0.73651</cdr:x>
      <cdr:y>0.77399</cdr:y>
    </cdr:to>
    <cdr:sp macro="" textlink="">
      <cdr:nvSpPr>
        <cdr:cNvPr id="187" name="FracNo 331 StartRow 2219">
          <a:extLst xmlns:a="http://schemas.openxmlformats.org/drawingml/2006/main">
            <a:ext uri="{FF2B5EF4-FFF2-40B4-BE49-F238E27FC236}">
              <a16:creationId xmlns:a16="http://schemas.microsoft.com/office/drawing/2014/main" id="{E69EF1DB-4816-E9E9-C186-140EF85C3278}"/>
            </a:ext>
          </a:extLst>
        </cdr:cNvPr>
        <cdr:cNvSpPr/>
      </cdr:nvSpPr>
      <cdr:spPr>
        <a:xfrm xmlns:a="http://schemas.openxmlformats.org/drawingml/2006/main">
          <a:off x="4349158" y="4823533"/>
          <a:ext cx="1038595" cy="1074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8595" h="1074262">
              <a:moveTo>
                <a:pt x="538225" y="517553"/>
              </a:moveTo>
              <a:lnTo>
                <a:pt x="470939" y="587150"/>
              </a:lnTo>
              <a:lnTo>
                <a:pt x="0" y="1074261"/>
              </a:lnTo>
              <a:lnTo>
                <a:pt x="0" y="1074261"/>
              </a:lnTo>
              <a:lnTo>
                <a:pt x="470939" y="587150"/>
              </a:lnTo>
              <a:lnTo>
                <a:pt x="538225" y="517553"/>
              </a:lnTo>
              <a:lnTo>
                <a:pt x="924136" y="118389"/>
              </a:lnTo>
              <a:lnTo>
                <a:pt x="1038594" y="0"/>
              </a:lnTo>
              <a:lnTo>
                <a:pt x="1038594" y="0"/>
              </a:lnTo>
              <a:lnTo>
                <a:pt x="924136" y="1183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0.56134</cdr:x>
      <cdr:y>0.39265</cdr:y>
    </cdr:from>
    <cdr:to>
      <cdr:x>0.70297</cdr:x>
      <cdr:y>0.53328</cdr:y>
    </cdr:to>
    <cdr:sp macro="" textlink="">
      <cdr:nvSpPr>
        <cdr:cNvPr id="188" name="FracNo 481 StartRow 2232">
          <a:extLst xmlns:a="http://schemas.openxmlformats.org/drawingml/2006/main">
            <a:ext uri="{FF2B5EF4-FFF2-40B4-BE49-F238E27FC236}">
              <a16:creationId xmlns:a16="http://schemas.microsoft.com/office/drawing/2014/main" id="{7BE1CA8D-903F-2AF8-B92F-0380741D2A95}"/>
            </a:ext>
          </a:extLst>
        </cdr:cNvPr>
        <cdr:cNvSpPr/>
      </cdr:nvSpPr>
      <cdr:spPr>
        <a:xfrm xmlns:a="http://schemas.openxmlformats.org/drawingml/2006/main">
          <a:off x="4106335" y="2992026"/>
          <a:ext cx="1036006" cy="1071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006" h="1071584">
              <a:moveTo>
                <a:pt x="221633" y="842339"/>
              </a:moveTo>
              <a:lnTo>
                <a:pt x="0" y="1071583"/>
              </a:lnTo>
              <a:lnTo>
                <a:pt x="0" y="1071583"/>
              </a:lnTo>
              <a:lnTo>
                <a:pt x="221633" y="842339"/>
              </a:lnTo>
              <a:lnTo>
                <a:pt x="713762" y="333309"/>
              </a:lnTo>
              <a:lnTo>
                <a:pt x="1036005" y="0"/>
              </a:lnTo>
              <a:lnTo>
                <a:pt x="1036005" y="0"/>
              </a:lnTo>
              <a:lnTo>
                <a:pt x="713762" y="3333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0.77252</cdr:x>
      <cdr:y>0.45739</cdr:y>
    </cdr:from>
    <cdr:to>
      <cdr:x>0.91283</cdr:x>
      <cdr:y>0.59671</cdr:y>
    </cdr:to>
    <cdr:sp macro="" textlink="">
      <cdr:nvSpPr>
        <cdr:cNvPr id="189" name="FracNo 403 StartRow 2243">
          <a:extLst xmlns:a="http://schemas.openxmlformats.org/drawingml/2006/main">
            <a:ext uri="{FF2B5EF4-FFF2-40B4-BE49-F238E27FC236}">
              <a16:creationId xmlns:a16="http://schemas.microsoft.com/office/drawing/2014/main" id="{F06B2B94-C157-1FF3-1F8F-847771C3CF18}"/>
            </a:ext>
          </a:extLst>
        </cdr:cNvPr>
        <cdr:cNvSpPr/>
      </cdr:nvSpPr>
      <cdr:spPr>
        <a:xfrm xmlns:a="http://schemas.openxmlformats.org/drawingml/2006/main">
          <a:off x="5651125" y="3485300"/>
          <a:ext cx="1026390" cy="1061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6390" h="1061637">
              <a:moveTo>
                <a:pt x="119519" y="938013"/>
              </a:moveTo>
              <a:lnTo>
                <a:pt x="0" y="1061636"/>
              </a:lnTo>
              <a:lnTo>
                <a:pt x="0" y="1061636"/>
              </a:lnTo>
              <a:lnTo>
                <a:pt x="119519" y="938013"/>
              </a:lnTo>
              <a:lnTo>
                <a:pt x="1026389" y="0"/>
              </a:lnTo>
              <a:lnTo>
                <a:pt x="10263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0.41647</cdr:x>
      <cdr:y>0.08544</cdr:y>
    </cdr:from>
    <cdr:to>
      <cdr:x>0.55663</cdr:x>
      <cdr:y>0.22215</cdr:y>
    </cdr:to>
    <cdr:sp macro="" textlink="">
      <cdr:nvSpPr>
        <cdr:cNvPr id="190" name="FracNo 275 StartRow 2252">
          <a:extLst xmlns:a="http://schemas.openxmlformats.org/drawingml/2006/main">
            <a:ext uri="{FF2B5EF4-FFF2-40B4-BE49-F238E27FC236}">
              <a16:creationId xmlns:a16="http://schemas.microsoft.com/office/drawing/2014/main" id="{8A8479E4-D493-8E17-2093-9A84FE2AE566}"/>
            </a:ext>
          </a:extLst>
        </cdr:cNvPr>
        <cdr:cNvSpPr/>
      </cdr:nvSpPr>
      <cdr:spPr>
        <a:xfrm xmlns:a="http://schemas.openxmlformats.org/drawingml/2006/main">
          <a:off x="3046549" y="651036"/>
          <a:ext cx="1025284" cy="10417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5284" h="1041742">
              <a:moveTo>
                <a:pt x="572641" y="468187"/>
              </a:moveTo>
              <a:lnTo>
                <a:pt x="18129" y="1041741"/>
              </a:lnTo>
              <a:lnTo>
                <a:pt x="0" y="1022989"/>
              </a:lnTo>
              <a:lnTo>
                <a:pt x="544530" y="459759"/>
              </a:lnTo>
              <a:lnTo>
                <a:pt x="989024" y="0"/>
              </a:lnTo>
              <a:lnTo>
                <a:pt x="10252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0.49391</cdr:x>
      <cdr:y>0.79387</cdr:y>
    </cdr:from>
    <cdr:to>
      <cdr:x>0.63358</cdr:x>
      <cdr:y>0.9301</cdr:y>
    </cdr:to>
    <cdr:sp macro="" textlink="">
      <cdr:nvSpPr>
        <cdr:cNvPr id="191" name="FracNo 117 StartRow 2261">
          <a:extLst xmlns:a="http://schemas.openxmlformats.org/drawingml/2006/main">
            <a:ext uri="{FF2B5EF4-FFF2-40B4-BE49-F238E27FC236}">
              <a16:creationId xmlns:a16="http://schemas.microsoft.com/office/drawing/2014/main" id="{9FB5F842-BC30-5F5B-1A32-7B7953981121}"/>
            </a:ext>
          </a:extLst>
        </cdr:cNvPr>
        <cdr:cNvSpPr/>
      </cdr:nvSpPr>
      <cdr:spPr>
        <a:xfrm xmlns:a="http://schemas.openxmlformats.org/drawingml/2006/main">
          <a:off x="3613048" y="6049327"/>
          <a:ext cx="1021703" cy="1038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1703" h="1038039">
              <a:moveTo>
                <a:pt x="391518" y="670578"/>
              </a:moveTo>
              <a:lnTo>
                <a:pt x="36258" y="1038038"/>
              </a:lnTo>
              <a:lnTo>
                <a:pt x="0" y="1038038"/>
              </a:lnTo>
              <a:lnTo>
                <a:pt x="361796" y="663818"/>
              </a:lnTo>
              <a:lnTo>
                <a:pt x="1003573" y="0"/>
              </a:lnTo>
              <a:lnTo>
                <a:pt x="10217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0.31868</cdr:x>
      <cdr:y>0.36374</cdr:y>
    </cdr:from>
    <cdr:to>
      <cdr:x>0.45388</cdr:x>
      <cdr:y>0.49799</cdr:y>
    </cdr:to>
    <cdr:sp macro="" textlink="">
      <cdr:nvSpPr>
        <cdr:cNvPr id="192" name="FracNo 483 StartRow 2270">
          <a:extLst xmlns:a="http://schemas.openxmlformats.org/drawingml/2006/main">
            <a:ext uri="{FF2B5EF4-FFF2-40B4-BE49-F238E27FC236}">
              <a16:creationId xmlns:a16="http://schemas.microsoft.com/office/drawing/2014/main" id="{F2F44C95-BAE6-6C47-1032-32045958DD41}"/>
            </a:ext>
          </a:extLst>
        </cdr:cNvPr>
        <cdr:cNvSpPr/>
      </cdr:nvSpPr>
      <cdr:spPr>
        <a:xfrm xmlns:a="http://schemas.openxmlformats.org/drawingml/2006/main">
          <a:off x="2331195" y="2771690"/>
          <a:ext cx="989050" cy="10230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9050" h="1023017">
              <a:moveTo>
                <a:pt x="463867" y="543218"/>
              </a:moveTo>
              <a:lnTo>
                <a:pt x="414691" y="594083"/>
              </a:lnTo>
              <a:lnTo>
                <a:pt x="0" y="1023016"/>
              </a:lnTo>
              <a:lnTo>
                <a:pt x="0" y="1023016"/>
              </a:lnTo>
              <a:lnTo>
                <a:pt x="414691" y="594083"/>
              </a:lnTo>
              <a:lnTo>
                <a:pt x="463867" y="543218"/>
              </a:lnTo>
              <a:lnTo>
                <a:pt x="965083" y="24789"/>
              </a:lnTo>
              <a:lnTo>
                <a:pt x="989049" y="0"/>
              </a:lnTo>
              <a:lnTo>
                <a:pt x="989049" y="0"/>
              </a:lnTo>
              <a:lnTo>
                <a:pt x="965083" y="247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0.80807</cdr:x>
      <cdr:y>0.44457</cdr:y>
    </cdr:from>
    <cdr:to>
      <cdr:x>0.94246</cdr:x>
      <cdr:y>0.57802</cdr:y>
    </cdr:to>
    <cdr:sp macro="" textlink="">
      <cdr:nvSpPr>
        <cdr:cNvPr id="193" name="FracNo 410 StartRow 2283">
          <a:extLst xmlns:a="http://schemas.openxmlformats.org/drawingml/2006/main">
            <a:ext uri="{FF2B5EF4-FFF2-40B4-BE49-F238E27FC236}">
              <a16:creationId xmlns:a16="http://schemas.microsoft.com/office/drawing/2014/main" id="{5180EF9F-6E29-0992-1A9D-2FCE4EF19508}"/>
            </a:ext>
          </a:extLst>
        </cdr:cNvPr>
        <cdr:cNvSpPr/>
      </cdr:nvSpPr>
      <cdr:spPr>
        <a:xfrm xmlns:a="http://schemas.openxmlformats.org/drawingml/2006/main">
          <a:off x="5911165" y="3387589"/>
          <a:ext cx="983143" cy="10169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3143" h="1016907">
              <a:moveTo>
                <a:pt x="38330" y="977259"/>
              </a:moveTo>
              <a:lnTo>
                <a:pt x="0" y="1016906"/>
              </a:lnTo>
              <a:lnTo>
                <a:pt x="0" y="1016906"/>
              </a:lnTo>
              <a:lnTo>
                <a:pt x="38330" y="977259"/>
              </a:lnTo>
              <a:lnTo>
                <a:pt x="983142" y="0"/>
              </a:lnTo>
              <a:lnTo>
                <a:pt x="983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0.65981</cdr:x>
      <cdr:y>0.70029</cdr:y>
    </cdr:from>
    <cdr:to>
      <cdr:x>0.79656</cdr:x>
      <cdr:y>0.83608</cdr:y>
    </cdr:to>
    <cdr:sp macro="" textlink="">
      <cdr:nvSpPr>
        <cdr:cNvPr id="194" name="FracNo 356 StartRow 2292">
          <a:extLst xmlns:a="http://schemas.openxmlformats.org/drawingml/2006/main">
            <a:ext uri="{FF2B5EF4-FFF2-40B4-BE49-F238E27FC236}">
              <a16:creationId xmlns:a16="http://schemas.microsoft.com/office/drawing/2014/main" id="{644D2857-71AB-91D0-4ED0-92A3CC27CFC0}"/>
            </a:ext>
          </a:extLst>
        </cdr:cNvPr>
        <cdr:cNvSpPr/>
      </cdr:nvSpPr>
      <cdr:spPr>
        <a:xfrm xmlns:a="http://schemas.openxmlformats.org/drawingml/2006/main">
          <a:off x="4826661" y="5336207"/>
          <a:ext cx="1000361" cy="10347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0361" h="1034716">
              <a:moveTo>
                <a:pt x="922534" y="61748"/>
              </a:moveTo>
              <a:lnTo>
                <a:pt x="0" y="1015963"/>
              </a:lnTo>
              <a:lnTo>
                <a:pt x="18129" y="1034715"/>
              </a:lnTo>
              <a:lnTo>
                <a:pt x="940663" y="80500"/>
              </a:lnTo>
              <a:lnTo>
                <a:pt x="1000360" y="18752"/>
              </a:lnTo>
              <a:lnTo>
                <a:pt x="9822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0.66549</cdr:x>
      <cdr:y>0.70601</cdr:y>
    </cdr:from>
    <cdr:to>
      <cdr:x>0.79968</cdr:x>
      <cdr:y>0.83926</cdr:y>
    </cdr:to>
    <cdr:sp macro="" textlink="">
      <cdr:nvSpPr>
        <cdr:cNvPr id="195" name="FracNo 332 StartRow 2301">
          <a:extLst xmlns:a="http://schemas.openxmlformats.org/drawingml/2006/main">
            <a:ext uri="{FF2B5EF4-FFF2-40B4-BE49-F238E27FC236}">
              <a16:creationId xmlns:a16="http://schemas.microsoft.com/office/drawing/2014/main" id="{72DFBFCD-3FDD-6882-EBC7-4C406E2259C8}"/>
            </a:ext>
          </a:extLst>
        </cdr:cNvPr>
        <cdr:cNvSpPr/>
      </cdr:nvSpPr>
      <cdr:spPr>
        <a:xfrm xmlns:a="http://schemas.openxmlformats.org/drawingml/2006/main">
          <a:off x="4868200" y="5379782"/>
          <a:ext cx="981643" cy="10153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1643" h="1015355">
              <a:moveTo>
                <a:pt x="975651" y="6197"/>
              </a:moveTo>
              <a:lnTo>
                <a:pt x="0" y="1015354"/>
              </a:lnTo>
              <a:lnTo>
                <a:pt x="0" y="1015354"/>
              </a:lnTo>
              <a:lnTo>
                <a:pt x="975651" y="6197"/>
              </a:lnTo>
              <a:lnTo>
                <a:pt x="981642" y="0"/>
              </a:lnTo>
              <a:lnTo>
                <a:pt x="9816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0.39907</cdr:x>
      <cdr:y>0.36116</cdr:y>
    </cdr:from>
    <cdr:to>
      <cdr:x>0.53473</cdr:x>
      <cdr:y>0.49587</cdr:y>
    </cdr:to>
    <cdr:sp macro="" textlink="">
      <cdr:nvSpPr>
        <cdr:cNvPr id="196" name="FracNo 731 StartRow 2310">
          <a:extLst xmlns:a="http://schemas.openxmlformats.org/drawingml/2006/main">
            <a:ext uri="{FF2B5EF4-FFF2-40B4-BE49-F238E27FC236}">
              <a16:creationId xmlns:a16="http://schemas.microsoft.com/office/drawing/2014/main" id="{04EF29EC-2C4E-FE4B-1F69-A8BD5C8CC9F4}"/>
            </a:ext>
          </a:extLst>
        </cdr:cNvPr>
        <cdr:cNvSpPr/>
      </cdr:nvSpPr>
      <cdr:spPr>
        <a:xfrm xmlns:a="http://schemas.openxmlformats.org/drawingml/2006/main">
          <a:off x="2919305" y="2752072"/>
          <a:ext cx="992361" cy="10264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2361" h="1026439">
              <a:moveTo>
                <a:pt x="829781" y="149410"/>
              </a:moveTo>
              <a:lnTo>
                <a:pt x="0" y="1007687"/>
              </a:lnTo>
              <a:lnTo>
                <a:pt x="18130" y="1026438"/>
              </a:lnTo>
              <a:lnTo>
                <a:pt x="847910" y="168162"/>
              </a:lnTo>
              <a:lnTo>
                <a:pt x="958492" y="53783"/>
              </a:lnTo>
              <a:lnTo>
                <a:pt x="992360" y="18751"/>
              </a:lnTo>
              <a:lnTo>
                <a:pt x="974231" y="0"/>
              </a:lnTo>
              <a:lnTo>
                <a:pt x="940363" y="350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0.80711</cdr:x>
      <cdr:y>0.7957</cdr:y>
    </cdr:from>
    <cdr:to>
      <cdr:x>0.94246</cdr:x>
      <cdr:y>0.9301</cdr:y>
    </cdr:to>
    <cdr:sp macro="" textlink="">
      <cdr:nvSpPr>
        <cdr:cNvPr id="197" name="FracNo 351 StartRow 2321">
          <a:extLst xmlns:a="http://schemas.openxmlformats.org/drawingml/2006/main">
            <a:ext uri="{FF2B5EF4-FFF2-40B4-BE49-F238E27FC236}">
              <a16:creationId xmlns:a16="http://schemas.microsoft.com/office/drawing/2014/main" id="{3D1E0375-DD42-9969-D02D-6CE89AE4AF97}"/>
            </a:ext>
          </a:extLst>
        </cdr:cNvPr>
        <cdr:cNvSpPr/>
      </cdr:nvSpPr>
      <cdr:spPr>
        <a:xfrm xmlns:a="http://schemas.openxmlformats.org/drawingml/2006/main">
          <a:off x="5904196" y="6063251"/>
          <a:ext cx="990112" cy="1024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0112" h="1024115">
              <a:moveTo>
                <a:pt x="446592" y="562184"/>
              </a:moveTo>
              <a:lnTo>
                <a:pt x="0" y="1024114"/>
              </a:lnTo>
              <a:lnTo>
                <a:pt x="36258" y="1024114"/>
              </a:lnTo>
              <a:lnTo>
                <a:pt x="466497" y="579101"/>
              </a:lnTo>
              <a:lnTo>
                <a:pt x="990111" y="37504"/>
              </a:lnTo>
              <a:lnTo>
                <a:pt x="9901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0.81141</cdr:x>
      <cdr:y>0.17198</cdr:y>
    </cdr:from>
    <cdr:to>
      <cdr:x>0.94246</cdr:x>
      <cdr:y>0.30212</cdr:y>
    </cdr:to>
    <cdr:sp macro="" textlink="">
      <cdr:nvSpPr>
        <cdr:cNvPr id="198" name="FracNo 168 StartRow 2330">
          <a:extLst xmlns:a="http://schemas.openxmlformats.org/drawingml/2006/main">
            <a:ext uri="{FF2B5EF4-FFF2-40B4-BE49-F238E27FC236}">
              <a16:creationId xmlns:a16="http://schemas.microsoft.com/office/drawing/2014/main" id="{F3C0617B-0AEC-EDE8-FAA5-16287F5C12FE}"/>
            </a:ext>
          </a:extLst>
        </cdr:cNvPr>
        <cdr:cNvSpPr/>
      </cdr:nvSpPr>
      <cdr:spPr>
        <a:xfrm xmlns:a="http://schemas.openxmlformats.org/drawingml/2006/main">
          <a:off x="5935602" y="1310508"/>
          <a:ext cx="958706" cy="991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8706" h="991631">
              <a:moveTo>
                <a:pt x="432521" y="544255"/>
              </a:moveTo>
              <a:lnTo>
                <a:pt x="0" y="991630"/>
              </a:lnTo>
              <a:lnTo>
                <a:pt x="0" y="991630"/>
              </a:lnTo>
              <a:lnTo>
                <a:pt x="432521" y="544255"/>
              </a:lnTo>
              <a:lnTo>
                <a:pt x="958705" y="0"/>
              </a:lnTo>
              <a:lnTo>
                <a:pt x="9587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0.2617</cdr:y>
    </cdr:from>
    <cdr:to>
      <cdr:x>0.22265</cdr:x>
      <cdr:y>0.39161</cdr:y>
    </cdr:to>
    <cdr:sp macro="" textlink="">
      <cdr:nvSpPr>
        <cdr:cNvPr id="199" name="FracNo 657 StartRow 2339">
          <a:extLst xmlns:a="http://schemas.openxmlformats.org/drawingml/2006/main">
            <a:ext uri="{FF2B5EF4-FFF2-40B4-BE49-F238E27FC236}">
              <a16:creationId xmlns:a16="http://schemas.microsoft.com/office/drawing/2014/main" id="{318E7F17-74FB-10DE-1F53-01879BFFD317}"/>
            </a:ext>
          </a:extLst>
        </cdr:cNvPr>
        <cdr:cNvSpPr/>
      </cdr:nvSpPr>
      <cdr:spPr>
        <a:xfrm xmlns:a="http://schemas.openxmlformats.org/drawingml/2006/main">
          <a:off x="671676" y="1994138"/>
          <a:ext cx="957051" cy="989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7051" h="989919">
              <a:moveTo>
                <a:pt x="148899" y="835905"/>
              </a:moveTo>
              <a:lnTo>
                <a:pt x="0" y="989918"/>
              </a:lnTo>
              <a:lnTo>
                <a:pt x="0" y="989918"/>
              </a:lnTo>
              <a:lnTo>
                <a:pt x="148899" y="835905"/>
              </a:lnTo>
              <a:lnTo>
                <a:pt x="181349" y="802341"/>
              </a:lnTo>
              <a:lnTo>
                <a:pt x="957050" y="0"/>
              </a:lnTo>
              <a:lnTo>
                <a:pt x="957050" y="0"/>
              </a:lnTo>
              <a:lnTo>
                <a:pt x="181349" y="8023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0.59213</cdr:x>
      <cdr:y>0.61382</cdr:y>
    </cdr:from>
    <cdr:to>
      <cdr:x>0.72536</cdr:x>
      <cdr:y>0.74612</cdr:y>
    </cdr:to>
    <cdr:sp macro="" textlink="">
      <cdr:nvSpPr>
        <cdr:cNvPr id="200" name="FracNo 734 StartRow 2350">
          <a:extLst xmlns:a="http://schemas.openxmlformats.org/drawingml/2006/main">
            <a:ext uri="{FF2B5EF4-FFF2-40B4-BE49-F238E27FC236}">
              <a16:creationId xmlns:a16="http://schemas.microsoft.com/office/drawing/2014/main" id="{5A0BCE76-AB2E-1AF3-E2A5-B6A0B4188604}"/>
            </a:ext>
          </a:extLst>
        </cdr:cNvPr>
        <cdr:cNvSpPr/>
      </cdr:nvSpPr>
      <cdr:spPr>
        <a:xfrm xmlns:a="http://schemas.openxmlformats.org/drawingml/2006/main">
          <a:off x="4331515" y="4677315"/>
          <a:ext cx="974675" cy="1008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4675" h="1008147">
              <a:moveTo>
                <a:pt x="236131" y="782658"/>
              </a:moveTo>
              <a:lnTo>
                <a:pt x="18129" y="1008146"/>
              </a:lnTo>
              <a:lnTo>
                <a:pt x="0" y="989395"/>
              </a:lnTo>
              <a:lnTo>
                <a:pt x="218001" y="763906"/>
              </a:lnTo>
              <a:lnTo>
                <a:pt x="479517" y="493410"/>
              </a:lnTo>
              <a:lnTo>
                <a:pt x="709788" y="255231"/>
              </a:lnTo>
              <a:lnTo>
                <a:pt x="956544" y="0"/>
              </a:lnTo>
              <a:lnTo>
                <a:pt x="974674" y="18752"/>
              </a:lnTo>
              <a:lnTo>
                <a:pt x="727917" y="273983"/>
              </a:lnTo>
              <a:lnTo>
                <a:pt x="497646" y="5121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0.36714</cdr:x>
      <cdr:y>0.36483</cdr:y>
    </cdr:from>
    <cdr:to>
      <cdr:x>0.49657</cdr:x>
      <cdr:y>0.49335</cdr:y>
    </cdr:to>
    <cdr:sp macro="" textlink="">
      <cdr:nvSpPr>
        <cdr:cNvPr id="201" name="FracNo 491 StartRow 2363">
          <a:extLst xmlns:a="http://schemas.openxmlformats.org/drawingml/2006/main">
            <a:ext uri="{FF2B5EF4-FFF2-40B4-BE49-F238E27FC236}">
              <a16:creationId xmlns:a16="http://schemas.microsoft.com/office/drawing/2014/main" id="{6E712ED3-B7F9-2FFC-8F60-07A44BB0E9C1}"/>
            </a:ext>
          </a:extLst>
        </cdr:cNvPr>
        <cdr:cNvSpPr/>
      </cdr:nvSpPr>
      <cdr:spPr>
        <a:xfrm xmlns:a="http://schemas.openxmlformats.org/drawingml/2006/main">
          <a:off x="2685722" y="2779975"/>
          <a:ext cx="946814" cy="979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6814" h="979329">
              <a:moveTo>
                <a:pt x="786975" y="165326"/>
              </a:moveTo>
              <a:lnTo>
                <a:pt x="60164" y="917098"/>
              </a:lnTo>
              <a:lnTo>
                <a:pt x="0" y="979328"/>
              </a:lnTo>
              <a:lnTo>
                <a:pt x="0" y="979328"/>
              </a:lnTo>
              <a:lnTo>
                <a:pt x="60164" y="917098"/>
              </a:lnTo>
              <a:lnTo>
                <a:pt x="786975" y="165326"/>
              </a:lnTo>
              <a:lnTo>
                <a:pt x="930857" y="16504"/>
              </a:lnTo>
              <a:lnTo>
                <a:pt x="946813" y="0"/>
              </a:lnTo>
              <a:lnTo>
                <a:pt x="946813" y="0"/>
              </a:lnTo>
              <a:lnTo>
                <a:pt x="930857" y="16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0.81203</cdr:x>
      <cdr:y>0.52912</cdr:y>
    </cdr:from>
    <cdr:to>
      <cdr:x>0.94246</cdr:x>
      <cdr:y>0.66109</cdr:y>
    </cdr:to>
    <cdr:sp macro="" textlink="">
      <cdr:nvSpPr>
        <cdr:cNvPr id="202" name="FracNo 723 StartRow 2376">
          <a:extLst xmlns:a="http://schemas.openxmlformats.org/drawingml/2006/main">
            <a:ext uri="{FF2B5EF4-FFF2-40B4-BE49-F238E27FC236}">
              <a16:creationId xmlns:a16="http://schemas.microsoft.com/office/drawing/2014/main" id="{22DBAEA9-F9D6-BFB1-E4E0-E58787903A28}"/>
            </a:ext>
          </a:extLst>
        </cdr:cNvPr>
        <cdr:cNvSpPr/>
      </cdr:nvSpPr>
      <cdr:spPr>
        <a:xfrm xmlns:a="http://schemas.openxmlformats.org/drawingml/2006/main">
          <a:off x="5940195" y="4031879"/>
          <a:ext cx="954113" cy="1005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4113" h="1005632">
              <a:moveTo>
                <a:pt x="572920" y="394283"/>
              </a:moveTo>
              <a:lnTo>
                <a:pt x="83349" y="900667"/>
              </a:lnTo>
              <a:lnTo>
                <a:pt x="0" y="986879"/>
              </a:lnTo>
              <a:lnTo>
                <a:pt x="18129" y="1005631"/>
              </a:lnTo>
              <a:lnTo>
                <a:pt x="101478" y="919419"/>
              </a:lnTo>
              <a:lnTo>
                <a:pt x="580857" y="423578"/>
              </a:lnTo>
              <a:lnTo>
                <a:pt x="954112" y="37504"/>
              </a:lnTo>
              <a:lnTo>
                <a:pt x="9541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0.22042</cdr:x>
      <cdr:y>0.21313</cdr:y>
    </cdr:to>
    <cdr:sp macro="" textlink="">
      <cdr:nvSpPr>
        <cdr:cNvPr id="203" name="FracNo 573 StartRow 2387">
          <a:extLst xmlns:a="http://schemas.openxmlformats.org/drawingml/2006/main">
            <a:ext uri="{FF2B5EF4-FFF2-40B4-BE49-F238E27FC236}">
              <a16:creationId xmlns:a16="http://schemas.microsoft.com/office/drawing/2014/main" id="{8F86C98F-4F81-295D-6287-A8A4EEF3FA31}"/>
            </a:ext>
          </a:extLst>
        </cdr:cNvPr>
        <cdr:cNvSpPr/>
      </cdr:nvSpPr>
      <cdr:spPr>
        <a:xfrm xmlns:a="http://schemas.openxmlformats.org/drawingml/2006/main">
          <a:off x="671676" y="651036"/>
          <a:ext cx="940724" cy="973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0724" h="973031">
              <a:moveTo>
                <a:pt x="108436" y="860869"/>
              </a:moveTo>
              <a:lnTo>
                <a:pt x="0" y="973030"/>
              </a:lnTo>
              <a:lnTo>
                <a:pt x="0" y="973030"/>
              </a:lnTo>
              <a:lnTo>
                <a:pt x="108436" y="860869"/>
              </a:lnTo>
              <a:lnTo>
                <a:pt x="940723" y="0"/>
              </a:lnTo>
              <a:lnTo>
                <a:pt x="9407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0.181</cdr:y>
    </cdr:from>
    <cdr:to>
      <cdr:x>0.22133</cdr:x>
      <cdr:y>0.31206</cdr:y>
    </cdr:to>
    <cdr:sp macro="" textlink="">
      <cdr:nvSpPr>
        <cdr:cNvPr id="204" name="FracNo 584 StartRow 2396">
          <a:extLst xmlns:a="http://schemas.openxmlformats.org/drawingml/2006/main">
            <a:ext uri="{FF2B5EF4-FFF2-40B4-BE49-F238E27FC236}">
              <a16:creationId xmlns:a16="http://schemas.microsoft.com/office/drawing/2014/main" id="{245F108B-C4F2-78DF-EE34-5720B44BD5EB}"/>
            </a:ext>
          </a:extLst>
        </cdr:cNvPr>
        <cdr:cNvSpPr/>
      </cdr:nvSpPr>
      <cdr:spPr>
        <a:xfrm xmlns:a="http://schemas.openxmlformats.org/drawingml/2006/main">
          <a:off x="671676" y="1379208"/>
          <a:ext cx="947415" cy="998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7415" h="998703">
              <a:moveTo>
                <a:pt x="438587" y="507548"/>
              </a:moveTo>
              <a:lnTo>
                <a:pt x="0" y="961198"/>
              </a:lnTo>
              <a:lnTo>
                <a:pt x="0" y="998702"/>
              </a:lnTo>
              <a:lnTo>
                <a:pt x="447144" y="536202"/>
              </a:lnTo>
              <a:lnTo>
                <a:pt x="947414" y="18752"/>
              </a:lnTo>
              <a:lnTo>
                <a:pt x="929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0.32139</cdr:x>
      <cdr:y>0.14016</cdr:y>
    </cdr:from>
    <cdr:to>
      <cdr:x>0.44966</cdr:x>
      <cdr:y>0.26751</cdr:y>
    </cdr:to>
    <cdr:sp macro="" textlink="">
      <cdr:nvSpPr>
        <cdr:cNvPr id="205" name="FracNo 562 StartRow 2405">
          <a:extLst xmlns:a="http://schemas.openxmlformats.org/drawingml/2006/main">
            <a:ext uri="{FF2B5EF4-FFF2-40B4-BE49-F238E27FC236}">
              <a16:creationId xmlns:a16="http://schemas.microsoft.com/office/drawing/2014/main" id="{A331F3E6-7B5A-EF55-0C8E-259D0A2D5146}"/>
            </a:ext>
          </a:extLst>
        </cdr:cNvPr>
        <cdr:cNvSpPr/>
      </cdr:nvSpPr>
      <cdr:spPr>
        <a:xfrm xmlns:a="http://schemas.openxmlformats.org/drawingml/2006/main">
          <a:off x="2351061" y="1067986"/>
          <a:ext cx="938256" cy="970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8256" h="970478">
              <a:moveTo>
                <a:pt x="0" y="970477"/>
              </a:moveTo>
              <a:lnTo>
                <a:pt x="0" y="970477"/>
              </a:lnTo>
              <a:lnTo>
                <a:pt x="394825" y="562092"/>
              </a:lnTo>
              <a:lnTo>
                <a:pt x="938255" y="0"/>
              </a:lnTo>
              <a:lnTo>
                <a:pt x="938255" y="0"/>
              </a:lnTo>
              <a:lnTo>
                <a:pt x="394825" y="5620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0.81351</cdr:x>
      <cdr:y>0.17616</cdr:y>
    </cdr:from>
    <cdr:to>
      <cdr:x>0.94246</cdr:x>
      <cdr:y>0.30667</cdr:y>
    </cdr:to>
    <cdr:sp macro="" textlink="">
      <cdr:nvSpPr>
        <cdr:cNvPr id="206" name="FracNo 189 StartRow 2414">
          <a:extLst xmlns:a="http://schemas.openxmlformats.org/drawingml/2006/main">
            <a:ext uri="{FF2B5EF4-FFF2-40B4-BE49-F238E27FC236}">
              <a16:creationId xmlns:a16="http://schemas.microsoft.com/office/drawing/2014/main" id="{1F9439FB-C109-4D6F-E7E8-D9372C89AB6C}"/>
            </a:ext>
          </a:extLst>
        </cdr:cNvPr>
        <cdr:cNvSpPr/>
      </cdr:nvSpPr>
      <cdr:spPr>
        <a:xfrm xmlns:a="http://schemas.openxmlformats.org/drawingml/2006/main">
          <a:off x="5950999" y="1342361"/>
          <a:ext cx="943309" cy="994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3309" h="994456">
              <a:moveTo>
                <a:pt x="260004" y="706770"/>
              </a:moveTo>
              <a:lnTo>
                <a:pt x="0" y="975703"/>
              </a:lnTo>
              <a:lnTo>
                <a:pt x="18130" y="994455"/>
              </a:lnTo>
              <a:lnTo>
                <a:pt x="273137" y="730690"/>
              </a:lnTo>
              <a:lnTo>
                <a:pt x="943308" y="37504"/>
              </a:lnTo>
              <a:lnTo>
                <a:pt x="9433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0.81596</cdr:x>
      <cdr:y>0.1067</cdr:y>
    </cdr:from>
    <cdr:to>
      <cdr:x>0.94246</cdr:x>
      <cdr:y>0.23231</cdr:y>
    </cdr:to>
    <cdr:sp macro="" textlink="">
      <cdr:nvSpPr>
        <cdr:cNvPr id="207" name="FracNo 163 StartRow 2423">
          <a:extLst xmlns:a="http://schemas.openxmlformats.org/drawingml/2006/main">
            <a:ext uri="{FF2B5EF4-FFF2-40B4-BE49-F238E27FC236}">
              <a16:creationId xmlns:a16="http://schemas.microsoft.com/office/drawing/2014/main" id="{48BCC4F8-BF21-E2A5-1C6B-369546BEEFCA}"/>
            </a:ext>
          </a:extLst>
        </cdr:cNvPr>
        <cdr:cNvSpPr/>
      </cdr:nvSpPr>
      <cdr:spPr>
        <a:xfrm xmlns:a="http://schemas.openxmlformats.org/drawingml/2006/main">
          <a:off x="5968931" y="813047"/>
          <a:ext cx="925377" cy="957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377" h="957157">
              <a:moveTo>
                <a:pt x="0" y="957156"/>
              </a:moveTo>
              <a:lnTo>
                <a:pt x="0" y="957156"/>
              </a:lnTo>
              <a:lnTo>
                <a:pt x="925376" y="0"/>
              </a:lnTo>
              <a:lnTo>
                <a:pt x="9253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0.72066</cdr:x>
      <cdr:y>0.48707</cdr:y>
    </cdr:from>
    <cdr:to>
      <cdr:x>0.84856</cdr:x>
      <cdr:y>0.61407</cdr:y>
    </cdr:to>
    <cdr:sp macro="" textlink="">
      <cdr:nvSpPr>
        <cdr:cNvPr id="208" name="FracNo 432 StartRow 2430">
          <a:extLst xmlns:a="http://schemas.openxmlformats.org/drawingml/2006/main">
            <a:ext uri="{FF2B5EF4-FFF2-40B4-BE49-F238E27FC236}">
              <a16:creationId xmlns:a16="http://schemas.microsoft.com/office/drawing/2014/main" id="{BD00E765-24EA-39D2-BC56-C9CB30B64158}"/>
            </a:ext>
          </a:extLst>
        </cdr:cNvPr>
        <cdr:cNvSpPr/>
      </cdr:nvSpPr>
      <cdr:spPr>
        <a:xfrm xmlns:a="http://schemas.openxmlformats.org/drawingml/2006/main">
          <a:off x="5271763" y="3711442"/>
          <a:ext cx="935638" cy="967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5638" h="967770">
              <a:moveTo>
                <a:pt x="926746" y="27948"/>
              </a:moveTo>
              <a:lnTo>
                <a:pt x="18129" y="967769"/>
              </a:lnTo>
              <a:lnTo>
                <a:pt x="0" y="949017"/>
              </a:lnTo>
              <a:lnTo>
                <a:pt x="908616" y="9196"/>
              </a:lnTo>
              <a:lnTo>
                <a:pt x="917508" y="0"/>
              </a:lnTo>
              <a:lnTo>
                <a:pt x="9356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0.74782</cdr:x>
      <cdr:y>0.80583</cdr:y>
    </cdr:from>
    <cdr:to>
      <cdr:x>0.87298</cdr:x>
      <cdr:y>0.9301</cdr:y>
    </cdr:to>
    <cdr:sp macro="" textlink="">
      <cdr:nvSpPr>
        <cdr:cNvPr id="209" name="FracNo 335 StartRow 2439">
          <a:extLst xmlns:a="http://schemas.openxmlformats.org/drawingml/2006/main">
            <a:ext uri="{FF2B5EF4-FFF2-40B4-BE49-F238E27FC236}">
              <a16:creationId xmlns:a16="http://schemas.microsoft.com/office/drawing/2014/main" id="{59FFA30C-5F74-6FC7-ED83-E0F3FC249C75}"/>
            </a:ext>
          </a:extLst>
        </cdr:cNvPr>
        <cdr:cNvSpPr/>
      </cdr:nvSpPr>
      <cdr:spPr>
        <a:xfrm xmlns:a="http://schemas.openxmlformats.org/drawingml/2006/main">
          <a:off x="5470470" y="6140405"/>
          <a:ext cx="915521" cy="946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5521" h="946961">
              <a:moveTo>
                <a:pt x="912743" y="2872"/>
              </a:moveTo>
              <a:lnTo>
                <a:pt x="0" y="946960"/>
              </a:lnTo>
              <a:lnTo>
                <a:pt x="0" y="946960"/>
              </a:lnTo>
              <a:lnTo>
                <a:pt x="912743" y="2872"/>
              </a:lnTo>
              <a:lnTo>
                <a:pt x="915520" y="0"/>
              </a:lnTo>
              <a:lnTo>
                <a:pt x="9155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0.7967</cdr:x>
      <cdr:y>0.5789</cdr:y>
    </cdr:from>
    <cdr:to>
      <cdr:x>0.9242</cdr:x>
      <cdr:y>0.70551</cdr:y>
    </cdr:to>
    <cdr:sp macro="" textlink="">
      <cdr:nvSpPr>
        <cdr:cNvPr id="210" name="FracNo 435 StartRow 2448">
          <a:extLst xmlns:a="http://schemas.openxmlformats.org/drawingml/2006/main">
            <a:ext uri="{FF2B5EF4-FFF2-40B4-BE49-F238E27FC236}">
              <a16:creationId xmlns:a16="http://schemas.microsoft.com/office/drawing/2014/main" id="{542B7570-543B-2E99-D829-18A45316284F}"/>
            </a:ext>
          </a:extLst>
        </cdr:cNvPr>
        <cdr:cNvSpPr/>
      </cdr:nvSpPr>
      <cdr:spPr>
        <a:xfrm xmlns:a="http://schemas.openxmlformats.org/drawingml/2006/main">
          <a:off x="5828022" y="4411237"/>
          <a:ext cx="932698" cy="9647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2698" h="964728">
              <a:moveTo>
                <a:pt x="897622" y="55032"/>
              </a:moveTo>
              <a:lnTo>
                <a:pt x="428696" y="540061"/>
              </a:lnTo>
              <a:lnTo>
                <a:pt x="18129" y="964727"/>
              </a:lnTo>
              <a:lnTo>
                <a:pt x="0" y="945976"/>
              </a:lnTo>
              <a:lnTo>
                <a:pt x="410567" y="521309"/>
              </a:lnTo>
              <a:lnTo>
                <a:pt x="879493" y="36280"/>
              </a:lnTo>
              <a:lnTo>
                <a:pt x="914568" y="0"/>
              </a:lnTo>
              <a:lnTo>
                <a:pt x="9326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0.31603</cdr:x>
      <cdr:y>0.80739</cdr:y>
    </cdr:from>
    <cdr:to>
      <cdr:x>0.43961</cdr:x>
      <cdr:y>0.9301</cdr:y>
    </cdr:to>
    <cdr:sp macro="" textlink="">
      <cdr:nvSpPr>
        <cdr:cNvPr id="211" name="FracNo 2 StartRow 2459">
          <a:extLst xmlns:a="http://schemas.openxmlformats.org/drawingml/2006/main">
            <a:ext uri="{FF2B5EF4-FFF2-40B4-BE49-F238E27FC236}">
              <a16:creationId xmlns:a16="http://schemas.microsoft.com/office/drawing/2014/main" id="{59AC32A4-655C-2B4C-76A7-79E2F2D681D6}"/>
            </a:ext>
          </a:extLst>
        </cdr:cNvPr>
        <cdr:cNvSpPr/>
      </cdr:nvSpPr>
      <cdr:spPr>
        <a:xfrm xmlns:a="http://schemas.openxmlformats.org/drawingml/2006/main">
          <a:off x="2311793" y="6152275"/>
          <a:ext cx="904044" cy="9350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4044" h="935091">
              <a:moveTo>
                <a:pt x="344549" y="578709"/>
              </a:moveTo>
              <a:lnTo>
                <a:pt x="0" y="935090"/>
              </a:lnTo>
              <a:lnTo>
                <a:pt x="0" y="935090"/>
              </a:lnTo>
              <a:lnTo>
                <a:pt x="344549" y="578709"/>
              </a:lnTo>
              <a:lnTo>
                <a:pt x="434093" y="486090"/>
              </a:lnTo>
              <a:lnTo>
                <a:pt x="904043" y="0"/>
              </a:lnTo>
              <a:lnTo>
                <a:pt x="904043" y="0"/>
              </a:lnTo>
              <a:lnTo>
                <a:pt x="434093" y="4860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0.75191</cdr:x>
      <cdr:y>0.80786</cdr:y>
    </cdr:from>
    <cdr:to>
      <cdr:x>0.8775</cdr:x>
      <cdr:y>0.9301</cdr:y>
    </cdr:to>
    <cdr:sp macro="" textlink="">
      <cdr:nvSpPr>
        <cdr:cNvPr id="212" name="FracNo 732 StartRow 2470">
          <a:extLst xmlns:a="http://schemas.openxmlformats.org/drawingml/2006/main">
            <a:ext uri="{FF2B5EF4-FFF2-40B4-BE49-F238E27FC236}">
              <a16:creationId xmlns:a16="http://schemas.microsoft.com/office/drawing/2014/main" id="{65EAD549-EA98-18D0-F384-C3810A814548}"/>
            </a:ext>
          </a:extLst>
        </cdr:cNvPr>
        <cdr:cNvSpPr/>
      </cdr:nvSpPr>
      <cdr:spPr>
        <a:xfrm xmlns:a="http://schemas.openxmlformats.org/drawingml/2006/main">
          <a:off x="5500347" y="6155856"/>
          <a:ext cx="918711" cy="931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8711" h="931510">
              <a:moveTo>
                <a:pt x="879634" y="21667"/>
              </a:moveTo>
              <a:lnTo>
                <a:pt x="0" y="931509"/>
              </a:lnTo>
              <a:lnTo>
                <a:pt x="36259" y="931509"/>
              </a:lnTo>
              <a:lnTo>
                <a:pt x="898185" y="39983"/>
              </a:lnTo>
              <a:lnTo>
                <a:pt x="918710" y="18752"/>
              </a:lnTo>
              <a:lnTo>
                <a:pt x="9005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0.19221</cdr:x>
      <cdr:y>0.49269</cdr:y>
    </cdr:from>
    <cdr:to>
      <cdr:x>0.31334</cdr:x>
      <cdr:y>0.61297</cdr:y>
    </cdr:to>
    <cdr:sp macro="" textlink="">
      <cdr:nvSpPr>
        <cdr:cNvPr id="213" name="FracNo 645 StartRow 2479">
          <a:extLst xmlns:a="http://schemas.openxmlformats.org/drawingml/2006/main">
            <a:ext uri="{FF2B5EF4-FFF2-40B4-BE49-F238E27FC236}">
              <a16:creationId xmlns:a16="http://schemas.microsoft.com/office/drawing/2014/main" id="{CCC8D790-CA6A-4B6B-EE9C-7008850E5021}"/>
            </a:ext>
          </a:extLst>
        </cdr:cNvPr>
        <cdr:cNvSpPr/>
      </cdr:nvSpPr>
      <cdr:spPr>
        <a:xfrm xmlns:a="http://schemas.openxmlformats.org/drawingml/2006/main">
          <a:off x="1406033" y="3754308"/>
          <a:ext cx="886106" cy="916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6106" h="916537">
              <a:moveTo>
                <a:pt x="299780" y="606461"/>
              </a:moveTo>
              <a:lnTo>
                <a:pt x="0" y="916536"/>
              </a:lnTo>
              <a:lnTo>
                <a:pt x="0" y="916536"/>
              </a:lnTo>
              <a:lnTo>
                <a:pt x="299780" y="606461"/>
              </a:lnTo>
              <a:lnTo>
                <a:pt x="886105" y="0"/>
              </a:lnTo>
              <a:lnTo>
                <a:pt x="8861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0.36174</cdr:x>
      <cdr:y>0.80917</cdr:y>
    </cdr:from>
    <cdr:to>
      <cdr:x>0.486</cdr:x>
      <cdr:y>0.9301</cdr:y>
    </cdr:to>
    <cdr:sp macro="" textlink="">
      <cdr:nvSpPr>
        <cdr:cNvPr id="214" name="FracNo 114 StartRow 2488">
          <a:extLst xmlns:a="http://schemas.openxmlformats.org/drawingml/2006/main">
            <a:ext uri="{FF2B5EF4-FFF2-40B4-BE49-F238E27FC236}">
              <a16:creationId xmlns:a16="http://schemas.microsoft.com/office/drawing/2014/main" id="{606A5DA6-61E0-8541-6821-7CCC3B960EA6}"/>
            </a:ext>
          </a:extLst>
        </cdr:cNvPr>
        <cdr:cNvSpPr/>
      </cdr:nvSpPr>
      <cdr:spPr>
        <a:xfrm xmlns:a="http://schemas.openxmlformats.org/drawingml/2006/main">
          <a:off x="2646218" y="6165910"/>
          <a:ext cx="908991" cy="921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8991" h="921456">
              <a:moveTo>
                <a:pt x="286854" y="662254"/>
              </a:moveTo>
              <a:lnTo>
                <a:pt x="114897" y="840115"/>
              </a:lnTo>
              <a:lnTo>
                <a:pt x="36258" y="921455"/>
              </a:lnTo>
              <a:lnTo>
                <a:pt x="0" y="921455"/>
              </a:lnTo>
              <a:lnTo>
                <a:pt x="84440" y="834115"/>
              </a:lnTo>
              <a:lnTo>
                <a:pt x="259066" y="653492"/>
              </a:lnTo>
              <a:lnTo>
                <a:pt x="890861" y="0"/>
              </a:lnTo>
              <a:lnTo>
                <a:pt x="9089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0.25021</cdr:y>
    </cdr:from>
    <cdr:to>
      <cdr:x>0.21356</cdr:x>
      <cdr:y>0.37356</cdr:y>
    </cdr:to>
    <cdr:sp macro="" textlink="">
      <cdr:nvSpPr>
        <cdr:cNvPr id="215" name="FracNo 728 StartRow 2499">
          <a:extLst xmlns:a="http://schemas.openxmlformats.org/drawingml/2006/main">
            <a:ext uri="{FF2B5EF4-FFF2-40B4-BE49-F238E27FC236}">
              <a16:creationId xmlns:a16="http://schemas.microsoft.com/office/drawing/2014/main" id="{F6487571-CCA6-C243-524E-AE15FA8C8357}"/>
            </a:ext>
          </a:extLst>
        </cdr:cNvPr>
        <cdr:cNvSpPr/>
      </cdr:nvSpPr>
      <cdr:spPr>
        <a:xfrm xmlns:a="http://schemas.openxmlformats.org/drawingml/2006/main">
          <a:off x="671676" y="1906606"/>
          <a:ext cx="890555" cy="939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0555" h="939890">
              <a:moveTo>
                <a:pt x="133045" y="802275"/>
              </a:moveTo>
              <a:lnTo>
                <a:pt x="32332" y="906447"/>
              </a:lnTo>
              <a:lnTo>
                <a:pt x="0" y="939889"/>
              </a:lnTo>
              <a:lnTo>
                <a:pt x="0" y="902386"/>
              </a:lnTo>
              <a:lnTo>
                <a:pt x="28121" y="873299"/>
              </a:lnTo>
              <a:lnTo>
                <a:pt x="127201" y="770817"/>
              </a:lnTo>
              <a:lnTo>
                <a:pt x="872425" y="0"/>
              </a:lnTo>
              <a:lnTo>
                <a:pt x="8905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0.3221</cdr:x>
      <cdr:y>0.81093</cdr:y>
    </cdr:from>
    <cdr:to>
      <cdr:x>0.44459</cdr:x>
      <cdr:y>0.9301</cdr:y>
    </cdr:to>
    <cdr:sp macro="" textlink="">
      <cdr:nvSpPr>
        <cdr:cNvPr id="216" name="FracNo 115 StartRow 2510">
          <a:extLst xmlns:a="http://schemas.openxmlformats.org/drawingml/2006/main">
            <a:ext uri="{FF2B5EF4-FFF2-40B4-BE49-F238E27FC236}">
              <a16:creationId xmlns:a16="http://schemas.microsoft.com/office/drawing/2014/main" id="{B57C2F0D-BAEA-02E3-11FB-E5814C7DE80B}"/>
            </a:ext>
          </a:extLst>
        </cdr:cNvPr>
        <cdr:cNvSpPr/>
      </cdr:nvSpPr>
      <cdr:spPr>
        <a:xfrm xmlns:a="http://schemas.openxmlformats.org/drawingml/2006/main">
          <a:off x="2356192" y="6179297"/>
          <a:ext cx="896049" cy="908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6049" h="908069">
              <a:moveTo>
                <a:pt x="837687" y="41613"/>
              </a:moveTo>
              <a:lnTo>
                <a:pt x="375628" y="519541"/>
              </a:lnTo>
              <a:lnTo>
                <a:pt x="0" y="908068"/>
              </a:lnTo>
              <a:lnTo>
                <a:pt x="36259" y="908068"/>
              </a:lnTo>
              <a:lnTo>
                <a:pt x="403761" y="527945"/>
              </a:lnTo>
              <a:lnTo>
                <a:pt x="856618" y="59536"/>
              </a:lnTo>
              <a:lnTo>
                <a:pt x="896048" y="18752"/>
              </a:lnTo>
              <a:lnTo>
                <a:pt x="8779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0.40756</cdr:x>
      <cdr:y>0.81312</cdr:y>
    </cdr:from>
    <cdr:to>
      <cdr:x>0.52785</cdr:x>
      <cdr:y>0.9301</cdr:y>
    </cdr:to>
    <cdr:sp macro="" textlink="">
      <cdr:nvSpPr>
        <cdr:cNvPr id="217" name="FracNo 120 StartRow 2521">
          <a:extLst xmlns:a="http://schemas.openxmlformats.org/drawingml/2006/main">
            <a:ext uri="{FF2B5EF4-FFF2-40B4-BE49-F238E27FC236}">
              <a16:creationId xmlns:a16="http://schemas.microsoft.com/office/drawing/2014/main" id="{877E0D66-5747-A947-F0A7-7444FC9BBD94}"/>
            </a:ext>
          </a:extLst>
        </cdr:cNvPr>
        <cdr:cNvSpPr/>
      </cdr:nvSpPr>
      <cdr:spPr>
        <a:xfrm xmlns:a="http://schemas.openxmlformats.org/drawingml/2006/main">
          <a:off x="2981384" y="6195945"/>
          <a:ext cx="879953" cy="891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9953" h="891421">
              <a:moveTo>
                <a:pt x="737888" y="128192"/>
              </a:moveTo>
              <a:lnTo>
                <a:pt x="0" y="891420"/>
              </a:lnTo>
              <a:lnTo>
                <a:pt x="36259" y="891420"/>
              </a:lnTo>
              <a:lnTo>
                <a:pt x="758625" y="144247"/>
              </a:lnTo>
              <a:lnTo>
                <a:pt x="879952" y="18752"/>
              </a:lnTo>
              <a:lnTo>
                <a:pt x="8618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0.55684</cdr:x>
      <cdr:y>0.81458</cdr:y>
    </cdr:from>
    <cdr:to>
      <cdr:x>0.67566</cdr:x>
      <cdr:y>0.9301</cdr:y>
    </cdr:to>
    <cdr:sp macro="" textlink="">
      <cdr:nvSpPr>
        <cdr:cNvPr id="218" name="FracNo 352 StartRow 2530">
          <a:extLst xmlns:a="http://schemas.openxmlformats.org/drawingml/2006/main">
            <a:ext uri="{FF2B5EF4-FFF2-40B4-BE49-F238E27FC236}">
              <a16:creationId xmlns:a16="http://schemas.microsoft.com/office/drawing/2014/main" id="{A24868A4-3EE9-E352-41E9-342F29C75B10}"/>
            </a:ext>
          </a:extLst>
        </cdr:cNvPr>
        <cdr:cNvSpPr/>
      </cdr:nvSpPr>
      <cdr:spPr>
        <a:xfrm xmlns:a="http://schemas.openxmlformats.org/drawingml/2006/main">
          <a:off x="4073419" y="6207106"/>
          <a:ext cx="869163" cy="880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9163" h="880260">
              <a:moveTo>
                <a:pt x="806432" y="46132"/>
              </a:moveTo>
              <a:lnTo>
                <a:pt x="736828" y="118127"/>
              </a:lnTo>
              <a:lnTo>
                <a:pt x="0" y="880259"/>
              </a:lnTo>
              <a:lnTo>
                <a:pt x="36258" y="880259"/>
              </a:lnTo>
              <a:lnTo>
                <a:pt x="756528" y="135254"/>
              </a:lnTo>
              <a:lnTo>
                <a:pt x="825175" y="64249"/>
              </a:lnTo>
              <a:lnTo>
                <a:pt x="869162" y="18752"/>
              </a:lnTo>
              <a:lnTo>
                <a:pt x="8510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0.33023</cdr:x>
      <cdr:y>0.81497</cdr:y>
    </cdr:from>
    <cdr:to>
      <cdr:x>0.44866</cdr:x>
      <cdr:y>0.9301</cdr:y>
    </cdr:to>
    <cdr:sp macro="" textlink="">
      <cdr:nvSpPr>
        <cdr:cNvPr id="219" name="FracNo 111 StartRow 2541">
          <a:extLst xmlns:a="http://schemas.openxmlformats.org/drawingml/2006/main">
            <a:ext uri="{FF2B5EF4-FFF2-40B4-BE49-F238E27FC236}">
              <a16:creationId xmlns:a16="http://schemas.microsoft.com/office/drawing/2014/main" id="{270CAEF3-7AFE-95B5-9C73-05306986475D}"/>
            </a:ext>
          </a:extLst>
        </cdr:cNvPr>
        <cdr:cNvSpPr/>
      </cdr:nvSpPr>
      <cdr:spPr>
        <a:xfrm xmlns:a="http://schemas.openxmlformats.org/drawingml/2006/main">
          <a:off x="2415725" y="6210085"/>
          <a:ext cx="866282" cy="877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6282" h="877281">
              <a:moveTo>
                <a:pt x="672131" y="182067"/>
              </a:moveTo>
              <a:lnTo>
                <a:pt x="316288" y="550130"/>
              </a:lnTo>
              <a:lnTo>
                <a:pt x="0" y="877280"/>
              </a:lnTo>
              <a:lnTo>
                <a:pt x="36258" y="877280"/>
              </a:lnTo>
              <a:lnTo>
                <a:pt x="344035" y="558934"/>
              </a:lnTo>
              <a:lnTo>
                <a:pt x="693443" y="197526"/>
              </a:lnTo>
              <a:lnTo>
                <a:pt x="866281" y="18752"/>
              </a:lnTo>
              <a:lnTo>
                <a:pt x="8481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0.47818</cdr:x>
      <cdr:y>0.24221</cdr:y>
    </cdr:from>
    <cdr:to>
      <cdr:x>0.59524</cdr:x>
      <cdr:y>0.35844</cdr:y>
    </cdr:to>
    <cdr:sp macro="" textlink="">
      <cdr:nvSpPr>
        <cdr:cNvPr id="220" name="FracNo 746 StartRow 2552">
          <a:extLst xmlns:a="http://schemas.openxmlformats.org/drawingml/2006/main">
            <a:ext uri="{FF2B5EF4-FFF2-40B4-BE49-F238E27FC236}">
              <a16:creationId xmlns:a16="http://schemas.microsoft.com/office/drawing/2014/main" id="{7B49AC6C-A745-9E5C-9702-C5A3D02ECB46}"/>
            </a:ext>
          </a:extLst>
        </cdr:cNvPr>
        <cdr:cNvSpPr/>
      </cdr:nvSpPr>
      <cdr:spPr>
        <a:xfrm xmlns:a="http://schemas.openxmlformats.org/drawingml/2006/main">
          <a:off x="3498013" y="1845647"/>
          <a:ext cx="856289" cy="885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289" h="885696">
              <a:moveTo>
                <a:pt x="65349" y="799349"/>
              </a:moveTo>
              <a:lnTo>
                <a:pt x="0" y="866943"/>
              </a:lnTo>
              <a:lnTo>
                <a:pt x="18129" y="885695"/>
              </a:lnTo>
              <a:lnTo>
                <a:pt x="83478" y="818101"/>
              </a:lnTo>
              <a:lnTo>
                <a:pt x="856288" y="18752"/>
              </a:lnTo>
              <a:lnTo>
                <a:pt x="8381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0.55321</cdr:x>
      <cdr:y>0.2235</cdr:y>
    </cdr:from>
    <cdr:to>
      <cdr:x>0.66721</cdr:x>
      <cdr:y>0.33671</cdr:y>
    </cdr:to>
    <cdr:sp macro="" textlink="">
      <cdr:nvSpPr>
        <cdr:cNvPr id="221" name="FracNo 257 StartRow 2561">
          <a:extLst xmlns:a="http://schemas.openxmlformats.org/drawingml/2006/main">
            <a:ext uri="{FF2B5EF4-FFF2-40B4-BE49-F238E27FC236}">
              <a16:creationId xmlns:a16="http://schemas.microsoft.com/office/drawing/2014/main" id="{BE739931-DA4D-E9B5-FC7C-8108A58251B8}"/>
            </a:ext>
          </a:extLst>
        </cdr:cNvPr>
        <cdr:cNvSpPr/>
      </cdr:nvSpPr>
      <cdr:spPr>
        <a:xfrm xmlns:a="http://schemas.openxmlformats.org/drawingml/2006/main">
          <a:off x="4046836" y="1703103"/>
          <a:ext cx="833960" cy="862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3960" h="862601">
              <a:moveTo>
                <a:pt x="215100" y="640112"/>
              </a:moveTo>
              <a:lnTo>
                <a:pt x="0" y="862600"/>
              </a:lnTo>
              <a:lnTo>
                <a:pt x="0" y="862600"/>
              </a:lnTo>
              <a:lnTo>
                <a:pt x="215100" y="640112"/>
              </a:lnTo>
              <a:lnTo>
                <a:pt x="773261" y="62783"/>
              </a:lnTo>
              <a:lnTo>
                <a:pt x="833959" y="0"/>
              </a:lnTo>
              <a:lnTo>
                <a:pt x="833959" y="0"/>
              </a:lnTo>
              <a:lnTo>
                <a:pt x="773261" y="627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0.62367</cdr:x>
      <cdr:y>0.13555</cdr:y>
    </cdr:from>
    <cdr:to>
      <cdr:x>0.73656</cdr:x>
      <cdr:y>0.24765</cdr:y>
    </cdr:to>
    <cdr:sp macro="" textlink="">
      <cdr:nvSpPr>
        <cdr:cNvPr id="222" name="FracNo 175 StartRow 2572">
          <a:extLst xmlns:a="http://schemas.openxmlformats.org/drawingml/2006/main">
            <a:ext uri="{FF2B5EF4-FFF2-40B4-BE49-F238E27FC236}">
              <a16:creationId xmlns:a16="http://schemas.microsoft.com/office/drawing/2014/main" id="{56F8D3B5-96F7-3201-F35E-E30A048176FA}"/>
            </a:ext>
          </a:extLst>
        </cdr:cNvPr>
        <cdr:cNvSpPr/>
      </cdr:nvSpPr>
      <cdr:spPr>
        <a:xfrm xmlns:a="http://schemas.openxmlformats.org/drawingml/2006/main">
          <a:off x="4562273" y="1032924"/>
          <a:ext cx="825830" cy="854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5830" h="854190">
              <a:moveTo>
                <a:pt x="438201" y="400940"/>
              </a:moveTo>
              <a:lnTo>
                <a:pt x="257824" y="587512"/>
              </a:lnTo>
              <a:lnTo>
                <a:pt x="0" y="854189"/>
              </a:lnTo>
              <a:lnTo>
                <a:pt x="0" y="854189"/>
              </a:lnTo>
              <a:lnTo>
                <a:pt x="257824" y="587512"/>
              </a:lnTo>
              <a:lnTo>
                <a:pt x="438201" y="400940"/>
              </a:lnTo>
              <a:lnTo>
                <a:pt x="825829" y="0"/>
              </a:lnTo>
              <a:lnTo>
                <a:pt x="8258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0.25616</cdr:x>
      <cdr:y>0.50749</cdr:y>
    </cdr:from>
    <cdr:to>
      <cdr:x>0.37112</cdr:x>
      <cdr:y>0.62164</cdr:y>
    </cdr:to>
    <cdr:sp macro="" textlink="">
      <cdr:nvSpPr>
        <cdr:cNvPr id="223" name="FracNo 680 StartRow 2583">
          <a:extLst xmlns:a="http://schemas.openxmlformats.org/drawingml/2006/main">
            <a:ext uri="{FF2B5EF4-FFF2-40B4-BE49-F238E27FC236}">
              <a16:creationId xmlns:a16="http://schemas.microsoft.com/office/drawing/2014/main" id="{476CF635-6232-2997-D49D-A5D6BB314010}"/>
            </a:ext>
          </a:extLst>
        </cdr:cNvPr>
        <cdr:cNvSpPr/>
      </cdr:nvSpPr>
      <cdr:spPr>
        <a:xfrm xmlns:a="http://schemas.openxmlformats.org/drawingml/2006/main">
          <a:off x="1873857" y="3867063"/>
          <a:ext cx="840943" cy="8698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0943" h="869822">
              <a:moveTo>
                <a:pt x="126561" y="757666"/>
              </a:moveTo>
              <a:lnTo>
                <a:pt x="18130" y="869821"/>
              </a:lnTo>
              <a:lnTo>
                <a:pt x="0" y="851069"/>
              </a:lnTo>
              <a:lnTo>
                <a:pt x="108432" y="738914"/>
              </a:lnTo>
              <a:lnTo>
                <a:pt x="822813" y="0"/>
              </a:lnTo>
              <a:lnTo>
                <a:pt x="84094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0.25237</cdr:x>
      <cdr:y>0.50373</cdr:y>
    </cdr:from>
    <cdr:to>
      <cdr:x>0.36485</cdr:x>
      <cdr:y>0.61542</cdr:y>
    </cdr:to>
    <cdr:sp macro="" textlink="">
      <cdr:nvSpPr>
        <cdr:cNvPr id="224" name="FracNo 641 StartRow 2592">
          <a:extLst xmlns:a="http://schemas.openxmlformats.org/drawingml/2006/main">
            <a:ext uri="{FF2B5EF4-FFF2-40B4-BE49-F238E27FC236}">
              <a16:creationId xmlns:a16="http://schemas.microsoft.com/office/drawing/2014/main" id="{D049CDC1-A613-3557-8C50-22E3E6D0D9BF}"/>
            </a:ext>
          </a:extLst>
        </cdr:cNvPr>
        <cdr:cNvSpPr/>
      </cdr:nvSpPr>
      <cdr:spPr>
        <a:xfrm xmlns:a="http://schemas.openxmlformats.org/drawingml/2006/main">
          <a:off x="1846150" y="3838404"/>
          <a:ext cx="822813" cy="8510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813" h="851070">
              <a:moveTo>
                <a:pt x="693868" y="133372"/>
              </a:moveTo>
              <a:lnTo>
                <a:pt x="0" y="851069"/>
              </a:lnTo>
              <a:lnTo>
                <a:pt x="0" y="851069"/>
              </a:lnTo>
              <a:lnTo>
                <a:pt x="693868" y="133372"/>
              </a:lnTo>
              <a:lnTo>
                <a:pt x="822812" y="0"/>
              </a:lnTo>
              <a:lnTo>
                <a:pt x="8228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0.08544</cdr:y>
    </cdr:from>
    <cdr:to>
      <cdr:x>0.58666</cdr:x>
      <cdr:y>0.19446</cdr:y>
    </cdr:to>
    <cdr:sp macro="" textlink="">
      <cdr:nvSpPr>
        <cdr:cNvPr id="225" name="FracNo 249 StartRow 2601">
          <a:extLst xmlns:a="http://schemas.openxmlformats.org/drawingml/2006/main">
            <a:ext uri="{FF2B5EF4-FFF2-40B4-BE49-F238E27FC236}">
              <a16:creationId xmlns:a16="http://schemas.microsoft.com/office/drawing/2014/main" id="{F9525ADB-0FF9-00C7-E7B2-898DBE8508AC}"/>
            </a:ext>
          </a:extLst>
        </cdr:cNvPr>
        <cdr:cNvSpPr/>
      </cdr:nvSpPr>
      <cdr:spPr>
        <a:xfrm xmlns:a="http://schemas.openxmlformats.org/drawingml/2006/main">
          <a:off x="3488378" y="651036"/>
          <a:ext cx="803178" cy="830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3178" h="830761">
              <a:moveTo>
                <a:pt x="238507" y="584063"/>
              </a:moveTo>
              <a:lnTo>
                <a:pt x="0" y="830760"/>
              </a:lnTo>
              <a:lnTo>
                <a:pt x="0" y="830760"/>
              </a:lnTo>
              <a:lnTo>
                <a:pt x="238507" y="584063"/>
              </a:lnTo>
              <a:lnTo>
                <a:pt x="803177" y="0"/>
              </a:lnTo>
              <a:lnTo>
                <a:pt x="8031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0.11675</cdr:x>
      <cdr:y>0.68918</cdr:y>
    </cdr:from>
    <cdr:to>
      <cdr:x>0.22634</cdr:x>
      <cdr:y>0.79799</cdr:y>
    </cdr:to>
    <cdr:sp macro="" textlink="">
      <cdr:nvSpPr>
        <cdr:cNvPr id="226" name="FracNo 10 StartRow 2610">
          <a:extLst xmlns:a="http://schemas.openxmlformats.org/drawingml/2006/main">
            <a:ext uri="{FF2B5EF4-FFF2-40B4-BE49-F238E27FC236}">
              <a16:creationId xmlns:a16="http://schemas.microsoft.com/office/drawing/2014/main" id="{3405CB0E-4C1B-F99A-E028-03BF090AF155}"/>
            </a:ext>
          </a:extLst>
        </cdr:cNvPr>
        <cdr:cNvSpPr/>
      </cdr:nvSpPr>
      <cdr:spPr>
        <a:xfrm xmlns:a="http://schemas.openxmlformats.org/drawingml/2006/main">
          <a:off x="854059" y="5251520"/>
          <a:ext cx="801649" cy="829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1649" h="829179">
              <a:moveTo>
                <a:pt x="579188" y="230099"/>
              </a:moveTo>
              <a:lnTo>
                <a:pt x="0" y="829178"/>
              </a:lnTo>
              <a:lnTo>
                <a:pt x="0" y="829178"/>
              </a:lnTo>
              <a:lnTo>
                <a:pt x="579188" y="230099"/>
              </a:lnTo>
              <a:lnTo>
                <a:pt x="801648" y="0"/>
              </a:lnTo>
              <a:lnTo>
                <a:pt x="8016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0.202</cdr:x>
      <cdr:y>0.19484</cdr:y>
    </cdr:to>
    <cdr:sp macro="" textlink="">
      <cdr:nvSpPr>
        <cdr:cNvPr id="227" name="FracNo 599 StartRow 2619">
          <a:extLst xmlns:a="http://schemas.openxmlformats.org/drawingml/2006/main">
            <a:ext uri="{FF2B5EF4-FFF2-40B4-BE49-F238E27FC236}">
              <a16:creationId xmlns:a16="http://schemas.microsoft.com/office/drawing/2014/main" id="{1D9019C3-7A34-B0E0-1DCF-F711DB620C16}"/>
            </a:ext>
          </a:extLst>
        </cdr:cNvPr>
        <cdr:cNvSpPr/>
      </cdr:nvSpPr>
      <cdr:spPr>
        <a:xfrm xmlns:a="http://schemas.openxmlformats.org/drawingml/2006/main">
          <a:off x="671676" y="651036"/>
          <a:ext cx="806000" cy="8336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6000" h="833679">
              <a:moveTo>
                <a:pt x="470972" y="309029"/>
              </a:moveTo>
              <a:lnTo>
                <a:pt x="0" y="796175"/>
              </a:lnTo>
              <a:lnTo>
                <a:pt x="0" y="833678"/>
              </a:lnTo>
              <a:lnTo>
                <a:pt x="493157" y="323586"/>
              </a:lnTo>
              <a:lnTo>
                <a:pt x="805999" y="0"/>
              </a:lnTo>
              <a:lnTo>
                <a:pt x="7697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0.83385</cdr:x>
      <cdr:y>0.24671</cdr:y>
    </cdr:from>
    <cdr:to>
      <cdr:x>0.94246</cdr:x>
      <cdr:y>0.35702</cdr:y>
    </cdr:to>
    <cdr:sp macro="" textlink="">
      <cdr:nvSpPr>
        <cdr:cNvPr id="228" name="FracNo 199 StartRow 2628">
          <a:extLst xmlns:a="http://schemas.openxmlformats.org/drawingml/2006/main">
            <a:ext uri="{FF2B5EF4-FFF2-40B4-BE49-F238E27FC236}">
              <a16:creationId xmlns:a16="http://schemas.microsoft.com/office/drawing/2014/main" id="{CD15AD99-051B-0AE5-35A3-343608329D0C}"/>
            </a:ext>
          </a:extLst>
        </cdr:cNvPr>
        <cdr:cNvSpPr/>
      </cdr:nvSpPr>
      <cdr:spPr>
        <a:xfrm xmlns:a="http://schemas.openxmlformats.org/drawingml/2006/main">
          <a:off x="6099796" y="1879912"/>
          <a:ext cx="794512" cy="8405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512" h="840549">
              <a:moveTo>
                <a:pt x="449148" y="357224"/>
              </a:moveTo>
              <a:lnTo>
                <a:pt x="0" y="821796"/>
              </a:lnTo>
              <a:lnTo>
                <a:pt x="18129" y="840548"/>
              </a:lnTo>
              <a:lnTo>
                <a:pt x="457029" y="386576"/>
              </a:lnTo>
              <a:lnTo>
                <a:pt x="794511" y="37503"/>
              </a:lnTo>
              <a:lnTo>
                <a:pt x="7945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0.27151</cdr:x>
      <cdr:y>0.82405</cdr:y>
    </cdr:from>
    <cdr:to>
      <cdr:x>0.3783</cdr:x>
      <cdr:y>0.9301</cdr:y>
    </cdr:to>
    <cdr:sp macro="" textlink="">
      <cdr:nvSpPr>
        <cdr:cNvPr id="229" name="FracNo 1 StartRow 2637">
          <a:extLst xmlns:a="http://schemas.openxmlformats.org/drawingml/2006/main">
            <a:ext uri="{FF2B5EF4-FFF2-40B4-BE49-F238E27FC236}">
              <a16:creationId xmlns:a16="http://schemas.microsoft.com/office/drawing/2014/main" id="{7521E980-DB6C-7156-2DD1-3A9B3A8A5CED}"/>
            </a:ext>
          </a:extLst>
        </cdr:cNvPr>
        <cdr:cNvSpPr/>
      </cdr:nvSpPr>
      <cdr:spPr>
        <a:xfrm xmlns:a="http://schemas.openxmlformats.org/drawingml/2006/main">
          <a:off x="1986118" y="6279287"/>
          <a:ext cx="781250" cy="808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1250" h="808079">
              <a:moveTo>
                <a:pt x="397671" y="396750"/>
              </a:moveTo>
              <a:lnTo>
                <a:pt x="0" y="808078"/>
              </a:lnTo>
              <a:lnTo>
                <a:pt x="0" y="808078"/>
              </a:lnTo>
              <a:lnTo>
                <a:pt x="397671" y="396750"/>
              </a:lnTo>
              <a:lnTo>
                <a:pt x="759768" y="22218"/>
              </a:lnTo>
              <a:lnTo>
                <a:pt x="781249" y="0"/>
              </a:lnTo>
              <a:lnTo>
                <a:pt x="781249" y="0"/>
              </a:lnTo>
              <a:lnTo>
                <a:pt x="759768" y="222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0.61646</cdr:x>
      <cdr:y>0.66969</cdr:y>
    </cdr:from>
    <cdr:to>
      <cdr:x>0.72148</cdr:x>
      <cdr:y>0.77397</cdr:y>
    </cdr:to>
    <cdr:sp macro="" textlink="">
      <cdr:nvSpPr>
        <cdr:cNvPr id="230" name="FracNo 340 StartRow 2648">
          <a:extLst xmlns:a="http://schemas.openxmlformats.org/drawingml/2006/main">
            <a:ext uri="{FF2B5EF4-FFF2-40B4-BE49-F238E27FC236}">
              <a16:creationId xmlns:a16="http://schemas.microsoft.com/office/drawing/2014/main" id="{FAB7A5DF-6BB3-888C-B3E0-34632A1E4F0E}"/>
            </a:ext>
          </a:extLst>
        </cdr:cNvPr>
        <cdr:cNvSpPr/>
      </cdr:nvSpPr>
      <cdr:spPr>
        <a:xfrm xmlns:a="http://schemas.openxmlformats.org/drawingml/2006/main">
          <a:off x="4509537" y="5103010"/>
          <a:ext cx="768262" cy="794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8262" h="794646">
              <a:moveTo>
                <a:pt x="653234" y="118977"/>
              </a:moveTo>
              <a:lnTo>
                <a:pt x="310560" y="473419"/>
              </a:lnTo>
              <a:lnTo>
                <a:pt x="0" y="794645"/>
              </a:lnTo>
              <a:lnTo>
                <a:pt x="0" y="794645"/>
              </a:lnTo>
              <a:lnTo>
                <a:pt x="310560" y="473419"/>
              </a:lnTo>
              <a:lnTo>
                <a:pt x="653234" y="118977"/>
              </a:lnTo>
              <a:lnTo>
                <a:pt x="768261" y="0"/>
              </a:lnTo>
              <a:lnTo>
                <a:pt x="7682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0.46482</cdr:x>
      <cdr:y>0.1872</cdr:y>
    </cdr:from>
    <cdr:to>
      <cdr:x>0.56962</cdr:x>
      <cdr:y>0.29126</cdr:y>
    </cdr:to>
    <cdr:sp macro="" textlink="">
      <cdr:nvSpPr>
        <cdr:cNvPr id="231" name="FracNo 259 StartRow 2659">
          <a:extLst xmlns:a="http://schemas.openxmlformats.org/drawingml/2006/main">
            <a:ext uri="{FF2B5EF4-FFF2-40B4-BE49-F238E27FC236}">
              <a16:creationId xmlns:a16="http://schemas.microsoft.com/office/drawing/2014/main" id="{E2646456-0F94-776B-6AEB-298FE8D65C45}"/>
            </a:ext>
          </a:extLst>
        </cdr:cNvPr>
        <cdr:cNvSpPr/>
      </cdr:nvSpPr>
      <cdr:spPr>
        <a:xfrm xmlns:a="http://schemas.openxmlformats.org/drawingml/2006/main">
          <a:off x="3400277" y="1426485"/>
          <a:ext cx="766622" cy="792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622" h="792949">
              <a:moveTo>
                <a:pt x="463867" y="313150"/>
              </a:moveTo>
              <a:lnTo>
                <a:pt x="0" y="792948"/>
              </a:lnTo>
              <a:lnTo>
                <a:pt x="0" y="792948"/>
              </a:lnTo>
              <a:lnTo>
                <a:pt x="463867" y="313150"/>
              </a:lnTo>
              <a:lnTo>
                <a:pt x="766621" y="0"/>
              </a:lnTo>
              <a:lnTo>
                <a:pt x="7666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0.83782</cdr:x>
      <cdr:y>0.15252</cdr:y>
    </cdr:from>
    <cdr:to>
      <cdr:x>0.94246</cdr:x>
      <cdr:y>0.25643</cdr:y>
    </cdr:to>
    <cdr:sp macro="" textlink="">
      <cdr:nvSpPr>
        <cdr:cNvPr id="232" name="FracNo 750 StartRow 2668">
          <a:extLst xmlns:a="http://schemas.openxmlformats.org/drawingml/2006/main">
            <a:ext uri="{FF2B5EF4-FFF2-40B4-BE49-F238E27FC236}">
              <a16:creationId xmlns:a16="http://schemas.microsoft.com/office/drawing/2014/main" id="{CB02222E-AB48-D2A7-3B65-F0670A866F4A}"/>
            </a:ext>
          </a:extLst>
        </cdr:cNvPr>
        <cdr:cNvSpPr/>
      </cdr:nvSpPr>
      <cdr:spPr>
        <a:xfrm xmlns:a="http://schemas.openxmlformats.org/drawingml/2006/main">
          <a:off x="6128803" y="1162213"/>
          <a:ext cx="765505" cy="791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5505" h="791795">
              <a:moveTo>
                <a:pt x="219139" y="565128"/>
              </a:moveTo>
              <a:lnTo>
                <a:pt x="0" y="791794"/>
              </a:lnTo>
              <a:lnTo>
                <a:pt x="0" y="791794"/>
              </a:lnTo>
              <a:lnTo>
                <a:pt x="219139" y="565128"/>
              </a:lnTo>
              <a:lnTo>
                <a:pt x="765504" y="0"/>
              </a:lnTo>
              <a:lnTo>
                <a:pt x="7655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0.19638</cdr:x>
      <cdr:y>0.18926</cdr:y>
    </cdr:to>
    <cdr:sp macro="" textlink="">
      <cdr:nvSpPr>
        <cdr:cNvPr id="233" name="FracNo 567 StartRow 2677">
          <a:extLst xmlns:a="http://schemas.openxmlformats.org/drawingml/2006/main">
            <a:ext uri="{FF2B5EF4-FFF2-40B4-BE49-F238E27FC236}">
              <a16:creationId xmlns:a16="http://schemas.microsoft.com/office/drawing/2014/main" id="{62D20853-75AB-5AD1-A206-0681A8C9FEF7}"/>
            </a:ext>
          </a:extLst>
        </cdr:cNvPr>
        <cdr:cNvSpPr/>
      </cdr:nvSpPr>
      <cdr:spPr>
        <a:xfrm xmlns:a="http://schemas.openxmlformats.org/drawingml/2006/main">
          <a:off x="671676" y="651036"/>
          <a:ext cx="764871" cy="7911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4871" h="791138">
              <a:moveTo>
                <a:pt x="58888" y="730226"/>
              </a:moveTo>
              <a:lnTo>
                <a:pt x="0" y="791137"/>
              </a:lnTo>
              <a:lnTo>
                <a:pt x="0" y="791137"/>
              </a:lnTo>
              <a:lnTo>
                <a:pt x="58888" y="730226"/>
              </a:lnTo>
              <a:lnTo>
                <a:pt x="764870" y="0"/>
              </a:lnTo>
              <a:lnTo>
                <a:pt x="7648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0.47029</cdr:x>
      <cdr:y>0.08544</cdr:y>
    </cdr:from>
    <cdr:to>
      <cdr:x>0.57846</cdr:x>
      <cdr:y>0.19039</cdr:y>
    </cdr:to>
    <cdr:sp macro="" textlink="">
      <cdr:nvSpPr>
        <cdr:cNvPr id="234" name="FracNo 264 StartRow 2686">
          <a:extLst xmlns:a="http://schemas.openxmlformats.org/drawingml/2006/main">
            <a:ext uri="{FF2B5EF4-FFF2-40B4-BE49-F238E27FC236}">
              <a16:creationId xmlns:a16="http://schemas.microsoft.com/office/drawing/2014/main" id="{09833E54-1CA9-5542-090F-BF0B22C6AB38}"/>
            </a:ext>
          </a:extLst>
        </cdr:cNvPr>
        <cdr:cNvSpPr/>
      </cdr:nvSpPr>
      <cdr:spPr>
        <a:xfrm xmlns:a="http://schemas.openxmlformats.org/drawingml/2006/main">
          <a:off x="3440240" y="651036"/>
          <a:ext cx="791299" cy="7997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1299" h="799722">
              <a:moveTo>
                <a:pt x="529113" y="233686"/>
              </a:moveTo>
              <a:lnTo>
                <a:pt x="0" y="780969"/>
              </a:lnTo>
              <a:lnTo>
                <a:pt x="18130" y="799721"/>
              </a:lnTo>
              <a:lnTo>
                <a:pt x="559946" y="239297"/>
              </a:lnTo>
              <a:lnTo>
                <a:pt x="791298" y="0"/>
              </a:lnTo>
              <a:lnTo>
                <a:pt x="7550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0.19269</cdr:x>
      <cdr:y>0.82537</cdr:y>
    </cdr:from>
    <cdr:to>
      <cdr:x>0.30064</cdr:x>
      <cdr:y>0.9301</cdr:y>
    </cdr:to>
    <cdr:sp macro="" textlink="">
      <cdr:nvSpPr>
        <cdr:cNvPr id="235" name="FracNo 28 StartRow 2695">
          <a:extLst xmlns:a="http://schemas.openxmlformats.org/drawingml/2006/main">
            <a:ext uri="{FF2B5EF4-FFF2-40B4-BE49-F238E27FC236}">
              <a16:creationId xmlns:a16="http://schemas.microsoft.com/office/drawing/2014/main" id="{84188932-F032-9576-D524-DDCFEE41A02A}"/>
            </a:ext>
          </a:extLst>
        </cdr:cNvPr>
        <cdr:cNvSpPr/>
      </cdr:nvSpPr>
      <cdr:spPr>
        <a:xfrm xmlns:a="http://schemas.openxmlformats.org/drawingml/2006/main">
          <a:off x="1409560" y="6289316"/>
          <a:ext cx="789683" cy="798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9683" h="798050">
              <a:moveTo>
                <a:pt x="476094" y="305605"/>
              </a:moveTo>
              <a:lnTo>
                <a:pt x="0" y="798049"/>
              </a:lnTo>
              <a:lnTo>
                <a:pt x="36259" y="798049"/>
              </a:lnTo>
              <a:lnTo>
                <a:pt x="501166" y="317176"/>
              </a:lnTo>
              <a:lnTo>
                <a:pt x="789682" y="18752"/>
              </a:lnTo>
              <a:lnTo>
                <a:pt x="7715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0.22675</cdr:x>
      <cdr:y>0.58704</cdr:y>
    </cdr:from>
    <cdr:to>
      <cdr:x>0.33003</cdr:x>
      <cdr:y>0.68959</cdr:y>
    </cdr:to>
    <cdr:sp macro="" textlink="">
      <cdr:nvSpPr>
        <cdr:cNvPr id="236" name="FracNo 3 StartRow 2704">
          <a:extLst xmlns:a="http://schemas.openxmlformats.org/drawingml/2006/main">
            <a:ext uri="{FF2B5EF4-FFF2-40B4-BE49-F238E27FC236}">
              <a16:creationId xmlns:a16="http://schemas.microsoft.com/office/drawing/2014/main" id="{A27DF254-76A4-C6E8-CAD5-ED46898D1FBF}"/>
            </a:ext>
          </a:extLst>
        </cdr:cNvPr>
        <cdr:cNvSpPr/>
      </cdr:nvSpPr>
      <cdr:spPr>
        <a:xfrm xmlns:a="http://schemas.openxmlformats.org/drawingml/2006/main">
          <a:off x="1658745" y="4473229"/>
          <a:ext cx="755490" cy="781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5490" h="781434">
              <a:moveTo>
                <a:pt x="212620" y="561512"/>
              </a:moveTo>
              <a:lnTo>
                <a:pt x="0" y="781433"/>
              </a:lnTo>
              <a:lnTo>
                <a:pt x="0" y="781433"/>
              </a:lnTo>
              <a:lnTo>
                <a:pt x="212620" y="561512"/>
              </a:lnTo>
              <a:lnTo>
                <a:pt x="302357" y="468693"/>
              </a:lnTo>
              <a:lnTo>
                <a:pt x="755489" y="0"/>
              </a:lnTo>
              <a:lnTo>
                <a:pt x="755489" y="0"/>
              </a:lnTo>
              <a:lnTo>
                <a:pt x="302357" y="4686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0.44622</cdr:x>
      <cdr:y>0.33302</cdr:y>
    </cdr:from>
    <cdr:to>
      <cdr:x>0.5495</cdr:x>
      <cdr:y>0.43557</cdr:y>
    </cdr:to>
    <cdr:sp macro="" textlink="">
      <cdr:nvSpPr>
        <cdr:cNvPr id="237" name="FracNo 242 StartRow 2715">
          <a:extLst xmlns:a="http://schemas.openxmlformats.org/drawingml/2006/main">
            <a:ext uri="{FF2B5EF4-FFF2-40B4-BE49-F238E27FC236}">
              <a16:creationId xmlns:a16="http://schemas.microsoft.com/office/drawing/2014/main" id="{4D559845-FD70-1CE5-4264-A5FCA4B8C4A4}"/>
            </a:ext>
          </a:extLst>
        </cdr:cNvPr>
        <cdr:cNvSpPr/>
      </cdr:nvSpPr>
      <cdr:spPr>
        <a:xfrm xmlns:a="http://schemas.openxmlformats.org/drawingml/2006/main">
          <a:off x="3264215" y="2537630"/>
          <a:ext cx="755481" cy="7814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5481" h="781427">
              <a:moveTo>
                <a:pt x="533021" y="230100"/>
              </a:moveTo>
              <a:lnTo>
                <a:pt x="505226" y="258849"/>
              </a:lnTo>
              <a:lnTo>
                <a:pt x="0" y="781426"/>
              </a:lnTo>
              <a:lnTo>
                <a:pt x="0" y="781426"/>
              </a:lnTo>
              <a:lnTo>
                <a:pt x="505226" y="258849"/>
              </a:lnTo>
              <a:lnTo>
                <a:pt x="533021" y="230100"/>
              </a:lnTo>
              <a:lnTo>
                <a:pt x="755480" y="0"/>
              </a:lnTo>
              <a:lnTo>
                <a:pt x="7554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0.33547</cdr:x>
      <cdr:y>0.65313</cdr:y>
    </cdr:from>
    <cdr:to>
      <cdr:x>0.44081</cdr:x>
      <cdr:y>0.75773</cdr:y>
    </cdr:to>
    <cdr:sp macro="" textlink="">
      <cdr:nvSpPr>
        <cdr:cNvPr id="238" name="FracNo 102 StartRow 2726">
          <a:extLst xmlns:a="http://schemas.openxmlformats.org/drawingml/2006/main">
            <a:ext uri="{FF2B5EF4-FFF2-40B4-BE49-F238E27FC236}">
              <a16:creationId xmlns:a16="http://schemas.microsoft.com/office/drawing/2014/main" id="{5F4A5BFC-A0FB-A9BC-6843-847770D98D32}"/>
            </a:ext>
          </a:extLst>
        </cdr:cNvPr>
        <cdr:cNvSpPr/>
      </cdr:nvSpPr>
      <cdr:spPr>
        <a:xfrm xmlns:a="http://schemas.openxmlformats.org/drawingml/2006/main">
          <a:off x="2454025" y="4976843"/>
          <a:ext cx="770597" cy="797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597" h="797060">
              <a:moveTo>
                <a:pt x="694647" y="97309"/>
              </a:moveTo>
              <a:lnTo>
                <a:pt x="300926" y="504551"/>
              </a:lnTo>
              <a:lnTo>
                <a:pt x="18130" y="797059"/>
              </a:lnTo>
              <a:lnTo>
                <a:pt x="0" y="778308"/>
              </a:lnTo>
              <a:lnTo>
                <a:pt x="282797" y="485799"/>
              </a:lnTo>
              <a:lnTo>
                <a:pt x="676518" y="78557"/>
              </a:lnTo>
              <a:lnTo>
                <a:pt x="752466" y="0"/>
              </a:lnTo>
              <a:lnTo>
                <a:pt x="7705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0.37367</cdr:x>
      <cdr:y>0.52116</cdr:y>
    </cdr:from>
    <cdr:to>
      <cdr:x>0.47636</cdr:x>
      <cdr:y>0.62312</cdr:y>
    </cdr:to>
    <cdr:sp macro="" textlink="">
      <cdr:nvSpPr>
        <cdr:cNvPr id="239" name="FracNo 495 StartRow 2737">
          <a:extLst xmlns:a="http://schemas.openxmlformats.org/drawingml/2006/main">
            <a:ext uri="{FF2B5EF4-FFF2-40B4-BE49-F238E27FC236}">
              <a16:creationId xmlns:a16="http://schemas.microsoft.com/office/drawing/2014/main" id="{D99EF055-60CD-5B58-88B4-A6AC09B92720}"/>
            </a:ext>
          </a:extLst>
        </cdr:cNvPr>
        <cdr:cNvSpPr/>
      </cdr:nvSpPr>
      <cdr:spPr>
        <a:xfrm xmlns:a="http://schemas.openxmlformats.org/drawingml/2006/main">
          <a:off x="2733468" y="3971236"/>
          <a:ext cx="751173" cy="776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1173" h="776969">
              <a:moveTo>
                <a:pt x="483949" y="276400"/>
              </a:moveTo>
              <a:lnTo>
                <a:pt x="12418" y="764123"/>
              </a:lnTo>
              <a:lnTo>
                <a:pt x="0" y="776968"/>
              </a:lnTo>
              <a:lnTo>
                <a:pt x="0" y="776968"/>
              </a:lnTo>
              <a:lnTo>
                <a:pt x="12418" y="764123"/>
              </a:lnTo>
              <a:lnTo>
                <a:pt x="483949" y="276400"/>
              </a:lnTo>
              <a:lnTo>
                <a:pt x="751172" y="0"/>
              </a:lnTo>
              <a:lnTo>
                <a:pt x="7511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0.8398</cdr:x>
      <cdr:y>0.82816</cdr:y>
    </cdr:from>
    <cdr:to>
      <cdr:x>0.94246</cdr:x>
      <cdr:y>0.9301</cdr:y>
    </cdr:to>
    <cdr:sp macro="" textlink="">
      <cdr:nvSpPr>
        <cdr:cNvPr id="240" name="FracNo 321 StartRow 2748">
          <a:extLst xmlns:a="http://schemas.openxmlformats.org/drawingml/2006/main">
            <a:ext uri="{FF2B5EF4-FFF2-40B4-BE49-F238E27FC236}">
              <a16:creationId xmlns:a16="http://schemas.microsoft.com/office/drawing/2014/main" id="{16787D85-A4C0-92D3-26AA-005EE056DCB2}"/>
            </a:ext>
          </a:extLst>
        </cdr:cNvPr>
        <cdr:cNvSpPr/>
      </cdr:nvSpPr>
      <cdr:spPr>
        <a:xfrm xmlns:a="http://schemas.openxmlformats.org/drawingml/2006/main">
          <a:off x="6143341" y="6310609"/>
          <a:ext cx="750967" cy="776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0967" h="776757">
              <a:moveTo>
                <a:pt x="521766" y="237071"/>
              </a:moveTo>
              <a:lnTo>
                <a:pt x="0" y="776756"/>
              </a:lnTo>
              <a:lnTo>
                <a:pt x="0" y="776756"/>
              </a:lnTo>
              <a:lnTo>
                <a:pt x="521766" y="237071"/>
              </a:lnTo>
              <a:lnTo>
                <a:pt x="750966" y="0"/>
              </a:lnTo>
              <a:lnTo>
                <a:pt x="7509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0.84077</cdr:x>
      <cdr:y>0.31392</cdr:y>
    </cdr:from>
    <cdr:to>
      <cdr:x>0.94246</cdr:x>
      <cdr:y>0.4149</cdr:y>
    </cdr:to>
    <cdr:sp macro="" textlink="">
      <cdr:nvSpPr>
        <cdr:cNvPr id="241" name="FracNo 162 StartRow 2757">
          <a:extLst xmlns:a="http://schemas.openxmlformats.org/drawingml/2006/main">
            <a:ext uri="{FF2B5EF4-FFF2-40B4-BE49-F238E27FC236}">
              <a16:creationId xmlns:a16="http://schemas.microsoft.com/office/drawing/2014/main" id="{AF2B0B4D-3522-93E1-171D-83CCB682962B}"/>
            </a:ext>
          </a:extLst>
        </cdr:cNvPr>
        <cdr:cNvSpPr/>
      </cdr:nvSpPr>
      <cdr:spPr>
        <a:xfrm xmlns:a="http://schemas.openxmlformats.org/drawingml/2006/main">
          <a:off x="6150370" y="2392051"/>
          <a:ext cx="743938" cy="769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3938" h="769487">
              <a:moveTo>
                <a:pt x="439332" y="315066"/>
              </a:moveTo>
              <a:lnTo>
                <a:pt x="352937" y="404428"/>
              </a:lnTo>
              <a:lnTo>
                <a:pt x="0" y="769486"/>
              </a:lnTo>
              <a:lnTo>
                <a:pt x="0" y="769486"/>
              </a:lnTo>
              <a:lnTo>
                <a:pt x="352937" y="404428"/>
              </a:lnTo>
              <a:lnTo>
                <a:pt x="439332" y="315066"/>
              </a:lnTo>
              <a:lnTo>
                <a:pt x="743937" y="0"/>
              </a:lnTo>
              <a:lnTo>
                <a:pt x="7439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0.46623</cdr:x>
      <cdr:y>0.08544</cdr:y>
    </cdr:from>
    <cdr:to>
      <cdr:x>0.57034</cdr:x>
      <cdr:y>0.18636</cdr:y>
    </cdr:to>
    <cdr:sp macro="" textlink="">
      <cdr:nvSpPr>
        <cdr:cNvPr id="242" name="FracNo 276 StartRow 2768">
          <a:extLst xmlns:a="http://schemas.openxmlformats.org/drawingml/2006/main">
            <a:ext uri="{FF2B5EF4-FFF2-40B4-BE49-F238E27FC236}">
              <a16:creationId xmlns:a16="http://schemas.microsoft.com/office/drawing/2014/main" id="{52A6497C-259C-6A28-9E1B-91360BC3B398}"/>
            </a:ext>
          </a:extLst>
        </cdr:cNvPr>
        <cdr:cNvSpPr/>
      </cdr:nvSpPr>
      <cdr:spPr>
        <a:xfrm xmlns:a="http://schemas.openxmlformats.org/drawingml/2006/main">
          <a:off x="3410555" y="651036"/>
          <a:ext cx="761614" cy="7690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1614" h="769017">
              <a:moveTo>
                <a:pt x="273860" y="504504"/>
              </a:moveTo>
              <a:lnTo>
                <a:pt x="18130" y="769016"/>
              </a:lnTo>
              <a:lnTo>
                <a:pt x="0" y="750265"/>
              </a:lnTo>
              <a:lnTo>
                <a:pt x="249494" y="492202"/>
              </a:lnTo>
              <a:lnTo>
                <a:pt x="725354" y="0"/>
              </a:lnTo>
              <a:lnTo>
                <a:pt x="761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0.19298</cdr:x>
      <cdr:y>0.18589</cdr:y>
    </cdr:to>
    <cdr:sp macro="" textlink="">
      <cdr:nvSpPr>
        <cdr:cNvPr id="243" name="FracNo 597 StartRow 2777">
          <a:extLst xmlns:a="http://schemas.openxmlformats.org/drawingml/2006/main">
            <a:ext uri="{FF2B5EF4-FFF2-40B4-BE49-F238E27FC236}">
              <a16:creationId xmlns:a16="http://schemas.microsoft.com/office/drawing/2014/main" id="{6ACBD75E-2728-FFF6-1DD7-5638BB17D5C1}"/>
            </a:ext>
          </a:extLst>
        </cdr:cNvPr>
        <cdr:cNvSpPr/>
      </cdr:nvSpPr>
      <cdr:spPr>
        <a:xfrm xmlns:a="http://schemas.openxmlformats.org/drawingml/2006/main">
          <a:off x="671676" y="651036"/>
          <a:ext cx="740006" cy="765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0006" h="765419">
              <a:moveTo>
                <a:pt x="700227" y="41144"/>
              </a:moveTo>
              <a:lnTo>
                <a:pt x="0" y="765418"/>
              </a:lnTo>
              <a:lnTo>
                <a:pt x="0" y="727915"/>
              </a:lnTo>
              <a:lnTo>
                <a:pt x="665918" y="39128"/>
              </a:lnTo>
              <a:lnTo>
                <a:pt x="703746" y="0"/>
              </a:lnTo>
              <a:lnTo>
                <a:pt x="7400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0.21931</cdr:x>
      <cdr:y>0.08544</cdr:y>
    </cdr:from>
    <cdr:to>
      <cdr:x>0.316</cdr:x>
      <cdr:y>0.18145</cdr:y>
    </cdr:to>
    <cdr:sp macro="" textlink="">
      <cdr:nvSpPr>
        <cdr:cNvPr id="244" name="FracNo 566 StartRow 2786">
          <a:extLst xmlns:a="http://schemas.openxmlformats.org/drawingml/2006/main">
            <a:ext uri="{FF2B5EF4-FFF2-40B4-BE49-F238E27FC236}">
              <a16:creationId xmlns:a16="http://schemas.microsoft.com/office/drawing/2014/main" id="{F8AD08E5-B1B4-F566-C264-950FB4BE6665}"/>
            </a:ext>
          </a:extLst>
        </cdr:cNvPr>
        <cdr:cNvSpPr/>
      </cdr:nvSpPr>
      <cdr:spPr>
        <a:xfrm xmlns:a="http://schemas.openxmlformats.org/drawingml/2006/main">
          <a:off x="1604266" y="651036"/>
          <a:ext cx="707301" cy="731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7301" h="731591">
              <a:moveTo>
                <a:pt x="0" y="731590"/>
              </a:moveTo>
              <a:lnTo>
                <a:pt x="0" y="731590"/>
              </a:lnTo>
              <a:lnTo>
                <a:pt x="707300" y="0"/>
              </a:lnTo>
              <a:lnTo>
                <a:pt x="7073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0.56396</cdr:x>
      <cdr:y>0.83427</cdr:y>
    </cdr:from>
    <cdr:to>
      <cdr:x>0.66047</cdr:x>
      <cdr:y>0.9301</cdr:y>
    </cdr:to>
    <cdr:sp macro="" textlink="">
      <cdr:nvSpPr>
        <cdr:cNvPr id="245" name="FracNo 334 StartRow 2793">
          <a:extLst xmlns:a="http://schemas.openxmlformats.org/drawingml/2006/main">
            <a:ext uri="{FF2B5EF4-FFF2-40B4-BE49-F238E27FC236}">
              <a16:creationId xmlns:a16="http://schemas.microsoft.com/office/drawing/2014/main" id="{57509B0E-7114-7A36-4CBF-0260E6C70CA5}"/>
            </a:ext>
          </a:extLst>
        </cdr:cNvPr>
        <cdr:cNvSpPr/>
      </cdr:nvSpPr>
      <cdr:spPr>
        <a:xfrm xmlns:a="http://schemas.openxmlformats.org/drawingml/2006/main">
          <a:off x="4125474" y="6357134"/>
          <a:ext cx="705987" cy="730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5987" h="730232">
              <a:moveTo>
                <a:pt x="705986" y="0"/>
              </a:moveTo>
              <a:lnTo>
                <a:pt x="694623" y="11754"/>
              </a:lnTo>
              <a:lnTo>
                <a:pt x="0" y="730231"/>
              </a:lnTo>
              <a:lnTo>
                <a:pt x="0" y="730231"/>
              </a:lnTo>
              <a:lnTo>
                <a:pt x="694623" y="11754"/>
              </a:lnTo>
              <a:lnTo>
                <a:pt x="70598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0.75387</cdr:y>
    </cdr:from>
    <cdr:to>
      <cdr:x>0.18742</cdr:x>
      <cdr:y>0.84879</cdr:y>
    </cdr:to>
    <cdr:sp macro="" textlink="">
      <cdr:nvSpPr>
        <cdr:cNvPr id="246" name="FracNo 14 StartRow 2803">
          <a:extLst xmlns:a="http://schemas.openxmlformats.org/drawingml/2006/main">
            <a:ext uri="{FF2B5EF4-FFF2-40B4-BE49-F238E27FC236}">
              <a16:creationId xmlns:a16="http://schemas.microsoft.com/office/drawing/2014/main" id="{C86A485E-CB0D-9152-E7C5-92646EA55FFC}"/>
            </a:ext>
          </a:extLst>
        </cdr:cNvPr>
        <cdr:cNvSpPr/>
      </cdr:nvSpPr>
      <cdr:spPr>
        <a:xfrm xmlns:a="http://schemas.openxmlformats.org/drawingml/2006/main">
          <a:off x="671676" y="5744461"/>
          <a:ext cx="699314" cy="723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314" h="723330">
              <a:moveTo>
                <a:pt x="511128" y="194648"/>
              </a:moveTo>
              <a:lnTo>
                <a:pt x="0" y="723329"/>
              </a:lnTo>
              <a:lnTo>
                <a:pt x="0" y="723329"/>
              </a:lnTo>
              <a:lnTo>
                <a:pt x="511128" y="194648"/>
              </a:lnTo>
              <a:lnTo>
                <a:pt x="699313" y="0"/>
              </a:lnTo>
              <a:lnTo>
                <a:pt x="6993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0.84455</cdr:x>
      <cdr:y>0.83288</cdr:y>
    </cdr:from>
    <cdr:to>
      <cdr:x>0.94246</cdr:x>
      <cdr:y>0.9301</cdr:y>
    </cdr:to>
    <cdr:sp macro="" textlink="">
      <cdr:nvSpPr>
        <cdr:cNvPr id="247" name="FracNo 343 StartRow 2812">
          <a:extLst xmlns:a="http://schemas.openxmlformats.org/drawingml/2006/main">
            <a:ext uri="{FF2B5EF4-FFF2-40B4-BE49-F238E27FC236}">
              <a16:creationId xmlns:a16="http://schemas.microsoft.com/office/drawing/2014/main" id="{3D3649F0-DB09-F0C1-E21A-280FF744DF73}"/>
            </a:ext>
          </a:extLst>
        </cdr:cNvPr>
        <cdr:cNvSpPr/>
      </cdr:nvSpPr>
      <cdr:spPr>
        <a:xfrm xmlns:a="http://schemas.openxmlformats.org/drawingml/2006/main">
          <a:off x="6178048" y="6346508"/>
          <a:ext cx="716260" cy="7408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6260" h="740858">
              <a:moveTo>
                <a:pt x="215089" y="555885"/>
              </a:moveTo>
              <a:lnTo>
                <a:pt x="36258" y="740857"/>
              </a:lnTo>
              <a:lnTo>
                <a:pt x="0" y="740857"/>
              </a:lnTo>
              <a:lnTo>
                <a:pt x="188366" y="546022"/>
              </a:lnTo>
              <a:lnTo>
                <a:pt x="716259" y="0"/>
              </a:lnTo>
              <a:lnTo>
                <a:pt x="71625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0.84827</cdr:x>
      <cdr:y>0.3957</cdr:y>
    </cdr:from>
    <cdr:to>
      <cdr:x>0.94246</cdr:x>
      <cdr:y>0.4917</cdr:y>
    </cdr:to>
    <cdr:sp macro="" textlink="">
      <cdr:nvSpPr>
        <cdr:cNvPr id="248" name="FracNo 429 StartRow 2821">
          <a:extLst xmlns:a="http://schemas.openxmlformats.org/drawingml/2006/main">
            <a:ext uri="{FF2B5EF4-FFF2-40B4-BE49-F238E27FC236}">
              <a16:creationId xmlns:a16="http://schemas.microsoft.com/office/drawing/2014/main" id="{4ADE2623-3EEF-ECAF-157A-01CA02648953}"/>
            </a:ext>
          </a:extLst>
        </cdr:cNvPr>
        <cdr:cNvSpPr/>
      </cdr:nvSpPr>
      <cdr:spPr>
        <a:xfrm xmlns:a="http://schemas.openxmlformats.org/drawingml/2006/main">
          <a:off x="6205244" y="3015235"/>
          <a:ext cx="689064" cy="7314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9064" h="731481">
              <a:moveTo>
                <a:pt x="30008" y="719193"/>
              </a:moveTo>
              <a:lnTo>
                <a:pt x="18129" y="731480"/>
              </a:lnTo>
              <a:lnTo>
                <a:pt x="0" y="712727"/>
              </a:lnTo>
              <a:lnTo>
                <a:pt x="12199" y="700109"/>
              </a:lnTo>
              <a:lnTo>
                <a:pt x="689063" y="0"/>
              </a:lnTo>
              <a:lnTo>
                <a:pt x="68906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0.18717</cdr:x>
      <cdr:y>0.18012</cdr:y>
    </cdr:to>
    <cdr:sp macro="" textlink="">
      <cdr:nvSpPr>
        <cdr:cNvPr id="249" name="FracNo 596 StartRow 2830">
          <a:extLst xmlns:a="http://schemas.openxmlformats.org/drawingml/2006/main">
            <a:ext uri="{FF2B5EF4-FFF2-40B4-BE49-F238E27FC236}">
              <a16:creationId xmlns:a16="http://schemas.microsoft.com/office/drawing/2014/main" id="{1E0C3409-5D37-E084-0627-8EB0600E9E0B}"/>
            </a:ext>
          </a:extLst>
        </cdr:cNvPr>
        <cdr:cNvSpPr/>
      </cdr:nvSpPr>
      <cdr:spPr>
        <a:xfrm xmlns:a="http://schemas.openxmlformats.org/drawingml/2006/main">
          <a:off x="671676" y="651036"/>
          <a:ext cx="697516" cy="7214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7516" h="721470">
              <a:moveTo>
                <a:pt x="554938" y="109970"/>
              </a:moveTo>
              <a:lnTo>
                <a:pt x="0" y="683965"/>
              </a:lnTo>
              <a:lnTo>
                <a:pt x="0" y="721469"/>
              </a:lnTo>
              <a:lnTo>
                <a:pt x="585367" y="116000"/>
              </a:lnTo>
              <a:lnTo>
                <a:pt x="697515" y="0"/>
              </a:lnTo>
              <a:lnTo>
                <a:pt x="6612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0.17045</cdr:x>
      <cdr:y>0.63001</cdr:y>
    </cdr:from>
    <cdr:to>
      <cdr:x>0.26539</cdr:x>
      <cdr:y>0.72428</cdr:y>
    </cdr:to>
    <cdr:sp macro="" textlink="">
      <cdr:nvSpPr>
        <cdr:cNvPr id="250" name="FracNo 37 StartRow 2839">
          <a:extLst xmlns:a="http://schemas.openxmlformats.org/drawingml/2006/main">
            <a:ext uri="{FF2B5EF4-FFF2-40B4-BE49-F238E27FC236}">
              <a16:creationId xmlns:a16="http://schemas.microsoft.com/office/drawing/2014/main" id="{7BFDA838-4DA7-F9C5-04E0-9C72366F80BB}"/>
            </a:ext>
          </a:extLst>
        </cdr:cNvPr>
        <cdr:cNvSpPr/>
      </cdr:nvSpPr>
      <cdr:spPr>
        <a:xfrm xmlns:a="http://schemas.openxmlformats.org/drawingml/2006/main">
          <a:off x="1246867" y="4800648"/>
          <a:ext cx="694524" cy="718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4524" h="718375">
              <a:moveTo>
                <a:pt x="30971" y="705092"/>
              </a:moveTo>
              <a:lnTo>
                <a:pt x="18130" y="718374"/>
              </a:lnTo>
              <a:lnTo>
                <a:pt x="0" y="699622"/>
              </a:lnTo>
              <a:lnTo>
                <a:pt x="12842" y="686340"/>
              </a:lnTo>
              <a:lnTo>
                <a:pt x="548875" y="131898"/>
              </a:lnTo>
              <a:lnTo>
                <a:pt x="676394" y="0"/>
              </a:lnTo>
              <a:lnTo>
                <a:pt x="694523" y="18752"/>
              </a:lnTo>
              <a:lnTo>
                <a:pt x="567004" y="1506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0.48492</cdr:x>
      <cdr:y>0.57217</cdr:y>
    </cdr:from>
    <cdr:to>
      <cdr:x>0.57657</cdr:x>
      <cdr:y>0.66317</cdr:y>
    </cdr:to>
    <cdr:sp macro="" textlink="">
      <cdr:nvSpPr>
        <cdr:cNvPr id="251" name="FracNo 486 StartRow 2850">
          <a:extLst xmlns:a="http://schemas.openxmlformats.org/drawingml/2006/main">
            <a:ext uri="{FF2B5EF4-FFF2-40B4-BE49-F238E27FC236}">
              <a16:creationId xmlns:a16="http://schemas.microsoft.com/office/drawing/2014/main" id="{880339F8-37AC-A524-EC68-BCC3863E6E51}"/>
            </a:ext>
          </a:extLst>
        </cdr:cNvPr>
        <cdr:cNvSpPr/>
      </cdr:nvSpPr>
      <cdr:spPr>
        <a:xfrm xmlns:a="http://schemas.openxmlformats.org/drawingml/2006/main">
          <a:off x="3547295" y="4359911"/>
          <a:ext cx="670435" cy="693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435" h="693459">
              <a:moveTo>
                <a:pt x="151463" y="536794"/>
              </a:moveTo>
              <a:lnTo>
                <a:pt x="107747" y="582011"/>
              </a:lnTo>
              <a:lnTo>
                <a:pt x="0" y="693458"/>
              </a:lnTo>
              <a:lnTo>
                <a:pt x="0" y="693458"/>
              </a:lnTo>
              <a:lnTo>
                <a:pt x="107747" y="582011"/>
              </a:lnTo>
              <a:lnTo>
                <a:pt x="151463" y="536794"/>
              </a:lnTo>
              <a:lnTo>
                <a:pt x="670434" y="0"/>
              </a:lnTo>
              <a:lnTo>
                <a:pt x="6704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0.75994</cdr:x>
      <cdr:y>0.15677</cdr:y>
    </cdr:from>
    <cdr:to>
      <cdr:x>0.85382</cdr:x>
      <cdr:y>0.24999</cdr:y>
    </cdr:to>
    <cdr:sp macro="" textlink="">
      <cdr:nvSpPr>
        <cdr:cNvPr id="252" name="FracNo 198 StartRow 2861">
          <a:extLst xmlns:a="http://schemas.openxmlformats.org/drawingml/2006/main">
            <a:ext uri="{FF2B5EF4-FFF2-40B4-BE49-F238E27FC236}">
              <a16:creationId xmlns:a16="http://schemas.microsoft.com/office/drawing/2014/main" id="{E035D83A-44A9-82B4-3286-AE7A9C213F8D}"/>
            </a:ext>
          </a:extLst>
        </cdr:cNvPr>
        <cdr:cNvSpPr/>
      </cdr:nvSpPr>
      <cdr:spPr>
        <a:xfrm xmlns:a="http://schemas.openxmlformats.org/drawingml/2006/main">
          <a:off x="5559128" y="1194604"/>
          <a:ext cx="686703" cy="710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6703" h="710286">
              <a:moveTo>
                <a:pt x="89129" y="599342"/>
              </a:moveTo>
              <a:lnTo>
                <a:pt x="0" y="691533"/>
              </a:lnTo>
              <a:lnTo>
                <a:pt x="18129" y="710285"/>
              </a:lnTo>
              <a:lnTo>
                <a:pt x="107259" y="618094"/>
              </a:lnTo>
              <a:lnTo>
                <a:pt x="686702" y="18752"/>
              </a:lnTo>
              <a:lnTo>
                <a:pt x="668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0.37816</cdr:x>
      <cdr:y>0.84072</cdr:y>
    </cdr:from>
    <cdr:to>
      <cdr:x>0.46818</cdr:x>
      <cdr:y>0.9301</cdr:y>
    </cdr:to>
    <cdr:sp macro="" textlink="">
      <cdr:nvSpPr>
        <cdr:cNvPr id="253" name="FracNo 100 StartRow 2870">
          <a:extLst xmlns:a="http://schemas.openxmlformats.org/drawingml/2006/main">
            <a:ext uri="{FF2B5EF4-FFF2-40B4-BE49-F238E27FC236}">
              <a16:creationId xmlns:a16="http://schemas.microsoft.com/office/drawing/2014/main" id="{C0094235-5000-5CB1-4BB3-33FA65F17D54}"/>
            </a:ext>
          </a:extLst>
        </cdr:cNvPr>
        <cdr:cNvSpPr/>
      </cdr:nvSpPr>
      <cdr:spPr>
        <a:xfrm xmlns:a="http://schemas.openxmlformats.org/drawingml/2006/main">
          <a:off x="2766351" y="6406255"/>
          <a:ext cx="658497" cy="6811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8497" h="681111">
              <a:moveTo>
                <a:pt x="658496" y="0"/>
              </a:moveTo>
              <a:lnTo>
                <a:pt x="0" y="681110"/>
              </a:lnTo>
              <a:lnTo>
                <a:pt x="0" y="681110"/>
              </a:lnTo>
              <a:lnTo>
                <a:pt x="65849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0.32861</cdr:x>
      <cdr:y>0.22111</cdr:y>
    </cdr:from>
    <cdr:to>
      <cdr:x>0.4179</cdr:x>
      <cdr:y>0.30979</cdr:y>
    </cdr:to>
    <cdr:sp macro="" textlink="">
      <cdr:nvSpPr>
        <cdr:cNvPr id="254" name="FracNo 247 StartRow 2878">
          <a:extLst xmlns:a="http://schemas.openxmlformats.org/drawingml/2006/main">
            <a:ext uri="{FF2B5EF4-FFF2-40B4-BE49-F238E27FC236}">
              <a16:creationId xmlns:a16="http://schemas.microsoft.com/office/drawing/2014/main" id="{60B3DB48-0C5A-D126-2A6E-898A54672183}"/>
            </a:ext>
          </a:extLst>
        </cdr:cNvPr>
        <cdr:cNvSpPr/>
      </cdr:nvSpPr>
      <cdr:spPr>
        <a:xfrm xmlns:a="http://schemas.openxmlformats.org/drawingml/2006/main">
          <a:off x="2403823" y="1684894"/>
          <a:ext cx="653235" cy="675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235" h="675669">
              <a:moveTo>
                <a:pt x="653234" y="0"/>
              </a:moveTo>
              <a:lnTo>
                <a:pt x="342063" y="321857"/>
              </a:lnTo>
              <a:lnTo>
                <a:pt x="0" y="675668"/>
              </a:lnTo>
              <a:lnTo>
                <a:pt x="0" y="675668"/>
              </a:lnTo>
              <a:lnTo>
                <a:pt x="342063" y="321857"/>
              </a:lnTo>
              <a:lnTo>
                <a:pt x="6532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0.43709</cdr:x>
      <cdr:y>0.71621</cdr:y>
    </cdr:from>
    <cdr:to>
      <cdr:x>0.52639</cdr:x>
      <cdr:y>0.80488</cdr:y>
    </cdr:to>
    <cdr:sp macro="" textlink="">
      <cdr:nvSpPr>
        <cdr:cNvPr id="255" name="FracNo 86 StartRow 2888">
          <a:extLst xmlns:a="http://schemas.openxmlformats.org/drawingml/2006/main">
            <a:ext uri="{FF2B5EF4-FFF2-40B4-BE49-F238E27FC236}">
              <a16:creationId xmlns:a16="http://schemas.microsoft.com/office/drawing/2014/main" id="{D3D3005B-59F7-327F-E224-7CDBE91ABB53}"/>
            </a:ext>
          </a:extLst>
        </cdr:cNvPr>
        <cdr:cNvSpPr/>
      </cdr:nvSpPr>
      <cdr:spPr>
        <a:xfrm xmlns:a="http://schemas.openxmlformats.org/drawingml/2006/main">
          <a:off x="3197403" y="5457541"/>
          <a:ext cx="653235" cy="675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235" h="675668">
              <a:moveTo>
                <a:pt x="653234" y="0"/>
              </a:moveTo>
              <a:lnTo>
                <a:pt x="0" y="675667"/>
              </a:lnTo>
              <a:lnTo>
                <a:pt x="0" y="675667"/>
              </a:lnTo>
              <a:lnTo>
                <a:pt x="65323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0.36225</cdr:x>
      <cdr:y>0.08544</cdr:y>
    </cdr:from>
    <cdr:to>
      <cdr:x>0.45054</cdr:x>
      <cdr:y>0.17311</cdr:y>
    </cdr:to>
    <cdr:sp macro="" textlink="">
      <cdr:nvSpPr>
        <cdr:cNvPr id="256" name="FracNo 577 StartRow 2896">
          <a:extLst xmlns:a="http://schemas.openxmlformats.org/drawingml/2006/main">
            <a:ext uri="{FF2B5EF4-FFF2-40B4-BE49-F238E27FC236}">
              <a16:creationId xmlns:a16="http://schemas.microsoft.com/office/drawing/2014/main" id="{D9F4466E-F40F-328C-9F43-492FACE2AEB5}"/>
            </a:ext>
          </a:extLst>
        </cdr:cNvPr>
        <cdr:cNvSpPr/>
      </cdr:nvSpPr>
      <cdr:spPr>
        <a:xfrm xmlns:a="http://schemas.openxmlformats.org/drawingml/2006/main">
          <a:off x="2649945" y="651036"/>
          <a:ext cx="645874" cy="668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5874" h="668054">
              <a:moveTo>
                <a:pt x="0" y="668053"/>
              </a:moveTo>
              <a:lnTo>
                <a:pt x="0" y="668053"/>
              </a:lnTo>
              <a:lnTo>
                <a:pt x="95941" y="568817"/>
              </a:lnTo>
              <a:lnTo>
                <a:pt x="645873" y="0"/>
              </a:lnTo>
              <a:lnTo>
                <a:pt x="645873" y="0"/>
              </a:lnTo>
              <a:lnTo>
                <a:pt x="95941" y="5688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0.39466</cdr:x>
      <cdr:y>0.36071</cdr:y>
    </cdr:from>
    <cdr:to>
      <cdr:x>0.48542</cdr:x>
      <cdr:y>0.45084</cdr:y>
    </cdr:to>
    <cdr:sp macro="" textlink="">
      <cdr:nvSpPr>
        <cdr:cNvPr id="257" name="FracNo 505 StartRow 2905">
          <a:extLst xmlns:a="http://schemas.openxmlformats.org/drawingml/2006/main">
            <a:ext uri="{FF2B5EF4-FFF2-40B4-BE49-F238E27FC236}">
              <a16:creationId xmlns:a16="http://schemas.microsoft.com/office/drawing/2014/main" id="{3B02B499-EA9E-BBAB-8F03-68494B17BF29}"/>
            </a:ext>
          </a:extLst>
        </cdr:cNvPr>
        <cdr:cNvSpPr/>
      </cdr:nvSpPr>
      <cdr:spPr>
        <a:xfrm xmlns:a="http://schemas.openxmlformats.org/drawingml/2006/main">
          <a:off x="2887004" y="2748617"/>
          <a:ext cx="663970" cy="6867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970" h="686772">
              <a:moveTo>
                <a:pt x="186300" y="475321"/>
              </a:moveTo>
              <a:lnTo>
                <a:pt x="0" y="668019"/>
              </a:lnTo>
              <a:lnTo>
                <a:pt x="18129" y="686771"/>
              </a:lnTo>
              <a:lnTo>
                <a:pt x="204429" y="494073"/>
              </a:lnTo>
              <a:lnTo>
                <a:pt x="626761" y="57238"/>
              </a:lnTo>
              <a:lnTo>
                <a:pt x="663969" y="18752"/>
              </a:lnTo>
              <a:lnTo>
                <a:pt x="645840" y="0"/>
              </a:lnTo>
              <a:lnTo>
                <a:pt x="608631" y="384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0.19887</cdr:x>
      <cdr:y>0.77796</cdr:y>
    </cdr:from>
    <cdr:to>
      <cdr:x>0.28709</cdr:x>
      <cdr:y>0.86555</cdr:y>
    </cdr:to>
    <cdr:sp macro="" textlink="">
      <cdr:nvSpPr>
        <cdr:cNvPr id="258" name="FracNo 8 StartRow 2916">
          <a:extLst xmlns:a="http://schemas.openxmlformats.org/drawingml/2006/main">
            <a:ext uri="{FF2B5EF4-FFF2-40B4-BE49-F238E27FC236}">
              <a16:creationId xmlns:a16="http://schemas.microsoft.com/office/drawing/2014/main" id="{BEFC1CC2-DB87-2884-1A4B-DD279E705D4F}"/>
            </a:ext>
          </a:extLst>
        </cdr:cNvPr>
        <cdr:cNvSpPr/>
      </cdr:nvSpPr>
      <cdr:spPr>
        <a:xfrm xmlns:a="http://schemas.openxmlformats.org/drawingml/2006/main">
          <a:off x="1454796" y="5928079"/>
          <a:ext cx="645289" cy="6674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5289" h="667450">
              <a:moveTo>
                <a:pt x="538992" y="109947"/>
              </a:moveTo>
              <a:lnTo>
                <a:pt x="0" y="667449"/>
              </a:lnTo>
              <a:lnTo>
                <a:pt x="0" y="667449"/>
              </a:lnTo>
              <a:lnTo>
                <a:pt x="538992" y="109947"/>
              </a:lnTo>
              <a:lnTo>
                <a:pt x="645288" y="0"/>
              </a:lnTo>
              <a:lnTo>
                <a:pt x="6452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0.18592</cdr:y>
    </cdr:from>
    <cdr:to>
      <cdr:x>0.1806</cdr:x>
      <cdr:y>0.27653</cdr:y>
    </cdr:to>
    <cdr:sp macro="" textlink="">
      <cdr:nvSpPr>
        <cdr:cNvPr id="259" name="FracNo 595 StartRow 2925">
          <a:extLst xmlns:a="http://schemas.openxmlformats.org/drawingml/2006/main">
            <a:ext uri="{FF2B5EF4-FFF2-40B4-BE49-F238E27FC236}">
              <a16:creationId xmlns:a16="http://schemas.microsoft.com/office/drawing/2014/main" id="{F34225E9-0C0B-6F75-788B-573F38562A60}"/>
            </a:ext>
          </a:extLst>
        </cdr:cNvPr>
        <cdr:cNvSpPr/>
      </cdr:nvSpPr>
      <cdr:spPr>
        <a:xfrm xmlns:a="http://schemas.openxmlformats.org/drawingml/2006/main">
          <a:off x="671676" y="1416677"/>
          <a:ext cx="649461" cy="690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9461" h="690516">
              <a:moveTo>
                <a:pt x="281657" y="399185"/>
              </a:moveTo>
              <a:lnTo>
                <a:pt x="0" y="690515"/>
              </a:lnTo>
              <a:lnTo>
                <a:pt x="0" y="653011"/>
              </a:lnTo>
              <a:lnTo>
                <a:pt x="273795" y="369814"/>
              </a:lnTo>
              <a:lnTo>
                <a:pt x="631331" y="0"/>
              </a:lnTo>
              <a:lnTo>
                <a:pt x="64946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0.54199</cdr:x>
      <cdr:y>0.08544</cdr:y>
    </cdr:from>
    <cdr:to>
      <cdr:x>0.63117</cdr:x>
      <cdr:y>0.17153</cdr:y>
    </cdr:to>
    <cdr:sp macro="" textlink="">
      <cdr:nvSpPr>
        <cdr:cNvPr id="260" name="FracNo 274 StartRow 2934">
          <a:extLst xmlns:a="http://schemas.openxmlformats.org/drawingml/2006/main">
            <a:ext uri="{FF2B5EF4-FFF2-40B4-BE49-F238E27FC236}">
              <a16:creationId xmlns:a16="http://schemas.microsoft.com/office/drawing/2014/main" id="{897A9DC6-221B-D528-77BA-09B9358CB4D7}"/>
            </a:ext>
          </a:extLst>
        </cdr:cNvPr>
        <cdr:cNvSpPr/>
      </cdr:nvSpPr>
      <cdr:spPr>
        <a:xfrm xmlns:a="http://schemas.openxmlformats.org/drawingml/2006/main">
          <a:off x="3964748" y="651036"/>
          <a:ext cx="652389" cy="6560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2389" h="656042">
              <a:moveTo>
                <a:pt x="379371" y="282393"/>
              </a:moveTo>
              <a:lnTo>
                <a:pt x="18129" y="656041"/>
              </a:lnTo>
              <a:lnTo>
                <a:pt x="0" y="637289"/>
              </a:lnTo>
              <a:lnTo>
                <a:pt x="350916" y="274321"/>
              </a:lnTo>
              <a:lnTo>
                <a:pt x="616129" y="0"/>
              </a:lnTo>
              <a:lnTo>
                <a:pt x="6523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0.63037</cdr:x>
      <cdr:y>0.84441</cdr:y>
    </cdr:from>
    <cdr:to>
      <cdr:x>0.71915</cdr:x>
      <cdr:y>0.9301</cdr:y>
    </cdr:to>
    <cdr:sp macro="" textlink="">
      <cdr:nvSpPr>
        <cdr:cNvPr id="261" name="FracNo 357 StartRow 2943">
          <a:extLst xmlns:a="http://schemas.openxmlformats.org/drawingml/2006/main">
            <a:ext uri="{FF2B5EF4-FFF2-40B4-BE49-F238E27FC236}">
              <a16:creationId xmlns:a16="http://schemas.microsoft.com/office/drawing/2014/main" id="{D77B9798-F915-C469-E76C-D2D9772608DC}"/>
            </a:ext>
          </a:extLst>
        </cdr:cNvPr>
        <cdr:cNvSpPr/>
      </cdr:nvSpPr>
      <cdr:spPr>
        <a:xfrm xmlns:a="http://schemas.openxmlformats.org/drawingml/2006/main">
          <a:off x="4611319" y="6434413"/>
          <a:ext cx="649403" cy="652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9403" h="652953">
              <a:moveTo>
                <a:pt x="256035" y="388123"/>
              </a:moveTo>
              <a:lnTo>
                <a:pt x="197594" y="448572"/>
              </a:lnTo>
              <a:lnTo>
                <a:pt x="0" y="652952"/>
              </a:lnTo>
              <a:lnTo>
                <a:pt x="36258" y="652952"/>
              </a:lnTo>
              <a:lnTo>
                <a:pt x="219961" y="462940"/>
              </a:lnTo>
              <a:lnTo>
                <a:pt x="277832" y="403083"/>
              </a:lnTo>
              <a:lnTo>
                <a:pt x="649402" y="18752"/>
              </a:lnTo>
              <a:lnTo>
                <a:pt x="6312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0.70748</cdr:x>
      <cdr:y>0.69789</cdr:y>
    </cdr:from>
    <cdr:to>
      <cdr:x>0.79167</cdr:x>
      <cdr:y>0.7815</cdr:y>
    </cdr:to>
    <cdr:sp macro="" textlink="">
      <cdr:nvSpPr>
        <cdr:cNvPr id="262" name="FracNo 333 StartRow 2954">
          <a:extLst xmlns:a="http://schemas.openxmlformats.org/drawingml/2006/main">
            <a:ext uri="{FF2B5EF4-FFF2-40B4-BE49-F238E27FC236}">
              <a16:creationId xmlns:a16="http://schemas.microsoft.com/office/drawing/2014/main" id="{BC2910E2-1956-ABF5-9757-8D40908820FB}"/>
            </a:ext>
          </a:extLst>
        </cdr:cNvPr>
        <cdr:cNvSpPr/>
      </cdr:nvSpPr>
      <cdr:spPr>
        <a:xfrm xmlns:a="http://schemas.openxmlformats.org/drawingml/2006/main">
          <a:off x="5175344" y="5317953"/>
          <a:ext cx="615900" cy="6370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900" h="637052">
              <a:moveTo>
                <a:pt x="0" y="637051"/>
              </a:moveTo>
              <a:lnTo>
                <a:pt x="0" y="637051"/>
              </a:lnTo>
              <a:lnTo>
                <a:pt x="615899" y="0"/>
              </a:lnTo>
              <a:lnTo>
                <a:pt x="6158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0.50955</cdr:x>
      <cdr:y>0.77313</cdr:y>
    </cdr:from>
    <cdr:to>
      <cdr:x>0.59367</cdr:x>
      <cdr:y>0.85665</cdr:y>
    </cdr:to>
    <cdr:sp macro="" textlink="">
      <cdr:nvSpPr>
        <cdr:cNvPr id="263" name="FracNo 82 StartRow 2961">
          <a:extLst xmlns:a="http://schemas.openxmlformats.org/drawingml/2006/main">
            <a:ext uri="{FF2B5EF4-FFF2-40B4-BE49-F238E27FC236}">
              <a16:creationId xmlns:a16="http://schemas.microsoft.com/office/drawing/2014/main" id="{FF7D2CB6-2DD2-3E0A-D0B6-C7F916397D56}"/>
            </a:ext>
          </a:extLst>
        </cdr:cNvPr>
        <cdr:cNvSpPr/>
      </cdr:nvSpPr>
      <cdr:spPr>
        <a:xfrm xmlns:a="http://schemas.openxmlformats.org/drawingml/2006/main">
          <a:off x="3727491" y="5891239"/>
          <a:ext cx="615331" cy="636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331" h="636463">
              <a:moveTo>
                <a:pt x="151463" y="479798"/>
              </a:moveTo>
              <a:lnTo>
                <a:pt x="0" y="636462"/>
              </a:lnTo>
              <a:lnTo>
                <a:pt x="0" y="636462"/>
              </a:lnTo>
              <a:lnTo>
                <a:pt x="151463" y="479798"/>
              </a:lnTo>
              <a:lnTo>
                <a:pt x="615330" y="0"/>
              </a:lnTo>
              <a:lnTo>
                <a:pt x="6153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0.5668</cdr:x>
      <cdr:y>0.10119</cdr:y>
    </cdr:from>
    <cdr:to>
      <cdr:x>0.65061</cdr:x>
      <cdr:y>0.1844</cdr:y>
    </cdr:to>
    <cdr:sp macro="" textlink="">
      <cdr:nvSpPr>
        <cdr:cNvPr id="264" name="FracNo 751 StartRow 2970">
          <a:extLst xmlns:a="http://schemas.openxmlformats.org/drawingml/2006/main">
            <a:ext uri="{FF2B5EF4-FFF2-40B4-BE49-F238E27FC236}">
              <a16:creationId xmlns:a16="http://schemas.microsoft.com/office/drawing/2014/main" id="{B0AC7F5D-4211-734F-2552-3F48CB1C536F}"/>
            </a:ext>
          </a:extLst>
        </cdr:cNvPr>
        <cdr:cNvSpPr/>
      </cdr:nvSpPr>
      <cdr:spPr>
        <a:xfrm xmlns:a="http://schemas.openxmlformats.org/drawingml/2006/main">
          <a:off x="4146285" y="771082"/>
          <a:ext cx="613030" cy="634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3030" h="634083">
              <a:moveTo>
                <a:pt x="103852" y="526663"/>
              </a:moveTo>
              <a:lnTo>
                <a:pt x="0" y="634082"/>
              </a:lnTo>
              <a:lnTo>
                <a:pt x="0" y="634082"/>
              </a:lnTo>
              <a:lnTo>
                <a:pt x="103852" y="526663"/>
              </a:lnTo>
              <a:lnTo>
                <a:pt x="613029" y="0"/>
              </a:lnTo>
              <a:lnTo>
                <a:pt x="6130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0.50312</cdr:x>
      <cdr:y>0.84827</cdr:y>
    </cdr:from>
    <cdr:to>
      <cdr:x>0.58552</cdr:x>
      <cdr:y>0.9301</cdr:y>
    </cdr:to>
    <cdr:sp macro="" textlink="">
      <cdr:nvSpPr>
        <cdr:cNvPr id="265" name="FracNo 96 StartRow 2979">
          <a:extLst xmlns:a="http://schemas.openxmlformats.org/drawingml/2006/main">
            <a:ext uri="{FF2B5EF4-FFF2-40B4-BE49-F238E27FC236}">
              <a16:creationId xmlns:a16="http://schemas.microsoft.com/office/drawing/2014/main" id="{435723DD-122A-C1F3-0949-E77415501650}"/>
            </a:ext>
          </a:extLst>
        </cdr:cNvPr>
        <cdr:cNvSpPr/>
      </cdr:nvSpPr>
      <cdr:spPr>
        <a:xfrm xmlns:a="http://schemas.openxmlformats.org/drawingml/2006/main">
          <a:off x="3680394" y="6463827"/>
          <a:ext cx="602837" cy="623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2837" h="623539">
              <a:moveTo>
                <a:pt x="602836" y="0"/>
              </a:moveTo>
              <a:lnTo>
                <a:pt x="0" y="623538"/>
              </a:lnTo>
              <a:lnTo>
                <a:pt x="0" y="623538"/>
              </a:lnTo>
              <a:lnTo>
                <a:pt x="60283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0.72412</cdr:y>
    </cdr:from>
    <cdr:to>
      <cdr:x>0.17525</cdr:x>
      <cdr:y>0.80942</cdr:y>
    </cdr:to>
    <cdr:sp macro="" textlink="">
      <cdr:nvSpPr>
        <cdr:cNvPr id="266" name="FracNo 21 StartRow 2987">
          <a:extLst xmlns:a="http://schemas.openxmlformats.org/drawingml/2006/main">
            <a:ext uri="{FF2B5EF4-FFF2-40B4-BE49-F238E27FC236}">
              <a16:creationId xmlns:a16="http://schemas.microsoft.com/office/drawing/2014/main" id="{C9B41424-A782-0B84-2A08-4FE69F7CA74B}"/>
            </a:ext>
          </a:extLst>
        </cdr:cNvPr>
        <cdr:cNvSpPr/>
      </cdr:nvSpPr>
      <cdr:spPr>
        <a:xfrm xmlns:a="http://schemas.openxmlformats.org/drawingml/2006/main">
          <a:off x="671676" y="5517813"/>
          <a:ext cx="610283" cy="649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0283" h="649993">
              <a:moveTo>
                <a:pt x="596788" y="32709"/>
              </a:moveTo>
              <a:lnTo>
                <a:pt x="0" y="649992"/>
              </a:lnTo>
              <a:lnTo>
                <a:pt x="0" y="612488"/>
              </a:lnTo>
              <a:lnTo>
                <a:pt x="579060" y="13542"/>
              </a:lnTo>
              <a:lnTo>
                <a:pt x="592152" y="0"/>
              </a:lnTo>
              <a:lnTo>
                <a:pt x="6102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0.36111</cdr:x>
      <cdr:y>0.3447</cdr:y>
    </cdr:from>
    <cdr:to>
      <cdr:x>0.44165</cdr:x>
      <cdr:y>0.42466</cdr:y>
    </cdr:to>
    <cdr:sp macro="" textlink="">
      <cdr:nvSpPr>
        <cdr:cNvPr id="267" name="FracNo 497 StartRow 2996">
          <a:extLst xmlns:a="http://schemas.openxmlformats.org/drawingml/2006/main">
            <a:ext uri="{FF2B5EF4-FFF2-40B4-BE49-F238E27FC236}">
              <a16:creationId xmlns:a16="http://schemas.microsoft.com/office/drawing/2014/main" id="{F1FFDE69-DDE9-0070-6C09-3E5A68E8403F}"/>
            </a:ext>
          </a:extLst>
        </cdr:cNvPr>
        <cdr:cNvSpPr/>
      </cdr:nvSpPr>
      <cdr:spPr>
        <a:xfrm xmlns:a="http://schemas.openxmlformats.org/drawingml/2006/main">
          <a:off x="2641618" y="2626576"/>
          <a:ext cx="589120" cy="6093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120" h="609352">
              <a:moveTo>
                <a:pt x="136038" y="468641"/>
              </a:moveTo>
              <a:lnTo>
                <a:pt x="104268" y="501502"/>
              </a:lnTo>
              <a:lnTo>
                <a:pt x="0" y="609351"/>
              </a:lnTo>
              <a:lnTo>
                <a:pt x="0" y="609351"/>
              </a:lnTo>
              <a:lnTo>
                <a:pt x="104268" y="501502"/>
              </a:lnTo>
              <a:lnTo>
                <a:pt x="136038" y="468641"/>
              </a:lnTo>
              <a:lnTo>
                <a:pt x="424858" y="169903"/>
              </a:lnTo>
              <a:lnTo>
                <a:pt x="589119" y="0"/>
              </a:lnTo>
              <a:lnTo>
                <a:pt x="589119" y="0"/>
              </a:lnTo>
              <a:lnTo>
                <a:pt x="424858" y="1699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0.30856</cdr:x>
      <cdr:y>0.21563</cdr:y>
    </cdr:from>
    <cdr:to>
      <cdr:x>0.38888</cdr:x>
      <cdr:y>0.29539</cdr:y>
    </cdr:to>
    <cdr:sp macro="" textlink="">
      <cdr:nvSpPr>
        <cdr:cNvPr id="268" name="FracNo 580 StartRow 3009">
          <a:extLst xmlns:a="http://schemas.openxmlformats.org/drawingml/2006/main">
            <a:ext uri="{FF2B5EF4-FFF2-40B4-BE49-F238E27FC236}">
              <a16:creationId xmlns:a16="http://schemas.microsoft.com/office/drawing/2014/main" id="{9AED62C6-309B-9A64-5856-9D33FE783CB5}"/>
            </a:ext>
          </a:extLst>
        </cdr:cNvPr>
        <cdr:cNvSpPr/>
      </cdr:nvSpPr>
      <cdr:spPr>
        <a:xfrm xmlns:a="http://schemas.openxmlformats.org/drawingml/2006/main">
          <a:off x="2257180" y="1643087"/>
          <a:ext cx="587575" cy="607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7575" h="607754">
              <a:moveTo>
                <a:pt x="257361" y="341554"/>
              </a:moveTo>
              <a:lnTo>
                <a:pt x="0" y="607753"/>
              </a:lnTo>
              <a:lnTo>
                <a:pt x="0" y="607753"/>
              </a:lnTo>
              <a:lnTo>
                <a:pt x="257361" y="341554"/>
              </a:lnTo>
              <a:lnTo>
                <a:pt x="488706" y="102264"/>
              </a:lnTo>
              <a:lnTo>
                <a:pt x="587574" y="0"/>
              </a:lnTo>
              <a:lnTo>
                <a:pt x="587574" y="0"/>
              </a:lnTo>
              <a:lnTo>
                <a:pt x="488706" y="1022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0.58753</cdr:x>
      <cdr:y>0.68939</cdr:y>
    </cdr:from>
    <cdr:to>
      <cdr:x>0.66571</cdr:x>
      <cdr:y>0.76703</cdr:y>
    </cdr:to>
    <cdr:sp macro="" textlink="">
      <cdr:nvSpPr>
        <cdr:cNvPr id="269" name="FracNo 94 StartRow 3020">
          <a:extLst xmlns:a="http://schemas.openxmlformats.org/drawingml/2006/main">
            <a:ext uri="{FF2B5EF4-FFF2-40B4-BE49-F238E27FC236}">
              <a16:creationId xmlns:a16="http://schemas.microsoft.com/office/drawing/2014/main" id="{7F1C278A-BC5A-12BA-26E4-29C918337212}"/>
            </a:ext>
          </a:extLst>
        </cdr:cNvPr>
        <cdr:cNvSpPr/>
      </cdr:nvSpPr>
      <cdr:spPr>
        <a:xfrm xmlns:a="http://schemas.openxmlformats.org/drawingml/2006/main">
          <a:off x="4297882" y="5253166"/>
          <a:ext cx="571950" cy="591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1950" h="591591">
              <a:moveTo>
                <a:pt x="480380" y="94713"/>
              </a:moveTo>
              <a:lnTo>
                <a:pt x="0" y="591590"/>
              </a:lnTo>
              <a:lnTo>
                <a:pt x="0" y="591590"/>
              </a:lnTo>
              <a:lnTo>
                <a:pt x="480380" y="94713"/>
              </a:lnTo>
              <a:lnTo>
                <a:pt x="522215" y="51441"/>
              </a:lnTo>
              <a:lnTo>
                <a:pt x="571949" y="0"/>
              </a:lnTo>
              <a:lnTo>
                <a:pt x="571949" y="0"/>
              </a:lnTo>
              <a:lnTo>
                <a:pt x="522215" y="514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0.38795</cdr:x>
      <cdr:y>0.26936</cdr:y>
    </cdr:from>
    <cdr:to>
      <cdr:x>0.46619</cdr:x>
      <cdr:y>0.34705</cdr:y>
    </cdr:to>
    <cdr:sp macro="" textlink="">
      <cdr:nvSpPr>
        <cdr:cNvPr id="270" name="FracNo 280 StartRow 3031">
          <a:extLst xmlns:a="http://schemas.openxmlformats.org/drawingml/2006/main">
            <a:ext uri="{FF2B5EF4-FFF2-40B4-BE49-F238E27FC236}">
              <a16:creationId xmlns:a16="http://schemas.microsoft.com/office/drawing/2014/main" id="{C31F670E-2B6A-FEAE-6497-448331355BE0}"/>
            </a:ext>
          </a:extLst>
        </cdr:cNvPr>
        <cdr:cNvSpPr/>
      </cdr:nvSpPr>
      <cdr:spPr>
        <a:xfrm xmlns:a="http://schemas.openxmlformats.org/drawingml/2006/main">
          <a:off x="2837917" y="2052557"/>
          <a:ext cx="572341" cy="591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2341" h="591997">
              <a:moveTo>
                <a:pt x="68487" y="502405"/>
              </a:moveTo>
              <a:lnTo>
                <a:pt x="0" y="573244"/>
              </a:lnTo>
              <a:lnTo>
                <a:pt x="18129" y="591996"/>
              </a:lnTo>
              <a:lnTo>
                <a:pt x="86616" y="521157"/>
              </a:lnTo>
              <a:lnTo>
                <a:pt x="572340" y="18752"/>
              </a:lnTo>
              <a:lnTo>
                <a:pt x="5542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0.36981</cdr:x>
      <cdr:y>0.43417</cdr:y>
    </cdr:from>
    <cdr:to>
      <cdr:x>0.44729</cdr:x>
      <cdr:y>0.51111</cdr:y>
    </cdr:to>
    <cdr:sp macro="" textlink="">
      <cdr:nvSpPr>
        <cdr:cNvPr id="271" name="FracNo 510 StartRow 3040">
          <a:extLst xmlns:a="http://schemas.openxmlformats.org/drawingml/2006/main">
            <a:ext uri="{FF2B5EF4-FFF2-40B4-BE49-F238E27FC236}">
              <a16:creationId xmlns:a16="http://schemas.microsoft.com/office/drawing/2014/main" id="{5BDD071B-3879-D632-DA80-F0B2183A4EF1}"/>
            </a:ext>
          </a:extLst>
        </cdr:cNvPr>
        <cdr:cNvSpPr/>
      </cdr:nvSpPr>
      <cdr:spPr>
        <a:xfrm xmlns:a="http://schemas.openxmlformats.org/drawingml/2006/main">
          <a:off x="2705203" y="3308368"/>
          <a:ext cx="566809" cy="586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809" h="586274">
              <a:moveTo>
                <a:pt x="307608" y="286854"/>
              </a:moveTo>
              <a:lnTo>
                <a:pt x="49748" y="553569"/>
              </a:lnTo>
              <a:lnTo>
                <a:pt x="18130" y="586273"/>
              </a:lnTo>
              <a:lnTo>
                <a:pt x="0" y="567521"/>
              </a:lnTo>
              <a:lnTo>
                <a:pt x="31619" y="534817"/>
              </a:lnTo>
              <a:lnTo>
                <a:pt x="289479" y="268102"/>
              </a:lnTo>
              <a:lnTo>
                <a:pt x="548679" y="0"/>
              </a:lnTo>
              <a:lnTo>
                <a:pt x="5668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0.72734</cdr:x>
      <cdr:y>0.08544</cdr:y>
    </cdr:from>
    <cdr:to>
      <cdr:x>0.80159</cdr:x>
      <cdr:y>0.15917</cdr:y>
    </cdr:to>
    <cdr:sp macro="" textlink="">
      <cdr:nvSpPr>
        <cdr:cNvPr id="272" name="FracNo 167 StartRow 3051">
          <a:extLst xmlns:a="http://schemas.openxmlformats.org/drawingml/2006/main">
            <a:ext uri="{FF2B5EF4-FFF2-40B4-BE49-F238E27FC236}">
              <a16:creationId xmlns:a16="http://schemas.microsoft.com/office/drawing/2014/main" id="{8C37C93D-56F6-305E-6FB7-6E9EF02AFA0D}"/>
            </a:ext>
          </a:extLst>
        </cdr:cNvPr>
        <cdr:cNvSpPr/>
      </cdr:nvSpPr>
      <cdr:spPr>
        <a:xfrm xmlns:a="http://schemas.openxmlformats.org/drawingml/2006/main">
          <a:off x="5320602" y="651036"/>
          <a:ext cx="543197" cy="561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3197" h="561851">
              <a:moveTo>
                <a:pt x="463868" y="82052"/>
              </a:moveTo>
              <a:lnTo>
                <a:pt x="0" y="561850"/>
              </a:lnTo>
              <a:lnTo>
                <a:pt x="0" y="561850"/>
              </a:lnTo>
              <a:lnTo>
                <a:pt x="463868" y="82052"/>
              </a:lnTo>
              <a:lnTo>
                <a:pt x="543196" y="0"/>
              </a:lnTo>
              <a:lnTo>
                <a:pt x="5431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0.85245</cdr:x>
      <cdr:y>0.08544</cdr:y>
    </cdr:from>
    <cdr:to>
      <cdr:x>0.92541</cdr:x>
      <cdr:y>0.15788</cdr:y>
    </cdr:to>
    <cdr:sp macro="" textlink="">
      <cdr:nvSpPr>
        <cdr:cNvPr id="273" name="FracNo 173 StartRow 3060">
          <a:extLst xmlns:a="http://schemas.openxmlformats.org/drawingml/2006/main">
            <a:ext uri="{FF2B5EF4-FFF2-40B4-BE49-F238E27FC236}">
              <a16:creationId xmlns:a16="http://schemas.microsoft.com/office/drawing/2014/main" id="{0E7A711A-8548-2236-D291-8488B4830814}"/>
            </a:ext>
          </a:extLst>
        </cdr:cNvPr>
        <cdr:cNvSpPr/>
      </cdr:nvSpPr>
      <cdr:spPr>
        <a:xfrm xmlns:a="http://schemas.openxmlformats.org/drawingml/2006/main">
          <a:off x="6235867" y="651036"/>
          <a:ext cx="533688" cy="5520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688" h="552016">
              <a:moveTo>
                <a:pt x="0" y="552015"/>
              </a:moveTo>
              <a:lnTo>
                <a:pt x="0" y="552015"/>
              </a:lnTo>
              <a:lnTo>
                <a:pt x="533687" y="0"/>
              </a:lnTo>
              <a:lnTo>
                <a:pt x="5336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0.86972</cdr:x>
      <cdr:y>0.6049</cdr:y>
    </cdr:from>
    <cdr:to>
      <cdr:x>0.94246</cdr:x>
      <cdr:y>0.67714</cdr:y>
    </cdr:to>
    <cdr:sp macro="" textlink="">
      <cdr:nvSpPr>
        <cdr:cNvPr id="274" name="FracNo 322 StartRow 3067">
          <a:extLst xmlns:a="http://schemas.openxmlformats.org/drawingml/2006/main">
            <a:ext uri="{FF2B5EF4-FFF2-40B4-BE49-F238E27FC236}">
              <a16:creationId xmlns:a16="http://schemas.microsoft.com/office/drawing/2014/main" id="{ADAF842A-30B6-4254-A22D-B8E0049FC614}"/>
            </a:ext>
          </a:extLst>
        </cdr:cNvPr>
        <cdr:cNvSpPr/>
      </cdr:nvSpPr>
      <cdr:spPr>
        <a:xfrm xmlns:a="http://schemas.openxmlformats.org/drawingml/2006/main">
          <a:off x="6362164" y="4609364"/>
          <a:ext cx="532144" cy="550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2144" h="550419">
              <a:moveTo>
                <a:pt x="0" y="550418"/>
              </a:moveTo>
              <a:lnTo>
                <a:pt x="0" y="550418"/>
              </a:lnTo>
              <a:lnTo>
                <a:pt x="210626" y="332558"/>
              </a:lnTo>
              <a:lnTo>
                <a:pt x="532143" y="0"/>
              </a:lnTo>
              <a:lnTo>
                <a:pt x="532143" y="0"/>
              </a:lnTo>
              <a:lnTo>
                <a:pt x="210626" y="3325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0.44046</cdr:x>
      <cdr:y>0.85907</cdr:y>
    </cdr:from>
    <cdr:to>
      <cdr:x>0.51199</cdr:x>
      <cdr:y>0.9301</cdr:y>
    </cdr:to>
    <cdr:sp macro="" textlink="">
      <cdr:nvSpPr>
        <cdr:cNvPr id="275" name="FracNo 99 StartRow 3076">
          <a:extLst xmlns:a="http://schemas.openxmlformats.org/drawingml/2006/main">
            <a:ext uri="{FF2B5EF4-FFF2-40B4-BE49-F238E27FC236}">
              <a16:creationId xmlns:a16="http://schemas.microsoft.com/office/drawing/2014/main" id="{CB18FBA5-2AF8-1FE4-0874-FB224AFA8893}"/>
            </a:ext>
          </a:extLst>
        </cdr:cNvPr>
        <cdr:cNvSpPr/>
      </cdr:nvSpPr>
      <cdr:spPr>
        <a:xfrm xmlns:a="http://schemas.openxmlformats.org/drawingml/2006/main">
          <a:off x="3222018" y="6546117"/>
          <a:ext cx="523278" cy="541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3278" h="541249">
              <a:moveTo>
                <a:pt x="364730" y="163993"/>
              </a:moveTo>
              <a:lnTo>
                <a:pt x="0" y="541248"/>
              </a:lnTo>
              <a:lnTo>
                <a:pt x="0" y="541248"/>
              </a:lnTo>
              <a:lnTo>
                <a:pt x="364730" y="163993"/>
              </a:lnTo>
              <a:lnTo>
                <a:pt x="523277" y="0"/>
              </a:lnTo>
              <a:lnTo>
                <a:pt x="5232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0.3409</cdr:x>
      <cdr:y>0.85993</cdr:y>
    </cdr:from>
    <cdr:to>
      <cdr:x>0.41157</cdr:x>
      <cdr:y>0.9301</cdr:y>
    </cdr:to>
    <cdr:sp macro="" textlink="">
      <cdr:nvSpPr>
        <cdr:cNvPr id="276" name="FracNo 91 StartRow 3085">
          <a:extLst xmlns:a="http://schemas.openxmlformats.org/drawingml/2006/main">
            <a:ext uri="{FF2B5EF4-FFF2-40B4-BE49-F238E27FC236}">
              <a16:creationId xmlns:a16="http://schemas.microsoft.com/office/drawing/2014/main" id="{1BFCD6D0-F746-7E1A-18E4-C029ED71DDB8}"/>
            </a:ext>
          </a:extLst>
        </cdr:cNvPr>
        <cdr:cNvSpPr/>
      </cdr:nvSpPr>
      <cdr:spPr>
        <a:xfrm xmlns:a="http://schemas.openxmlformats.org/drawingml/2006/main">
          <a:off x="2493744" y="6552648"/>
          <a:ext cx="516964" cy="534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6964" h="534718">
              <a:moveTo>
                <a:pt x="516963" y="0"/>
              </a:moveTo>
              <a:lnTo>
                <a:pt x="252142" y="273915"/>
              </a:lnTo>
              <a:lnTo>
                <a:pt x="0" y="534717"/>
              </a:lnTo>
              <a:lnTo>
                <a:pt x="0" y="534717"/>
              </a:lnTo>
              <a:lnTo>
                <a:pt x="252142" y="273915"/>
              </a:lnTo>
              <a:lnTo>
                <a:pt x="51696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0.46334</cdr:x>
      <cdr:y>0.08544</cdr:y>
    </cdr:from>
    <cdr:to>
      <cdr:x>0.53213</cdr:x>
      <cdr:y>0.15374</cdr:y>
    </cdr:to>
    <cdr:sp macro="" textlink="">
      <cdr:nvSpPr>
        <cdr:cNvPr id="277" name="FracNo 244 StartRow 3095">
          <a:extLst xmlns:a="http://schemas.openxmlformats.org/drawingml/2006/main">
            <a:ext uri="{FF2B5EF4-FFF2-40B4-BE49-F238E27FC236}">
              <a16:creationId xmlns:a16="http://schemas.microsoft.com/office/drawing/2014/main" id="{92A8FC2C-F4B8-4E1D-DC37-9416B181E185}"/>
            </a:ext>
          </a:extLst>
        </cdr:cNvPr>
        <cdr:cNvSpPr/>
      </cdr:nvSpPr>
      <cdr:spPr>
        <a:xfrm xmlns:a="http://schemas.openxmlformats.org/drawingml/2006/main">
          <a:off x="3389412" y="651036"/>
          <a:ext cx="503203" cy="520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203" h="520484">
              <a:moveTo>
                <a:pt x="146806" y="368635"/>
              </a:moveTo>
              <a:lnTo>
                <a:pt x="0" y="520483"/>
              </a:lnTo>
              <a:lnTo>
                <a:pt x="0" y="520483"/>
              </a:lnTo>
              <a:lnTo>
                <a:pt x="146806" y="368635"/>
              </a:lnTo>
              <a:lnTo>
                <a:pt x="503202" y="0"/>
              </a:lnTo>
              <a:lnTo>
                <a:pt x="5032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0.87244</cdr:x>
      <cdr:y>0.73576</cdr:y>
    </cdr:from>
    <cdr:to>
      <cdr:x>0.94246</cdr:x>
      <cdr:y>0.80776</cdr:y>
    </cdr:to>
    <cdr:sp macro="" textlink="">
      <cdr:nvSpPr>
        <cdr:cNvPr id="278" name="FracNo 345 StartRow 3104">
          <a:extLst xmlns:a="http://schemas.openxmlformats.org/drawingml/2006/main">
            <a:ext uri="{FF2B5EF4-FFF2-40B4-BE49-F238E27FC236}">
              <a16:creationId xmlns:a16="http://schemas.microsoft.com/office/drawing/2014/main" id="{36A22990-27A1-1BEC-8D6A-E3A52CA433B0}"/>
            </a:ext>
          </a:extLst>
        </cdr:cNvPr>
        <cdr:cNvSpPr/>
      </cdr:nvSpPr>
      <cdr:spPr>
        <a:xfrm xmlns:a="http://schemas.openxmlformats.org/drawingml/2006/main">
          <a:off x="6382064" y="5606510"/>
          <a:ext cx="512244" cy="548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2244" h="548587">
              <a:moveTo>
                <a:pt x="188124" y="335250"/>
              </a:moveTo>
              <a:lnTo>
                <a:pt x="0" y="529834"/>
              </a:lnTo>
              <a:lnTo>
                <a:pt x="18129" y="548586"/>
              </a:lnTo>
              <a:lnTo>
                <a:pt x="199595" y="360889"/>
              </a:lnTo>
              <a:lnTo>
                <a:pt x="512243" y="37503"/>
              </a:lnTo>
              <a:lnTo>
                <a:pt x="512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0.33209</cdr:x>
      <cdr:y>0.52088</cdr:y>
    </cdr:from>
    <cdr:to>
      <cdr:x>0.40077</cdr:x>
      <cdr:y>0.58908</cdr:y>
    </cdr:to>
    <cdr:sp macro="" textlink="">
      <cdr:nvSpPr>
        <cdr:cNvPr id="279" name="FracNo 649 StartRow 3113">
          <a:extLst xmlns:a="http://schemas.openxmlformats.org/drawingml/2006/main">
            <a:ext uri="{FF2B5EF4-FFF2-40B4-BE49-F238E27FC236}">
              <a16:creationId xmlns:a16="http://schemas.microsoft.com/office/drawing/2014/main" id="{D425336B-B93C-6639-18D6-98EB0C4AFA07}"/>
            </a:ext>
          </a:extLst>
        </cdr:cNvPr>
        <cdr:cNvSpPr/>
      </cdr:nvSpPr>
      <cdr:spPr>
        <a:xfrm xmlns:a="http://schemas.openxmlformats.org/drawingml/2006/main">
          <a:off x="2429275" y="3969080"/>
          <a:ext cx="502452" cy="519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2452" h="519707">
              <a:moveTo>
                <a:pt x="65366" y="452095"/>
              </a:moveTo>
              <a:lnTo>
                <a:pt x="0" y="519706"/>
              </a:lnTo>
              <a:lnTo>
                <a:pt x="0" y="519706"/>
              </a:lnTo>
              <a:lnTo>
                <a:pt x="65366" y="452095"/>
              </a:lnTo>
              <a:lnTo>
                <a:pt x="316611" y="192221"/>
              </a:lnTo>
              <a:lnTo>
                <a:pt x="502451" y="0"/>
              </a:lnTo>
              <a:lnTo>
                <a:pt x="502451" y="0"/>
              </a:lnTo>
              <a:lnTo>
                <a:pt x="316611" y="1922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0.65643</cdr:x>
      <cdr:y>0.1239</cdr:y>
    </cdr:from>
    <cdr:to>
      <cdr:x>0.72482</cdr:x>
      <cdr:y>0.19181</cdr:y>
    </cdr:to>
    <cdr:sp macro="" textlink="">
      <cdr:nvSpPr>
        <cdr:cNvPr id="280" name="FracNo 165 StartRow 3124">
          <a:extLst xmlns:a="http://schemas.openxmlformats.org/drawingml/2006/main">
            <a:ext uri="{FF2B5EF4-FFF2-40B4-BE49-F238E27FC236}">
              <a16:creationId xmlns:a16="http://schemas.microsoft.com/office/drawing/2014/main" id="{DB4D3B68-3093-9224-1D73-F9F22B07BBA3}"/>
            </a:ext>
          </a:extLst>
        </cdr:cNvPr>
        <cdr:cNvSpPr/>
      </cdr:nvSpPr>
      <cdr:spPr>
        <a:xfrm xmlns:a="http://schemas.openxmlformats.org/drawingml/2006/main">
          <a:off x="4801950" y="944107"/>
          <a:ext cx="500285" cy="517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0285" h="517467">
              <a:moveTo>
                <a:pt x="365848" y="139054"/>
              </a:moveTo>
              <a:lnTo>
                <a:pt x="18147" y="498696"/>
              </a:lnTo>
              <a:lnTo>
                <a:pt x="0" y="517466"/>
              </a:lnTo>
              <a:lnTo>
                <a:pt x="0" y="517466"/>
              </a:lnTo>
              <a:lnTo>
                <a:pt x="18147" y="498696"/>
              </a:lnTo>
              <a:lnTo>
                <a:pt x="365848" y="139054"/>
              </a:lnTo>
              <a:lnTo>
                <a:pt x="500284" y="0"/>
              </a:lnTo>
              <a:lnTo>
                <a:pt x="5002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0.39042</cdr:x>
      <cdr:y>0.14925</cdr:y>
    </cdr:from>
    <cdr:to>
      <cdr:x>0.45881</cdr:x>
      <cdr:y>0.21716</cdr:y>
    </cdr:to>
    <cdr:sp macro="" textlink="">
      <cdr:nvSpPr>
        <cdr:cNvPr id="281" name="FracNo 246 StartRow 3135">
          <a:extLst xmlns:a="http://schemas.openxmlformats.org/drawingml/2006/main">
            <a:ext uri="{FF2B5EF4-FFF2-40B4-BE49-F238E27FC236}">
              <a16:creationId xmlns:a16="http://schemas.microsoft.com/office/drawing/2014/main" id="{ED22684B-D882-28C8-59E2-257B11F98858}"/>
            </a:ext>
          </a:extLst>
        </cdr:cNvPr>
        <cdr:cNvSpPr/>
      </cdr:nvSpPr>
      <cdr:spPr>
        <a:xfrm xmlns:a="http://schemas.openxmlformats.org/drawingml/2006/main">
          <a:off x="2856027" y="1137282"/>
          <a:ext cx="500285" cy="517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0285" h="517466">
              <a:moveTo>
                <a:pt x="365848" y="139052"/>
              </a:moveTo>
              <a:lnTo>
                <a:pt x="0" y="517465"/>
              </a:lnTo>
              <a:lnTo>
                <a:pt x="0" y="517465"/>
              </a:lnTo>
              <a:lnTo>
                <a:pt x="365848" y="139052"/>
              </a:lnTo>
              <a:lnTo>
                <a:pt x="500284" y="0"/>
              </a:lnTo>
              <a:lnTo>
                <a:pt x="5002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0.52456</cdr:x>
      <cdr:y>0.74444</cdr:y>
    </cdr:from>
    <cdr:to>
      <cdr:x>0.59539</cdr:x>
      <cdr:y>0.81477</cdr:y>
    </cdr:to>
    <cdr:sp macro="" textlink="">
      <cdr:nvSpPr>
        <cdr:cNvPr id="282" name="FracNo 103 StartRow 3144">
          <a:extLst xmlns:a="http://schemas.openxmlformats.org/drawingml/2006/main">
            <a:ext uri="{FF2B5EF4-FFF2-40B4-BE49-F238E27FC236}">
              <a16:creationId xmlns:a16="http://schemas.microsoft.com/office/drawing/2014/main" id="{11C1C949-29B9-CD37-A950-47EA0E94D10B}"/>
            </a:ext>
          </a:extLst>
        </cdr:cNvPr>
        <cdr:cNvSpPr/>
      </cdr:nvSpPr>
      <cdr:spPr>
        <a:xfrm xmlns:a="http://schemas.openxmlformats.org/drawingml/2006/main">
          <a:off x="3837278" y="5672656"/>
          <a:ext cx="518117" cy="5359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8117" h="535910">
              <a:moveTo>
                <a:pt x="137548" y="412389"/>
              </a:moveTo>
              <a:lnTo>
                <a:pt x="18130" y="535909"/>
              </a:lnTo>
              <a:lnTo>
                <a:pt x="0" y="517157"/>
              </a:lnTo>
              <a:lnTo>
                <a:pt x="119419" y="393637"/>
              </a:lnTo>
              <a:lnTo>
                <a:pt x="499986" y="0"/>
              </a:lnTo>
              <a:lnTo>
                <a:pt x="5181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0.12772</cdr:x>
      <cdr:y>0.8625</cdr:y>
    </cdr:from>
    <cdr:to>
      <cdr:x>0.1958</cdr:x>
      <cdr:y>0.9301</cdr:y>
    </cdr:to>
    <cdr:sp macro="" textlink="">
      <cdr:nvSpPr>
        <cdr:cNvPr id="283" name="FracNo 11 StartRow 3153">
          <a:extLst xmlns:a="http://schemas.openxmlformats.org/drawingml/2006/main">
            <a:ext uri="{FF2B5EF4-FFF2-40B4-BE49-F238E27FC236}">
              <a16:creationId xmlns:a16="http://schemas.microsoft.com/office/drawing/2014/main" id="{BEB3967C-148F-CD30-0848-729EA2A870BF}"/>
            </a:ext>
          </a:extLst>
        </cdr:cNvPr>
        <cdr:cNvSpPr/>
      </cdr:nvSpPr>
      <cdr:spPr>
        <a:xfrm xmlns:a="http://schemas.openxmlformats.org/drawingml/2006/main">
          <a:off x="934307" y="6572265"/>
          <a:ext cx="497999" cy="515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7999" h="515101">
              <a:moveTo>
                <a:pt x="450522" y="49106"/>
              </a:moveTo>
              <a:lnTo>
                <a:pt x="0" y="515100"/>
              </a:lnTo>
              <a:lnTo>
                <a:pt x="0" y="515100"/>
              </a:lnTo>
              <a:lnTo>
                <a:pt x="450522" y="49106"/>
              </a:lnTo>
              <a:lnTo>
                <a:pt x="497998" y="0"/>
              </a:lnTo>
              <a:lnTo>
                <a:pt x="4979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0.71611</cdr:x>
      <cdr:y>0.77627</cdr:y>
    </cdr:from>
    <cdr:to>
      <cdr:x>0.78665</cdr:x>
      <cdr:y>0.84631</cdr:y>
    </cdr:to>
    <cdr:sp macro="" textlink="">
      <cdr:nvSpPr>
        <cdr:cNvPr id="284" name="FracNo 344 StartRow 3162">
          <a:extLst xmlns:a="http://schemas.openxmlformats.org/drawingml/2006/main">
            <a:ext uri="{FF2B5EF4-FFF2-40B4-BE49-F238E27FC236}">
              <a16:creationId xmlns:a16="http://schemas.microsoft.com/office/drawing/2014/main" id="{EF04CA0B-F512-8362-7255-7A2EDA0A236E}"/>
            </a:ext>
          </a:extLst>
        </cdr:cNvPr>
        <cdr:cNvSpPr/>
      </cdr:nvSpPr>
      <cdr:spPr>
        <a:xfrm xmlns:a="http://schemas.openxmlformats.org/drawingml/2006/main">
          <a:off x="5238479" y="5915188"/>
          <a:ext cx="516003" cy="5337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6003" h="533724">
              <a:moveTo>
                <a:pt x="396666" y="142186"/>
              </a:moveTo>
              <a:lnTo>
                <a:pt x="18129" y="533723"/>
              </a:lnTo>
              <a:lnTo>
                <a:pt x="0" y="514971"/>
              </a:lnTo>
              <a:lnTo>
                <a:pt x="378537" y="123434"/>
              </a:lnTo>
              <a:lnTo>
                <a:pt x="497873" y="0"/>
              </a:lnTo>
              <a:lnTo>
                <a:pt x="5160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0.85346</cdr:y>
    </cdr:from>
    <cdr:to>
      <cdr:x>0.15977</cdr:x>
      <cdr:y>0.92094</cdr:y>
    </cdr:to>
    <cdr:sp macro="" textlink="">
      <cdr:nvSpPr>
        <cdr:cNvPr id="285" name="FracNo 12 StartRow 3171">
          <a:extLst xmlns:a="http://schemas.openxmlformats.org/drawingml/2006/main">
            <a:ext uri="{FF2B5EF4-FFF2-40B4-BE49-F238E27FC236}">
              <a16:creationId xmlns:a16="http://schemas.microsoft.com/office/drawing/2014/main" id="{6B9B5EF5-7BAF-B450-A1F9-95C5E2A0CCA9}"/>
            </a:ext>
          </a:extLst>
        </cdr:cNvPr>
        <cdr:cNvSpPr/>
      </cdr:nvSpPr>
      <cdr:spPr>
        <a:xfrm xmlns:a="http://schemas.openxmlformats.org/drawingml/2006/main">
          <a:off x="671676" y="6503371"/>
          <a:ext cx="497090" cy="514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7090" h="514161">
              <a:moveTo>
                <a:pt x="302670" y="201096"/>
              </a:moveTo>
              <a:lnTo>
                <a:pt x="0" y="514160"/>
              </a:lnTo>
              <a:lnTo>
                <a:pt x="0" y="514160"/>
              </a:lnTo>
              <a:lnTo>
                <a:pt x="302670" y="201096"/>
              </a:lnTo>
              <a:lnTo>
                <a:pt x="497089" y="0"/>
              </a:lnTo>
              <a:lnTo>
                <a:pt x="4970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0.16173</cdr:x>
      <cdr:y>0.15486</cdr:y>
    </cdr:to>
    <cdr:sp macro="" textlink="">
      <cdr:nvSpPr>
        <cdr:cNvPr id="286" name="FracNo 587 StartRow 3180">
          <a:extLst xmlns:a="http://schemas.openxmlformats.org/drawingml/2006/main">
            <a:ext uri="{FF2B5EF4-FFF2-40B4-BE49-F238E27FC236}">
              <a16:creationId xmlns:a16="http://schemas.microsoft.com/office/drawing/2014/main" id="{36F1CD2E-4CFB-EB1C-76EE-C5FDF8385A98}"/>
            </a:ext>
          </a:extLst>
        </cdr:cNvPr>
        <cdr:cNvSpPr/>
      </cdr:nvSpPr>
      <cdr:spPr>
        <a:xfrm xmlns:a="http://schemas.openxmlformats.org/drawingml/2006/main">
          <a:off x="671676" y="651036"/>
          <a:ext cx="511439" cy="529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439" h="529002">
              <a:moveTo>
                <a:pt x="16721" y="474203"/>
              </a:moveTo>
              <a:lnTo>
                <a:pt x="0" y="491498"/>
              </a:lnTo>
              <a:lnTo>
                <a:pt x="0" y="529001"/>
              </a:lnTo>
              <a:lnTo>
                <a:pt x="17997" y="510387"/>
              </a:lnTo>
              <a:lnTo>
                <a:pt x="511438" y="0"/>
              </a:lnTo>
              <a:lnTo>
                <a:pt x="4751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0.23443</cdr:y>
    </cdr:from>
    <cdr:to>
      <cdr:x>0.15782</cdr:x>
      <cdr:y>0.29996</cdr:y>
    </cdr:to>
    <cdr:sp macro="" textlink="">
      <cdr:nvSpPr>
        <cdr:cNvPr id="287" name="FracNo 575 StartRow 3189">
          <a:extLst xmlns:a="http://schemas.openxmlformats.org/drawingml/2006/main">
            <a:ext uri="{FF2B5EF4-FFF2-40B4-BE49-F238E27FC236}">
              <a16:creationId xmlns:a16="http://schemas.microsoft.com/office/drawing/2014/main" id="{AC05F87D-0E10-20C9-995A-88F529A9C04B}"/>
            </a:ext>
          </a:extLst>
        </cdr:cNvPr>
        <cdr:cNvSpPr/>
      </cdr:nvSpPr>
      <cdr:spPr>
        <a:xfrm xmlns:a="http://schemas.openxmlformats.org/drawingml/2006/main">
          <a:off x="671676" y="1786335"/>
          <a:ext cx="482815" cy="499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815" h="499396">
              <a:moveTo>
                <a:pt x="363295" y="123623"/>
              </a:moveTo>
              <a:lnTo>
                <a:pt x="0" y="499395"/>
              </a:lnTo>
              <a:lnTo>
                <a:pt x="0" y="499395"/>
              </a:lnTo>
              <a:lnTo>
                <a:pt x="363295" y="123623"/>
              </a:lnTo>
              <a:lnTo>
                <a:pt x="482814" y="0"/>
              </a:lnTo>
              <a:lnTo>
                <a:pt x="4828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0.12949</cdr:x>
      <cdr:y>0.86338</cdr:y>
    </cdr:from>
    <cdr:to>
      <cdr:x>0.19916</cdr:x>
      <cdr:y>0.9301</cdr:y>
    </cdr:to>
    <cdr:sp macro="" textlink="">
      <cdr:nvSpPr>
        <cdr:cNvPr id="288" name="FracNo 25 StartRow 3198">
          <a:extLst xmlns:a="http://schemas.openxmlformats.org/drawingml/2006/main">
            <a:ext uri="{FF2B5EF4-FFF2-40B4-BE49-F238E27FC236}">
              <a16:creationId xmlns:a16="http://schemas.microsoft.com/office/drawing/2014/main" id="{8A7EF703-1492-9F74-948F-B53B4F495DD8}"/>
            </a:ext>
          </a:extLst>
        </cdr:cNvPr>
        <cdr:cNvSpPr/>
      </cdr:nvSpPr>
      <cdr:spPr>
        <a:xfrm xmlns:a="http://schemas.openxmlformats.org/drawingml/2006/main">
          <a:off x="947274" y="6578971"/>
          <a:ext cx="509645" cy="5083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9645" h="508395">
              <a:moveTo>
                <a:pt x="106090" y="398660"/>
              </a:moveTo>
              <a:lnTo>
                <a:pt x="0" y="508394"/>
              </a:lnTo>
              <a:lnTo>
                <a:pt x="36258" y="508394"/>
              </a:lnTo>
              <a:lnTo>
                <a:pt x="138436" y="402707"/>
              </a:lnTo>
              <a:lnTo>
                <a:pt x="509644" y="18751"/>
              </a:lnTo>
              <a:lnTo>
                <a:pt x="4915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0.69092</cdr:y>
    </cdr:from>
    <cdr:to>
      <cdr:x>0.15663</cdr:x>
      <cdr:y>0.75528</cdr:y>
    </cdr:to>
    <cdr:sp macro="" textlink="">
      <cdr:nvSpPr>
        <cdr:cNvPr id="289" name="FracNo 5 StartRow 3207">
          <a:extLst xmlns:a="http://schemas.openxmlformats.org/drawingml/2006/main">
            <a:ext uri="{FF2B5EF4-FFF2-40B4-BE49-F238E27FC236}">
              <a16:creationId xmlns:a16="http://schemas.microsoft.com/office/drawing/2014/main" id="{D361EB02-2C64-8B7C-893E-EBDB71DF6C1A}"/>
            </a:ext>
          </a:extLst>
        </cdr:cNvPr>
        <cdr:cNvSpPr/>
      </cdr:nvSpPr>
      <cdr:spPr>
        <a:xfrm xmlns:a="http://schemas.openxmlformats.org/drawingml/2006/main">
          <a:off x="671676" y="5264840"/>
          <a:ext cx="474117" cy="4903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4117" h="490399">
              <a:moveTo>
                <a:pt x="168926" y="315671"/>
              </a:moveTo>
              <a:lnTo>
                <a:pt x="0" y="490398"/>
              </a:lnTo>
              <a:lnTo>
                <a:pt x="0" y="490398"/>
              </a:lnTo>
              <a:lnTo>
                <a:pt x="168926" y="315671"/>
              </a:lnTo>
              <a:lnTo>
                <a:pt x="474116" y="0"/>
              </a:lnTo>
              <a:lnTo>
                <a:pt x="4741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0.46727</cdr:x>
      <cdr:y>0.5557</cdr:y>
    </cdr:from>
    <cdr:to>
      <cdr:x>0.53325</cdr:x>
      <cdr:y>0.62122</cdr:y>
    </cdr:to>
    <cdr:sp macro="" textlink="">
      <cdr:nvSpPr>
        <cdr:cNvPr id="290" name="FracNo 508 StartRow 3216">
          <a:extLst xmlns:a="http://schemas.openxmlformats.org/drawingml/2006/main">
            <a:ext uri="{FF2B5EF4-FFF2-40B4-BE49-F238E27FC236}">
              <a16:creationId xmlns:a16="http://schemas.microsoft.com/office/drawing/2014/main" id="{E917D015-1C79-9409-1AD8-B00CE44F7147}"/>
            </a:ext>
          </a:extLst>
        </cdr:cNvPr>
        <cdr:cNvSpPr/>
      </cdr:nvSpPr>
      <cdr:spPr>
        <a:xfrm xmlns:a="http://schemas.openxmlformats.org/drawingml/2006/main">
          <a:off x="3418169" y="4234455"/>
          <a:ext cx="482631" cy="499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631" h="499205">
              <a:moveTo>
                <a:pt x="169834" y="304786"/>
              </a:moveTo>
              <a:lnTo>
                <a:pt x="0" y="480452"/>
              </a:lnTo>
              <a:lnTo>
                <a:pt x="18129" y="499204"/>
              </a:lnTo>
              <a:lnTo>
                <a:pt x="187963" y="323538"/>
              </a:lnTo>
              <a:lnTo>
                <a:pt x="482630" y="18751"/>
              </a:lnTo>
              <a:lnTo>
                <a:pt x="464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0.74997</cdr:x>
      <cdr:y>0.58335</cdr:y>
    </cdr:from>
    <cdr:to>
      <cdr:x>0.81343</cdr:x>
      <cdr:y>0.64637</cdr:y>
    </cdr:to>
    <cdr:sp macro="" textlink="">
      <cdr:nvSpPr>
        <cdr:cNvPr id="291" name="FracNo 415 StartRow 3225">
          <a:extLst xmlns:a="http://schemas.openxmlformats.org/drawingml/2006/main">
            <a:ext uri="{FF2B5EF4-FFF2-40B4-BE49-F238E27FC236}">
              <a16:creationId xmlns:a16="http://schemas.microsoft.com/office/drawing/2014/main" id="{26E34AB0-FEFD-ADAE-074A-6A65D75555B6}"/>
            </a:ext>
          </a:extLst>
        </cdr:cNvPr>
        <cdr:cNvSpPr/>
      </cdr:nvSpPr>
      <cdr:spPr>
        <a:xfrm xmlns:a="http://schemas.openxmlformats.org/drawingml/2006/main">
          <a:off x="5486162" y="4445109"/>
          <a:ext cx="464270" cy="480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270" h="480215">
              <a:moveTo>
                <a:pt x="421770" y="43958"/>
              </a:moveTo>
              <a:lnTo>
                <a:pt x="0" y="480214"/>
              </a:lnTo>
              <a:lnTo>
                <a:pt x="0" y="480214"/>
              </a:lnTo>
              <a:lnTo>
                <a:pt x="421770" y="43958"/>
              </a:lnTo>
              <a:lnTo>
                <a:pt x="464269" y="0"/>
              </a:lnTo>
              <a:lnTo>
                <a:pt x="4642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0.57986</cdr:x>
      <cdr:y>0.51247</cdr:y>
    </cdr:from>
    <cdr:to>
      <cdr:x>0.64327</cdr:x>
      <cdr:y>0.57543</cdr:y>
    </cdr:to>
    <cdr:sp macro="" textlink="">
      <cdr:nvSpPr>
        <cdr:cNvPr id="292" name="FracNo 482 StartRow 3234">
          <a:extLst xmlns:a="http://schemas.openxmlformats.org/drawingml/2006/main">
            <a:ext uri="{FF2B5EF4-FFF2-40B4-BE49-F238E27FC236}">
              <a16:creationId xmlns:a16="http://schemas.microsoft.com/office/drawing/2014/main" id="{5B93DF90-2518-3268-0333-61D7B885C43C}"/>
            </a:ext>
          </a:extLst>
        </cdr:cNvPr>
        <cdr:cNvSpPr/>
      </cdr:nvSpPr>
      <cdr:spPr>
        <a:xfrm xmlns:a="http://schemas.openxmlformats.org/drawingml/2006/main">
          <a:off x="4241778" y="3904988"/>
          <a:ext cx="463868" cy="4797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3868" h="479798">
              <a:moveTo>
                <a:pt x="463867" y="0"/>
              </a:moveTo>
              <a:lnTo>
                <a:pt x="0" y="479797"/>
              </a:lnTo>
              <a:lnTo>
                <a:pt x="0" y="479797"/>
              </a:lnTo>
              <a:lnTo>
                <a:pt x="46386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0.4004</cdr:x>
      <cdr:y>0.28957</cdr:y>
    </cdr:from>
    <cdr:to>
      <cdr:x>0.46312</cdr:x>
      <cdr:y>0.35184</cdr:y>
    </cdr:to>
    <cdr:sp macro="" textlink="">
      <cdr:nvSpPr>
        <cdr:cNvPr id="293" name="FracNo 748 StartRow 3242">
          <a:extLst xmlns:a="http://schemas.openxmlformats.org/drawingml/2006/main">
            <a:ext uri="{FF2B5EF4-FFF2-40B4-BE49-F238E27FC236}">
              <a16:creationId xmlns:a16="http://schemas.microsoft.com/office/drawing/2014/main" id="{5D6F1384-AD9E-CD95-A2D6-C6FC7E6BE1CF}"/>
            </a:ext>
          </a:extLst>
        </cdr:cNvPr>
        <cdr:cNvSpPr/>
      </cdr:nvSpPr>
      <cdr:spPr>
        <a:xfrm xmlns:a="http://schemas.openxmlformats.org/drawingml/2006/main">
          <a:off x="2929019" y="2206504"/>
          <a:ext cx="458760" cy="474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760" h="474514">
              <a:moveTo>
                <a:pt x="33640" y="439718"/>
              </a:moveTo>
              <a:lnTo>
                <a:pt x="0" y="474513"/>
              </a:lnTo>
              <a:lnTo>
                <a:pt x="0" y="474513"/>
              </a:lnTo>
              <a:lnTo>
                <a:pt x="33640" y="439718"/>
              </a:lnTo>
              <a:lnTo>
                <a:pt x="458759" y="0"/>
              </a:lnTo>
              <a:lnTo>
                <a:pt x="4587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0.66692</cdr:x>
      <cdr:y>0.1612</cdr:y>
    </cdr:from>
    <cdr:to>
      <cdr:x>0.72938</cdr:x>
      <cdr:y>0.22321</cdr:y>
    </cdr:to>
    <cdr:sp macro="" textlink="">
      <cdr:nvSpPr>
        <cdr:cNvPr id="294" name="FracNo 172 StartRow 3251">
          <a:extLst xmlns:a="http://schemas.openxmlformats.org/drawingml/2006/main">
            <a:ext uri="{FF2B5EF4-FFF2-40B4-BE49-F238E27FC236}">
              <a16:creationId xmlns:a16="http://schemas.microsoft.com/office/drawing/2014/main" id="{FE9381D7-03FD-6C10-A8CD-79E3F8A43158}"/>
            </a:ext>
          </a:extLst>
        </cdr:cNvPr>
        <cdr:cNvSpPr/>
      </cdr:nvSpPr>
      <cdr:spPr>
        <a:xfrm xmlns:a="http://schemas.openxmlformats.org/drawingml/2006/main">
          <a:off x="4878661" y="1228332"/>
          <a:ext cx="456876" cy="472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6876" h="472566">
              <a:moveTo>
                <a:pt x="0" y="472565"/>
              </a:moveTo>
              <a:lnTo>
                <a:pt x="0" y="472565"/>
              </a:lnTo>
              <a:lnTo>
                <a:pt x="456875" y="0"/>
              </a:lnTo>
              <a:lnTo>
                <a:pt x="4568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0.45486</cdr:x>
      <cdr:y>0.08544</cdr:y>
    </cdr:from>
    <cdr:to>
      <cdr:x>0.51518</cdr:x>
      <cdr:y>0.14533</cdr:y>
    </cdr:to>
    <cdr:sp macro="" textlink="">
      <cdr:nvSpPr>
        <cdr:cNvPr id="295" name="FracNo 243 StartRow 3258">
          <a:extLst xmlns:a="http://schemas.openxmlformats.org/drawingml/2006/main">
            <a:ext uri="{FF2B5EF4-FFF2-40B4-BE49-F238E27FC236}">
              <a16:creationId xmlns:a16="http://schemas.microsoft.com/office/drawing/2014/main" id="{53E9F354-8E2C-0887-0C5C-D0A688E3C45F}"/>
            </a:ext>
          </a:extLst>
        </cdr:cNvPr>
        <cdr:cNvSpPr/>
      </cdr:nvSpPr>
      <cdr:spPr>
        <a:xfrm xmlns:a="http://schemas.openxmlformats.org/drawingml/2006/main">
          <a:off x="3327422" y="651036"/>
          <a:ext cx="441214" cy="4563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1214" h="456366">
              <a:moveTo>
                <a:pt x="415219" y="26887"/>
              </a:moveTo>
              <a:lnTo>
                <a:pt x="0" y="456365"/>
              </a:lnTo>
              <a:lnTo>
                <a:pt x="0" y="456365"/>
              </a:lnTo>
              <a:lnTo>
                <a:pt x="415219" y="26887"/>
              </a:lnTo>
              <a:lnTo>
                <a:pt x="441213" y="0"/>
              </a:lnTo>
              <a:lnTo>
                <a:pt x="4412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0.15709</cdr:x>
      <cdr:y>0.17668</cdr:y>
    </cdr:from>
    <cdr:to>
      <cdr:x>0.21451</cdr:x>
      <cdr:y>0.2337</cdr:y>
    </cdr:to>
    <cdr:sp macro="" textlink="">
      <cdr:nvSpPr>
        <cdr:cNvPr id="296" name="FracNo 570 StartRow 3267">
          <a:extLst xmlns:a="http://schemas.openxmlformats.org/drawingml/2006/main">
            <a:ext uri="{FF2B5EF4-FFF2-40B4-BE49-F238E27FC236}">
              <a16:creationId xmlns:a16="http://schemas.microsoft.com/office/drawing/2014/main" id="{C1D63AA7-FA5C-B27A-5A5E-CF9A96748112}"/>
            </a:ext>
          </a:extLst>
        </cdr:cNvPr>
        <cdr:cNvSpPr/>
      </cdr:nvSpPr>
      <cdr:spPr>
        <a:xfrm xmlns:a="http://schemas.openxmlformats.org/drawingml/2006/main">
          <a:off x="1149125" y="1346320"/>
          <a:ext cx="420041" cy="434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041" h="434467">
              <a:moveTo>
                <a:pt x="123475" y="306751"/>
              </a:moveTo>
              <a:lnTo>
                <a:pt x="0" y="434466"/>
              </a:lnTo>
              <a:lnTo>
                <a:pt x="0" y="434466"/>
              </a:lnTo>
              <a:lnTo>
                <a:pt x="123475" y="306751"/>
              </a:lnTo>
              <a:lnTo>
                <a:pt x="420040" y="0"/>
              </a:lnTo>
              <a:lnTo>
                <a:pt x="4200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0.59421</cdr:x>
      <cdr:y>0.18683</cdr:y>
    </cdr:from>
    <cdr:to>
      <cdr:x>0.65143</cdr:x>
      <cdr:y>0.24365</cdr:y>
    </cdr:to>
    <cdr:sp macro="" textlink="">
      <cdr:nvSpPr>
        <cdr:cNvPr id="297" name="FracNo 256 StartRow 3276">
          <a:extLst xmlns:a="http://schemas.openxmlformats.org/drawingml/2006/main">
            <a:ext uri="{FF2B5EF4-FFF2-40B4-BE49-F238E27FC236}">
              <a16:creationId xmlns:a16="http://schemas.microsoft.com/office/drawing/2014/main" id="{1FA8CBCF-F59E-896D-2F52-1B2A3455F03E}"/>
            </a:ext>
          </a:extLst>
        </cdr:cNvPr>
        <cdr:cNvSpPr/>
      </cdr:nvSpPr>
      <cdr:spPr>
        <a:xfrm xmlns:a="http://schemas.openxmlformats.org/drawingml/2006/main">
          <a:off x="4346761" y="1423677"/>
          <a:ext cx="418552" cy="432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552" h="432925">
              <a:moveTo>
                <a:pt x="0" y="432924"/>
              </a:moveTo>
              <a:lnTo>
                <a:pt x="0" y="432924"/>
              </a:lnTo>
              <a:lnTo>
                <a:pt x="418551" y="0"/>
              </a:lnTo>
              <a:lnTo>
                <a:pt x="4185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0.68076</cdr:y>
    </cdr:from>
    <cdr:to>
      <cdr:x>0.14887</cdr:x>
      <cdr:y>0.73987</cdr:y>
    </cdr:to>
    <cdr:sp macro="" textlink="">
      <cdr:nvSpPr>
        <cdr:cNvPr id="298" name="FracNo 40 StartRow 3283">
          <a:extLst xmlns:a="http://schemas.openxmlformats.org/drawingml/2006/main">
            <a:ext uri="{FF2B5EF4-FFF2-40B4-BE49-F238E27FC236}">
              <a16:creationId xmlns:a16="http://schemas.microsoft.com/office/drawing/2014/main" id="{9D8D10AC-024C-4FD4-4F4D-E66D521173F1}"/>
            </a:ext>
          </a:extLst>
        </cdr:cNvPr>
        <cdr:cNvSpPr/>
      </cdr:nvSpPr>
      <cdr:spPr>
        <a:xfrm xmlns:a="http://schemas.openxmlformats.org/drawingml/2006/main">
          <a:off x="671676" y="5187360"/>
          <a:ext cx="417339" cy="450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339" h="450423">
              <a:moveTo>
                <a:pt x="377695" y="22253"/>
              </a:moveTo>
              <a:lnTo>
                <a:pt x="0" y="412919"/>
              </a:lnTo>
              <a:lnTo>
                <a:pt x="0" y="450422"/>
              </a:lnTo>
              <a:lnTo>
                <a:pt x="394847" y="42015"/>
              </a:lnTo>
              <a:lnTo>
                <a:pt x="417338" y="18752"/>
              </a:lnTo>
              <a:lnTo>
                <a:pt x="3992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0.7073</cdr:x>
      <cdr:y>0.39898</cdr:y>
    </cdr:from>
    <cdr:to>
      <cdr:x>0.76311</cdr:x>
      <cdr:y>0.4544</cdr:y>
    </cdr:to>
    <cdr:sp macro="" textlink="">
      <cdr:nvSpPr>
        <cdr:cNvPr id="299" name="FracNo 404 StartRow 3292">
          <a:extLst xmlns:a="http://schemas.openxmlformats.org/drawingml/2006/main">
            <a:ext uri="{FF2B5EF4-FFF2-40B4-BE49-F238E27FC236}">
              <a16:creationId xmlns:a16="http://schemas.microsoft.com/office/drawing/2014/main" id="{155FA43B-522F-9F08-3C21-E31972EA5F84}"/>
            </a:ext>
          </a:extLst>
        </cdr:cNvPr>
        <cdr:cNvSpPr/>
      </cdr:nvSpPr>
      <cdr:spPr>
        <a:xfrm xmlns:a="http://schemas.openxmlformats.org/drawingml/2006/main">
          <a:off x="5174039" y="3040201"/>
          <a:ext cx="408272" cy="422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272" h="422293">
              <a:moveTo>
                <a:pt x="408271" y="0"/>
              </a:moveTo>
              <a:lnTo>
                <a:pt x="0" y="422292"/>
              </a:lnTo>
              <a:lnTo>
                <a:pt x="0" y="422292"/>
              </a:lnTo>
              <a:lnTo>
                <a:pt x="40827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0.28843</cdr:x>
      <cdr:y>0.67215</cdr:y>
    </cdr:from>
    <cdr:to>
      <cdr:x>0.34667</cdr:x>
      <cdr:y>0.72998</cdr:y>
    </cdr:to>
    <cdr:sp macro="" textlink="">
      <cdr:nvSpPr>
        <cdr:cNvPr id="300" name="FracNo 23 StartRow 3300">
          <a:extLst xmlns:a="http://schemas.openxmlformats.org/drawingml/2006/main">
            <a:ext uri="{FF2B5EF4-FFF2-40B4-BE49-F238E27FC236}">
              <a16:creationId xmlns:a16="http://schemas.microsoft.com/office/drawing/2014/main" id="{E746A121-5C04-DA2D-7579-D16905344326}"/>
            </a:ext>
          </a:extLst>
        </cdr:cNvPr>
        <cdr:cNvSpPr/>
      </cdr:nvSpPr>
      <cdr:spPr>
        <a:xfrm xmlns:a="http://schemas.openxmlformats.org/drawingml/2006/main">
          <a:off x="2109936" y="5121798"/>
          <a:ext cx="425991" cy="4406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991" h="440621">
              <a:moveTo>
                <a:pt x="283330" y="128807"/>
              </a:moveTo>
              <a:lnTo>
                <a:pt x="0" y="421868"/>
              </a:lnTo>
              <a:lnTo>
                <a:pt x="18129" y="440620"/>
              </a:lnTo>
              <a:lnTo>
                <a:pt x="301460" y="147559"/>
              </a:lnTo>
              <a:lnTo>
                <a:pt x="425990" y="18752"/>
              </a:lnTo>
              <a:lnTo>
                <a:pt x="4078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0.10129</cdr:x>
      <cdr:y>0.63651</cdr:y>
    </cdr:from>
    <cdr:to>
      <cdr:x>0.15509</cdr:x>
      <cdr:y>0.68994</cdr:y>
    </cdr:to>
    <cdr:sp macro="" textlink="">
      <cdr:nvSpPr>
        <cdr:cNvPr id="301" name="FracNo 7 StartRow 3309">
          <a:extLst xmlns:a="http://schemas.openxmlformats.org/drawingml/2006/main">
            <a:ext uri="{FF2B5EF4-FFF2-40B4-BE49-F238E27FC236}">
              <a16:creationId xmlns:a16="http://schemas.microsoft.com/office/drawing/2014/main" id="{15AC2A91-BF00-1CEA-853C-BAC6E10A44F0}"/>
            </a:ext>
          </a:extLst>
        </cdr:cNvPr>
        <cdr:cNvSpPr/>
      </cdr:nvSpPr>
      <cdr:spPr>
        <a:xfrm xmlns:a="http://schemas.openxmlformats.org/drawingml/2006/main">
          <a:off x="740953" y="4850219"/>
          <a:ext cx="393581" cy="407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581" h="407098">
              <a:moveTo>
                <a:pt x="179440" y="221494"/>
              </a:moveTo>
              <a:lnTo>
                <a:pt x="0" y="407097"/>
              </a:lnTo>
              <a:lnTo>
                <a:pt x="0" y="407097"/>
              </a:lnTo>
              <a:lnTo>
                <a:pt x="179440" y="221494"/>
              </a:lnTo>
              <a:lnTo>
                <a:pt x="304922" y="91703"/>
              </a:lnTo>
              <a:lnTo>
                <a:pt x="393580" y="0"/>
              </a:lnTo>
              <a:lnTo>
                <a:pt x="393580" y="0"/>
              </a:lnTo>
              <a:lnTo>
                <a:pt x="304922" y="917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0.26149</cdr:x>
      <cdr:y>0.57592</cdr:y>
    </cdr:from>
    <cdr:to>
      <cdr:x>0.31702</cdr:x>
      <cdr:y>0.63106</cdr:y>
    </cdr:to>
    <cdr:sp macro="" textlink="">
      <cdr:nvSpPr>
        <cdr:cNvPr id="302" name="FracNo 679 StartRow 3320">
          <a:extLst xmlns:a="http://schemas.openxmlformats.org/drawingml/2006/main">
            <a:ext uri="{FF2B5EF4-FFF2-40B4-BE49-F238E27FC236}">
              <a16:creationId xmlns:a16="http://schemas.microsoft.com/office/drawing/2014/main" id="{3EC02DDD-2A49-E2EC-E138-68B9302ACB83}"/>
            </a:ext>
          </a:extLst>
        </cdr:cNvPr>
        <cdr:cNvSpPr/>
      </cdr:nvSpPr>
      <cdr:spPr>
        <a:xfrm xmlns:a="http://schemas.openxmlformats.org/drawingml/2006/main">
          <a:off x="1912871" y="4388480"/>
          <a:ext cx="406223" cy="420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223" h="420174">
              <a:moveTo>
                <a:pt x="24691" y="375882"/>
              </a:moveTo>
              <a:lnTo>
                <a:pt x="0" y="401421"/>
              </a:lnTo>
              <a:lnTo>
                <a:pt x="18129" y="420173"/>
              </a:lnTo>
              <a:lnTo>
                <a:pt x="42820" y="394634"/>
              </a:lnTo>
              <a:lnTo>
                <a:pt x="406222" y="18752"/>
              </a:lnTo>
              <a:lnTo>
                <a:pt x="3880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0.39486</cdr:x>
      <cdr:y>0.43689</cdr:y>
    </cdr:from>
    <cdr:to>
      <cdr:x>0.44755</cdr:x>
      <cdr:y>0.48922</cdr:y>
    </cdr:to>
    <cdr:sp macro="" textlink="">
      <cdr:nvSpPr>
        <cdr:cNvPr id="303" name="FracNo 490 StartRow 3329">
          <a:extLst xmlns:a="http://schemas.openxmlformats.org/drawingml/2006/main">
            <a:ext uri="{FF2B5EF4-FFF2-40B4-BE49-F238E27FC236}">
              <a16:creationId xmlns:a16="http://schemas.microsoft.com/office/drawing/2014/main" id="{69B208DF-F4BC-8137-8023-CDBD4C03B203}"/>
            </a:ext>
          </a:extLst>
        </cdr:cNvPr>
        <cdr:cNvSpPr/>
      </cdr:nvSpPr>
      <cdr:spPr>
        <a:xfrm xmlns:a="http://schemas.openxmlformats.org/drawingml/2006/main">
          <a:off x="2888450" y="3329115"/>
          <a:ext cx="385491" cy="3987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491" h="398729">
              <a:moveTo>
                <a:pt x="303681" y="84618"/>
              </a:moveTo>
              <a:lnTo>
                <a:pt x="0" y="398728"/>
              </a:lnTo>
              <a:lnTo>
                <a:pt x="0" y="398728"/>
              </a:lnTo>
              <a:lnTo>
                <a:pt x="303681" y="84618"/>
              </a:lnTo>
              <a:lnTo>
                <a:pt x="385490" y="0"/>
              </a:lnTo>
              <a:lnTo>
                <a:pt x="3854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0.17862</cdr:x>
      <cdr:y>0.13545</cdr:y>
    </cdr:from>
    <cdr:to>
      <cdr:x>0.22993</cdr:x>
      <cdr:y>0.18641</cdr:y>
    </cdr:to>
    <cdr:sp macro="" textlink="">
      <cdr:nvSpPr>
        <cdr:cNvPr id="304" name="FracNo 572 StartRow 3338">
          <a:extLst xmlns:a="http://schemas.openxmlformats.org/drawingml/2006/main">
            <a:ext uri="{FF2B5EF4-FFF2-40B4-BE49-F238E27FC236}">
              <a16:creationId xmlns:a16="http://schemas.microsoft.com/office/drawing/2014/main" id="{39A028A9-A864-58FF-120E-BABE1C44ACD5}"/>
            </a:ext>
          </a:extLst>
        </cdr:cNvPr>
        <cdr:cNvSpPr/>
      </cdr:nvSpPr>
      <cdr:spPr>
        <a:xfrm xmlns:a="http://schemas.openxmlformats.org/drawingml/2006/main">
          <a:off x="1306629" y="1032147"/>
          <a:ext cx="375387" cy="3882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5387" h="388278">
              <a:moveTo>
                <a:pt x="167158" y="215378"/>
              </a:moveTo>
              <a:lnTo>
                <a:pt x="0" y="388277"/>
              </a:lnTo>
              <a:lnTo>
                <a:pt x="0" y="388277"/>
              </a:lnTo>
              <a:lnTo>
                <a:pt x="167158" y="215378"/>
              </a:lnTo>
              <a:lnTo>
                <a:pt x="375386" y="0"/>
              </a:lnTo>
              <a:lnTo>
                <a:pt x="3753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0.17601</cdr:x>
      <cdr:y>0.13286</cdr:y>
    </cdr:from>
    <cdr:to>
      <cdr:x>0.2298</cdr:x>
      <cdr:y>0.18628</cdr:y>
    </cdr:to>
    <cdr:sp macro="" textlink="">
      <cdr:nvSpPr>
        <cdr:cNvPr id="305" name="FracNo 592 StartRow 3347">
          <a:extLst xmlns:a="http://schemas.openxmlformats.org/drawingml/2006/main">
            <a:ext uri="{FF2B5EF4-FFF2-40B4-BE49-F238E27FC236}">
              <a16:creationId xmlns:a16="http://schemas.microsoft.com/office/drawing/2014/main" id="{FCB71048-DB03-4D3B-9346-E48DDD237D02}"/>
            </a:ext>
          </a:extLst>
        </cdr:cNvPr>
        <cdr:cNvSpPr/>
      </cdr:nvSpPr>
      <cdr:spPr>
        <a:xfrm xmlns:a="http://schemas.openxmlformats.org/drawingml/2006/main">
          <a:off x="1287540" y="1012403"/>
          <a:ext cx="393516" cy="407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516" h="407029">
              <a:moveTo>
                <a:pt x="140336" y="243121"/>
              </a:moveTo>
              <a:lnTo>
                <a:pt x="0" y="388276"/>
              </a:lnTo>
              <a:lnTo>
                <a:pt x="18130" y="407028"/>
              </a:lnTo>
              <a:lnTo>
                <a:pt x="158465" y="261873"/>
              </a:lnTo>
              <a:lnTo>
                <a:pt x="393515" y="18751"/>
              </a:lnTo>
              <a:lnTo>
                <a:pt x="3753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0.25961</cdr:x>
      <cdr:y>0.57199</cdr:y>
    </cdr:from>
    <cdr:to>
      <cdr:x>0.31059</cdr:x>
      <cdr:y>0.6226</cdr:y>
    </cdr:to>
    <cdr:sp macro="" textlink="">
      <cdr:nvSpPr>
        <cdr:cNvPr id="306" name="FracNo 643 StartRow 3356">
          <a:extLst xmlns:a="http://schemas.openxmlformats.org/drawingml/2006/main">
            <a:ext uri="{FF2B5EF4-FFF2-40B4-BE49-F238E27FC236}">
              <a16:creationId xmlns:a16="http://schemas.microsoft.com/office/drawing/2014/main" id="{7E32A383-255A-7A80-C587-2ACF8BB8CBDD}"/>
            </a:ext>
          </a:extLst>
        </cdr:cNvPr>
        <cdr:cNvSpPr/>
      </cdr:nvSpPr>
      <cdr:spPr>
        <a:xfrm xmlns:a="http://schemas.openxmlformats.org/drawingml/2006/main">
          <a:off x="1899102" y="4358530"/>
          <a:ext cx="372907" cy="3857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907" h="385714">
              <a:moveTo>
                <a:pt x="350245" y="23439"/>
              </a:moveTo>
              <a:lnTo>
                <a:pt x="0" y="385713"/>
              </a:lnTo>
              <a:lnTo>
                <a:pt x="0" y="385713"/>
              </a:lnTo>
              <a:lnTo>
                <a:pt x="350245" y="23439"/>
              </a:lnTo>
              <a:lnTo>
                <a:pt x="372906" y="0"/>
              </a:lnTo>
              <a:lnTo>
                <a:pt x="3729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0.89056</cdr:x>
      <cdr:y>0.12513</cdr:y>
    </cdr:from>
    <cdr:to>
      <cdr:x>0.94246</cdr:x>
      <cdr:y>0.17912</cdr:y>
    </cdr:to>
    <cdr:sp macro="" textlink="">
      <cdr:nvSpPr>
        <cdr:cNvPr id="307" name="FracNo 737 StartRow 3365">
          <a:extLst xmlns:a="http://schemas.openxmlformats.org/drawingml/2006/main">
            <a:ext uri="{FF2B5EF4-FFF2-40B4-BE49-F238E27FC236}">
              <a16:creationId xmlns:a16="http://schemas.microsoft.com/office/drawing/2014/main" id="{6D49C75C-4D69-6EFA-37AD-72F652AC5510}"/>
            </a:ext>
          </a:extLst>
        </cdr:cNvPr>
        <cdr:cNvSpPr/>
      </cdr:nvSpPr>
      <cdr:spPr>
        <a:xfrm xmlns:a="http://schemas.openxmlformats.org/drawingml/2006/main">
          <a:off x="6514642" y="953464"/>
          <a:ext cx="379666" cy="411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9666" h="411457">
              <a:moveTo>
                <a:pt x="111016" y="315377"/>
              </a:moveTo>
              <a:lnTo>
                <a:pt x="18129" y="411456"/>
              </a:lnTo>
              <a:lnTo>
                <a:pt x="0" y="392704"/>
              </a:lnTo>
              <a:lnTo>
                <a:pt x="97545" y="291808"/>
              </a:lnTo>
              <a:lnTo>
                <a:pt x="379665" y="0"/>
              </a:lnTo>
              <a:lnTo>
                <a:pt x="37966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0.58049</cdr:x>
      <cdr:y>0.79345</cdr:y>
    </cdr:from>
    <cdr:to>
      <cdr:x>0.63067</cdr:x>
      <cdr:y>0.84328</cdr:y>
    </cdr:to>
    <cdr:sp macro="" textlink="">
      <cdr:nvSpPr>
        <cdr:cNvPr id="308" name="FracNo 87 StartRow 3374">
          <a:extLst xmlns:a="http://schemas.openxmlformats.org/drawingml/2006/main">
            <a:ext uri="{FF2B5EF4-FFF2-40B4-BE49-F238E27FC236}">
              <a16:creationId xmlns:a16="http://schemas.microsoft.com/office/drawing/2014/main" id="{23707161-2FF4-E79B-1737-4A3ABCC020B8}"/>
            </a:ext>
          </a:extLst>
        </cdr:cNvPr>
        <cdr:cNvSpPr/>
      </cdr:nvSpPr>
      <cdr:spPr>
        <a:xfrm xmlns:a="http://schemas.openxmlformats.org/drawingml/2006/main">
          <a:off x="4246434" y="6046097"/>
          <a:ext cx="367065" cy="379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065" h="379671">
              <a:moveTo>
                <a:pt x="117633" y="257997"/>
              </a:moveTo>
              <a:lnTo>
                <a:pt x="0" y="379670"/>
              </a:lnTo>
              <a:lnTo>
                <a:pt x="0" y="379670"/>
              </a:lnTo>
              <a:lnTo>
                <a:pt x="117633" y="257997"/>
              </a:lnTo>
              <a:lnTo>
                <a:pt x="367064" y="0"/>
              </a:lnTo>
              <a:lnTo>
                <a:pt x="3670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0.85177</cdr:x>
      <cdr:y>0.25496</cdr:y>
    </cdr:from>
    <cdr:to>
      <cdr:x>0.90146</cdr:x>
      <cdr:y>0.3043</cdr:y>
    </cdr:to>
    <cdr:sp macro="" textlink="">
      <cdr:nvSpPr>
        <cdr:cNvPr id="309" name="FracNo 200 StartRow 3383">
          <a:extLst xmlns:a="http://schemas.openxmlformats.org/drawingml/2006/main">
            <a:ext uri="{FF2B5EF4-FFF2-40B4-BE49-F238E27FC236}">
              <a16:creationId xmlns:a16="http://schemas.microsoft.com/office/drawing/2014/main" id="{218422DB-C22F-234C-EDCF-0FBB84258149}"/>
            </a:ext>
          </a:extLst>
        </cdr:cNvPr>
        <cdr:cNvSpPr/>
      </cdr:nvSpPr>
      <cdr:spPr>
        <a:xfrm xmlns:a="http://schemas.openxmlformats.org/drawingml/2006/main">
          <a:off x="6230855" y="1942798"/>
          <a:ext cx="363508" cy="375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508" h="375991">
              <a:moveTo>
                <a:pt x="219651" y="167547"/>
              </a:moveTo>
              <a:lnTo>
                <a:pt x="18130" y="375990"/>
              </a:lnTo>
              <a:lnTo>
                <a:pt x="0" y="357238"/>
              </a:lnTo>
              <a:lnTo>
                <a:pt x="201522" y="148795"/>
              </a:lnTo>
              <a:lnTo>
                <a:pt x="345377" y="0"/>
              </a:lnTo>
              <a:lnTo>
                <a:pt x="3635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0.52679</cdr:x>
      <cdr:y>0.12011</cdr:y>
    </cdr:from>
    <cdr:to>
      <cdr:x>0.57637</cdr:x>
      <cdr:y>0.16935</cdr:y>
    </cdr:to>
    <cdr:sp macro="" textlink="">
      <cdr:nvSpPr>
        <cdr:cNvPr id="310" name="FracNo 729 StartRow 3392">
          <a:extLst xmlns:a="http://schemas.openxmlformats.org/drawingml/2006/main">
            <a:ext uri="{FF2B5EF4-FFF2-40B4-BE49-F238E27FC236}">
              <a16:creationId xmlns:a16="http://schemas.microsoft.com/office/drawing/2014/main" id="{4C5ED9EA-907C-1447-1660-2F4795451F0E}"/>
            </a:ext>
          </a:extLst>
        </cdr:cNvPr>
        <cdr:cNvSpPr/>
      </cdr:nvSpPr>
      <cdr:spPr>
        <a:xfrm xmlns:a="http://schemas.openxmlformats.org/drawingml/2006/main">
          <a:off x="3853579" y="915266"/>
          <a:ext cx="362715" cy="375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2715" h="375173">
              <a:moveTo>
                <a:pt x="115376" y="237081"/>
              </a:moveTo>
              <a:lnTo>
                <a:pt x="0" y="356420"/>
              </a:lnTo>
              <a:lnTo>
                <a:pt x="18128" y="375172"/>
              </a:lnTo>
              <a:lnTo>
                <a:pt x="133505" y="255833"/>
              </a:lnTo>
              <a:lnTo>
                <a:pt x="362714" y="18753"/>
              </a:lnTo>
              <a:lnTo>
                <a:pt x="3445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0.22535</cdr:x>
      <cdr:y>0.08544</cdr:y>
    </cdr:from>
    <cdr:to>
      <cdr:x>0.27609</cdr:x>
      <cdr:y>0.13336</cdr:y>
    </cdr:to>
    <cdr:sp macro="" textlink="">
      <cdr:nvSpPr>
        <cdr:cNvPr id="311" name="FracNo 585 StartRow 3401">
          <a:extLst xmlns:a="http://schemas.openxmlformats.org/drawingml/2006/main">
            <a:ext uri="{FF2B5EF4-FFF2-40B4-BE49-F238E27FC236}">
              <a16:creationId xmlns:a16="http://schemas.microsoft.com/office/drawing/2014/main" id="{A4635726-E353-818B-AE3F-A1EA5A902860}"/>
            </a:ext>
          </a:extLst>
        </cdr:cNvPr>
        <cdr:cNvSpPr/>
      </cdr:nvSpPr>
      <cdr:spPr>
        <a:xfrm xmlns:a="http://schemas.openxmlformats.org/drawingml/2006/main">
          <a:off x="1648481" y="651036"/>
          <a:ext cx="371183" cy="365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183" h="365178">
              <a:moveTo>
                <a:pt x="226478" y="112170"/>
              </a:moveTo>
              <a:lnTo>
                <a:pt x="0" y="346425"/>
              </a:lnTo>
              <a:lnTo>
                <a:pt x="18129" y="365177"/>
              </a:lnTo>
              <a:lnTo>
                <a:pt x="256866" y="118241"/>
              </a:lnTo>
              <a:lnTo>
                <a:pt x="371182" y="0"/>
              </a:lnTo>
              <a:lnTo>
                <a:pt x="3349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0.89714</cdr:x>
      <cdr:y>0.34068</cdr:y>
    </cdr:from>
    <cdr:to>
      <cdr:x>0.94246</cdr:x>
      <cdr:y>0.38569</cdr:y>
    </cdr:to>
    <cdr:sp macro="" textlink="">
      <cdr:nvSpPr>
        <cdr:cNvPr id="312" name="FracNo 401 StartRow 3410">
          <a:extLst xmlns:a="http://schemas.openxmlformats.org/drawingml/2006/main">
            <a:ext uri="{FF2B5EF4-FFF2-40B4-BE49-F238E27FC236}">
              <a16:creationId xmlns:a16="http://schemas.microsoft.com/office/drawing/2014/main" id="{711D25FC-4B89-D77D-C737-455EECA31C29}"/>
            </a:ext>
          </a:extLst>
        </cdr:cNvPr>
        <cdr:cNvSpPr/>
      </cdr:nvSpPr>
      <cdr:spPr>
        <a:xfrm xmlns:a="http://schemas.openxmlformats.org/drawingml/2006/main">
          <a:off x="6562734" y="2595977"/>
          <a:ext cx="331574" cy="342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574" h="342961">
              <a:moveTo>
                <a:pt x="0" y="342960"/>
              </a:moveTo>
              <a:lnTo>
                <a:pt x="0" y="342960"/>
              </a:lnTo>
              <a:lnTo>
                <a:pt x="137728" y="200502"/>
              </a:lnTo>
              <a:lnTo>
                <a:pt x="331573" y="0"/>
              </a:lnTo>
              <a:lnTo>
                <a:pt x="331573" y="0"/>
              </a:lnTo>
              <a:lnTo>
                <a:pt x="137728" y="2005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0.73111</cdr:x>
      <cdr:y>0.08544</cdr:y>
    </cdr:from>
    <cdr:to>
      <cdr:x>0.77613</cdr:x>
      <cdr:y>0.13014</cdr:y>
    </cdr:to>
    <cdr:sp macro="" textlink="">
      <cdr:nvSpPr>
        <cdr:cNvPr id="313" name="FracNo 171 StartRow 3419">
          <a:extLst xmlns:a="http://schemas.openxmlformats.org/drawingml/2006/main">
            <a:ext uri="{FF2B5EF4-FFF2-40B4-BE49-F238E27FC236}">
              <a16:creationId xmlns:a16="http://schemas.microsoft.com/office/drawing/2014/main" id="{BEEA6FB2-8D6B-D7DA-D5AB-A80A62EA5B16}"/>
            </a:ext>
          </a:extLst>
        </cdr:cNvPr>
        <cdr:cNvSpPr/>
      </cdr:nvSpPr>
      <cdr:spPr>
        <a:xfrm xmlns:a="http://schemas.openxmlformats.org/drawingml/2006/main">
          <a:off x="5348220" y="651036"/>
          <a:ext cx="329328" cy="340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328" h="340638">
              <a:moveTo>
                <a:pt x="145071" y="190585"/>
              </a:moveTo>
              <a:lnTo>
                <a:pt x="0" y="340637"/>
              </a:lnTo>
              <a:lnTo>
                <a:pt x="0" y="340637"/>
              </a:lnTo>
              <a:lnTo>
                <a:pt x="145071" y="190585"/>
              </a:lnTo>
              <a:lnTo>
                <a:pt x="329327" y="0"/>
              </a:lnTo>
              <a:lnTo>
                <a:pt x="3293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0.79047</cdr:x>
      <cdr:y>0.35541</cdr:y>
    </cdr:from>
    <cdr:to>
      <cdr:x>0.83471</cdr:x>
      <cdr:y>0.39934</cdr:y>
    </cdr:to>
    <cdr:sp macro="" textlink="">
      <cdr:nvSpPr>
        <cdr:cNvPr id="314" name="FracNo 177 StartRow 3428">
          <a:extLst xmlns:a="http://schemas.openxmlformats.org/drawingml/2006/main">
            <a:ext uri="{FF2B5EF4-FFF2-40B4-BE49-F238E27FC236}">
              <a16:creationId xmlns:a16="http://schemas.microsoft.com/office/drawing/2014/main" id="{A24E8EE7-D6BD-ABC6-E4F1-EF18EB3D0CBA}"/>
            </a:ext>
          </a:extLst>
        </cdr:cNvPr>
        <cdr:cNvSpPr/>
      </cdr:nvSpPr>
      <cdr:spPr>
        <a:xfrm xmlns:a="http://schemas.openxmlformats.org/drawingml/2006/main">
          <a:off x="5782430" y="2708203"/>
          <a:ext cx="323646" cy="334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646" h="334760">
              <a:moveTo>
                <a:pt x="323645" y="0"/>
              </a:moveTo>
              <a:lnTo>
                <a:pt x="238300" y="88276"/>
              </a:lnTo>
              <a:lnTo>
                <a:pt x="0" y="334759"/>
              </a:lnTo>
              <a:lnTo>
                <a:pt x="0" y="334759"/>
              </a:lnTo>
              <a:lnTo>
                <a:pt x="238300" y="88276"/>
              </a:lnTo>
              <a:lnTo>
                <a:pt x="32364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0.58955</cdr:x>
      <cdr:y>0.55894</cdr:y>
    </cdr:from>
    <cdr:to>
      <cdr:x>0.63567</cdr:x>
      <cdr:y>0.60473</cdr:y>
    </cdr:to>
    <cdr:sp macro="" textlink="">
      <cdr:nvSpPr>
        <cdr:cNvPr id="315" name="FracNo 511 StartRow 3438">
          <a:extLst xmlns:a="http://schemas.openxmlformats.org/drawingml/2006/main">
            <a:ext uri="{FF2B5EF4-FFF2-40B4-BE49-F238E27FC236}">
              <a16:creationId xmlns:a16="http://schemas.microsoft.com/office/drawing/2014/main" id="{D08E7E1F-0F22-B13A-1B1C-4D7F9AC38AA9}"/>
            </a:ext>
          </a:extLst>
        </cdr:cNvPr>
        <cdr:cNvSpPr/>
      </cdr:nvSpPr>
      <cdr:spPr>
        <a:xfrm xmlns:a="http://schemas.openxmlformats.org/drawingml/2006/main">
          <a:off x="4312664" y="4259120"/>
          <a:ext cx="337366" cy="348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366" h="348952">
              <a:moveTo>
                <a:pt x="191832" y="131779"/>
              </a:moveTo>
              <a:lnTo>
                <a:pt x="0" y="330199"/>
              </a:lnTo>
              <a:lnTo>
                <a:pt x="18129" y="348951"/>
              </a:lnTo>
              <a:lnTo>
                <a:pt x="209961" y="150531"/>
              </a:lnTo>
              <a:lnTo>
                <a:pt x="337365" y="18752"/>
              </a:lnTo>
              <a:lnTo>
                <a:pt x="3192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0.89791</cdr:x>
      <cdr:y>0.71962</cdr:y>
    </cdr:from>
    <cdr:to>
      <cdr:x>0.94246</cdr:x>
      <cdr:y>0.76632</cdr:y>
    </cdr:to>
    <cdr:sp macro="" textlink="">
      <cdr:nvSpPr>
        <cdr:cNvPr id="316" name="FracNo 341 StartRow 3447">
          <a:extLst xmlns:a="http://schemas.openxmlformats.org/drawingml/2006/main">
            <a:ext uri="{FF2B5EF4-FFF2-40B4-BE49-F238E27FC236}">
              <a16:creationId xmlns:a16="http://schemas.microsoft.com/office/drawing/2014/main" id="{77FFB212-1AC9-608F-0CA9-749355F87A14}"/>
            </a:ext>
          </a:extLst>
        </cdr:cNvPr>
        <cdr:cNvSpPr/>
      </cdr:nvSpPr>
      <cdr:spPr>
        <a:xfrm xmlns:a="http://schemas.openxmlformats.org/drawingml/2006/main">
          <a:off x="6568417" y="5483532"/>
          <a:ext cx="325891" cy="3558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891" h="355835">
              <a:moveTo>
                <a:pt x="71436" y="263192"/>
              </a:moveTo>
              <a:lnTo>
                <a:pt x="0" y="337082"/>
              </a:lnTo>
              <a:lnTo>
                <a:pt x="18129" y="355834"/>
              </a:lnTo>
              <a:lnTo>
                <a:pt x="85592" y="286055"/>
              </a:lnTo>
              <a:lnTo>
                <a:pt x="325890" y="37503"/>
              </a:lnTo>
              <a:lnTo>
                <a:pt x="3258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0.18611</cdr:x>
      <cdr:y>0.5987</cdr:y>
    </cdr:from>
    <cdr:to>
      <cdr:x>0.23155</cdr:x>
      <cdr:y>0.64382</cdr:y>
    </cdr:to>
    <cdr:sp macro="" textlink="">
      <cdr:nvSpPr>
        <cdr:cNvPr id="317" name="FracNo 673 StartRow 3456">
          <a:extLst xmlns:a="http://schemas.openxmlformats.org/drawingml/2006/main">
            <a:ext uri="{FF2B5EF4-FFF2-40B4-BE49-F238E27FC236}">
              <a16:creationId xmlns:a16="http://schemas.microsoft.com/office/drawing/2014/main" id="{22A44420-3AF7-49FA-8288-392A58C6252F}"/>
            </a:ext>
          </a:extLst>
        </cdr:cNvPr>
        <cdr:cNvSpPr/>
      </cdr:nvSpPr>
      <cdr:spPr>
        <a:xfrm xmlns:a="http://schemas.openxmlformats.org/drawingml/2006/main">
          <a:off x="1361418" y="4562076"/>
          <a:ext cx="332445" cy="343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445" h="343861">
              <a:moveTo>
                <a:pt x="288150" y="64566"/>
              </a:moveTo>
              <a:lnTo>
                <a:pt x="18130" y="343860"/>
              </a:lnTo>
              <a:lnTo>
                <a:pt x="0" y="325108"/>
              </a:lnTo>
              <a:lnTo>
                <a:pt x="270021" y="45814"/>
              </a:lnTo>
              <a:lnTo>
                <a:pt x="314314" y="0"/>
              </a:lnTo>
              <a:lnTo>
                <a:pt x="3324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0.13473</cdr:x>
      <cdr:y>0.12804</cdr:y>
    </cdr:to>
    <cdr:sp macro="" textlink="">
      <cdr:nvSpPr>
        <cdr:cNvPr id="318" name="FracNo 579 StartRow 3465">
          <a:extLst xmlns:a="http://schemas.openxmlformats.org/drawingml/2006/main">
            <a:ext uri="{FF2B5EF4-FFF2-40B4-BE49-F238E27FC236}">
              <a16:creationId xmlns:a16="http://schemas.microsoft.com/office/drawing/2014/main" id="{BB7B81F9-C055-8357-6D47-47154037BAFD}"/>
            </a:ext>
          </a:extLst>
        </cdr:cNvPr>
        <cdr:cNvSpPr/>
      </cdr:nvSpPr>
      <cdr:spPr>
        <a:xfrm xmlns:a="http://schemas.openxmlformats.org/drawingml/2006/main">
          <a:off x="671676" y="651036"/>
          <a:ext cx="313882" cy="324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882" h="324661">
              <a:moveTo>
                <a:pt x="152341" y="167088"/>
              </a:moveTo>
              <a:lnTo>
                <a:pt x="0" y="324660"/>
              </a:lnTo>
              <a:lnTo>
                <a:pt x="0" y="324660"/>
              </a:lnTo>
              <a:lnTo>
                <a:pt x="152341" y="167088"/>
              </a:lnTo>
              <a:lnTo>
                <a:pt x="313881" y="0"/>
              </a:lnTo>
              <a:lnTo>
                <a:pt x="313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0.89835</cdr:x>
      <cdr:y>0.21053</cdr:y>
    </cdr:from>
    <cdr:to>
      <cdr:x>0.94246</cdr:x>
      <cdr:y>0.25679</cdr:y>
    </cdr:to>
    <cdr:sp macro="" textlink="">
      <cdr:nvSpPr>
        <cdr:cNvPr id="319" name="FracNo 191 StartRow 3474">
          <a:extLst xmlns:a="http://schemas.openxmlformats.org/drawingml/2006/main">
            <a:ext uri="{FF2B5EF4-FFF2-40B4-BE49-F238E27FC236}">
              <a16:creationId xmlns:a16="http://schemas.microsoft.com/office/drawing/2014/main" id="{E100826F-57E9-514D-7264-8FCD20BE2C07}"/>
            </a:ext>
          </a:extLst>
        </cdr:cNvPr>
        <cdr:cNvSpPr/>
      </cdr:nvSpPr>
      <cdr:spPr>
        <a:xfrm xmlns:a="http://schemas.openxmlformats.org/drawingml/2006/main">
          <a:off x="6571599" y="1604214"/>
          <a:ext cx="322709" cy="352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709" h="352544">
              <a:moveTo>
                <a:pt x="155872" y="210070"/>
              </a:moveTo>
              <a:lnTo>
                <a:pt x="18129" y="352543"/>
              </a:lnTo>
              <a:lnTo>
                <a:pt x="0" y="333791"/>
              </a:lnTo>
              <a:lnTo>
                <a:pt x="145941" y="182837"/>
              </a:lnTo>
              <a:lnTo>
                <a:pt x="322708" y="0"/>
              </a:lnTo>
              <a:lnTo>
                <a:pt x="32270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0.71581</cdr:x>
      <cdr:y>0.33746</cdr:y>
    </cdr:from>
    <cdr:to>
      <cdr:x>0.75842</cdr:x>
      <cdr:y>0.37977</cdr:y>
    </cdr:to>
    <cdr:sp macro="" textlink="">
      <cdr:nvSpPr>
        <cdr:cNvPr id="320" name="FracNo 411 StartRow 3483">
          <a:extLst xmlns:a="http://schemas.openxmlformats.org/drawingml/2006/main">
            <a:ext uri="{FF2B5EF4-FFF2-40B4-BE49-F238E27FC236}">
              <a16:creationId xmlns:a16="http://schemas.microsoft.com/office/drawing/2014/main" id="{624FCBFD-DA5B-9324-D707-8B97B1311207}"/>
            </a:ext>
          </a:extLst>
        </cdr:cNvPr>
        <cdr:cNvSpPr/>
      </cdr:nvSpPr>
      <cdr:spPr>
        <a:xfrm xmlns:a="http://schemas.openxmlformats.org/drawingml/2006/main">
          <a:off x="5236323" y="2571428"/>
          <a:ext cx="311697" cy="322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1697" h="322401">
              <a:moveTo>
                <a:pt x="89236" y="230099"/>
              </a:moveTo>
              <a:lnTo>
                <a:pt x="0" y="322400"/>
              </a:lnTo>
              <a:lnTo>
                <a:pt x="0" y="322400"/>
              </a:lnTo>
              <a:lnTo>
                <a:pt x="89236" y="230099"/>
              </a:lnTo>
              <a:lnTo>
                <a:pt x="94117" y="225051"/>
              </a:lnTo>
              <a:lnTo>
                <a:pt x="311696" y="0"/>
              </a:lnTo>
              <a:lnTo>
                <a:pt x="311696" y="0"/>
              </a:lnTo>
              <a:lnTo>
                <a:pt x="94117" y="2250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0.31648</cdr:x>
      <cdr:y>0.53571</cdr:y>
    </cdr:from>
    <cdr:to>
      <cdr:x>0.35891</cdr:x>
      <cdr:y>0.57784</cdr:y>
    </cdr:to>
    <cdr:sp macro="" textlink="">
      <cdr:nvSpPr>
        <cdr:cNvPr id="321" name="FracNo 647 StartRow 3494">
          <a:extLst xmlns:a="http://schemas.openxmlformats.org/drawingml/2006/main">
            <a:ext uri="{FF2B5EF4-FFF2-40B4-BE49-F238E27FC236}">
              <a16:creationId xmlns:a16="http://schemas.microsoft.com/office/drawing/2014/main" id="{3E7FA27B-862F-9AAC-E232-EB5B3392B231}"/>
            </a:ext>
          </a:extLst>
        </cdr:cNvPr>
        <cdr:cNvSpPr/>
      </cdr:nvSpPr>
      <cdr:spPr>
        <a:xfrm xmlns:a="http://schemas.openxmlformats.org/drawingml/2006/main">
          <a:off x="2315137" y="4082142"/>
          <a:ext cx="310343" cy="321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343" h="321000">
              <a:moveTo>
                <a:pt x="0" y="320999"/>
              </a:moveTo>
              <a:lnTo>
                <a:pt x="0" y="320999"/>
              </a:lnTo>
              <a:lnTo>
                <a:pt x="310342" y="0"/>
              </a:lnTo>
              <a:lnTo>
                <a:pt x="3103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0.77027</cdr:x>
      <cdr:y>0.65917</cdr:y>
    </cdr:from>
    <cdr:to>
      <cdr:x>0.81258</cdr:x>
      <cdr:y>0.70119</cdr:y>
    </cdr:to>
    <cdr:sp macro="" textlink="">
      <cdr:nvSpPr>
        <cdr:cNvPr id="322" name="FracNo 336 StartRow 3501">
          <a:extLst xmlns:a="http://schemas.openxmlformats.org/drawingml/2006/main">
            <a:ext uri="{FF2B5EF4-FFF2-40B4-BE49-F238E27FC236}">
              <a16:creationId xmlns:a16="http://schemas.microsoft.com/office/drawing/2014/main" id="{6A173742-CD2C-2617-F8E2-84DC1C361928}"/>
            </a:ext>
          </a:extLst>
        </cdr:cNvPr>
        <cdr:cNvSpPr/>
      </cdr:nvSpPr>
      <cdr:spPr>
        <a:xfrm xmlns:a="http://schemas.openxmlformats.org/drawingml/2006/main">
          <a:off x="5634665" y="5022895"/>
          <a:ext cx="309531" cy="320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31" h="320160">
              <a:moveTo>
                <a:pt x="309530" y="0"/>
              </a:moveTo>
              <a:lnTo>
                <a:pt x="0" y="320159"/>
              </a:lnTo>
              <a:lnTo>
                <a:pt x="0" y="320159"/>
              </a:lnTo>
              <a:lnTo>
                <a:pt x="30953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0.79451</cdr:x>
      <cdr:y>0.2551</cdr:y>
    </cdr:from>
    <cdr:to>
      <cdr:x>0.83648</cdr:x>
      <cdr:y>0.29677</cdr:y>
    </cdr:to>
    <cdr:sp macro="" textlink="">
      <cdr:nvSpPr>
        <cdr:cNvPr id="323" name="FracNo 178 StartRow 3509">
          <a:extLst xmlns:a="http://schemas.openxmlformats.org/drawingml/2006/main">
            <a:ext uri="{FF2B5EF4-FFF2-40B4-BE49-F238E27FC236}">
              <a16:creationId xmlns:a16="http://schemas.microsoft.com/office/drawing/2014/main" id="{2CDF538C-F404-A4CF-2126-2968C717D7B0}"/>
            </a:ext>
          </a:extLst>
        </cdr:cNvPr>
        <cdr:cNvSpPr/>
      </cdr:nvSpPr>
      <cdr:spPr>
        <a:xfrm xmlns:a="http://schemas.openxmlformats.org/drawingml/2006/main">
          <a:off x="5811987" y="1943850"/>
          <a:ext cx="306998" cy="317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998" h="317541">
              <a:moveTo>
                <a:pt x="51231" y="264549"/>
              </a:moveTo>
              <a:lnTo>
                <a:pt x="0" y="317540"/>
              </a:lnTo>
              <a:lnTo>
                <a:pt x="0" y="317540"/>
              </a:lnTo>
              <a:lnTo>
                <a:pt x="51231" y="264549"/>
              </a:lnTo>
              <a:lnTo>
                <a:pt x="306997" y="0"/>
              </a:lnTo>
              <a:lnTo>
                <a:pt x="3069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0.35962</cdr:x>
      <cdr:y>0.49533</cdr:y>
    </cdr:from>
    <cdr:to>
      <cdr:x>0.40101</cdr:x>
      <cdr:y>0.53643</cdr:y>
    </cdr:to>
    <cdr:sp macro="" textlink="">
      <cdr:nvSpPr>
        <cdr:cNvPr id="324" name="FracNo 496 StartRow 3518">
          <a:extLst xmlns:a="http://schemas.openxmlformats.org/drawingml/2006/main">
            <a:ext uri="{FF2B5EF4-FFF2-40B4-BE49-F238E27FC236}">
              <a16:creationId xmlns:a16="http://schemas.microsoft.com/office/drawing/2014/main" id="{6640B182-6F13-A2BF-E989-605E3AD39A76}"/>
            </a:ext>
          </a:extLst>
        </cdr:cNvPr>
        <cdr:cNvSpPr/>
      </cdr:nvSpPr>
      <cdr:spPr>
        <a:xfrm xmlns:a="http://schemas.openxmlformats.org/drawingml/2006/main">
          <a:off x="2630720" y="3774414"/>
          <a:ext cx="302755" cy="313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755" h="313151">
              <a:moveTo>
                <a:pt x="302754" y="0"/>
              </a:moveTo>
              <a:lnTo>
                <a:pt x="115166" y="194029"/>
              </a:lnTo>
              <a:lnTo>
                <a:pt x="0" y="313150"/>
              </a:lnTo>
              <a:lnTo>
                <a:pt x="0" y="313150"/>
              </a:lnTo>
              <a:lnTo>
                <a:pt x="115166" y="194029"/>
              </a:lnTo>
              <a:lnTo>
                <a:pt x="30275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0.45407</cdr:x>
      <cdr:y>0.7322</cdr:y>
    </cdr:from>
    <cdr:to>
      <cdr:x>0.49526</cdr:x>
      <cdr:y>0.77311</cdr:y>
    </cdr:to>
    <cdr:sp macro="" textlink="">
      <cdr:nvSpPr>
        <cdr:cNvPr id="325" name="FracNo 97 StartRow 3528">
          <a:extLst xmlns:a="http://schemas.openxmlformats.org/drawingml/2006/main">
            <a:ext uri="{FF2B5EF4-FFF2-40B4-BE49-F238E27FC236}">
              <a16:creationId xmlns:a16="http://schemas.microsoft.com/office/drawing/2014/main" id="{088BE390-D4FA-B762-BD8D-D7C092BE8E2E}"/>
            </a:ext>
          </a:extLst>
        </cdr:cNvPr>
        <cdr:cNvSpPr/>
      </cdr:nvSpPr>
      <cdr:spPr>
        <a:xfrm xmlns:a="http://schemas.openxmlformats.org/drawingml/2006/main">
          <a:off x="3321593" y="5579392"/>
          <a:ext cx="301335" cy="311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335" h="311682">
              <a:moveTo>
                <a:pt x="151463" y="155017"/>
              </a:moveTo>
              <a:lnTo>
                <a:pt x="0" y="311681"/>
              </a:lnTo>
              <a:lnTo>
                <a:pt x="0" y="311681"/>
              </a:lnTo>
              <a:lnTo>
                <a:pt x="151463" y="155017"/>
              </a:lnTo>
              <a:lnTo>
                <a:pt x="301334" y="0"/>
              </a:lnTo>
              <a:lnTo>
                <a:pt x="3013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0.36083</cdr:x>
      <cdr:y>0.35325</cdr:y>
    </cdr:from>
    <cdr:to>
      <cdr:x>0.40182</cdr:x>
      <cdr:y>0.39395</cdr:y>
    </cdr:to>
    <cdr:sp macro="" textlink="">
      <cdr:nvSpPr>
        <cdr:cNvPr id="326" name="FracNo 251 StartRow 3537">
          <a:extLst xmlns:a="http://schemas.openxmlformats.org/drawingml/2006/main">
            <a:ext uri="{FF2B5EF4-FFF2-40B4-BE49-F238E27FC236}">
              <a16:creationId xmlns:a16="http://schemas.microsoft.com/office/drawing/2014/main" id="{5B1D1601-6B6F-EDB8-7AF4-D4DC4641124E}"/>
            </a:ext>
          </a:extLst>
        </cdr:cNvPr>
        <cdr:cNvSpPr/>
      </cdr:nvSpPr>
      <cdr:spPr>
        <a:xfrm xmlns:a="http://schemas.openxmlformats.org/drawingml/2006/main">
          <a:off x="2639552" y="2691766"/>
          <a:ext cx="299861" cy="310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861" h="310159">
              <a:moveTo>
                <a:pt x="257361" y="43958"/>
              </a:moveTo>
              <a:lnTo>
                <a:pt x="198624" y="104713"/>
              </a:lnTo>
              <a:lnTo>
                <a:pt x="106334" y="200171"/>
              </a:lnTo>
              <a:lnTo>
                <a:pt x="0" y="310158"/>
              </a:lnTo>
              <a:lnTo>
                <a:pt x="0" y="310158"/>
              </a:lnTo>
              <a:lnTo>
                <a:pt x="106334" y="200171"/>
              </a:lnTo>
              <a:lnTo>
                <a:pt x="198624" y="104713"/>
              </a:lnTo>
              <a:lnTo>
                <a:pt x="257361" y="43958"/>
              </a:lnTo>
              <a:lnTo>
                <a:pt x="299860" y="0"/>
              </a:lnTo>
              <a:lnTo>
                <a:pt x="2998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0.48724</cdr:x>
      <cdr:y>0.16819</cdr:y>
    </cdr:from>
    <cdr:to>
      <cdr:x>0.53058</cdr:x>
      <cdr:y>0.21122</cdr:y>
    </cdr:to>
    <cdr:sp macro="" textlink="">
      <cdr:nvSpPr>
        <cdr:cNvPr id="327" name="FracNo 263 StartRow 3550">
          <a:extLst xmlns:a="http://schemas.openxmlformats.org/drawingml/2006/main">
            <a:ext uri="{FF2B5EF4-FFF2-40B4-BE49-F238E27FC236}">
              <a16:creationId xmlns:a16="http://schemas.microsoft.com/office/drawing/2014/main" id="{0B2570DD-5B3A-BCD0-DD30-0998DBC94B96}"/>
            </a:ext>
          </a:extLst>
        </cdr:cNvPr>
        <cdr:cNvSpPr/>
      </cdr:nvSpPr>
      <cdr:spPr>
        <a:xfrm xmlns:a="http://schemas.openxmlformats.org/drawingml/2006/main">
          <a:off x="3564242" y="1281576"/>
          <a:ext cx="317029" cy="327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029" h="327916">
              <a:moveTo>
                <a:pt x="194396" y="145595"/>
              </a:moveTo>
              <a:lnTo>
                <a:pt x="18130" y="327915"/>
              </a:lnTo>
              <a:lnTo>
                <a:pt x="0" y="309164"/>
              </a:lnTo>
              <a:lnTo>
                <a:pt x="176267" y="126844"/>
              </a:lnTo>
              <a:lnTo>
                <a:pt x="298898" y="0"/>
              </a:lnTo>
              <a:lnTo>
                <a:pt x="3170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0.14502</cdr:x>
      <cdr:y>0.63998</cdr:y>
    </cdr:from>
    <cdr:to>
      <cdr:x>0.1872</cdr:x>
      <cdr:y>0.68186</cdr:y>
    </cdr:to>
    <cdr:sp macro="" textlink="">
      <cdr:nvSpPr>
        <cdr:cNvPr id="328" name="FracNo 36 StartRow 3559">
          <a:extLst xmlns:a="http://schemas.openxmlformats.org/drawingml/2006/main">
            <a:ext uri="{FF2B5EF4-FFF2-40B4-BE49-F238E27FC236}">
              <a16:creationId xmlns:a16="http://schemas.microsoft.com/office/drawing/2014/main" id="{4E074A7E-B5A0-66CD-215C-6B7A72BA765D}"/>
            </a:ext>
          </a:extLst>
        </cdr:cNvPr>
        <cdr:cNvSpPr/>
      </cdr:nvSpPr>
      <cdr:spPr>
        <a:xfrm xmlns:a="http://schemas.openxmlformats.org/drawingml/2006/main">
          <a:off x="1060871" y="4876659"/>
          <a:ext cx="308502" cy="319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502" h="319096">
              <a:moveTo>
                <a:pt x="22103" y="277481"/>
              </a:moveTo>
              <a:lnTo>
                <a:pt x="0" y="300343"/>
              </a:lnTo>
              <a:lnTo>
                <a:pt x="18129" y="319095"/>
              </a:lnTo>
              <a:lnTo>
                <a:pt x="40232" y="296233"/>
              </a:lnTo>
              <a:lnTo>
                <a:pt x="254469" y="74639"/>
              </a:lnTo>
              <a:lnTo>
                <a:pt x="308501" y="18751"/>
              </a:lnTo>
              <a:lnTo>
                <a:pt x="290372" y="0"/>
              </a:lnTo>
              <a:lnTo>
                <a:pt x="236340" y="558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0.67133</cdr:x>
      <cdr:y>0.45797</cdr:y>
    </cdr:from>
    <cdr:to>
      <cdr:x>0.7109</cdr:x>
      <cdr:y>0.49726</cdr:y>
    </cdr:to>
    <cdr:sp macro="" textlink="">
      <cdr:nvSpPr>
        <cdr:cNvPr id="329" name="FracNo 414 StartRow 3570">
          <a:extLst xmlns:a="http://schemas.openxmlformats.org/drawingml/2006/main">
            <a:ext uri="{FF2B5EF4-FFF2-40B4-BE49-F238E27FC236}">
              <a16:creationId xmlns:a16="http://schemas.microsoft.com/office/drawing/2014/main" id="{78A27397-3A0A-0ECD-1880-F87610A1B302}"/>
            </a:ext>
          </a:extLst>
        </cdr:cNvPr>
        <cdr:cNvSpPr/>
      </cdr:nvSpPr>
      <cdr:spPr>
        <a:xfrm xmlns:a="http://schemas.openxmlformats.org/drawingml/2006/main">
          <a:off x="4910891" y="3489706"/>
          <a:ext cx="289458" cy="2993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458" h="299399">
              <a:moveTo>
                <a:pt x="0" y="299398"/>
              </a:moveTo>
              <a:lnTo>
                <a:pt x="0" y="299398"/>
              </a:lnTo>
              <a:lnTo>
                <a:pt x="289457" y="0"/>
              </a:lnTo>
              <a:lnTo>
                <a:pt x="2894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0.62343</cdr:x>
      <cdr:y>0.89109</cdr:y>
    </cdr:from>
    <cdr:to>
      <cdr:x>0.66272</cdr:x>
      <cdr:y>0.9301</cdr:y>
    </cdr:to>
    <cdr:sp macro="" textlink="">
      <cdr:nvSpPr>
        <cdr:cNvPr id="330" name="FracNo 81 StartRow 3577">
          <a:extLst xmlns:a="http://schemas.openxmlformats.org/drawingml/2006/main">
            <a:ext uri="{FF2B5EF4-FFF2-40B4-BE49-F238E27FC236}">
              <a16:creationId xmlns:a16="http://schemas.microsoft.com/office/drawing/2014/main" id="{670DA0DA-B741-EE21-DE95-CA7D163C4230}"/>
            </a:ext>
          </a:extLst>
        </cdr:cNvPr>
        <cdr:cNvSpPr/>
      </cdr:nvSpPr>
      <cdr:spPr>
        <a:xfrm xmlns:a="http://schemas.openxmlformats.org/drawingml/2006/main">
          <a:off x="4560551" y="6790094"/>
          <a:ext cx="287402" cy="297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402" h="297272">
              <a:moveTo>
                <a:pt x="174294" y="116991"/>
              </a:moveTo>
              <a:lnTo>
                <a:pt x="0" y="297271"/>
              </a:lnTo>
              <a:lnTo>
                <a:pt x="0" y="297271"/>
              </a:lnTo>
              <a:lnTo>
                <a:pt x="174294" y="116991"/>
              </a:lnTo>
              <a:lnTo>
                <a:pt x="259546" y="28812"/>
              </a:lnTo>
              <a:lnTo>
                <a:pt x="287401" y="0"/>
              </a:lnTo>
              <a:lnTo>
                <a:pt x="287401" y="0"/>
              </a:lnTo>
              <a:lnTo>
                <a:pt x="259546" y="288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0.70347</cdr:x>
      <cdr:y>0.08544</cdr:y>
    </cdr:from>
    <cdr:to>
      <cdr:x>0.74214</cdr:x>
      <cdr:y>0.12384</cdr:y>
    </cdr:to>
    <cdr:sp macro="" textlink="">
      <cdr:nvSpPr>
        <cdr:cNvPr id="331" name="FracNo 164 StartRow 3588">
          <a:extLst xmlns:a="http://schemas.openxmlformats.org/drawingml/2006/main">
            <a:ext uri="{FF2B5EF4-FFF2-40B4-BE49-F238E27FC236}">
              <a16:creationId xmlns:a16="http://schemas.microsoft.com/office/drawing/2014/main" id="{D7460E43-E571-6978-EEC1-730005BC0D60}"/>
            </a:ext>
          </a:extLst>
        </cdr:cNvPr>
        <cdr:cNvSpPr/>
      </cdr:nvSpPr>
      <cdr:spPr>
        <a:xfrm xmlns:a="http://schemas.openxmlformats.org/drawingml/2006/main">
          <a:off x="5146034" y="651036"/>
          <a:ext cx="282879" cy="292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879" h="292594">
              <a:moveTo>
                <a:pt x="0" y="292593"/>
              </a:moveTo>
              <a:lnTo>
                <a:pt x="0" y="292593"/>
              </a:lnTo>
              <a:lnTo>
                <a:pt x="282878" y="0"/>
              </a:lnTo>
              <a:lnTo>
                <a:pt x="2828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0.13296</cdr:x>
      <cdr:y>0.12629</cdr:y>
    </cdr:to>
    <cdr:sp macro="" textlink="">
      <cdr:nvSpPr>
        <cdr:cNvPr id="332" name="FracNo 591 StartRow 3595">
          <a:extLst xmlns:a="http://schemas.openxmlformats.org/drawingml/2006/main">
            <a:ext uri="{FF2B5EF4-FFF2-40B4-BE49-F238E27FC236}">
              <a16:creationId xmlns:a16="http://schemas.microsoft.com/office/drawing/2014/main" id="{DDF47D0C-C713-BF39-B79D-1D41AA1097E2}"/>
            </a:ext>
          </a:extLst>
        </cdr:cNvPr>
        <cdr:cNvSpPr/>
      </cdr:nvSpPr>
      <cdr:spPr>
        <a:xfrm xmlns:a="http://schemas.openxmlformats.org/drawingml/2006/main">
          <a:off x="671676" y="651036"/>
          <a:ext cx="300967" cy="311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967" h="311303">
              <a:moveTo>
                <a:pt x="75242" y="233476"/>
              </a:moveTo>
              <a:lnTo>
                <a:pt x="0" y="311302"/>
              </a:lnTo>
              <a:lnTo>
                <a:pt x="0" y="273799"/>
              </a:lnTo>
              <a:lnTo>
                <a:pt x="66177" y="205349"/>
              </a:lnTo>
              <a:lnTo>
                <a:pt x="264708" y="0"/>
              </a:lnTo>
              <a:lnTo>
                <a:pt x="3009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0.76196</cdr:x>
      <cdr:y>0.30271</cdr:y>
    </cdr:from>
    <cdr:to>
      <cdr:x>0.8005</cdr:x>
      <cdr:y>0.34097</cdr:y>
    </cdr:to>
    <cdr:sp macro="" textlink="">
      <cdr:nvSpPr>
        <cdr:cNvPr id="333" name="FracNo 180 StartRow 3604">
          <a:extLst xmlns:a="http://schemas.openxmlformats.org/drawingml/2006/main">
            <a:ext uri="{FF2B5EF4-FFF2-40B4-BE49-F238E27FC236}">
              <a16:creationId xmlns:a16="http://schemas.microsoft.com/office/drawing/2014/main" id="{28126CB8-C72D-A0DD-031A-3CF725598692}"/>
            </a:ext>
          </a:extLst>
        </cdr:cNvPr>
        <cdr:cNvSpPr/>
      </cdr:nvSpPr>
      <cdr:spPr>
        <a:xfrm xmlns:a="http://schemas.openxmlformats.org/drawingml/2006/main">
          <a:off x="5573925" y="2306687"/>
          <a:ext cx="281857" cy="291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857" h="291537">
              <a:moveTo>
                <a:pt x="224822" y="58993"/>
              </a:moveTo>
              <a:lnTo>
                <a:pt x="0" y="291536"/>
              </a:lnTo>
              <a:lnTo>
                <a:pt x="0" y="291536"/>
              </a:lnTo>
              <a:lnTo>
                <a:pt x="224822" y="58993"/>
              </a:lnTo>
              <a:lnTo>
                <a:pt x="281856" y="0"/>
              </a:lnTo>
              <a:lnTo>
                <a:pt x="2818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0.43448</cdr:y>
    </cdr:from>
    <cdr:to>
      <cdr:x>0.13108</cdr:x>
      <cdr:y>0.47593</cdr:y>
    </cdr:to>
    <cdr:sp macro="" textlink="">
      <cdr:nvSpPr>
        <cdr:cNvPr id="334" name="FracNo 672 StartRow 3613">
          <a:extLst xmlns:a="http://schemas.openxmlformats.org/drawingml/2006/main">
            <a:ext uri="{FF2B5EF4-FFF2-40B4-BE49-F238E27FC236}">
              <a16:creationId xmlns:a16="http://schemas.microsoft.com/office/drawing/2014/main" id="{87FADD7F-BEC0-7710-8DBC-7E7D02DFC5AC}"/>
            </a:ext>
          </a:extLst>
        </cdr:cNvPr>
        <cdr:cNvSpPr/>
      </cdr:nvSpPr>
      <cdr:spPr>
        <a:xfrm xmlns:a="http://schemas.openxmlformats.org/drawingml/2006/main">
          <a:off x="671676" y="3310748"/>
          <a:ext cx="287229" cy="315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229" h="315845">
              <a:moveTo>
                <a:pt x="271980" y="34524"/>
              </a:moveTo>
              <a:lnTo>
                <a:pt x="0" y="315844"/>
              </a:lnTo>
              <a:lnTo>
                <a:pt x="0" y="278341"/>
              </a:lnTo>
              <a:lnTo>
                <a:pt x="254813" y="14777"/>
              </a:lnTo>
              <a:lnTo>
                <a:pt x="269099" y="0"/>
              </a:lnTo>
              <a:lnTo>
                <a:pt x="2872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0.67234</cdr:x>
      <cdr:y>0.49257</cdr:y>
    </cdr:from>
    <cdr:to>
      <cdr:x>0.71017</cdr:x>
      <cdr:y>0.53014</cdr:y>
    </cdr:to>
    <cdr:sp macro="" textlink="">
      <cdr:nvSpPr>
        <cdr:cNvPr id="335" name="FracNo 407 StartRow 3622">
          <a:extLst xmlns:a="http://schemas.openxmlformats.org/drawingml/2006/main">
            <a:ext uri="{FF2B5EF4-FFF2-40B4-BE49-F238E27FC236}">
              <a16:creationId xmlns:a16="http://schemas.microsoft.com/office/drawing/2014/main" id="{EED40D9A-F103-6799-E3FD-E880D5CD361F}"/>
            </a:ext>
          </a:extLst>
        </cdr:cNvPr>
        <cdr:cNvSpPr/>
      </cdr:nvSpPr>
      <cdr:spPr>
        <a:xfrm xmlns:a="http://schemas.openxmlformats.org/drawingml/2006/main">
          <a:off x="4918279" y="3753413"/>
          <a:ext cx="276771" cy="286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771" h="286276">
              <a:moveTo>
                <a:pt x="171179" y="109218"/>
              </a:moveTo>
              <a:lnTo>
                <a:pt x="0" y="286275"/>
              </a:lnTo>
              <a:lnTo>
                <a:pt x="0" y="286275"/>
              </a:lnTo>
              <a:lnTo>
                <a:pt x="171179" y="109218"/>
              </a:lnTo>
              <a:lnTo>
                <a:pt x="276770" y="0"/>
              </a:lnTo>
              <a:lnTo>
                <a:pt x="2767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0.44859</cdr:x>
      <cdr:y>0.20721</cdr:y>
    </cdr:from>
    <cdr:to>
      <cdr:x>0.48568</cdr:x>
      <cdr:y>0.24403</cdr:y>
    </cdr:to>
    <cdr:sp macro="" textlink="">
      <cdr:nvSpPr>
        <cdr:cNvPr id="336" name="FracNo 252 StartRow 3631">
          <a:extLst xmlns:a="http://schemas.openxmlformats.org/drawingml/2006/main">
            <a:ext uri="{FF2B5EF4-FFF2-40B4-BE49-F238E27FC236}">
              <a16:creationId xmlns:a16="http://schemas.microsoft.com/office/drawing/2014/main" id="{B6248CBB-5552-EFE8-21BA-C9C511D1C77E}"/>
            </a:ext>
          </a:extLst>
        </cdr:cNvPr>
        <cdr:cNvSpPr/>
      </cdr:nvSpPr>
      <cdr:spPr>
        <a:xfrm xmlns:a="http://schemas.openxmlformats.org/drawingml/2006/main">
          <a:off x="3281541" y="1578918"/>
          <a:ext cx="271274" cy="2805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274" h="280590">
              <a:moveTo>
                <a:pt x="171178" y="103533"/>
              </a:moveTo>
              <a:lnTo>
                <a:pt x="0" y="280589"/>
              </a:lnTo>
              <a:lnTo>
                <a:pt x="0" y="280589"/>
              </a:lnTo>
              <a:lnTo>
                <a:pt x="171178" y="103533"/>
              </a:lnTo>
              <a:lnTo>
                <a:pt x="271273" y="0"/>
              </a:lnTo>
              <a:lnTo>
                <a:pt x="2712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0.36074</cdr:x>
      <cdr:y>0.45085</cdr:y>
    </cdr:from>
    <cdr:to>
      <cdr:x>0.39962</cdr:x>
      <cdr:y>0.48945</cdr:y>
    </cdr:to>
    <cdr:sp macro="" textlink="">
      <cdr:nvSpPr>
        <cdr:cNvPr id="337" name="FracNo 670 StartRow 3640">
          <a:extLst xmlns:a="http://schemas.openxmlformats.org/drawingml/2006/main">
            <a:ext uri="{FF2B5EF4-FFF2-40B4-BE49-F238E27FC236}">
              <a16:creationId xmlns:a16="http://schemas.microsoft.com/office/drawing/2014/main" id="{0EE73CAC-B0F9-63E9-F025-1CD266835827}"/>
            </a:ext>
          </a:extLst>
        </cdr:cNvPr>
        <cdr:cNvSpPr/>
      </cdr:nvSpPr>
      <cdr:spPr>
        <a:xfrm xmlns:a="http://schemas.openxmlformats.org/drawingml/2006/main">
          <a:off x="2638914" y="3435457"/>
          <a:ext cx="284416" cy="2941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416" h="294183">
              <a:moveTo>
                <a:pt x="102489" y="206925"/>
              </a:moveTo>
              <a:lnTo>
                <a:pt x="18129" y="294182"/>
              </a:lnTo>
              <a:lnTo>
                <a:pt x="0" y="275430"/>
              </a:lnTo>
              <a:lnTo>
                <a:pt x="84360" y="188173"/>
              </a:lnTo>
              <a:lnTo>
                <a:pt x="97908" y="174159"/>
              </a:lnTo>
              <a:lnTo>
                <a:pt x="266286" y="0"/>
              </a:lnTo>
              <a:lnTo>
                <a:pt x="284415" y="18751"/>
              </a:lnTo>
              <a:lnTo>
                <a:pt x="116037" y="1929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0.57431</cdr:x>
      <cdr:y>0.08544</cdr:y>
    </cdr:from>
    <cdr:to>
      <cdr:x>0.60965</cdr:x>
      <cdr:y>0.12053</cdr:y>
    </cdr:to>
    <cdr:sp macro="" textlink="">
      <cdr:nvSpPr>
        <cdr:cNvPr id="338" name="FracNo 253 StartRow 3651">
          <a:extLst xmlns:a="http://schemas.openxmlformats.org/drawingml/2006/main">
            <a:ext uri="{FF2B5EF4-FFF2-40B4-BE49-F238E27FC236}">
              <a16:creationId xmlns:a16="http://schemas.microsoft.com/office/drawing/2014/main" id="{A34C2C13-1478-17A9-DFC4-F59678565111}"/>
            </a:ext>
          </a:extLst>
        </cdr:cNvPr>
        <cdr:cNvSpPr/>
      </cdr:nvSpPr>
      <cdr:spPr>
        <a:xfrm xmlns:a="http://schemas.openxmlformats.org/drawingml/2006/main">
          <a:off x="4201193" y="651036"/>
          <a:ext cx="258488" cy="2673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488" h="267365">
              <a:moveTo>
                <a:pt x="0" y="267364"/>
              </a:moveTo>
              <a:lnTo>
                <a:pt x="0" y="267364"/>
              </a:lnTo>
              <a:lnTo>
                <a:pt x="258487" y="0"/>
              </a:lnTo>
              <a:lnTo>
                <a:pt x="2584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0.32822</cdr:x>
      <cdr:y>0.39655</cdr:y>
    </cdr:from>
    <cdr:to>
      <cdr:x>0.36344</cdr:x>
      <cdr:y>0.43152</cdr:y>
    </cdr:to>
    <cdr:sp macro="" textlink="">
      <cdr:nvSpPr>
        <cdr:cNvPr id="339" name="FracNo 658 StartRow 3658">
          <a:extLst xmlns:a="http://schemas.openxmlformats.org/drawingml/2006/main">
            <a:ext uri="{FF2B5EF4-FFF2-40B4-BE49-F238E27FC236}">
              <a16:creationId xmlns:a16="http://schemas.microsoft.com/office/drawing/2014/main" id="{0FAF93CD-F495-32B5-2AAF-C86C360D9936}"/>
            </a:ext>
          </a:extLst>
        </cdr:cNvPr>
        <cdr:cNvSpPr/>
      </cdr:nvSpPr>
      <cdr:spPr>
        <a:xfrm xmlns:a="http://schemas.openxmlformats.org/drawingml/2006/main">
          <a:off x="2401013" y="3021696"/>
          <a:ext cx="257656" cy="266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656" h="266504">
              <a:moveTo>
                <a:pt x="0" y="266503"/>
              </a:moveTo>
              <a:lnTo>
                <a:pt x="0" y="266503"/>
              </a:lnTo>
              <a:lnTo>
                <a:pt x="257655" y="0"/>
              </a:lnTo>
              <a:lnTo>
                <a:pt x="2576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0.90228</cdr:x>
      <cdr:y>0.09444</cdr:y>
    </cdr:from>
    <cdr:to>
      <cdr:x>0.93687</cdr:x>
      <cdr:y>0.12879</cdr:y>
    </cdr:to>
    <cdr:sp macro="" textlink="">
      <cdr:nvSpPr>
        <cdr:cNvPr id="340" name="FracNo 166 StartRow 3665">
          <a:extLst xmlns:a="http://schemas.openxmlformats.org/drawingml/2006/main">
            <a:ext uri="{FF2B5EF4-FFF2-40B4-BE49-F238E27FC236}">
              <a16:creationId xmlns:a16="http://schemas.microsoft.com/office/drawing/2014/main" id="{6FA4F7D8-407A-9A8C-9267-51B9FC2BBAA1}"/>
            </a:ext>
          </a:extLst>
        </cdr:cNvPr>
        <cdr:cNvSpPr/>
      </cdr:nvSpPr>
      <cdr:spPr>
        <a:xfrm xmlns:a="http://schemas.openxmlformats.org/drawingml/2006/main">
          <a:off x="6600334" y="719606"/>
          <a:ext cx="253049" cy="261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049" h="261739">
              <a:moveTo>
                <a:pt x="0" y="261738"/>
              </a:moveTo>
              <a:lnTo>
                <a:pt x="0" y="261738"/>
              </a:lnTo>
              <a:lnTo>
                <a:pt x="253048" y="0"/>
              </a:lnTo>
              <a:lnTo>
                <a:pt x="2530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0.63659</cdr:x>
      <cdr:y>0.52848</cdr:y>
    </cdr:from>
    <cdr:to>
      <cdr:x>0.67066</cdr:x>
      <cdr:y>0.56231</cdr:y>
    </cdr:to>
    <cdr:sp macro="" textlink="">
      <cdr:nvSpPr>
        <cdr:cNvPr id="341" name="FracNo 488 StartRow 3672">
          <a:extLst xmlns:a="http://schemas.openxmlformats.org/drawingml/2006/main">
            <a:ext uri="{FF2B5EF4-FFF2-40B4-BE49-F238E27FC236}">
              <a16:creationId xmlns:a16="http://schemas.microsoft.com/office/drawing/2014/main" id="{962A2FB3-FA51-7A67-C75C-FBB387933F11}"/>
            </a:ext>
          </a:extLst>
        </cdr:cNvPr>
        <cdr:cNvSpPr/>
      </cdr:nvSpPr>
      <cdr:spPr>
        <a:xfrm xmlns:a="http://schemas.openxmlformats.org/drawingml/2006/main">
          <a:off x="4656761" y="4027012"/>
          <a:ext cx="249264" cy="2578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264" h="257824">
              <a:moveTo>
                <a:pt x="89072" y="165691"/>
              </a:moveTo>
              <a:lnTo>
                <a:pt x="0" y="257823"/>
              </a:lnTo>
              <a:lnTo>
                <a:pt x="0" y="257823"/>
              </a:lnTo>
              <a:lnTo>
                <a:pt x="89072" y="165691"/>
              </a:lnTo>
              <a:lnTo>
                <a:pt x="163336" y="88877"/>
              </a:lnTo>
              <a:lnTo>
                <a:pt x="249263" y="0"/>
              </a:lnTo>
              <a:lnTo>
                <a:pt x="249263" y="0"/>
              </a:lnTo>
              <a:lnTo>
                <a:pt x="163336" y="888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0.67286</cdr:x>
      <cdr:y>0.78069</cdr:y>
    </cdr:from>
    <cdr:to>
      <cdr:x>0.70914</cdr:x>
      <cdr:y>0.81672</cdr:y>
    </cdr:to>
    <cdr:sp macro="" textlink="">
      <cdr:nvSpPr>
        <cdr:cNvPr id="342" name="FracNo 346 StartRow 3683">
          <a:extLst xmlns:a="http://schemas.openxmlformats.org/drawingml/2006/main">
            <a:ext uri="{FF2B5EF4-FFF2-40B4-BE49-F238E27FC236}">
              <a16:creationId xmlns:a16="http://schemas.microsoft.com/office/drawing/2014/main" id="{61B57AFB-B594-8E72-99C0-0DD3116BB874}"/>
            </a:ext>
          </a:extLst>
        </cdr:cNvPr>
        <cdr:cNvSpPr/>
      </cdr:nvSpPr>
      <cdr:spPr>
        <a:xfrm xmlns:a="http://schemas.openxmlformats.org/drawingml/2006/main">
          <a:off x="4922084" y="5948852"/>
          <a:ext cx="265443" cy="2745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443" h="274558">
              <a:moveTo>
                <a:pt x="61342" y="229861"/>
              </a:moveTo>
              <a:lnTo>
                <a:pt x="18129" y="274557"/>
              </a:lnTo>
              <a:lnTo>
                <a:pt x="0" y="255805"/>
              </a:lnTo>
              <a:lnTo>
                <a:pt x="43212" y="211110"/>
              </a:lnTo>
              <a:lnTo>
                <a:pt x="247312" y="0"/>
              </a:lnTo>
              <a:lnTo>
                <a:pt x="2654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0.67141</cdr:x>
      <cdr:y>0.77926</cdr:y>
    </cdr:from>
    <cdr:to>
      <cdr:x>0.70522</cdr:x>
      <cdr:y>0.81283</cdr:y>
    </cdr:to>
    <cdr:sp macro="" textlink="">
      <cdr:nvSpPr>
        <cdr:cNvPr id="343" name="FracNo 328 StartRow 3692">
          <a:extLst xmlns:a="http://schemas.openxmlformats.org/drawingml/2006/main">
            <a:ext uri="{FF2B5EF4-FFF2-40B4-BE49-F238E27FC236}">
              <a16:creationId xmlns:a16="http://schemas.microsoft.com/office/drawing/2014/main" id="{E2CF03DF-EF9C-7BCF-F56B-EA1088444543}"/>
            </a:ext>
          </a:extLst>
        </cdr:cNvPr>
        <cdr:cNvSpPr/>
      </cdr:nvSpPr>
      <cdr:spPr>
        <a:xfrm xmlns:a="http://schemas.openxmlformats.org/drawingml/2006/main">
          <a:off x="4911521" y="5937926"/>
          <a:ext cx="247314" cy="2558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314" h="255807">
              <a:moveTo>
                <a:pt x="126333" y="125134"/>
              </a:moveTo>
              <a:lnTo>
                <a:pt x="0" y="255806"/>
              </a:lnTo>
              <a:lnTo>
                <a:pt x="0" y="255806"/>
              </a:lnTo>
              <a:lnTo>
                <a:pt x="126333" y="125134"/>
              </a:lnTo>
              <a:lnTo>
                <a:pt x="247313" y="0"/>
              </a:lnTo>
              <a:lnTo>
                <a:pt x="2473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0.27026</cdr:x>
      <cdr:y>0.29069</cdr:y>
    </cdr:from>
    <cdr:to>
      <cdr:x>0.30383</cdr:x>
      <cdr:y>0.32402</cdr:y>
    </cdr:to>
    <cdr:sp macro="" textlink="">
      <cdr:nvSpPr>
        <cdr:cNvPr id="344" name="FracNo 574 StartRow 3701">
          <a:extLst xmlns:a="http://schemas.openxmlformats.org/drawingml/2006/main">
            <a:ext uri="{FF2B5EF4-FFF2-40B4-BE49-F238E27FC236}">
              <a16:creationId xmlns:a16="http://schemas.microsoft.com/office/drawing/2014/main" id="{718BA6C8-FE9E-CC2A-B90A-D7BD2B18416C}"/>
            </a:ext>
          </a:extLst>
        </cdr:cNvPr>
        <cdr:cNvSpPr/>
      </cdr:nvSpPr>
      <cdr:spPr>
        <a:xfrm xmlns:a="http://schemas.openxmlformats.org/drawingml/2006/main">
          <a:off x="1976997" y="2215052"/>
          <a:ext cx="245584" cy="2540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584" h="254017">
              <a:moveTo>
                <a:pt x="0" y="254016"/>
              </a:moveTo>
              <a:lnTo>
                <a:pt x="0" y="254016"/>
              </a:lnTo>
              <a:lnTo>
                <a:pt x="245583" y="0"/>
              </a:lnTo>
              <a:lnTo>
                <a:pt x="2455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0.90776</cdr:x>
      <cdr:y>0.4179</cdr:y>
    </cdr:from>
    <cdr:to>
      <cdr:x>0.94246</cdr:x>
      <cdr:y>0.45482</cdr:y>
    </cdr:to>
    <cdr:sp macro="" textlink="">
      <cdr:nvSpPr>
        <cdr:cNvPr id="345" name="FracNo 433 StartRow 3708">
          <a:extLst xmlns:a="http://schemas.openxmlformats.org/drawingml/2006/main">
            <a:ext uri="{FF2B5EF4-FFF2-40B4-BE49-F238E27FC236}">
              <a16:creationId xmlns:a16="http://schemas.microsoft.com/office/drawing/2014/main" id="{A4500BF8-8F4A-35B5-713C-F20277FF1CA5}"/>
            </a:ext>
          </a:extLst>
        </cdr:cNvPr>
        <cdr:cNvSpPr/>
      </cdr:nvSpPr>
      <cdr:spPr>
        <a:xfrm xmlns:a="http://schemas.openxmlformats.org/drawingml/2006/main">
          <a:off x="6640443" y="3184373"/>
          <a:ext cx="253865" cy="281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865" h="281335">
              <a:moveTo>
                <a:pt x="1118" y="261426"/>
              </a:moveTo>
              <a:lnTo>
                <a:pt x="0" y="262582"/>
              </a:lnTo>
              <a:lnTo>
                <a:pt x="18129" y="281334"/>
              </a:lnTo>
              <a:lnTo>
                <a:pt x="19168" y="280260"/>
              </a:lnTo>
              <a:lnTo>
                <a:pt x="253864" y="37504"/>
              </a:lnTo>
              <a:lnTo>
                <a:pt x="2538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0.30802</cdr:y>
    </cdr:from>
    <cdr:to>
      <cdr:x>0.12492</cdr:x>
      <cdr:y>0.34089</cdr:y>
    </cdr:to>
    <cdr:sp macro="" textlink="">
      <cdr:nvSpPr>
        <cdr:cNvPr id="346" name="FracNo 564 StartRow 3717">
          <a:extLst xmlns:a="http://schemas.openxmlformats.org/drawingml/2006/main">
            <a:ext uri="{FF2B5EF4-FFF2-40B4-BE49-F238E27FC236}">
              <a16:creationId xmlns:a16="http://schemas.microsoft.com/office/drawing/2014/main" id="{09D100E1-7CF4-29BB-678A-C3D4FC551542}"/>
            </a:ext>
          </a:extLst>
        </cdr:cNvPr>
        <cdr:cNvSpPr/>
      </cdr:nvSpPr>
      <cdr:spPr>
        <a:xfrm xmlns:a="http://schemas.openxmlformats.org/drawingml/2006/main">
          <a:off x="671676" y="2347102"/>
          <a:ext cx="242138" cy="2504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138" h="250453">
              <a:moveTo>
                <a:pt x="242137" y="0"/>
              </a:moveTo>
              <a:lnTo>
                <a:pt x="0" y="250452"/>
              </a:lnTo>
              <a:lnTo>
                <a:pt x="0" y="250452"/>
              </a:lnTo>
              <a:lnTo>
                <a:pt x="24213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0.43773</cdr:x>
      <cdr:y>0.62097</cdr:y>
    </cdr:from>
    <cdr:to>
      <cdr:x>0.47198</cdr:x>
      <cdr:y>0.65499</cdr:y>
    </cdr:to>
    <cdr:sp macro="" textlink="">
      <cdr:nvSpPr>
        <cdr:cNvPr id="347" name="FracNo 721 StartRow 3725">
          <a:extLst xmlns:a="http://schemas.openxmlformats.org/drawingml/2006/main">
            <a:ext uri="{FF2B5EF4-FFF2-40B4-BE49-F238E27FC236}">
              <a16:creationId xmlns:a16="http://schemas.microsoft.com/office/drawing/2014/main" id="{92C35503-9DCB-836D-4E48-05AD04793465}"/>
            </a:ext>
          </a:extLst>
        </cdr:cNvPr>
        <cdr:cNvSpPr/>
      </cdr:nvSpPr>
      <cdr:spPr>
        <a:xfrm xmlns:a="http://schemas.openxmlformats.org/drawingml/2006/main">
          <a:off x="3202062" y="4731820"/>
          <a:ext cx="250588" cy="259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0588" h="259195">
              <a:moveTo>
                <a:pt x="87585" y="187353"/>
              </a:moveTo>
              <a:lnTo>
                <a:pt x="56526" y="219478"/>
              </a:lnTo>
              <a:lnTo>
                <a:pt x="18129" y="259194"/>
              </a:lnTo>
              <a:lnTo>
                <a:pt x="0" y="240442"/>
              </a:lnTo>
              <a:lnTo>
                <a:pt x="38397" y="200726"/>
              </a:lnTo>
              <a:lnTo>
                <a:pt x="69456" y="168601"/>
              </a:lnTo>
              <a:lnTo>
                <a:pt x="232458" y="0"/>
              </a:lnTo>
              <a:lnTo>
                <a:pt x="2505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0.15556</cdr:x>
      <cdr:y>0.60678</cdr:y>
    </cdr:from>
    <cdr:to>
      <cdr:x>0.18597</cdr:x>
      <cdr:y>0.63697</cdr:y>
    </cdr:to>
    <cdr:sp macro="" textlink="">
      <cdr:nvSpPr>
        <cdr:cNvPr id="348" name="FracNo 644 StartRow 3736">
          <a:extLst xmlns:a="http://schemas.openxmlformats.org/drawingml/2006/main">
            <a:ext uri="{FF2B5EF4-FFF2-40B4-BE49-F238E27FC236}">
              <a16:creationId xmlns:a16="http://schemas.microsoft.com/office/drawing/2014/main" id="{65494972-FEE4-F050-D77C-FE1EBDBBF885}"/>
            </a:ext>
          </a:extLst>
        </cdr:cNvPr>
        <cdr:cNvSpPr/>
      </cdr:nvSpPr>
      <cdr:spPr>
        <a:xfrm xmlns:a="http://schemas.openxmlformats.org/drawingml/2006/main">
          <a:off x="1137932" y="4623635"/>
          <a:ext cx="222461" cy="230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461" h="230100">
              <a:moveTo>
                <a:pt x="222460" y="0"/>
              </a:moveTo>
              <a:lnTo>
                <a:pt x="0" y="230099"/>
              </a:lnTo>
              <a:lnTo>
                <a:pt x="0" y="230099"/>
              </a:lnTo>
              <a:lnTo>
                <a:pt x="22246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0.65594</cdr:x>
      <cdr:y>0.29719</cdr:y>
    </cdr:from>
    <cdr:to>
      <cdr:x>0.6861</cdr:x>
      <cdr:y>0.32714</cdr:y>
    </cdr:to>
    <cdr:sp macro="" textlink="">
      <cdr:nvSpPr>
        <cdr:cNvPr id="349" name="FracNo 161 StartRow 3744">
          <a:extLst xmlns:a="http://schemas.openxmlformats.org/drawingml/2006/main">
            <a:ext uri="{FF2B5EF4-FFF2-40B4-BE49-F238E27FC236}">
              <a16:creationId xmlns:a16="http://schemas.microsoft.com/office/drawing/2014/main" id="{A5860E4F-A51F-D771-9ABD-C172B553A3C6}"/>
            </a:ext>
          </a:extLst>
        </cdr:cNvPr>
        <cdr:cNvSpPr/>
      </cdr:nvSpPr>
      <cdr:spPr>
        <a:xfrm xmlns:a="http://schemas.openxmlformats.org/drawingml/2006/main">
          <a:off x="4798302" y="2264621"/>
          <a:ext cx="220641" cy="228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641" h="228219">
              <a:moveTo>
                <a:pt x="182679" y="39265"/>
              </a:moveTo>
              <a:lnTo>
                <a:pt x="21795" y="205675"/>
              </a:lnTo>
              <a:lnTo>
                <a:pt x="0" y="228218"/>
              </a:lnTo>
              <a:lnTo>
                <a:pt x="0" y="228218"/>
              </a:lnTo>
              <a:lnTo>
                <a:pt x="21795" y="205675"/>
              </a:lnTo>
              <a:lnTo>
                <a:pt x="182679" y="39265"/>
              </a:lnTo>
              <a:lnTo>
                <a:pt x="220640" y="0"/>
              </a:lnTo>
              <a:lnTo>
                <a:pt x="2206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0.44415</cdr:x>
      <cdr:y>0.7838</cdr:y>
    </cdr:from>
    <cdr:to>
      <cdr:x>0.476</cdr:x>
      <cdr:y>0.81542</cdr:y>
    </cdr:to>
    <cdr:sp macro="" textlink="">
      <cdr:nvSpPr>
        <cdr:cNvPr id="350" name="FracNo 104 StartRow 3755">
          <a:extLst xmlns:a="http://schemas.openxmlformats.org/drawingml/2006/main">
            <a:ext uri="{FF2B5EF4-FFF2-40B4-BE49-F238E27FC236}">
              <a16:creationId xmlns:a16="http://schemas.microsoft.com/office/drawing/2014/main" id="{866D2F0A-D677-4B79-33F9-720C00FBA34D}"/>
            </a:ext>
          </a:extLst>
        </cdr:cNvPr>
        <cdr:cNvSpPr/>
      </cdr:nvSpPr>
      <cdr:spPr>
        <a:xfrm xmlns:a="http://schemas.openxmlformats.org/drawingml/2006/main">
          <a:off x="3249052" y="5972544"/>
          <a:ext cx="232959" cy="2409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959" h="240960">
              <a:moveTo>
                <a:pt x="43545" y="177167"/>
              </a:moveTo>
              <a:lnTo>
                <a:pt x="0" y="222207"/>
              </a:lnTo>
              <a:lnTo>
                <a:pt x="18129" y="240959"/>
              </a:lnTo>
              <a:lnTo>
                <a:pt x="61674" y="195918"/>
              </a:lnTo>
              <a:lnTo>
                <a:pt x="232958" y="18752"/>
              </a:lnTo>
              <a:lnTo>
                <a:pt x="2148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0.32561</cdr:y>
    </cdr:from>
    <cdr:to>
      <cdr:x>0.121</cdr:x>
      <cdr:y>0.35458</cdr:y>
    </cdr:to>
    <cdr:sp macro="" textlink="">
      <cdr:nvSpPr>
        <cdr:cNvPr id="351" name="FracNo 578 StartRow 3764">
          <a:extLst xmlns:a="http://schemas.openxmlformats.org/drawingml/2006/main">
            <a:ext uri="{FF2B5EF4-FFF2-40B4-BE49-F238E27FC236}">
              <a16:creationId xmlns:a16="http://schemas.microsoft.com/office/drawing/2014/main" id="{8908182F-BD00-1530-6891-8319CE9FED06}"/>
            </a:ext>
          </a:extLst>
        </cdr:cNvPr>
        <cdr:cNvSpPr/>
      </cdr:nvSpPr>
      <cdr:spPr>
        <a:xfrm xmlns:a="http://schemas.openxmlformats.org/drawingml/2006/main">
          <a:off x="671676" y="2481137"/>
          <a:ext cx="213459" cy="220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459" h="220789">
              <a:moveTo>
                <a:pt x="213458" y="0"/>
              </a:moveTo>
              <a:lnTo>
                <a:pt x="0" y="220788"/>
              </a:lnTo>
              <a:lnTo>
                <a:pt x="0" y="220788"/>
              </a:lnTo>
              <a:lnTo>
                <a:pt x="213458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0.53137</cdr:x>
      <cdr:y>0.52991</cdr:y>
    </cdr:from>
    <cdr:to>
      <cdr:x>0.55795</cdr:x>
      <cdr:y>0.5563</cdr:y>
    </cdr:to>
    <cdr:sp macro="" textlink="">
      <cdr:nvSpPr>
        <cdr:cNvPr id="352" name="FracNo 500 StartRow 3772">
          <a:extLst xmlns:a="http://schemas.openxmlformats.org/drawingml/2006/main">
            <a:ext uri="{FF2B5EF4-FFF2-40B4-BE49-F238E27FC236}">
              <a16:creationId xmlns:a16="http://schemas.microsoft.com/office/drawing/2014/main" id="{106C13C8-AE25-3AF8-D41A-393F78630A54}"/>
            </a:ext>
          </a:extLst>
        </cdr:cNvPr>
        <cdr:cNvSpPr/>
      </cdr:nvSpPr>
      <cdr:spPr>
        <a:xfrm xmlns:a="http://schemas.openxmlformats.org/drawingml/2006/main">
          <a:off x="3887101" y="4037942"/>
          <a:ext cx="194421" cy="201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421" h="201098">
              <a:moveTo>
                <a:pt x="0" y="201097"/>
              </a:moveTo>
              <a:lnTo>
                <a:pt x="0" y="201097"/>
              </a:lnTo>
              <a:lnTo>
                <a:pt x="194420" y="0"/>
              </a:lnTo>
              <a:lnTo>
                <a:pt x="1944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0.72028</cdr:x>
      <cdr:y>0.64269</cdr:y>
    </cdr:from>
    <cdr:to>
      <cdr:x>0.74627</cdr:x>
      <cdr:y>0.66849</cdr:y>
    </cdr:to>
    <cdr:sp macro="" textlink="">
      <cdr:nvSpPr>
        <cdr:cNvPr id="353" name="FracNo 339 StartRow 3779">
          <a:extLst xmlns:a="http://schemas.openxmlformats.org/drawingml/2006/main">
            <a:ext uri="{FF2B5EF4-FFF2-40B4-BE49-F238E27FC236}">
              <a16:creationId xmlns:a16="http://schemas.microsoft.com/office/drawing/2014/main" id="{D7B04C98-A6E7-89C7-3AA3-9F4CC7B99FEE}"/>
            </a:ext>
          </a:extLst>
        </cdr:cNvPr>
        <cdr:cNvSpPr/>
      </cdr:nvSpPr>
      <cdr:spPr>
        <a:xfrm xmlns:a="http://schemas.openxmlformats.org/drawingml/2006/main">
          <a:off x="5269001" y="4897308"/>
          <a:ext cx="190077" cy="196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077" h="196605">
              <a:moveTo>
                <a:pt x="106296" y="86657"/>
              </a:moveTo>
              <a:lnTo>
                <a:pt x="0" y="196604"/>
              </a:lnTo>
              <a:lnTo>
                <a:pt x="0" y="196604"/>
              </a:lnTo>
              <a:lnTo>
                <a:pt x="106296" y="86657"/>
              </a:lnTo>
              <a:lnTo>
                <a:pt x="146943" y="44614"/>
              </a:lnTo>
              <a:lnTo>
                <a:pt x="190076" y="0"/>
              </a:lnTo>
              <a:lnTo>
                <a:pt x="190076" y="0"/>
              </a:lnTo>
              <a:lnTo>
                <a:pt x="146943" y="446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0.18469</cdr:x>
      <cdr:y>0.72792</cdr:y>
    </cdr:from>
    <cdr:to>
      <cdr:x>0.20809</cdr:x>
      <cdr:y>0.75116</cdr:y>
    </cdr:to>
    <cdr:sp macro="" textlink="">
      <cdr:nvSpPr>
        <cdr:cNvPr id="354" name="FracNo 16 StartRow 3790">
          <a:extLst xmlns:a="http://schemas.openxmlformats.org/drawingml/2006/main">
            <a:ext uri="{FF2B5EF4-FFF2-40B4-BE49-F238E27FC236}">
              <a16:creationId xmlns:a16="http://schemas.microsoft.com/office/drawing/2014/main" id="{C7D9F4AF-B39A-A41B-BE91-26981CAD0E89}"/>
            </a:ext>
          </a:extLst>
        </cdr:cNvPr>
        <cdr:cNvSpPr/>
      </cdr:nvSpPr>
      <cdr:spPr>
        <a:xfrm xmlns:a="http://schemas.openxmlformats.org/drawingml/2006/main">
          <a:off x="1351041" y="5546771"/>
          <a:ext cx="171179" cy="177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179" h="177057">
              <a:moveTo>
                <a:pt x="171178" y="0"/>
              </a:moveTo>
              <a:lnTo>
                <a:pt x="0" y="177056"/>
              </a:lnTo>
              <a:lnTo>
                <a:pt x="0" y="177056"/>
              </a:lnTo>
              <a:lnTo>
                <a:pt x="171178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0.32523</cdr:x>
      <cdr:y>0.08544</cdr:y>
    </cdr:from>
    <cdr:to>
      <cdr:x>0.34738</cdr:x>
      <cdr:y>0.10744</cdr:y>
    </cdr:to>
    <cdr:sp macro="" textlink="">
      <cdr:nvSpPr>
        <cdr:cNvPr id="355" name="FracNo 568 StartRow 3798">
          <a:extLst xmlns:a="http://schemas.openxmlformats.org/drawingml/2006/main">
            <a:ext uri="{FF2B5EF4-FFF2-40B4-BE49-F238E27FC236}">
              <a16:creationId xmlns:a16="http://schemas.microsoft.com/office/drawing/2014/main" id="{03A7C3F3-F10B-6402-0341-54F950825EEC}"/>
            </a:ext>
          </a:extLst>
        </cdr:cNvPr>
        <cdr:cNvSpPr/>
      </cdr:nvSpPr>
      <cdr:spPr>
        <a:xfrm xmlns:a="http://schemas.openxmlformats.org/drawingml/2006/main">
          <a:off x="2379120" y="651036"/>
          <a:ext cx="162061" cy="1676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061" h="167627">
              <a:moveTo>
                <a:pt x="0" y="167626"/>
              </a:moveTo>
              <a:lnTo>
                <a:pt x="0" y="167626"/>
              </a:lnTo>
              <a:lnTo>
                <a:pt x="162060" y="0"/>
              </a:lnTo>
              <a:lnTo>
                <a:pt x="1620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0.35647</cdr:x>
      <cdr:y>0.36579</cdr:y>
    </cdr:from>
    <cdr:to>
      <cdr:x>0.37857</cdr:x>
      <cdr:y>0.38773</cdr:y>
    </cdr:to>
    <cdr:sp macro="" textlink="">
      <cdr:nvSpPr>
        <cdr:cNvPr id="356" name="FracNo 650 StartRow 3805">
          <a:extLst xmlns:a="http://schemas.openxmlformats.org/drawingml/2006/main">
            <a:ext uri="{FF2B5EF4-FFF2-40B4-BE49-F238E27FC236}">
              <a16:creationId xmlns:a16="http://schemas.microsoft.com/office/drawing/2014/main" id="{A7AB6C77-0CE9-EB31-C586-A7F9ADEDD40B}"/>
            </a:ext>
          </a:extLst>
        </cdr:cNvPr>
        <cdr:cNvSpPr/>
      </cdr:nvSpPr>
      <cdr:spPr>
        <a:xfrm xmlns:a="http://schemas.openxmlformats.org/drawingml/2006/main">
          <a:off x="2607636" y="2787332"/>
          <a:ext cx="161650" cy="167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650" h="167201">
              <a:moveTo>
                <a:pt x="0" y="167200"/>
              </a:moveTo>
              <a:lnTo>
                <a:pt x="0" y="167200"/>
              </a:lnTo>
              <a:lnTo>
                <a:pt x="138250" y="24202"/>
              </a:lnTo>
              <a:lnTo>
                <a:pt x="152806" y="9147"/>
              </a:lnTo>
              <a:lnTo>
                <a:pt x="161649" y="0"/>
              </a:lnTo>
              <a:lnTo>
                <a:pt x="161649" y="0"/>
              </a:lnTo>
              <a:lnTo>
                <a:pt x="152806" y="9147"/>
              </a:lnTo>
              <a:lnTo>
                <a:pt x="138250" y="242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0.46182</cdr:x>
      <cdr:y>0.66205</cdr:y>
    </cdr:from>
    <cdr:to>
      <cdr:x>0.48379</cdr:x>
      <cdr:y>0.68387</cdr:y>
    </cdr:to>
    <cdr:sp macro="" textlink="">
      <cdr:nvSpPr>
        <cdr:cNvPr id="357" name="FracNo 84 StartRow 3816">
          <a:extLst xmlns:a="http://schemas.openxmlformats.org/drawingml/2006/main">
            <a:ext uri="{FF2B5EF4-FFF2-40B4-BE49-F238E27FC236}">
              <a16:creationId xmlns:a16="http://schemas.microsoft.com/office/drawing/2014/main" id="{AB13D69E-788F-E740-BC30-4E6B84233E70}"/>
            </a:ext>
          </a:extLst>
        </cdr:cNvPr>
        <cdr:cNvSpPr/>
      </cdr:nvSpPr>
      <cdr:spPr>
        <a:xfrm xmlns:a="http://schemas.openxmlformats.org/drawingml/2006/main">
          <a:off x="3378276" y="5044812"/>
          <a:ext cx="160747" cy="1662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747" h="166267">
              <a:moveTo>
                <a:pt x="0" y="166266"/>
              </a:moveTo>
              <a:lnTo>
                <a:pt x="0" y="166266"/>
              </a:lnTo>
              <a:lnTo>
                <a:pt x="160746" y="0"/>
              </a:lnTo>
              <a:lnTo>
                <a:pt x="1607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0.87364</cdr:y>
    </cdr:from>
    <cdr:to>
      <cdr:x>0.11342</cdr:x>
      <cdr:y>0.89509</cdr:y>
    </cdr:to>
    <cdr:sp macro="" textlink="">
      <cdr:nvSpPr>
        <cdr:cNvPr id="358" name="FracNo 6 StartRow 3823">
          <a:extLst xmlns:a="http://schemas.openxmlformats.org/drawingml/2006/main">
            <a:ext uri="{FF2B5EF4-FFF2-40B4-BE49-F238E27FC236}">
              <a16:creationId xmlns:a16="http://schemas.microsoft.com/office/drawing/2014/main" id="{54AAA1D6-E8DE-4C30-2AD6-902B231283AB}"/>
            </a:ext>
          </a:extLst>
        </cdr:cNvPr>
        <cdr:cNvSpPr/>
      </cdr:nvSpPr>
      <cdr:spPr>
        <a:xfrm xmlns:a="http://schemas.openxmlformats.org/drawingml/2006/main">
          <a:off x="671676" y="6657170"/>
          <a:ext cx="158018" cy="163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018" h="163446">
              <a:moveTo>
                <a:pt x="158017" y="0"/>
              </a:moveTo>
              <a:lnTo>
                <a:pt x="0" y="163445"/>
              </a:lnTo>
              <a:lnTo>
                <a:pt x="0" y="163445"/>
              </a:lnTo>
              <a:lnTo>
                <a:pt x="15801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0.75397</cdr:x>
      <cdr:y>0.59925</cdr:y>
    </cdr:from>
    <cdr:to>
      <cdr:x>0.77507</cdr:x>
      <cdr:y>0.62021</cdr:y>
    </cdr:to>
    <cdr:sp macro="" textlink="">
      <cdr:nvSpPr>
        <cdr:cNvPr id="359" name="FracNo 405 StartRow 3831">
          <a:extLst xmlns:a="http://schemas.openxmlformats.org/drawingml/2006/main">
            <a:ext uri="{FF2B5EF4-FFF2-40B4-BE49-F238E27FC236}">
              <a16:creationId xmlns:a16="http://schemas.microsoft.com/office/drawing/2014/main" id="{8071ADB7-46CE-A777-EDAD-A49A3F6405B5}"/>
            </a:ext>
          </a:extLst>
        </cdr:cNvPr>
        <cdr:cNvSpPr/>
      </cdr:nvSpPr>
      <cdr:spPr>
        <a:xfrm xmlns:a="http://schemas.openxmlformats.org/drawingml/2006/main">
          <a:off x="5515438" y="4566277"/>
          <a:ext cx="154387" cy="159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387" h="159689">
              <a:moveTo>
                <a:pt x="29627" y="129043"/>
              </a:moveTo>
              <a:lnTo>
                <a:pt x="0" y="159688"/>
              </a:lnTo>
              <a:lnTo>
                <a:pt x="0" y="159688"/>
              </a:lnTo>
              <a:lnTo>
                <a:pt x="29627" y="129043"/>
              </a:lnTo>
              <a:lnTo>
                <a:pt x="154386" y="0"/>
              </a:lnTo>
              <a:lnTo>
                <a:pt x="1543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0.92136</cdr:x>
      <cdr:y>0.46815</cdr:y>
    </cdr:from>
    <cdr:to>
      <cdr:x>0.94246</cdr:x>
      <cdr:y>0.4891</cdr:y>
    </cdr:to>
    <cdr:sp macro="" textlink="">
      <cdr:nvSpPr>
        <cdr:cNvPr id="360" name="FracNo 406 StartRow 3840">
          <a:extLst xmlns:a="http://schemas.openxmlformats.org/drawingml/2006/main">
            <a:ext uri="{FF2B5EF4-FFF2-40B4-BE49-F238E27FC236}">
              <a16:creationId xmlns:a16="http://schemas.microsoft.com/office/drawing/2014/main" id="{C5057FD8-7585-F9BB-3D0F-352A83F51338}"/>
            </a:ext>
          </a:extLst>
        </cdr:cNvPr>
        <cdr:cNvSpPr/>
      </cdr:nvSpPr>
      <cdr:spPr>
        <a:xfrm xmlns:a="http://schemas.openxmlformats.org/drawingml/2006/main">
          <a:off x="6739967" y="3567338"/>
          <a:ext cx="154341" cy="159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341" h="159641">
              <a:moveTo>
                <a:pt x="57033" y="100648"/>
              </a:moveTo>
              <a:lnTo>
                <a:pt x="0" y="159640"/>
              </a:lnTo>
              <a:lnTo>
                <a:pt x="0" y="159640"/>
              </a:lnTo>
              <a:lnTo>
                <a:pt x="57033" y="100648"/>
              </a:lnTo>
              <a:lnTo>
                <a:pt x="154340" y="0"/>
              </a:lnTo>
              <a:lnTo>
                <a:pt x="1543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0.79359</cdr:y>
    </cdr:from>
    <cdr:to>
      <cdr:x>0.11231</cdr:x>
      <cdr:y>0.81394</cdr:y>
    </cdr:to>
    <cdr:sp macro="" textlink="">
      <cdr:nvSpPr>
        <cdr:cNvPr id="361" name="FracNo 4 StartRow 3849">
          <a:extLst xmlns:a="http://schemas.openxmlformats.org/drawingml/2006/main">
            <a:ext uri="{FF2B5EF4-FFF2-40B4-BE49-F238E27FC236}">
              <a16:creationId xmlns:a16="http://schemas.microsoft.com/office/drawing/2014/main" id="{A7C71920-B913-D209-1A01-29EC514561F9}"/>
            </a:ext>
          </a:extLst>
        </cdr:cNvPr>
        <cdr:cNvSpPr/>
      </cdr:nvSpPr>
      <cdr:spPr>
        <a:xfrm xmlns:a="http://schemas.openxmlformats.org/drawingml/2006/main">
          <a:off x="671676" y="6047129"/>
          <a:ext cx="149930" cy="155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30" h="155079">
              <a:moveTo>
                <a:pt x="149929" y="0"/>
              </a:moveTo>
              <a:lnTo>
                <a:pt x="0" y="155078"/>
              </a:lnTo>
              <a:lnTo>
                <a:pt x="0" y="155078"/>
              </a:lnTo>
              <a:lnTo>
                <a:pt x="14992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0.65461</cdr:x>
      <cdr:y>0.08544</cdr:y>
    </cdr:from>
    <cdr:to>
      <cdr:x>0.67448</cdr:x>
      <cdr:y>0.10517</cdr:y>
    </cdr:to>
    <cdr:sp macro="" textlink="">
      <cdr:nvSpPr>
        <cdr:cNvPr id="362" name="FracNo 169 StartRow 3857">
          <a:extLst xmlns:a="http://schemas.openxmlformats.org/drawingml/2006/main">
            <a:ext uri="{FF2B5EF4-FFF2-40B4-BE49-F238E27FC236}">
              <a16:creationId xmlns:a16="http://schemas.microsoft.com/office/drawing/2014/main" id="{5B9595C9-0908-7128-1319-A0CDA877FB22}"/>
            </a:ext>
          </a:extLst>
        </cdr:cNvPr>
        <cdr:cNvSpPr/>
      </cdr:nvSpPr>
      <cdr:spPr>
        <a:xfrm xmlns:a="http://schemas.openxmlformats.org/drawingml/2006/main">
          <a:off x="4788615" y="651036"/>
          <a:ext cx="145362" cy="1503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362" h="150354">
              <a:moveTo>
                <a:pt x="66033" y="82052"/>
              </a:moveTo>
              <a:lnTo>
                <a:pt x="31482" y="117789"/>
              </a:lnTo>
              <a:lnTo>
                <a:pt x="0" y="150353"/>
              </a:lnTo>
              <a:lnTo>
                <a:pt x="0" y="150353"/>
              </a:lnTo>
              <a:lnTo>
                <a:pt x="31482" y="117789"/>
              </a:lnTo>
              <a:lnTo>
                <a:pt x="66033" y="82052"/>
              </a:lnTo>
              <a:lnTo>
                <a:pt x="145361" y="0"/>
              </a:lnTo>
              <a:lnTo>
                <a:pt x="1453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0.92297</cdr:x>
      <cdr:y>0.56078</cdr:y>
    </cdr:from>
    <cdr:to>
      <cdr:x>0.94246</cdr:x>
      <cdr:y>0.58014</cdr:y>
    </cdr:to>
    <cdr:sp macro="" textlink="">
      <cdr:nvSpPr>
        <cdr:cNvPr id="363" name="FracNo 409 StartRow 3868">
          <a:extLst xmlns:a="http://schemas.openxmlformats.org/drawingml/2006/main">
            <a:ext uri="{FF2B5EF4-FFF2-40B4-BE49-F238E27FC236}">
              <a16:creationId xmlns:a16="http://schemas.microsoft.com/office/drawing/2014/main" id="{9504C650-8F05-1765-DA30-8860A208CCBB}"/>
            </a:ext>
          </a:extLst>
        </cdr:cNvPr>
        <cdr:cNvSpPr/>
      </cdr:nvSpPr>
      <cdr:spPr>
        <a:xfrm xmlns:a="http://schemas.openxmlformats.org/drawingml/2006/main">
          <a:off x="6751678" y="4273109"/>
          <a:ext cx="142630" cy="1475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630" h="147529">
              <a:moveTo>
                <a:pt x="0" y="147528"/>
              </a:moveTo>
              <a:lnTo>
                <a:pt x="0" y="147528"/>
              </a:lnTo>
              <a:lnTo>
                <a:pt x="142629" y="0"/>
              </a:lnTo>
              <a:lnTo>
                <a:pt x="1426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0.26651</cdr:x>
      <cdr:y>0.08544</cdr:y>
    </cdr:from>
    <cdr:to>
      <cdr:x>0.28546</cdr:x>
      <cdr:y>0.10425</cdr:y>
    </cdr:to>
    <cdr:sp macro="" textlink="">
      <cdr:nvSpPr>
        <cdr:cNvPr id="364" name="FracNo 576 StartRow 3875">
          <a:extLst xmlns:a="http://schemas.openxmlformats.org/drawingml/2006/main">
            <a:ext uri="{FF2B5EF4-FFF2-40B4-BE49-F238E27FC236}">
              <a16:creationId xmlns:a16="http://schemas.microsoft.com/office/drawing/2014/main" id="{8E26224D-4195-7EFC-D773-7D399B944E3B}"/>
            </a:ext>
          </a:extLst>
        </cdr:cNvPr>
        <cdr:cNvSpPr/>
      </cdr:nvSpPr>
      <cdr:spPr>
        <a:xfrm xmlns:a="http://schemas.openxmlformats.org/drawingml/2006/main">
          <a:off x="1949585" y="651036"/>
          <a:ext cx="138614" cy="143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614" h="143373">
              <a:moveTo>
                <a:pt x="0" y="143372"/>
              </a:moveTo>
              <a:lnTo>
                <a:pt x="0" y="143372"/>
              </a:lnTo>
              <a:lnTo>
                <a:pt x="138613" y="0"/>
              </a:lnTo>
              <a:lnTo>
                <a:pt x="138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0.92382</cdr:x>
      <cdr:y>0.90511</cdr:y>
    </cdr:from>
    <cdr:to>
      <cdr:x>0.94246</cdr:x>
      <cdr:y>0.92362</cdr:y>
    </cdr:to>
    <cdr:sp macro="" textlink="">
      <cdr:nvSpPr>
        <cdr:cNvPr id="365" name="FracNo 338 StartRow 3882">
          <a:extLst xmlns:a="http://schemas.openxmlformats.org/drawingml/2006/main">
            <a:ext uri="{FF2B5EF4-FFF2-40B4-BE49-F238E27FC236}">
              <a16:creationId xmlns:a16="http://schemas.microsoft.com/office/drawing/2014/main" id="{DFA75EB3-6DAA-C0C3-AA43-4106DEBECB46}"/>
            </a:ext>
          </a:extLst>
        </cdr:cNvPr>
        <cdr:cNvSpPr/>
      </cdr:nvSpPr>
      <cdr:spPr>
        <a:xfrm xmlns:a="http://schemas.openxmlformats.org/drawingml/2006/main">
          <a:off x="6757911" y="6896940"/>
          <a:ext cx="136397" cy="141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97" h="141081">
              <a:moveTo>
                <a:pt x="29897" y="110156"/>
              </a:moveTo>
              <a:lnTo>
                <a:pt x="0" y="141080"/>
              </a:lnTo>
              <a:lnTo>
                <a:pt x="0" y="141080"/>
              </a:lnTo>
              <a:lnTo>
                <a:pt x="29897" y="110156"/>
              </a:lnTo>
              <a:lnTo>
                <a:pt x="136396" y="0"/>
              </a:lnTo>
              <a:lnTo>
                <a:pt x="136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0.70037</cdr:y>
    </cdr:from>
    <cdr:to>
      <cdr:x>0.10912</cdr:x>
      <cdr:y>0.71755</cdr:y>
    </cdr:to>
    <cdr:sp macro="" textlink="">
      <cdr:nvSpPr>
        <cdr:cNvPr id="366" name="FracNo 20 StartRow 3891">
          <a:extLst xmlns:a="http://schemas.openxmlformats.org/drawingml/2006/main">
            <a:ext uri="{FF2B5EF4-FFF2-40B4-BE49-F238E27FC236}">
              <a16:creationId xmlns:a16="http://schemas.microsoft.com/office/drawing/2014/main" id="{8438AD09-8461-FD06-89F6-9AF333522EA4}"/>
            </a:ext>
          </a:extLst>
        </cdr:cNvPr>
        <cdr:cNvSpPr/>
      </cdr:nvSpPr>
      <cdr:spPr>
        <a:xfrm xmlns:a="http://schemas.openxmlformats.org/drawingml/2006/main">
          <a:off x="671676" y="5336791"/>
          <a:ext cx="126589" cy="130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589" h="130936">
              <a:moveTo>
                <a:pt x="126588" y="0"/>
              </a:moveTo>
              <a:lnTo>
                <a:pt x="0" y="130935"/>
              </a:lnTo>
              <a:lnTo>
                <a:pt x="0" y="130935"/>
              </a:lnTo>
              <a:lnTo>
                <a:pt x="126588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0.15182</cdr:x>
      <cdr:y>0.67102</cdr:y>
    </cdr:from>
    <cdr:to>
      <cdr:x>0.16705</cdr:x>
      <cdr:y>0.68614</cdr:y>
    </cdr:to>
    <cdr:sp macro="" textlink="">
      <cdr:nvSpPr>
        <cdr:cNvPr id="367" name="FracNo 9 StartRow 3899">
          <a:extLst xmlns:a="http://schemas.openxmlformats.org/drawingml/2006/main">
            <a:ext uri="{FF2B5EF4-FFF2-40B4-BE49-F238E27FC236}">
              <a16:creationId xmlns:a16="http://schemas.microsoft.com/office/drawing/2014/main" id="{209119C7-AE67-D5A8-3780-F0DC823F0326}"/>
            </a:ext>
          </a:extLst>
        </cdr:cNvPr>
        <cdr:cNvSpPr/>
      </cdr:nvSpPr>
      <cdr:spPr>
        <a:xfrm xmlns:a="http://schemas.openxmlformats.org/drawingml/2006/main">
          <a:off x="1110567" y="5113167"/>
          <a:ext cx="111412" cy="1152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412" h="115239">
              <a:moveTo>
                <a:pt x="111411" y="0"/>
              </a:moveTo>
              <a:lnTo>
                <a:pt x="0" y="115238"/>
              </a:lnTo>
              <a:lnTo>
                <a:pt x="0" y="115238"/>
              </a:lnTo>
              <a:lnTo>
                <a:pt x="11141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0.74039</cdr:x>
      <cdr:y>0.62179</cdr:y>
    </cdr:from>
    <cdr:to>
      <cdr:x>0.75557</cdr:x>
      <cdr:y>0.63686</cdr:y>
    </cdr:to>
    <cdr:sp macro="" textlink="">
      <cdr:nvSpPr>
        <cdr:cNvPr id="368" name="FracNo 416 StartRow 3907">
          <a:extLst xmlns:a="http://schemas.openxmlformats.org/drawingml/2006/main">
            <a:ext uri="{FF2B5EF4-FFF2-40B4-BE49-F238E27FC236}">
              <a16:creationId xmlns:a16="http://schemas.microsoft.com/office/drawing/2014/main" id="{A64B2782-7BA6-0D91-5053-D87458DD3FE5}"/>
            </a:ext>
          </a:extLst>
        </cdr:cNvPr>
        <cdr:cNvSpPr/>
      </cdr:nvSpPr>
      <cdr:spPr>
        <a:xfrm xmlns:a="http://schemas.openxmlformats.org/drawingml/2006/main">
          <a:off x="5416107" y="4738043"/>
          <a:ext cx="111008" cy="114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008" h="114820">
              <a:moveTo>
                <a:pt x="86817" y="25021"/>
              </a:moveTo>
              <a:lnTo>
                <a:pt x="0" y="114819"/>
              </a:lnTo>
              <a:lnTo>
                <a:pt x="0" y="114819"/>
              </a:lnTo>
              <a:lnTo>
                <a:pt x="86817" y="25021"/>
              </a:lnTo>
              <a:lnTo>
                <a:pt x="111007" y="0"/>
              </a:lnTo>
              <a:lnTo>
                <a:pt x="1110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0.45251</cdr:x>
      <cdr:y>0.91512</cdr:y>
    </cdr:from>
    <cdr:to>
      <cdr:x>0.47008</cdr:x>
      <cdr:y>0.9301</cdr:y>
    </cdr:to>
    <cdr:sp macro="" textlink="">
      <cdr:nvSpPr>
        <cdr:cNvPr id="369" name="FracNo 722 StartRow 3916">
          <a:extLst xmlns:a="http://schemas.openxmlformats.org/drawingml/2006/main">
            <a:ext uri="{FF2B5EF4-FFF2-40B4-BE49-F238E27FC236}">
              <a16:creationId xmlns:a16="http://schemas.microsoft.com/office/drawing/2014/main" id="{4DF66099-9254-61F9-A6BC-40A6ED6AEFAC}"/>
            </a:ext>
          </a:extLst>
        </cdr:cNvPr>
        <cdr:cNvSpPr/>
      </cdr:nvSpPr>
      <cdr:spPr>
        <a:xfrm xmlns:a="http://schemas.openxmlformats.org/drawingml/2006/main">
          <a:off x="3310213" y="6973207"/>
          <a:ext cx="128499" cy="114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99" h="114159">
              <a:moveTo>
                <a:pt x="108748" y="1676"/>
              </a:moveTo>
              <a:lnTo>
                <a:pt x="0" y="114158"/>
              </a:lnTo>
              <a:lnTo>
                <a:pt x="36259" y="114158"/>
              </a:lnTo>
              <a:lnTo>
                <a:pt x="127143" y="20152"/>
              </a:lnTo>
              <a:lnTo>
                <a:pt x="128498" y="18751"/>
              </a:lnTo>
              <a:lnTo>
                <a:pt x="1103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0.28855</cdr:x>
      <cdr:y>0.76648</cdr:y>
    </cdr:from>
    <cdr:to>
      <cdr:x>0.30157</cdr:x>
      <cdr:y>0.77942</cdr:y>
    </cdr:to>
    <cdr:sp macro="" textlink="">
      <cdr:nvSpPr>
        <cdr:cNvPr id="370" name="FracNo 13 StartRow 3925">
          <a:extLst xmlns:a="http://schemas.openxmlformats.org/drawingml/2006/main">
            <a:ext uri="{FF2B5EF4-FFF2-40B4-BE49-F238E27FC236}">
              <a16:creationId xmlns:a16="http://schemas.microsoft.com/office/drawing/2014/main" id="{7224057E-BF18-A36B-9FAC-02CC108660FA}"/>
            </a:ext>
          </a:extLst>
        </cdr:cNvPr>
        <cdr:cNvSpPr/>
      </cdr:nvSpPr>
      <cdr:spPr>
        <a:xfrm xmlns:a="http://schemas.openxmlformats.org/drawingml/2006/main">
          <a:off x="2110791" y="5840601"/>
          <a:ext cx="95281" cy="98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281" h="98553">
              <a:moveTo>
                <a:pt x="95280" y="0"/>
              </a:moveTo>
              <a:lnTo>
                <a:pt x="0" y="98552"/>
              </a:lnTo>
              <a:lnTo>
                <a:pt x="0" y="98552"/>
              </a:lnTo>
              <a:lnTo>
                <a:pt x="9528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0.69696</cdr:x>
      <cdr:y>0.37387</cdr:y>
    </cdr:from>
    <cdr:to>
      <cdr:x>0.70988</cdr:x>
      <cdr:y>0.38669</cdr:y>
    </cdr:to>
    <cdr:sp macro="" textlink="">
      <cdr:nvSpPr>
        <cdr:cNvPr id="371" name="FracNo 408 StartRow 3933">
          <a:extLst xmlns:a="http://schemas.openxmlformats.org/drawingml/2006/main">
            <a:ext uri="{FF2B5EF4-FFF2-40B4-BE49-F238E27FC236}">
              <a16:creationId xmlns:a16="http://schemas.microsoft.com/office/drawing/2014/main" id="{4C5BB984-1F76-683E-17A1-1718F3CEF036}"/>
            </a:ext>
          </a:extLst>
        </cdr:cNvPr>
        <cdr:cNvSpPr/>
      </cdr:nvSpPr>
      <cdr:spPr>
        <a:xfrm xmlns:a="http://schemas.openxmlformats.org/drawingml/2006/main">
          <a:off x="5098435" y="2848909"/>
          <a:ext cx="94462" cy="977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462" h="97706">
              <a:moveTo>
                <a:pt x="0" y="97705"/>
              </a:moveTo>
              <a:lnTo>
                <a:pt x="0" y="97705"/>
              </a:lnTo>
              <a:lnTo>
                <a:pt x="94461" y="0"/>
              </a:lnTo>
              <a:lnTo>
                <a:pt x="944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0.66283</cdr:x>
      <cdr:y>0.6737</cdr:y>
    </cdr:from>
    <cdr:to>
      <cdr:x>0.67574</cdr:x>
      <cdr:y>0.68653</cdr:y>
    </cdr:to>
    <cdr:sp macro="" textlink="">
      <cdr:nvSpPr>
        <cdr:cNvPr id="372" name="FracNo 325 StartRow 3940">
          <a:extLst xmlns:a="http://schemas.openxmlformats.org/drawingml/2006/main">
            <a:ext uri="{FF2B5EF4-FFF2-40B4-BE49-F238E27FC236}">
              <a16:creationId xmlns:a16="http://schemas.microsoft.com/office/drawing/2014/main" id="{C323D2D1-6908-747E-6F39-8BE3D868111C}"/>
            </a:ext>
          </a:extLst>
        </cdr:cNvPr>
        <cdr:cNvSpPr/>
      </cdr:nvSpPr>
      <cdr:spPr>
        <a:xfrm xmlns:a="http://schemas.openxmlformats.org/drawingml/2006/main">
          <a:off x="4848722" y="5133627"/>
          <a:ext cx="94462" cy="977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462" h="97706">
              <a:moveTo>
                <a:pt x="94461" y="0"/>
              </a:moveTo>
              <a:lnTo>
                <a:pt x="0" y="97705"/>
              </a:lnTo>
              <a:lnTo>
                <a:pt x="0" y="97705"/>
              </a:lnTo>
              <a:lnTo>
                <a:pt x="9446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0.90627</cdr:x>
      <cdr:y>0.91815</cdr:y>
    </cdr:from>
    <cdr:to>
      <cdr:x>0.9183</cdr:x>
      <cdr:y>0.9301</cdr:y>
    </cdr:to>
    <cdr:sp macro="" textlink="">
      <cdr:nvSpPr>
        <cdr:cNvPr id="373" name="FracNo 330 StartRow 3948">
          <a:extLst xmlns:a="http://schemas.openxmlformats.org/drawingml/2006/main">
            <a:ext uri="{FF2B5EF4-FFF2-40B4-BE49-F238E27FC236}">
              <a16:creationId xmlns:a16="http://schemas.microsoft.com/office/drawing/2014/main" id="{C96CE0E2-9803-2830-CD18-8070D4381C47}"/>
            </a:ext>
          </a:extLst>
        </cdr:cNvPr>
        <cdr:cNvSpPr/>
      </cdr:nvSpPr>
      <cdr:spPr>
        <a:xfrm xmlns:a="http://schemas.openxmlformats.org/drawingml/2006/main">
          <a:off x="6629516" y="6996290"/>
          <a:ext cx="88052" cy="910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052" h="91076">
              <a:moveTo>
                <a:pt x="53633" y="35600"/>
              </a:moveTo>
              <a:lnTo>
                <a:pt x="0" y="91075"/>
              </a:lnTo>
              <a:lnTo>
                <a:pt x="0" y="91075"/>
              </a:lnTo>
              <a:lnTo>
                <a:pt x="53633" y="35600"/>
              </a:lnTo>
              <a:lnTo>
                <a:pt x="88051" y="0"/>
              </a:lnTo>
              <a:lnTo>
                <a:pt x="880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0.69191</cdr:y>
    </cdr:from>
    <cdr:to>
      <cdr:x>0.10328</cdr:x>
      <cdr:y>0.70329</cdr:y>
    </cdr:to>
    <cdr:sp macro="" textlink="">
      <cdr:nvSpPr>
        <cdr:cNvPr id="374" name="FracNo 752 StartRow 3957">
          <a:extLst xmlns:a="http://schemas.openxmlformats.org/drawingml/2006/main">
            <a:ext uri="{FF2B5EF4-FFF2-40B4-BE49-F238E27FC236}">
              <a16:creationId xmlns:a16="http://schemas.microsoft.com/office/drawing/2014/main" id="{ECC1BF56-0FCC-C28A-BD31-774BBB3EAF2E}"/>
            </a:ext>
          </a:extLst>
        </cdr:cNvPr>
        <cdr:cNvSpPr/>
      </cdr:nvSpPr>
      <cdr:spPr>
        <a:xfrm xmlns:a="http://schemas.openxmlformats.org/drawingml/2006/main">
          <a:off x="671676" y="5272358"/>
          <a:ext cx="83821" cy="867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" h="86700">
              <a:moveTo>
                <a:pt x="73178" y="11008"/>
              </a:moveTo>
              <a:lnTo>
                <a:pt x="0" y="86699"/>
              </a:lnTo>
              <a:lnTo>
                <a:pt x="0" y="86699"/>
              </a:lnTo>
              <a:lnTo>
                <a:pt x="73178" y="11008"/>
              </a:lnTo>
              <a:lnTo>
                <a:pt x="83820" y="0"/>
              </a:lnTo>
              <a:lnTo>
                <a:pt x="838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0.64425</cdr:y>
    </cdr:from>
    <cdr:to>
      <cdr:x>0.10285</cdr:x>
      <cdr:y>0.65521</cdr:y>
    </cdr:to>
    <cdr:sp macro="" textlink="">
      <cdr:nvSpPr>
        <cdr:cNvPr id="375" name="FracNo 18 StartRow 3966">
          <a:extLst xmlns:a="http://schemas.openxmlformats.org/drawingml/2006/main">
            <a:ext uri="{FF2B5EF4-FFF2-40B4-BE49-F238E27FC236}">
              <a16:creationId xmlns:a16="http://schemas.microsoft.com/office/drawing/2014/main" id="{76BF08B3-1C17-DF0B-8677-D2AFF4478926}"/>
            </a:ext>
          </a:extLst>
        </cdr:cNvPr>
        <cdr:cNvSpPr/>
      </cdr:nvSpPr>
      <cdr:spPr>
        <a:xfrm xmlns:a="http://schemas.openxmlformats.org/drawingml/2006/main">
          <a:off x="671676" y="4909213"/>
          <a:ext cx="80684" cy="83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684" h="83455">
              <a:moveTo>
                <a:pt x="16995" y="65874"/>
              </a:moveTo>
              <a:lnTo>
                <a:pt x="0" y="83454"/>
              </a:lnTo>
              <a:lnTo>
                <a:pt x="0" y="83454"/>
              </a:lnTo>
              <a:lnTo>
                <a:pt x="16995" y="65874"/>
              </a:lnTo>
              <a:lnTo>
                <a:pt x="49060" y="32709"/>
              </a:lnTo>
              <a:lnTo>
                <a:pt x="80683" y="0"/>
              </a:lnTo>
              <a:lnTo>
                <a:pt x="80683" y="0"/>
              </a:lnTo>
              <a:lnTo>
                <a:pt x="49060" y="327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0.26968</cdr:x>
      <cdr:y>0.41337</cdr:y>
    </cdr:from>
    <cdr:to>
      <cdr:x>0.28231</cdr:x>
      <cdr:y>0.42591</cdr:y>
    </cdr:to>
    <cdr:sp macro="" textlink="">
      <cdr:nvSpPr>
        <cdr:cNvPr id="376" name="FracNo 671 StartRow 3977">
          <a:extLst xmlns:a="http://schemas.openxmlformats.org/drawingml/2006/main">
            <a:ext uri="{FF2B5EF4-FFF2-40B4-BE49-F238E27FC236}">
              <a16:creationId xmlns:a16="http://schemas.microsoft.com/office/drawing/2014/main" id="{1AC85943-E8F6-4C61-9F0B-A2339684FE82}"/>
            </a:ext>
          </a:extLst>
        </cdr:cNvPr>
        <cdr:cNvSpPr/>
      </cdr:nvSpPr>
      <cdr:spPr>
        <a:xfrm xmlns:a="http://schemas.openxmlformats.org/drawingml/2006/main">
          <a:off x="1972768" y="3149895"/>
          <a:ext cx="92361" cy="95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361" h="95533">
              <a:moveTo>
                <a:pt x="62288" y="12354"/>
              </a:moveTo>
              <a:lnTo>
                <a:pt x="0" y="76780"/>
              </a:lnTo>
              <a:lnTo>
                <a:pt x="18129" y="95532"/>
              </a:lnTo>
              <a:lnTo>
                <a:pt x="80417" y="31105"/>
              </a:lnTo>
              <a:lnTo>
                <a:pt x="92360" y="18752"/>
              </a:lnTo>
              <a:lnTo>
                <a:pt x="742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0.53719</cdr:x>
      <cdr:y>0.17126</cdr:y>
    </cdr:from>
    <cdr:to>
      <cdr:x>0.54419</cdr:x>
      <cdr:y>0.17821</cdr:y>
    </cdr:to>
    <cdr:sp macro="" textlink="">
      <cdr:nvSpPr>
        <cdr:cNvPr id="377" name="FracNo 241 StartRow 3986">
          <a:extLst xmlns:a="http://schemas.openxmlformats.org/drawingml/2006/main">
            <a:ext uri="{FF2B5EF4-FFF2-40B4-BE49-F238E27FC236}">
              <a16:creationId xmlns:a16="http://schemas.microsoft.com/office/drawing/2014/main" id="{7B0B7449-3E8E-9F54-E03A-E6FD7EE57FE4}"/>
            </a:ext>
          </a:extLst>
        </cdr:cNvPr>
        <cdr:cNvSpPr/>
      </cdr:nvSpPr>
      <cdr:spPr>
        <a:xfrm xmlns:a="http://schemas.openxmlformats.org/drawingml/2006/main">
          <a:off x="3929662" y="1304985"/>
          <a:ext cx="51193" cy="52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93" h="52952">
              <a:moveTo>
                <a:pt x="51192" y="0"/>
              </a:moveTo>
              <a:lnTo>
                <a:pt x="0" y="52951"/>
              </a:lnTo>
              <a:lnTo>
                <a:pt x="0" y="52951"/>
              </a:lnTo>
              <a:lnTo>
                <a:pt x="5119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0.5823</cdr:x>
      <cdr:y>0.92468</cdr:y>
    </cdr:from>
    <cdr:to>
      <cdr:x>0.58776</cdr:x>
      <cdr:y>0.9301</cdr:y>
    </cdr:to>
    <cdr:sp macro="" textlink="">
      <cdr:nvSpPr>
        <cdr:cNvPr id="378" name="FracNo 85 StartRow 3994">
          <a:extLst xmlns:a="http://schemas.openxmlformats.org/drawingml/2006/main">
            <a:ext uri="{FF2B5EF4-FFF2-40B4-BE49-F238E27FC236}">
              <a16:creationId xmlns:a16="http://schemas.microsoft.com/office/drawing/2014/main" id="{F81ECEC8-C6E8-A17F-3F9B-A9D887D7EFF5}"/>
            </a:ext>
          </a:extLst>
        </cdr:cNvPr>
        <cdr:cNvSpPr/>
      </cdr:nvSpPr>
      <cdr:spPr>
        <a:xfrm xmlns:a="http://schemas.openxmlformats.org/drawingml/2006/main">
          <a:off x="4259648" y="7046082"/>
          <a:ext cx="39913" cy="41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913" h="41284">
              <a:moveTo>
                <a:pt x="39912" y="0"/>
              </a:moveTo>
              <a:lnTo>
                <a:pt x="0" y="41283"/>
              </a:lnTo>
              <a:lnTo>
                <a:pt x="0" y="41283"/>
              </a:lnTo>
              <a:lnTo>
                <a:pt x="3991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0.93928</cdr:x>
      <cdr:y>0.09366</cdr:y>
    </cdr:from>
    <cdr:to>
      <cdr:x>0.94246</cdr:x>
      <cdr:y>0.09683</cdr:y>
    </cdr:to>
    <cdr:sp macro="" textlink="">
      <cdr:nvSpPr>
        <cdr:cNvPr id="379" name="FracNo 179 StartRow 4002">
          <a:extLst xmlns:a="http://schemas.openxmlformats.org/drawingml/2006/main">
            <a:ext uri="{FF2B5EF4-FFF2-40B4-BE49-F238E27FC236}">
              <a16:creationId xmlns:a16="http://schemas.microsoft.com/office/drawing/2014/main" id="{67B2F0FC-79D8-DFC9-5FA4-2FC439051669}"/>
            </a:ext>
          </a:extLst>
        </cdr:cNvPr>
        <cdr:cNvSpPr/>
      </cdr:nvSpPr>
      <cdr:spPr>
        <a:xfrm xmlns:a="http://schemas.openxmlformats.org/drawingml/2006/main">
          <a:off x="6870990" y="713701"/>
          <a:ext cx="23318" cy="241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18" h="24119">
              <a:moveTo>
                <a:pt x="1862" y="22192"/>
              </a:moveTo>
              <a:lnTo>
                <a:pt x="0" y="24118"/>
              </a:lnTo>
              <a:lnTo>
                <a:pt x="0" y="24118"/>
              </a:lnTo>
              <a:lnTo>
                <a:pt x="1862" y="22192"/>
              </a:lnTo>
              <a:lnTo>
                <a:pt x="23317" y="0"/>
              </a:lnTo>
              <a:lnTo>
                <a:pt x="233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0.44063</cdr:y>
    </cdr:from>
    <cdr:to>
      <cdr:x>0.09314</cdr:x>
      <cdr:y>0.44195</cdr:y>
    </cdr:to>
    <cdr:sp macro="" textlink="">
      <cdr:nvSpPr>
        <cdr:cNvPr id="380" name="FracNo 653 StartRow 4011">
          <a:extLst xmlns:a="http://schemas.openxmlformats.org/drawingml/2006/main">
            <a:ext uri="{FF2B5EF4-FFF2-40B4-BE49-F238E27FC236}">
              <a16:creationId xmlns:a16="http://schemas.microsoft.com/office/drawing/2014/main" id="{A624638F-B9ED-81D1-AAFA-3A5ABA94EE42}"/>
            </a:ext>
          </a:extLst>
        </cdr:cNvPr>
        <cdr:cNvSpPr/>
      </cdr:nvSpPr>
      <cdr:spPr>
        <a:xfrm xmlns:a="http://schemas.openxmlformats.org/drawingml/2006/main">
          <a:off x="671676" y="3357635"/>
          <a:ext cx="9681" cy="100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81" h="10014">
              <a:moveTo>
                <a:pt x="9680" y="0"/>
              </a:moveTo>
              <a:lnTo>
                <a:pt x="0" y="10013"/>
              </a:lnTo>
              <a:lnTo>
                <a:pt x="0" y="10013"/>
              </a:lnTo>
              <a:lnTo>
                <a:pt x="968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0.42618</cdr:x>
      <cdr:y>0.9293</cdr:y>
    </cdr:from>
    <cdr:to>
      <cdr:x>0.42699</cdr:x>
      <cdr:y>0.9301</cdr:y>
    </cdr:to>
    <cdr:sp macro="" textlink="">
      <cdr:nvSpPr>
        <cdr:cNvPr id="381" name="FracNo 95 StartRow 4019">
          <a:extLst xmlns:a="http://schemas.openxmlformats.org/drawingml/2006/main">
            <a:ext uri="{FF2B5EF4-FFF2-40B4-BE49-F238E27FC236}">
              <a16:creationId xmlns:a16="http://schemas.microsoft.com/office/drawing/2014/main" id="{E05712AB-5C57-D8ED-7B06-5A107946203B}"/>
            </a:ext>
          </a:extLst>
        </cdr:cNvPr>
        <cdr:cNvSpPr/>
      </cdr:nvSpPr>
      <cdr:spPr>
        <a:xfrm xmlns:a="http://schemas.openxmlformats.org/drawingml/2006/main">
          <a:off x="3117591" y="7081231"/>
          <a:ext cx="5931" cy="6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1" h="6135">
              <a:moveTo>
                <a:pt x="5930" y="0"/>
              </a:moveTo>
              <a:lnTo>
                <a:pt x="0" y="6134"/>
              </a:lnTo>
              <a:lnTo>
                <a:pt x="0" y="6134"/>
              </a:lnTo>
              <a:lnTo>
                <a:pt x="593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392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defaultRowHeight="15" x14ac:dyDescent="0.25"/>
  <sheetData>
    <row r="1" spans="1:149" x14ac:dyDescent="0.25">
      <c r="A1" t="s">
        <v>0</v>
      </c>
      <c r="B1" t="s">
        <v>65</v>
      </c>
      <c r="C1" t="s">
        <v>66</v>
      </c>
      <c r="D1" t="s">
        <v>44</v>
      </c>
      <c r="E1" t="s">
        <v>45</v>
      </c>
      <c r="F1" t="s">
        <v>46</v>
      </c>
      <c r="G1" t="s">
        <v>47</v>
      </c>
      <c r="H1" t="s">
        <v>68</v>
      </c>
      <c r="V1" t="s">
        <v>69</v>
      </c>
      <c r="AJ1" t="s">
        <v>70</v>
      </c>
      <c r="AX1" t="s">
        <v>71</v>
      </c>
      <c r="BL1" t="s">
        <v>48</v>
      </c>
      <c r="BM1" t="s">
        <v>49</v>
      </c>
      <c r="BN1" t="s">
        <v>50</v>
      </c>
      <c r="BO1" t="s">
        <v>51</v>
      </c>
      <c r="BP1" t="s">
        <v>52</v>
      </c>
      <c r="BQ1" t="s">
        <v>53</v>
      </c>
      <c r="BR1" t="s">
        <v>54</v>
      </c>
      <c r="BS1" t="s">
        <v>55</v>
      </c>
    </row>
    <row r="2" spans="1:149" x14ac:dyDescent="0.25">
      <c r="H2" t="s">
        <v>43</v>
      </c>
      <c r="I2" t="s">
        <v>1</v>
      </c>
      <c r="J2" t="s">
        <v>72</v>
      </c>
      <c r="K2" t="s">
        <v>67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41</v>
      </c>
      <c r="T2" t="s">
        <v>42</v>
      </c>
      <c r="U2" t="s">
        <v>73</v>
      </c>
      <c r="V2" t="s">
        <v>43</v>
      </c>
      <c r="W2" t="s">
        <v>1</v>
      </c>
      <c r="X2" t="s">
        <v>72</v>
      </c>
      <c r="Y2" t="s">
        <v>67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41</v>
      </c>
      <c r="AH2" t="s">
        <v>42</v>
      </c>
      <c r="AI2" t="s">
        <v>73</v>
      </c>
      <c r="AJ2" t="s">
        <v>43</v>
      </c>
      <c r="AK2" t="s">
        <v>1</v>
      </c>
      <c r="AL2" t="s">
        <v>72</v>
      </c>
      <c r="AM2" t="s">
        <v>67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41</v>
      </c>
      <c r="AV2" t="s">
        <v>42</v>
      </c>
      <c r="AW2" t="s">
        <v>73</v>
      </c>
      <c r="AX2" t="s">
        <v>43</v>
      </c>
      <c r="AY2" t="s">
        <v>1</v>
      </c>
      <c r="AZ2" t="s">
        <v>72</v>
      </c>
      <c r="BA2" t="s">
        <v>67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41</v>
      </c>
      <c r="BJ2" t="s">
        <v>42</v>
      </c>
      <c r="BK2" t="s">
        <v>73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74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 t="s">
        <v>74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 t="s">
        <v>74</v>
      </c>
      <c r="AK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 t="s">
        <v>74</v>
      </c>
      <c r="AY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1:149" x14ac:dyDescent="0.25">
      <c r="A4">
        <v>1</v>
      </c>
      <c r="B4">
        <v>6.5458908507104702E-2</v>
      </c>
      <c r="C4">
        <v>6.5458908507104702E-2</v>
      </c>
      <c r="D4" s="1">
        <v>-4.14640850710472E-5</v>
      </c>
      <c r="E4">
        <v>6.1312499999999995E-4</v>
      </c>
      <c r="F4">
        <v>-6.5458908507104701E-4</v>
      </c>
      <c r="G4" s="1">
        <v>5.4210108624275198E-20</v>
      </c>
      <c r="H4" t="s">
        <v>74</v>
      </c>
      <c r="I4">
        <v>0</v>
      </c>
      <c r="J4" t="s">
        <v>75</v>
      </c>
      <c r="K4">
        <v>3.14159265358979</v>
      </c>
      <c r="L4">
        <v>0.99199999999999999</v>
      </c>
      <c r="M4">
        <v>0</v>
      </c>
      <c r="N4">
        <v>5.8245346242475203E-2</v>
      </c>
      <c r="O4">
        <v>0</v>
      </c>
      <c r="P4">
        <v>1.6E-2</v>
      </c>
      <c r="Q4">
        <v>0</v>
      </c>
      <c r="R4">
        <v>0</v>
      </c>
      <c r="S4">
        <v>0</v>
      </c>
      <c r="T4">
        <v>0</v>
      </c>
      <c r="U4">
        <v>1</v>
      </c>
      <c r="V4" t="s">
        <v>74</v>
      </c>
      <c r="W4">
        <v>0</v>
      </c>
      <c r="X4" t="s">
        <v>76</v>
      </c>
      <c r="Y4">
        <v>-1.5707963267949001</v>
      </c>
      <c r="Z4">
        <v>0.99199999999999999</v>
      </c>
      <c r="AA4">
        <v>0</v>
      </c>
      <c r="AB4">
        <v>5.8245346242475203E-2</v>
      </c>
      <c r="AC4">
        <v>0</v>
      </c>
      <c r="AD4">
        <v>1.6E-2</v>
      </c>
      <c r="AE4">
        <v>0</v>
      </c>
      <c r="AF4">
        <v>0</v>
      </c>
      <c r="AG4">
        <v>0</v>
      </c>
      <c r="AH4">
        <v>0</v>
      </c>
      <c r="AI4">
        <v>1</v>
      </c>
      <c r="AJ4" t="s">
        <v>74</v>
      </c>
      <c r="AK4">
        <v>0</v>
      </c>
      <c r="AL4" t="s">
        <v>77</v>
      </c>
      <c r="AM4">
        <v>0</v>
      </c>
      <c r="AN4">
        <v>0.99199999999999999</v>
      </c>
      <c r="AO4">
        <v>0</v>
      </c>
      <c r="AP4">
        <v>5.8245346242475203E-2</v>
      </c>
      <c r="AQ4">
        <v>0</v>
      </c>
      <c r="AR4">
        <v>1.6E-2</v>
      </c>
      <c r="AS4">
        <v>0</v>
      </c>
      <c r="AT4">
        <v>0</v>
      </c>
      <c r="AU4">
        <v>0</v>
      </c>
      <c r="AV4">
        <v>0</v>
      </c>
      <c r="AW4">
        <v>1</v>
      </c>
      <c r="AX4" t="s">
        <v>74</v>
      </c>
      <c r="AY4">
        <v>0</v>
      </c>
      <c r="AZ4" t="s">
        <v>76</v>
      </c>
      <c r="BA4">
        <v>-1.5707963267949001</v>
      </c>
      <c r="BB4">
        <v>0.99199999999999999</v>
      </c>
      <c r="BC4">
        <v>0</v>
      </c>
      <c r="BD4">
        <v>5.8245346242475203E-2</v>
      </c>
      <c r="BE4">
        <v>0</v>
      </c>
      <c r="BF4">
        <v>1.6E-2</v>
      </c>
      <c r="BG4">
        <v>0</v>
      </c>
      <c r="BH4">
        <v>0</v>
      </c>
      <c r="BI4">
        <v>0</v>
      </c>
      <c r="BJ4">
        <v>0</v>
      </c>
      <c r="BK4">
        <v>1</v>
      </c>
      <c r="BL4">
        <v>1.1649069248495E-4</v>
      </c>
      <c r="BM4">
        <v>0</v>
      </c>
      <c r="BN4" s="1">
        <v>4.3481320615740699E-7</v>
      </c>
      <c r="BO4">
        <v>0</v>
      </c>
      <c r="BP4">
        <v>0</v>
      </c>
      <c r="BQ4">
        <v>0</v>
      </c>
      <c r="BR4" s="1">
        <v>6.1429546266408705E-5</v>
      </c>
      <c r="BS4">
        <v>0</v>
      </c>
    </row>
    <row r="5" spans="1:149" x14ac:dyDescent="0.25">
      <c r="A5">
        <v>2</v>
      </c>
      <c r="B5">
        <v>6.6189454849752805E-2</v>
      </c>
      <c r="C5">
        <v>0.13164836335685801</v>
      </c>
      <c r="D5">
        <v>-4.8672416011131999E-4</v>
      </c>
      <c r="E5">
        <v>6.1312499999999995E-4</v>
      </c>
      <c r="F5">
        <v>-1.31648363356858E-3</v>
      </c>
      <c r="G5" s="1">
        <v>2.1684043449710098E-19</v>
      </c>
      <c r="H5" t="s">
        <v>74</v>
      </c>
      <c r="I5">
        <v>0</v>
      </c>
      <c r="J5" t="s">
        <v>75</v>
      </c>
      <c r="K5">
        <v>3.14159265358979</v>
      </c>
      <c r="L5">
        <v>0.99031230879623</v>
      </c>
      <c r="M5">
        <v>0</v>
      </c>
      <c r="N5">
        <v>5.8146253340747397E-2</v>
      </c>
      <c r="O5">
        <v>0</v>
      </c>
      <c r="P5">
        <v>1.6E-2</v>
      </c>
      <c r="Q5">
        <v>0</v>
      </c>
      <c r="R5">
        <v>0</v>
      </c>
      <c r="S5">
        <v>0</v>
      </c>
      <c r="T5">
        <v>0</v>
      </c>
      <c r="U5">
        <v>1</v>
      </c>
      <c r="V5" t="s">
        <v>78</v>
      </c>
      <c r="W5">
        <v>3842378.3213252798</v>
      </c>
      <c r="X5" t="s">
        <v>76</v>
      </c>
      <c r="Y5">
        <v>-1.5707963267949001</v>
      </c>
      <c r="Z5">
        <v>0.98988311555325403</v>
      </c>
      <c r="AA5">
        <v>0</v>
      </c>
      <c r="AB5">
        <v>5.7873212397084497E-2</v>
      </c>
      <c r="AC5">
        <v>0</v>
      </c>
      <c r="AD5">
        <v>1.6859849349039099E-2</v>
      </c>
      <c r="AE5">
        <v>0</v>
      </c>
      <c r="AF5">
        <v>0</v>
      </c>
      <c r="AG5">
        <v>2.5464790894693399E-3</v>
      </c>
      <c r="AH5">
        <v>0</v>
      </c>
      <c r="AI5">
        <v>0.99829869838329699</v>
      </c>
      <c r="AJ5" t="s">
        <v>74</v>
      </c>
      <c r="AK5">
        <v>0</v>
      </c>
      <c r="AL5" t="s">
        <v>77</v>
      </c>
      <c r="AM5">
        <v>0</v>
      </c>
      <c r="AN5">
        <v>0.99199999999999999</v>
      </c>
      <c r="AO5">
        <v>0</v>
      </c>
      <c r="AP5">
        <v>5.8245346242475203E-2</v>
      </c>
      <c r="AQ5">
        <v>0</v>
      </c>
      <c r="AR5">
        <v>1.6E-2</v>
      </c>
      <c r="AS5">
        <v>0</v>
      </c>
      <c r="AT5">
        <v>0</v>
      </c>
      <c r="AU5">
        <v>0</v>
      </c>
      <c r="AV5">
        <v>0</v>
      </c>
      <c r="AW5">
        <v>1</v>
      </c>
      <c r="AX5" t="s">
        <v>74</v>
      </c>
      <c r="AY5">
        <v>0</v>
      </c>
      <c r="AZ5" t="s">
        <v>76</v>
      </c>
      <c r="BA5">
        <v>-1.5707963267949001</v>
      </c>
      <c r="BB5">
        <v>0.99199999999999999</v>
      </c>
      <c r="BC5">
        <v>0</v>
      </c>
      <c r="BD5">
        <v>5.8245346242475203E-2</v>
      </c>
      <c r="BE5">
        <v>0</v>
      </c>
      <c r="BF5">
        <v>1.6E-2</v>
      </c>
      <c r="BG5">
        <v>0</v>
      </c>
      <c r="BH5">
        <v>0</v>
      </c>
      <c r="BI5">
        <v>0</v>
      </c>
      <c r="BJ5">
        <v>0</v>
      </c>
      <c r="BK5">
        <v>1</v>
      </c>
      <c r="BL5">
        <v>1.16255079111391E-4</v>
      </c>
      <c r="BM5" s="1">
        <v>1.27323954473467E-6</v>
      </c>
      <c r="BN5" s="1">
        <v>4.33214647705634E-7</v>
      </c>
      <c r="BO5" s="1">
        <v>1.9999999999992301E-8</v>
      </c>
      <c r="BP5">
        <v>0</v>
      </c>
      <c r="BQ5">
        <v>0</v>
      </c>
      <c r="BR5" s="1">
        <v>6.6578150309564097E-5</v>
      </c>
      <c r="BS5" s="1">
        <v>7.28499377650241E-7</v>
      </c>
    </row>
    <row r="6" spans="1:149" x14ac:dyDescent="0.25">
      <c r="A6">
        <v>3</v>
      </c>
      <c r="B6" s="1">
        <v>9.99540709916387E-5</v>
      </c>
      <c r="C6">
        <v>0.13174831742784901</v>
      </c>
      <c r="D6">
        <v>-4.8717402881608699E-4</v>
      </c>
      <c r="E6">
        <v>6.1312499999999995E-4</v>
      </c>
      <c r="F6">
        <v>-1.31748317427849E-3</v>
      </c>
      <c r="G6" s="1">
        <v>2.1684043449710098E-19</v>
      </c>
      <c r="H6" t="s">
        <v>74</v>
      </c>
      <c r="I6">
        <v>0</v>
      </c>
      <c r="J6" t="s">
        <v>75</v>
      </c>
      <c r="K6">
        <v>3.14159265358979</v>
      </c>
      <c r="L6">
        <v>0.98862816728337899</v>
      </c>
      <c r="M6">
        <v>0</v>
      </c>
      <c r="N6">
        <v>5.8047368859359003E-2</v>
      </c>
      <c r="O6">
        <v>0</v>
      </c>
      <c r="P6">
        <v>1.6E-2</v>
      </c>
      <c r="Q6">
        <v>0</v>
      </c>
      <c r="R6">
        <v>0</v>
      </c>
      <c r="S6">
        <v>0</v>
      </c>
      <c r="T6">
        <v>0</v>
      </c>
      <c r="U6">
        <v>0.99829887094290803</v>
      </c>
      <c r="V6" t="s">
        <v>78</v>
      </c>
      <c r="W6">
        <v>3846260.4698841502</v>
      </c>
      <c r="X6" t="s">
        <v>76</v>
      </c>
      <c r="Y6">
        <v>-1.5707963267949001</v>
      </c>
      <c r="Z6">
        <v>0.98813071465874003</v>
      </c>
      <c r="AA6">
        <v>0</v>
      </c>
      <c r="AB6">
        <v>5.7730903173376598E-2</v>
      </c>
      <c r="AC6">
        <v>0</v>
      </c>
      <c r="AD6">
        <v>1.69269168970596E-2</v>
      </c>
      <c r="AE6" s="1">
        <v>7.0888884270614905E-5</v>
      </c>
      <c r="AF6">
        <v>0</v>
      </c>
      <c r="AG6">
        <v>5.0716218164698797E-3</v>
      </c>
      <c r="AH6" s="1">
        <v>1.59803982504167E-5</v>
      </c>
      <c r="AI6">
        <v>0.99490562762246904</v>
      </c>
      <c r="AJ6" t="s">
        <v>74</v>
      </c>
      <c r="AK6">
        <v>0</v>
      </c>
      <c r="AL6" t="s">
        <v>77</v>
      </c>
      <c r="AM6">
        <v>0</v>
      </c>
      <c r="AN6">
        <v>0.99199999999999999</v>
      </c>
      <c r="AO6">
        <v>0</v>
      </c>
      <c r="AP6">
        <v>5.8245346242475203E-2</v>
      </c>
      <c r="AQ6">
        <v>0</v>
      </c>
      <c r="AR6">
        <v>1.6E-2</v>
      </c>
      <c r="AS6">
        <v>0</v>
      </c>
      <c r="AT6">
        <v>0</v>
      </c>
      <c r="AU6">
        <v>0</v>
      </c>
      <c r="AV6">
        <v>0</v>
      </c>
      <c r="AW6">
        <v>1</v>
      </c>
      <c r="AX6" t="s">
        <v>74</v>
      </c>
      <c r="AY6">
        <v>0</v>
      </c>
      <c r="AZ6" t="s">
        <v>76</v>
      </c>
      <c r="BA6">
        <v>-1.5707963267949001</v>
      </c>
      <c r="BB6">
        <v>0.99199999999999999</v>
      </c>
      <c r="BC6">
        <v>0</v>
      </c>
      <c r="BD6">
        <v>5.8245346242475203E-2</v>
      </c>
      <c r="BE6">
        <v>0</v>
      </c>
      <c r="BF6">
        <v>1.6E-2</v>
      </c>
      <c r="BG6">
        <v>0</v>
      </c>
      <c r="BH6">
        <v>0</v>
      </c>
      <c r="BI6">
        <v>0</v>
      </c>
      <c r="BJ6">
        <v>0</v>
      </c>
      <c r="BK6">
        <v>1</v>
      </c>
      <c r="BL6">
        <v>1.16134482258843E-4</v>
      </c>
      <c r="BM6" s="1">
        <v>2.5438011073601499E-6</v>
      </c>
      <c r="BN6" s="1">
        <v>4.3265014010974998E-7</v>
      </c>
      <c r="BO6" s="1">
        <v>3.9957934355381102E-8</v>
      </c>
      <c r="BP6">
        <v>0</v>
      </c>
      <c r="BQ6">
        <v>0</v>
      </c>
      <c r="BR6" s="1">
        <v>6.65100176330718E-5</v>
      </c>
      <c r="BS6" s="1">
        <v>1.4556061841361901E-6</v>
      </c>
    </row>
    <row r="7" spans="1:149" x14ac:dyDescent="0.25">
      <c r="A7">
        <v>4</v>
      </c>
      <c r="B7" s="1">
        <v>6.6007748639045199E-5</v>
      </c>
      <c r="C7">
        <v>0.131814325176488</v>
      </c>
      <c r="D7">
        <v>-4.8747096499386801E-4</v>
      </c>
      <c r="E7">
        <v>6.1312499999999995E-4</v>
      </c>
      <c r="F7">
        <v>-1.3181432517648799E-3</v>
      </c>
      <c r="G7" s="1">
        <v>2.1684043449710098E-19</v>
      </c>
      <c r="H7" t="s">
        <v>74</v>
      </c>
      <c r="I7">
        <v>0</v>
      </c>
      <c r="J7" t="s">
        <v>75</v>
      </c>
      <c r="K7">
        <v>3.14159265358979</v>
      </c>
      <c r="L7">
        <v>0.98694402956275395</v>
      </c>
      <c r="M7">
        <v>0</v>
      </c>
      <c r="N7">
        <v>5.7948484600631303E-2</v>
      </c>
      <c r="O7">
        <v>0</v>
      </c>
      <c r="P7">
        <v>1.6E-2</v>
      </c>
      <c r="Q7">
        <v>0</v>
      </c>
      <c r="R7">
        <v>0</v>
      </c>
      <c r="S7">
        <v>0</v>
      </c>
      <c r="T7">
        <v>0</v>
      </c>
      <c r="U7">
        <v>0.99631710571151699</v>
      </c>
      <c r="V7" t="s">
        <v>78</v>
      </c>
      <c r="W7">
        <v>3848822.8849675599</v>
      </c>
      <c r="X7" t="s">
        <v>76</v>
      </c>
      <c r="Y7">
        <v>-1.5707963267949001</v>
      </c>
      <c r="Z7">
        <v>0.986406577264058</v>
      </c>
      <c r="AA7">
        <v>0</v>
      </c>
      <c r="AB7">
        <v>5.7606572221516598E-2</v>
      </c>
      <c r="AC7">
        <v>0</v>
      </c>
      <c r="AD7">
        <v>1.69371224050015E-2</v>
      </c>
      <c r="AE7">
        <v>1.4221734234945099E-4</v>
      </c>
      <c r="AF7">
        <v>0</v>
      </c>
      <c r="AG7">
        <v>7.5860754272155601E-3</v>
      </c>
      <c r="AH7" s="1">
        <v>4.2644190842980999E-5</v>
      </c>
      <c r="AI7">
        <v>0.99123770373482301</v>
      </c>
      <c r="AJ7" t="s">
        <v>74</v>
      </c>
      <c r="AK7">
        <v>0</v>
      </c>
      <c r="AL7" t="s">
        <v>77</v>
      </c>
      <c r="AM7">
        <v>0</v>
      </c>
      <c r="AN7">
        <v>0.99199999999999999</v>
      </c>
      <c r="AO7">
        <v>0</v>
      </c>
      <c r="AP7">
        <v>5.8245346242475203E-2</v>
      </c>
      <c r="AQ7">
        <v>0</v>
      </c>
      <c r="AR7">
        <v>1.6E-2</v>
      </c>
      <c r="AS7">
        <v>0</v>
      </c>
      <c r="AT7">
        <v>0</v>
      </c>
      <c r="AU7">
        <v>0</v>
      </c>
      <c r="AV7">
        <v>0</v>
      </c>
      <c r="AW7">
        <v>1</v>
      </c>
      <c r="AX7" t="s">
        <v>74</v>
      </c>
      <c r="AY7">
        <v>0</v>
      </c>
      <c r="AZ7" t="s">
        <v>76</v>
      </c>
      <c r="BA7">
        <v>-1.5707963267949001</v>
      </c>
      <c r="BB7">
        <v>0.99199999999999999</v>
      </c>
      <c r="BC7">
        <v>0</v>
      </c>
      <c r="BD7">
        <v>5.8245346242475203E-2</v>
      </c>
      <c r="BE7">
        <v>0</v>
      </c>
      <c r="BF7">
        <v>1.6E-2</v>
      </c>
      <c r="BG7">
        <v>0</v>
      </c>
      <c r="BH7">
        <v>0</v>
      </c>
      <c r="BI7">
        <v>0</v>
      </c>
      <c r="BJ7">
        <v>0</v>
      </c>
      <c r="BK7">
        <v>1</v>
      </c>
      <c r="BL7">
        <v>1.16022874653549E-4</v>
      </c>
      <c r="BM7" s="1">
        <v>3.8143598090292701E-6</v>
      </c>
      <c r="BN7" s="1">
        <v>4.32166534566312E-7</v>
      </c>
      <c r="BO7" s="1">
        <v>5.9915823770972696E-8</v>
      </c>
      <c r="BP7">
        <v>0</v>
      </c>
      <c r="BQ7">
        <v>0</v>
      </c>
      <c r="BR7" s="1">
        <v>6.6444607067141405E-5</v>
      </c>
      <c r="BS7" s="1">
        <v>2.18277971903337E-6</v>
      </c>
    </row>
    <row r="8" spans="1:149" x14ac:dyDescent="0.25">
      <c r="A8">
        <v>5</v>
      </c>
      <c r="B8" s="1">
        <v>4.9445686689318497E-5</v>
      </c>
      <c r="C8">
        <v>0.13186377086317799</v>
      </c>
      <c r="D8">
        <v>-4.8769332324447799E-4</v>
      </c>
      <c r="E8">
        <v>6.1312499999999995E-4</v>
      </c>
      <c r="F8">
        <v>-1.3186377086317801E-3</v>
      </c>
      <c r="G8" s="1">
        <v>1.0842021724855E-19</v>
      </c>
      <c r="H8" t="s">
        <v>74</v>
      </c>
      <c r="I8">
        <v>0</v>
      </c>
      <c r="J8" t="s">
        <v>75</v>
      </c>
      <c r="K8">
        <v>3.14159265358979</v>
      </c>
      <c r="L8">
        <v>0.98525990219484705</v>
      </c>
      <c r="M8">
        <v>0</v>
      </c>
      <c r="N8">
        <v>5.7849600949764199E-2</v>
      </c>
      <c r="O8">
        <v>0</v>
      </c>
      <c r="P8">
        <v>1.6E-2</v>
      </c>
      <c r="Q8">
        <v>0</v>
      </c>
      <c r="R8">
        <v>0</v>
      </c>
      <c r="S8">
        <v>0</v>
      </c>
      <c r="T8">
        <v>0</v>
      </c>
      <c r="U8">
        <v>0.994335538244842</v>
      </c>
      <c r="V8" t="s">
        <v>78</v>
      </c>
      <c r="W8">
        <v>3850741.7287391098</v>
      </c>
      <c r="X8" t="s">
        <v>76</v>
      </c>
      <c r="Y8">
        <v>-1.5707963267949001</v>
      </c>
      <c r="Z8">
        <v>0.98469419455377905</v>
      </c>
      <c r="AA8">
        <v>0</v>
      </c>
      <c r="AB8">
        <v>5.7489713298510402E-2</v>
      </c>
      <c r="AC8">
        <v>0</v>
      </c>
      <c r="AD8">
        <v>1.69236386377128E-2</v>
      </c>
      <c r="AE8">
        <v>2.13813324557116E-4</v>
      </c>
      <c r="AF8">
        <v>0</v>
      </c>
      <c r="AG8">
        <v>1.00897977782229E-2</v>
      </c>
      <c r="AH8" s="1">
        <v>8.0023622435363806E-5</v>
      </c>
      <c r="AI8">
        <v>0.98757578187452899</v>
      </c>
      <c r="AJ8" t="s">
        <v>74</v>
      </c>
      <c r="AK8">
        <v>0</v>
      </c>
      <c r="AL8" t="s">
        <v>77</v>
      </c>
      <c r="AM8">
        <v>0</v>
      </c>
      <c r="AN8">
        <v>0.99199999999999999</v>
      </c>
      <c r="AO8">
        <v>0</v>
      </c>
      <c r="AP8">
        <v>5.8245346242475203E-2</v>
      </c>
      <c r="AQ8">
        <v>0</v>
      </c>
      <c r="AR8">
        <v>1.6E-2</v>
      </c>
      <c r="AS8">
        <v>0</v>
      </c>
      <c r="AT8">
        <v>0</v>
      </c>
      <c r="AU8">
        <v>0</v>
      </c>
      <c r="AV8">
        <v>0</v>
      </c>
      <c r="AW8">
        <v>1</v>
      </c>
      <c r="AX8" t="s">
        <v>74</v>
      </c>
      <c r="AY8">
        <v>0</v>
      </c>
      <c r="AZ8" t="s">
        <v>76</v>
      </c>
      <c r="BA8">
        <v>-1.5707963267949001</v>
      </c>
      <c r="BB8">
        <v>0.99199999999999999</v>
      </c>
      <c r="BC8">
        <v>0</v>
      </c>
      <c r="BD8">
        <v>5.8245346242475203E-2</v>
      </c>
      <c r="BE8">
        <v>0</v>
      </c>
      <c r="BF8">
        <v>1.6E-2</v>
      </c>
      <c r="BG8">
        <v>0</v>
      </c>
      <c r="BH8">
        <v>0</v>
      </c>
      <c r="BI8">
        <v>0</v>
      </c>
      <c r="BJ8">
        <v>0</v>
      </c>
      <c r="BK8">
        <v>1</v>
      </c>
      <c r="BL8">
        <v>1.15915003366613E-4</v>
      </c>
      <c r="BM8" s="1">
        <v>5.0849107003291397E-6</v>
      </c>
      <c r="BN8" s="1">
        <v>4.3171655268624401E-7</v>
      </c>
      <c r="BO8" s="1">
        <v>7.9873590501570705E-8</v>
      </c>
      <c r="BP8">
        <v>0</v>
      </c>
      <c r="BQ8">
        <v>0</v>
      </c>
      <c r="BR8" s="1">
        <v>6.6380151289018298E-5</v>
      </c>
      <c r="BS8" s="1">
        <v>2.9099946324466401E-6</v>
      </c>
    </row>
    <row r="9" spans="1:149" x14ac:dyDescent="0.25">
      <c r="A9">
        <v>6</v>
      </c>
      <c r="B9" s="1">
        <v>3.9594803715025597E-5</v>
      </c>
      <c r="C9">
        <v>0.13190336566689301</v>
      </c>
      <c r="D9">
        <v>-4.8787133785445499E-4</v>
      </c>
      <c r="E9">
        <v>6.1312499999999995E-4</v>
      </c>
      <c r="F9">
        <v>-1.31903365666893E-3</v>
      </c>
      <c r="G9" s="1">
        <v>1.0842021724855E-19</v>
      </c>
      <c r="H9" t="s">
        <v>74</v>
      </c>
      <c r="I9">
        <v>0</v>
      </c>
      <c r="J9" t="s">
        <v>75</v>
      </c>
      <c r="K9">
        <v>3.14159265358979</v>
      </c>
      <c r="L9">
        <v>0.98357578654286903</v>
      </c>
      <c r="M9">
        <v>0</v>
      </c>
      <c r="N9">
        <v>5.7750717986798698E-2</v>
      </c>
      <c r="O9">
        <v>0</v>
      </c>
      <c r="P9">
        <v>1.6E-2</v>
      </c>
      <c r="Q9">
        <v>0</v>
      </c>
      <c r="R9">
        <v>0</v>
      </c>
      <c r="S9">
        <v>0</v>
      </c>
      <c r="T9">
        <v>0</v>
      </c>
      <c r="U9">
        <v>0.992410110111413</v>
      </c>
      <c r="V9" t="s">
        <v>78</v>
      </c>
      <c r="W9">
        <v>3852277.9084160998</v>
      </c>
      <c r="X9" t="s">
        <v>76</v>
      </c>
      <c r="Y9">
        <v>-1.5707963267949001</v>
      </c>
      <c r="Z9">
        <v>0.98298831444624002</v>
      </c>
      <c r="AA9">
        <v>0</v>
      </c>
      <c r="AB9">
        <v>5.7376984387176103E-2</v>
      </c>
      <c r="AC9">
        <v>0</v>
      </c>
      <c r="AD9">
        <v>1.68970451177681E-2</v>
      </c>
      <c r="AE9">
        <v>2.8559699832001698E-4</v>
      </c>
      <c r="AF9">
        <v>0</v>
      </c>
      <c r="AG9">
        <v>1.2582753314894401E-2</v>
      </c>
      <c r="AH9">
        <v>1.2815219074188101E-4</v>
      </c>
      <c r="AI9">
        <v>0.98397581794115097</v>
      </c>
      <c r="AJ9" t="s">
        <v>74</v>
      </c>
      <c r="AK9">
        <v>0</v>
      </c>
      <c r="AL9" t="s">
        <v>77</v>
      </c>
      <c r="AM9">
        <v>0</v>
      </c>
      <c r="AN9">
        <v>0.99199999999999999</v>
      </c>
      <c r="AO9">
        <v>0</v>
      </c>
      <c r="AP9">
        <v>5.8245346242475203E-2</v>
      </c>
      <c r="AQ9">
        <v>0</v>
      </c>
      <c r="AR9">
        <v>1.6E-2</v>
      </c>
      <c r="AS9">
        <v>0</v>
      </c>
      <c r="AT9">
        <v>0</v>
      </c>
      <c r="AU9">
        <v>0</v>
      </c>
      <c r="AV9">
        <v>0</v>
      </c>
      <c r="AW9">
        <v>1</v>
      </c>
      <c r="AX9" t="s">
        <v>74</v>
      </c>
      <c r="AY9">
        <v>0</v>
      </c>
      <c r="AZ9" t="s">
        <v>76</v>
      </c>
      <c r="BA9">
        <v>-1.5707963267949001</v>
      </c>
      <c r="BB9">
        <v>0.99199999999999999</v>
      </c>
      <c r="BC9">
        <v>0</v>
      </c>
      <c r="BD9">
        <v>5.8245346242475203E-2</v>
      </c>
      <c r="BE9">
        <v>0</v>
      </c>
      <c r="BF9">
        <v>1.6E-2</v>
      </c>
      <c r="BG9">
        <v>0</v>
      </c>
      <c r="BH9">
        <v>0</v>
      </c>
      <c r="BI9">
        <v>0</v>
      </c>
      <c r="BJ9">
        <v>0</v>
      </c>
      <c r="BK9">
        <v>1</v>
      </c>
      <c r="BL9">
        <v>1.15809197429463E-4</v>
      </c>
      <c r="BM9" s="1">
        <v>6.3554527528181297E-6</v>
      </c>
      <c r="BN9" s="1">
        <v>4.31285155330804E-7</v>
      </c>
      <c r="BO9" s="1">
        <v>9.9831218392452294E-8</v>
      </c>
      <c r="BP9">
        <v>0</v>
      </c>
      <c r="BQ9">
        <v>0</v>
      </c>
      <c r="BR9" s="1">
        <v>6.6316172522700505E-5</v>
      </c>
      <c r="BS9" s="1">
        <v>3.6372390904321899E-6</v>
      </c>
    </row>
    <row r="10" spans="1:149" x14ac:dyDescent="0.25">
      <c r="A10">
        <v>7</v>
      </c>
      <c r="B10" s="1">
        <v>3.3053512660393998E-5</v>
      </c>
      <c r="C10">
        <v>0.13193641917955301</v>
      </c>
      <c r="D10">
        <v>-4.8801991399909702E-4</v>
      </c>
      <c r="E10">
        <v>6.1312499999999995E-4</v>
      </c>
      <c r="F10">
        <v>-1.3193641917955299E-3</v>
      </c>
      <c r="G10" s="1">
        <v>2.1684043449710098E-19</v>
      </c>
      <c r="H10" t="s">
        <v>74</v>
      </c>
      <c r="I10">
        <v>0</v>
      </c>
      <c r="J10" t="s">
        <v>75</v>
      </c>
      <c r="K10">
        <v>3.14159265358979</v>
      </c>
      <c r="L10">
        <v>0.98189168305296604</v>
      </c>
      <c r="M10">
        <v>0</v>
      </c>
      <c r="N10">
        <v>5.7651835737930202E-2</v>
      </c>
      <c r="O10">
        <v>0</v>
      </c>
      <c r="P10">
        <v>1.6E-2</v>
      </c>
      <c r="Q10">
        <v>0</v>
      </c>
      <c r="R10">
        <v>0</v>
      </c>
      <c r="S10">
        <v>0</v>
      </c>
      <c r="T10">
        <v>0</v>
      </c>
      <c r="U10">
        <v>0.99054076274704705</v>
      </c>
      <c r="V10" t="s">
        <v>78</v>
      </c>
      <c r="W10">
        <v>3853560.0484264898</v>
      </c>
      <c r="X10" t="s">
        <v>76</v>
      </c>
      <c r="Y10">
        <v>-1.5707963267949001</v>
      </c>
      <c r="Z10">
        <v>0.98128657808241104</v>
      </c>
      <c r="AA10">
        <v>0</v>
      </c>
      <c r="AB10">
        <v>5.7266884588607701E-2</v>
      </c>
      <c r="AC10">
        <v>0</v>
      </c>
      <c r="AD10">
        <v>1.68621033558972E-2</v>
      </c>
      <c r="AE10">
        <v>3.5752012388431102E-4</v>
      </c>
      <c r="AF10">
        <v>0</v>
      </c>
      <c r="AG10">
        <v>1.506490883923E-2</v>
      </c>
      <c r="AH10">
        <v>1.87062420592002E-4</v>
      </c>
      <c r="AI10">
        <v>0.98043776513698</v>
      </c>
      <c r="AJ10" t="s">
        <v>74</v>
      </c>
      <c r="AK10">
        <v>0</v>
      </c>
      <c r="AL10" t="s">
        <v>77</v>
      </c>
      <c r="AM10">
        <v>0</v>
      </c>
      <c r="AN10">
        <v>0.99199999999999999</v>
      </c>
      <c r="AO10">
        <v>0</v>
      </c>
      <c r="AP10">
        <v>5.8245346242475203E-2</v>
      </c>
      <c r="AQ10">
        <v>0</v>
      </c>
      <c r="AR10">
        <v>1.6E-2</v>
      </c>
      <c r="AS10">
        <v>0</v>
      </c>
      <c r="AT10">
        <v>0</v>
      </c>
      <c r="AU10">
        <v>0</v>
      </c>
      <c r="AV10">
        <v>0</v>
      </c>
      <c r="AW10">
        <v>1</v>
      </c>
      <c r="AX10" t="s">
        <v>74</v>
      </c>
      <c r="AY10">
        <v>0</v>
      </c>
      <c r="AZ10" t="s">
        <v>76</v>
      </c>
      <c r="BA10">
        <v>-1.5707963267949001</v>
      </c>
      <c r="BB10">
        <v>0.99199999999999999</v>
      </c>
      <c r="BC10">
        <v>0</v>
      </c>
      <c r="BD10">
        <v>5.8245346242475203E-2</v>
      </c>
      <c r="BE10">
        <v>0</v>
      </c>
      <c r="BF10">
        <v>1.6E-2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1.15704706405744E-4</v>
      </c>
      <c r="BM10" s="1">
        <v>7.6259856299109803E-6</v>
      </c>
      <c r="BN10" s="1">
        <v>4.30865588434812E-7</v>
      </c>
      <c r="BO10" s="1">
        <v>1.1978870215654801E-7</v>
      </c>
      <c r="BP10">
        <v>0</v>
      </c>
      <c r="BQ10">
        <v>0</v>
      </c>
      <c r="BR10" s="1">
        <v>6.62524774272233E-5</v>
      </c>
      <c r="BS10" s="1">
        <v>4.3645061409847301E-6</v>
      </c>
      <c r="ES10" s="1"/>
    </row>
    <row r="11" spans="1:149" x14ac:dyDescent="0.25">
      <c r="A11">
        <v>8</v>
      </c>
      <c r="B11" s="1">
        <v>2.8390726196199099E-5</v>
      </c>
      <c r="C11">
        <v>0.13196480990574899</v>
      </c>
      <c r="D11">
        <v>-4.8814750974227999E-4</v>
      </c>
      <c r="E11">
        <v>6.1312499999999995E-4</v>
      </c>
      <c r="F11">
        <v>-1.3196480990574899E-3</v>
      </c>
      <c r="G11" s="1">
        <v>2.1684043449710098E-19</v>
      </c>
      <c r="H11" t="s">
        <v>74</v>
      </c>
      <c r="I11">
        <v>0</v>
      </c>
      <c r="J11" t="s">
        <v>75</v>
      </c>
      <c r="K11">
        <v>3.14159265358979</v>
      </c>
      <c r="L11">
        <v>0.98020759196027896</v>
      </c>
      <c r="M11">
        <v>0</v>
      </c>
      <c r="N11">
        <v>5.7552954216964998E-2</v>
      </c>
      <c r="O11">
        <v>0</v>
      </c>
      <c r="P11">
        <v>1.6E-2</v>
      </c>
      <c r="Q11">
        <v>0</v>
      </c>
      <c r="R11">
        <v>0</v>
      </c>
      <c r="S11">
        <v>0</v>
      </c>
      <c r="T11">
        <v>0</v>
      </c>
      <c r="U11">
        <v>0.98871548727314496</v>
      </c>
      <c r="V11" t="s">
        <v>78</v>
      </c>
      <c r="W11">
        <v>3854661.1377560501</v>
      </c>
      <c r="X11" t="s">
        <v>76</v>
      </c>
      <c r="Y11">
        <v>-1.5707963267949001</v>
      </c>
      <c r="Z11">
        <v>0.97958771991835203</v>
      </c>
      <c r="AA11">
        <v>0</v>
      </c>
      <c r="AB11">
        <v>5.7158608662753102E-2</v>
      </c>
      <c r="AC11">
        <v>0</v>
      </c>
      <c r="AD11">
        <v>1.68213721431263E-2</v>
      </c>
      <c r="AE11">
        <v>4.2955042564200602E-4</v>
      </c>
      <c r="AF11">
        <v>0</v>
      </c>
      <c r="AG11">
        <v>1.7536231943453599E-2</v>
      </c>
      <c r="AH11">
        <v>2.5678636496936197E-4</v>
      </c>
      <c r="AI11">
        <v>0.97694962513945405</v>
      </c>
      <c r="AJ11" t="s">
        <v>74</v>
      </c>
      <c r="AK11">
        <v>0</v>
      </c>
      <c r="AL11" t="s">
        <v>77</v>
      </c>
      <c r="AM11">
        <v>0</v>
      </c>
      <c r="AN11">
        <v>0.99199999999999999</v>
      </c>
      <c r="AO11">
        <v>0</v>
      </c>
      <c r="AP11">
        <v>5.8245346242475203E-2</v>
      </c>
      <c r="AQ11">
        <v>0</v>
      </c>
      <c r="AR11">
        <v>1.6E-2</v>
      </c>
      <c r="AS11">
        <v>0</v>
      </c>
      <c r="AT11">
        <v>0</v>
      </c>
      <c r="AU11">
        <v>0</v>
      </c>
      <c r="AV11">
        <v>0</v>
      </c>
      <c r="AW11">
        <v>1</v>
      </c>
      <c r="AX11" t="s">
        <v>74</v>
      </c>
      <c r="AY11">
        <v>0</v>
      </c>
      <c r="AZ11" t="s">
        <v>76</v>
      </c>
      <c r="BA11">
        <v>-1.5707963267949001</v>
      </c>
      <c r="BB11">
        <v>0.99199999999999999</v>
      </c>
      <c r="BC11">
        <v>0</v>
      </c>
      <c r="BD11">
        <v>5.8245346242475203E-2</v>
      </c>
      <c r="BE11">
        <v>0</v>
      </c>
      <c r="BF11">
        <v>1.6E-2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1.15601127682334E-4</v>
      </c>
      <c r="BM11" s="1">
        <v>8.8965091542114807E-6</v>
      </c>
      <c r="BN11" s="1">
        <v>4.3045422840744098E-7</v>
      </c>
      <c r="BO11" s="1">
        <v>1.3974603900732601E-7</v>
      </c>
      <c r="BP11">
        <v>0</v>
      </c>
      <c r="BQ11">
        <v>0</v>
      </c>
      <c r="BR11" s="1">
        <v>6.6188969709990499E-5</v>
      </c>
      <c r="BS11" s="1">
        <v>5.0917911685477104E-6</v>
      </c>
    </row>
    <row r="12" spans="1:149" x14ac:dyDescent="0.25">
      <c r="A12">
        <v>9</v>
      </c>
      <c r="B12" s="1">
        <v>2.48976585593465E-5</v>
      </c>
      <c r="C12">
        <v>0.131989707564308</v>
      </c>
      <c r="D12">
        <v>-4.8825939079323198E-4</v>
      </c>
      <c r="E12">
        <v>6.1312499999999995E-4</v>
      </c>
      <c r="F12">
        <v>-1.3198970756430901E-3</v>
      </c>
      <c r="G12" s="1">
        <v>1.0842021724855E-19</v>
      </c>
      <c r="H12" t="s">
        <v>74</v>
      </c>
      <c r="I12">
        <v>0</v>
      </c>
      <c r="J12" t="s">
        <v>75</v>
      </c>
      <c r="K12">
        <v>3.14159265358979</v>
      </c>
      <c r="L12">
        <v>0.97852351344819899</v>
      </c>
      <c r="M12">
        <v>0</v>
      </c>
      <c r="N12">
        <v>5.7454073434671099E-2</v>
      </c>
      <c r="O12">
        <v>0</v>
      </c>
      <c r="P12">
        <v>1.6E-2</v>
      </c>
      <c r="Q12">
        <v>0</v>
      </c>
      <c r="R12">
        <v>0</v>
      </c>
      <c r="S12">
        <v>0</v>
      </c>
      <c r="T12">
        <v>0</v>
      </c>
      <c r="U12">
        <v>0.98692229043330404</v>
      </c>
      <c r="V12" t="s">
        <v>78</v>
      </c>
      <c r="W12">
        <v>3855626.6169194402</v>
      </c>
      <c r="X12" t="s">
        <v>76</v>
      </c>
      <c r="Y12">
        <v>-1.5707963267949001</v>
      </c>
      <c r="Z12">
        <v>0.97789098118551099</v>
      </c>
      <c r="AA12">
        <v>0</v>
      </c>
      <c r="AB12">
        <v>5.7051673796015098E-2</v>
      </c>
      <c r="AC12">
        <v>0</v>
      </c>
      <c r="AD12">
        <v>1.6776387595387101E-2</v>
      </c>
      <c r="AE12">
        <v>5.0166505007882595E-4</v>
      </c>
      <c r="AF12">
        <v>0</v>
      </c>
      <c r="AG12">
        <v>1.9996690239236802E-2</v>
      </c>
      <c r="AH12">
        <v>3.3735613549080599E-4</v>
      </c>
      <c r="AI12">
        <v>0.97349941468222101</v>
      </c>
      <c r="AJ12" t="s">
        <v>74</v>
      </c>
      <c r="AK12">
        <v>0</v>
      </c>
      <c r="AL12" t="s">
        <v>77</v>
      </c>
      <c r="AM12">
        <v>0</v>
      </c>
      <c r="AN12">
        <v>0.99199999999999999</v>
      </c>
      <c r="AO12">
        <v>0</v>
      </c>
      <c r="AP12">
        <v>5.8245346242475203E-2</v>
      </c>
      <c r="AQ12">
        <v>0</v>
      </c>
      <c r="AR12">
        <v>1.6E-2</v>
      </c>
      <c r="AS12">
        <v>0</v>
      </c>
      <c r="AT12">
        <v>0</v>
      </c>
      <c r="AU12">
        <v>0</v>
      </c>
      <c r="AV12">
        <v>0</v>
      </c>
      <c r="AW12">
        <v>1</v>
      </c>
      <c r="AX12" t="s">
        <v>74</v>
      </c>
      <c r="AY12">
        <v>0</v>
      </c>
      <c r="AZ12" t="s">
        <v>76</v>
      </c>
      <c r="BA12">
        <v>-1.5707963267949001</v>
      </c>
      <c r="BB12">
        <v>0.99199999999999999</v>
      </c>
      <c r="BC12">
        <v>0</v>
      </c>
      <c r="BD12">
        <v>5.8245346242475203E-2</v>
      </c>
      <c r="BE12">
        <v>0</v>
      </c>
      <c r="BF12">
        <v>1.6E-2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1.15498219857818E-4</v>
      </c>
      <c r="BM12" s="1">
        <v>1.01670231873638E-5</v>
      </c>
      <c r="BN12" s="1">
        <v>4.3004890257923703E-7</v>
      </c>
      <c r="BO12" s="1">
        <v>1.5970322677149599E-7</v>
      </c>
      <c r="BP12">
        <v>0</v>
      </c>
      <c r="BQ12">
        <v>0</v>
      </c>
      <c r="BR12" s="1">
        <v>6.6125594794620005E-5</v>
      </c>
      <c r="BS12" s="1">
        <v>5.8190908653161899E-6</v>
      </c>
    </row>
    <row r="13" spans="1:149" x14ac:dyDescent="0.25">
      <c r="A13">
        <v>10</v>
      </c>
      <c r="B13" s="1">
        <v>2.2182690599899301E-5</v>
      </c>
      <c r="C13">
        <v>0.132011890254908</v>
      </c>
      <c r="D13">
        <v>-4.8835905935336896E-4</v>
      </c>
      <c r="E13">
        <v>6.1312499999999995E-4</v>
      </c>
      <c r="F13">
        <v>-1.3201189025490801E-3</v>
      </c>
      <c r="G13" s="1">
        <v>2.1684043449710098E-19</v>
      </c>
      <c r="H13" t="s">
        <v>74</v>
      </c>
      <c r="I13">
        <v>0</v>
      </c>
      <c r="J13" t="s">
        <v>75</v>
      </c>
      <c r="K13">
        <v>3.14159265358979</v>
      </c>
      <c r="L13">
        <v>0.976839447686634</v>
      </c>
      <c r="M13">
        <v>0</v>
      </c>
      <c r="N13">
        <v>5.7355193401024497E-2</v>
      </c>
      <c r="O13">
        <v>0</v>
      </c>
      <c r="P13">
        <v>1.6E-2</v>
      </c>
      <c r="Q13">
        <v>0</v>
      </c>
      <c r="R13">
        <v>0</v>
      </c>
      <c r="S13">
        <v>0</v>
      </c>
      <c r="T13">
        <v>0</v>
      </c>
      <c r="U13">
        <v>0.98515184268220002</v>
      </c>
      <c r="V13" t="s">
        <v>78</v>
      </c>
      <c r="W13">
        <v>3856486.7082149601</v>
      </c>
      <c r="X13" t="s">
        <v>76</v>
      </c>
      <c r="Y13">
        <v>-1.5707963267949001</v>
      </c>
      <c r="Z13">
        <v>0.97619587068999103</v>
      </c>
      <c r="AA13">
        <v>0</v>
      </c>
      <c r="AB13">
        <v>5.69457674062257E-2</v>
      </c>
      <c r="AC13">
        <v>0</v>
      </c>
      <c r="AD13">
        <v>1.6728145172968899E-2</v>
      </c>
      <c r="AE13">
        <v>5.7384713970331895E-4</v>
      </c>
      <c r="AF13">
        <v>0</v>
      </c>
      <c r="AG13">
        <v>2.2446251012515399E-2</v>
      </c>
      <c r="AH13">
        <v>4.2880418985650798E-4</v>
      </c>
      <c r="AI13">
        <v>0.970077813960744</v>
      </c>
      <c r="AJ13" t="s">
        <v>74</v>
      </c>
      <c r="AK13">
        <v>0</v>
      </c>
      <c r="AL13" t="s">
        <v>77</v>
      </c>
      <c r="AM13">
        <v>0</v>
      </c>
      <c r="AN13">
        <v>0.99199999999999999</v>
      </c>
      <c r="AO13">
        <v>0</v>
      </c>
      <c r="AP13">
        <v>5.8245346242475203E-2</v>
      </c>
      <c r="AQ13">
        <v>0</v>
      </c>
      <c r="AR13">
        <v>1.6E-2</v>
      </c>
      <c r="AS13">
        <v>0</v>
      </c>
      <c r="AT13">
        <v>0</v>
      </c>
      <c r="AU13">
        <v>0</v>
      </c>
      <c r="AV13">
        <v>0</v>
      </c>
      <c r="AW13">
        <v>1</v>
      </c>
      <c r="AX13" t="s">
        <v>74</v>
      </c>
      <c r="AY13">
        <v>0</v>
      </c>
      <c r="AZ13" t="s">
        <v>76</v>
      </c>
      <c r="BA13">
        <v>-1.5707963267949001</v>
      </c>
      <c r="BB13">
        <v>0.99199999999999999</v>
      </c>
      <c r="BC13">
        <v>0</v>
      </c>
      <c r="BD13">
        <v>5.8245346242475203E-2</v>
      </c>
      <c r="BE13">
        <v>0</v>
      </c>
      <c r="BF13">
        <v>1.6E-2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1.153958266461E-4</v>
      </c>
      <c r="BM13" s="1">
        <v>1.1437527601185901E-5</v>
      </c>
      <c r="BN13" s="1">
        <v>4.29648204322791E-7</v>
      </c>
      <c r="BO13" s="1">
        <v>1.7966026343558101E-7</v>
      </c>
      <c r="BP13">
        <v>0</v>
      </c>
      <c r="BQ13">
        <v>0</v>
      </c>
      <c r="BR13" s="1">
        <v>6.6062318876089506E-5</v>
      </c>
      <c r="BS13" s="1">
        <v>6.5464027340848503E-6</v>
      </c>
    </row>
    <row r="14" spans="1:149" x14ac:dyDescent="0.25">
      <c r="A14">
        <v>11</v>
      </c>
      <c r="B14" s="1">
        <v>2.0011649777448802E-5</v>
      </c>
      <c r="C14">
        <v>0.132031901904686</v>
      </c>
      <c r="D14">
        <v>-4.8844896328498698E-4</v>
      </c>
      <c r="E14">
        <v>6.1312499999999995E-4</v>
      </c>
      <c r="F14">
        <v>-1.3203190190468599E-3</v>
      </c>
      <c r="G14" s="1">
        <v>1.0842021724855E-19</v>
      </c>
      <c r="H14" t="s">
        <v>74</v>
      </c>
      <c r="I14">
        <v>0</v>
      </c>
      <c r="J14" t="s">
        <v>75</v>
      </c>
      <c r="K14">
        <v>3.14159265358979</v>
      </c>
      <c r="L14">
        <v>0.97515539484007696</v>
      </c>
      <c r="M14">
        <v>0</v>
      </c>
      <c r="N14">
        <v>5.7256314125683397E-2</v>
      </c>
      <c r="O14">
        <v>0</v>
      </c>
      <c r="P14">
        <v>1.6E-2</v>
      </c>
      <c r="Q14">
        <v>0</v>
      </c>
      <c r="R14">
        <v>0</v>
      </c>
      <c r="S14">
        <v>0</v>
      </c>
      <c r="T14">
        <v>0</v>
      </c>
      <c r="U14">
        <v>0.98339747427832003</v>
      </c>
      <c r="V14" t="s">
        <v>78</v>
      </c>
      <c r="W14">
        <v>3857262.5355060599</v>
      </c>
      <c r="X14" t="s">
        <v>76</v>
      </c>
      <c r="Y14">
        <v>-1.5707963267949001</v>
      </c>
      <c r="Z14">
        <v>0.97450205201719098</v>
      </c>
      <c r="AA14">
        <v>0</v>
      </c>
      <c r="AB14">
        <v>5.6840675380673299E-2</v>
      </c>
      <c r="AC14">
        <v>0</v>
      </c>
      <c r="AD14">
        <v>1.6677327301577099E-2</v>
      </c>
      <c r="AE14">
        <v>6.4608383320781501E-4</v>
      </c>
      <c r="AF14">
        <v>0</v>
      </c>
      <c r="AG14">
        <v>2.4884881101471398E-2</v>
      </c>
      <c r="AH14">
        <v>5.3116344168796503E-4</v>
      </c>
      <c r="AI14">
        <v>0.96667816287333697</v>
      </c>
      <c r="AJ14" t="s">
        <v>74</v>
      </c>
      <c r="AK14">
        <v>0</v>
      </c>
      <c r="AL14" t="s">
        <v>77</v>
      </c>
      <c r="AM14">
        <v>0</v>
      </c>
      <c r="AN14">
        <v>0.99199999999999999</v>
      </c>
      <c r="AO14">
        <v>0</v>
      </c>
      <c r="AP14">
        <v>5.8245346242475203E-2</v>
      </c>
      <c r="AQ14">
        <v>0</v>
      </c>
      <c r="AR14">
        <v>1.6E-2</v>
      </c>
      <c r="AS14">
        <v>0</v>
      </c>
      <c r="AT14">
        <v>0</v>
      </c>
      <c r="AU14">
        <v>0</v>
      </c>
      <c r="AV14">
        <v>0</v>
      </c>
      <c r="AW14">
        <v>1</v>
      </c>
      <c r="AX14" t="s">
        <v>74</v>
      </c>
      <c r="AY14">
        <v>0</v>
      </c>
      <c r="AZ14" t="s">
        <v>76</v>
      </c>
      <c r="BA14">
        <v>-1.5707963267949001</v>
      </c>
      <c r="BB14">
        <v>0.99199999999999999</v>
      </c>
      <c r="BC14">
        <v>0</v>
      </c>
      <c r="BD14">
        <v>5.8245346242475203E-2</v>
      </c>
      <c r="BE14">
        <v>0</v>
      </c>
      <c r="BF14">
        <v>1.6E-2</v>
      </c>
      <c r="BG14">
        <v>0</v>
      </c>
      <c r="BH14">
        <v>0</v>
      </c>
      <c r="BI14">
        <v>0</v>
      </c>
      <c r="BJ14">
        <v>0</v>
      </c>
      <c r="BK14">
        <v>1</v>
      </c>
      <c r="BL14">
        <v>1.15293840995654E-4</v>
      </c>
      <c r="BM14" s="1">
        <v>1.2708022271579699E-5</v>
      </c>
      <c r="BN14" s="1">
        <v>4.29251170123488E-7</v>
      </c>
      <c r="BO14" s="1">
        <v>1.9961714705025101E-7</v>
      </c>
      <c r="BP14">
        <v>0</v>
      </c>
      <c r="BQ14">
        <v>0</v>
      </c>
      <c r="BR14" s="1">
        <v>6.5999119611264798E-5</v>
      </c>
      <c r="BS14" s="1">
        <v>7.2737248173081303E-6</v>
      </c>
    </row>
    <row r="15" spans="1:149" x14ac:dyDescent="0.25">
      <c r="A15">
        <v>12</v>
      </c>
      <c r="B15" s="1">
        <v>1.8235848807047998E-5</v>
      </c>
      <c r="C15">
        <v>0.132050137753493</v>
      </c>
      <c r="D15">
        <v>-4.8853088109183603E-4</v>
      </c>
      <c r="E15">
        <v>6.1312499999999995E-4</v>
      </c>
      <c r="F15">
        <v>-1.3205013775349299E-3</v>
      </c>
      <c r="G15" s="1">
        <v>1.0842021724855E-19</v>
      </c>
      <c r="H15" t="s">
        <v>74</v>
      </c>
      <c r="I15">
        <v>0</v>
      </c>
      <c r="J15" t="s">
        <v>75</v>
      </c>
      <c r="K15">
        <v>3.14159265358979</v>
      </c>
      <c r="L15">
        <v>0.97347135506844895</v>
      </c>
      <c r="M15">
        <v>0</v>
      </c>
      <c r="N15">
        <v>5.71574356180376E-2</v>
      </c>
      <c r="O15">
        <v>0</v>
      </c>
      <c r="P15">
        <v>1.6E-2</v>
      </c>
      <c r="Q15">
        <v>0</v>
      </c>
      <c r="R15">
        <v>0</v>
      </c>
      <c r="S15">
        <v>0</v>
      </c>
      <c r="T15">
        <v>0</v>
      </c>
      <c r="U15">
        <v>0.98165457108329701</v>
      </c>
      <c r="V15" t="s">
        <v>78</v>
      </c>
      <c r="W15">
        <v>3857969.4464168102</v>
      </c>
      <c r="X15" t="s">
        <v>76</v>
      </c>
      <c r="Y15">
        <v>-1.5707963267949001</v>
      </c>
      <c r="Z15">
        <v>0.97280928457328497</v>
      </c>
      <c r="AA15">
        <v>0</v>
      </c>
      <c r="AB15">
        <v>5.6736244567832703E-2</v>
      </c>
      <c r="AC15">
        <v>0</v>
      </c>
      <c r="AD15">
        <v>1.6624422486774398E-2</v>
      </c>
      <c r="AE15">
        <v>7.1836502725362004E-4</v>
      </c>
      <c r="AF15">
        <v>0</v>
      </c>
      <c r="AG15">
        <v>2.7312546880026899E-2</v>
      </c>
      <c r="AH15">
        <v>6.4446727576455596E-4</v>
      </c>
      <c r="AI15">
        <v>0.963295856884263</v>
      </c>
      <c r="AJ15" t="s">
        <v>74</v>
      </c>
      <c r="AK15">
        <v>0</v>
      </c>
      <c r="AL15" t="s">
        <v>77</v>
      </c>
      <c r="AM15">
        <v>0</v>
      </c>
      <c r="AN15">
        <v>0.99199999999999999</v>
      </c>
      <c r="AO15">
        <v>0</v>
      </c>
      <c r="AP15">
        <v>5.8245346242475203E-2</v>
      </c>
      <c r="AQ15">
        <v>0</v>
      </c>
      <c r="AR15">
        <v>1.6E-2</v>
      </c>
      <c r="AS15">
        <v>0</v>
      </c>
      <c r="AT15">
        <v>0</v>
      </c>
      <c r="AU15">
        <v>0</v>
      </c>
      <c r="AV15">
        <v>0</v>
      </c>
      <c r="AW15">
        <v>1</v>
      </c>
      <c r="AX15" t="s">
        <v>74</v>
      </c>
      <c r="AY15">
        <v>0</v>
      </c>
      <c r="AZ15" t="s">
        <v>76</v>
      </c>
      <c r="BA15">
        <v>-1.5707963267949001</v>
      </c>
      <c r="BB15">
        <v>0.99199999999999999</v>
      </c>
      <c r="BC15">
        <v>0</v>
      </c>
      <c r="BD15">
        <v>5.8245346242475203E-2</v>
      </c>
      <c r="BE15">
        <v>0</v>
      </c>
      <c r="BF15">
        <v>1.6E-2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1.1519218633541E-4</v>
      </c>
      <c r="BM15" s="1">
        <v>1.39785070778958E-5</v>
      </c>
      <c r="BN15" s="1">
        <v>4.2885711079225902E-7</v>
      </c>
      <c r="BO15" s="1">
        <v>2.1957387572035099E-7</v>
      </c>
      <c r="BP15">
        <v>0</v>
      </c>
      <c r="BQ15">
        <v>0</v>
      </c>
      <c r="BR15" s="1">
        <v>6.5935981482609404E-5</v>
      </c>
      <c r="BS15" s="1">
        <v>8.0010555360178504E-6</v>
      </c>
    </row>
    <row r="16" spans="1:149" x14ac:dyDescent="0.25">
      <c r="A16">
        <v>13</v>
      </c>
      <c r="B16" s="1">
        <v>1.6756312315981399E-5</v>
      </c>
      <c r="C16">
        <v>0.13206689406580899</v>
      </c>
      <c r="D16">
        <v>-4.8860614576495397E-4</v>
      </c>
      <c r="E16">
        <v>6.1312499999999995E-4</v>
      </c>
      <c r="F16">
        <v>-1.3206689406580899E-3</v>
      </c>
      <c r="G16" s="1">
        <v>1.0842021724855E-19</v>
      </c>
      <c r="H16" t="s">
        <v>74</v>
      </c>
      <c r="I16">
        <v>0</v>
      </c>
      <c r="J16" t="s">
        <v>75</v>
      </c>
      <c r="K16">
        <v>3.14159265358979</v>
      </c>
      <c r="L16">
        <v>0.97178732852676397</v>
      </c>
      <c r="M16">
        <v>0</v>
      </c>
      <c r="N16">
        <v>5.7058557887188902E-2</v>
      </c>
      <c r="O16">
        <v>0</v>
      </c>
      <c r="P16">
        <v>1.6E-2</v>
      </c>
      <c r="Q16">
        <v>0</v>
      </c>
      <c r="R16">
        <v>0</v>
      </c>
      <c r="S16">
        <v>0</v>
      </c>
      <c r="T16">
        <v>0</v>
      </c>
      <c r="U16">
        <v>0.979919971295237</v>
      </c>
      <c r="V16" t="s">
        <v>78</v>
      </c>
      <c r="W16">
        <v>3858618.9440128501</v>
      </c>
      <c r="X16" t="s">
        <v>76</v>
      </c>
      <c r="Y16">
        <v>-1.5707963267949001</v>
      </c>
      <c r="Z16">
        <v>0.97111739028977395</v>
      </c>
      <c r="AA16">
        <v>0</v>
      </c>
      <c r="AB16">
        <v>5.6632361595905102E-2</v>
      </c>
      <c r="AC16">
        <v>0</v>
      </c>
      <c r="AD16">
        <v>1.6569792638159699E-2</v>
      </c>
      <c r="AE16">
        <v>7.9068257974812496E-4</v>
      </c>
      <c r="AF16">
        <v>0</v>
      </c>
      <c r="AG16">
        <v>2.9729214284103401E-2</v>
      </c>
      <c r="AH16">
        <v>7.6874952227117205E-4</v>
      </c>
      <c r="AI16">
        <v>0.959927743780704</v>
      </c>
      <c r="AJ16" t="s">
        <v>74</v>
      </c>
      <c r="AK16">
        <v>0</v>
      </c>
      <c r="AL16" t="s">
        <v>77</v>
      </c>
      <c r="AM16">
        <v>0</v>
      </c>
      <c r="AN16">
        <v>0.99199999999999999</v>
      </c>
      <c r="AO16">
        <v>0</v>
      </c>
      <c r="AP16">
        <v>5.8245346242475203E-2</v>
      </c>
      <c r="AQ16">
        <v>0</v>
      </c>
      <c r="AR16">
        <v>1.6E-2</v>
      </c>
      <c r="AS16">
        <v>0</v>
      </c>
      <c r="AT16">
        <v>0</v>
      </c>
      <c r="AU16">
        <v>0</v>
      </c>
      <c r="AV16">
        <v>0</v>
      </c>
      <c r="AW16">
        <v>1</v>
      </c>
      <c r="AX16" t="s">
        <v>74</v>
      </c>
      <c r="AY16">
        <v>0</v>
      </c>
      <c r="AZ16" t="s">
        <v>76</v>
      </c>
      <c r="BA16">
        <v>-1.5707963267949001</v>
      </c>
      <c r="BB16">
        <v>0.99199999999999999</v>
      </c>
      <c r="BC16">
        <v>0</v>
      </c>
      <c r="BD16">
        <v>5.8245346242475203E-2</v>
      </c>
      <c r="BE16">
        <v>0</v>
      </c>
      <c r="BF16">
        <v>1.6E-2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1.1509080598402201E-4</v>
      </c>
      <c r="BM16" s="1">
        <v>1.52489819031873E-5</v>
      </c>
      <c r="BN16" s="1">
        <v>4.2846551614902498E-7</v>
      </c>
      <c r="BO16" s="1">
        <v>2.3953044760888398E-7</v>
      </c>
      <c r="BP16">
        <v>0</v>
      </c>
      <c r="BQ16">
        <v>0</v>
      </c>
      <c r="BR16" s="1">
        <v>6.5872893283732393E-5</v>
      </c>
      <c r="BS16" s="1">
        <v>8.7283935875540907E-6</v>
      </c>
    </row>
    <row r="17" spans="1:71" x14ac:dyDescent="0.25">
      <c r="A17">
        <v>14</v>
      </c>
      <c r="B17" s="1">
        <v>1.5504590640191499E-5</v>
      </c>
      <c r="C17">
        <v>0.132082398656449</v>
      </c>
      <c r="D17">
        <v>-4.8867578221930305E-4</v>
      </c>
      <c r="E17">
        <v>6.1312499999999995E-4</v>
      </c>
      <c r="F17">
        <v>-1.3208239865644901E-3</v>
      </c>
      <c r="G17" s="1">
        <v>1.0842021724855E-19</v>
      </c>
      <c r="H17" t="s">
        <v>74</v>
      </c>
      <c r="I17">
        <v>0</v>
      </c>
      <c r="J17" t="s">
        <v>75</v>
      </c>
      <c r="K17">
        <v>3.14159265358979</v>
      </c>
      <c r="L17">
        <v>0.97010331536496597</v>
      </c>
      <c r="M17">
        <v>0</v>
      </c>
      <c r="N17">
        <v>5.69596809419411E-2</v>
      </c>
      <c r="O17">
        <v>0</v>
      </c>
      <c r="P17">
        <v>1.6E-2</v>
      </c>
      <c r="Q17">
        <v>0</v>
      </c>
      <c r="R17">
        <v>0</v>
      </c>
      <c r="S17">
        <v>0</v>
      </c>
      <c r="T17">
        <v>0</v>
      </c>
      <c r="U17">
        <v>0.97819150132519395</v>
      </c>
      <c r="V17" t="s">
        <v>78</v>
      </c>
      <c r="W17">
        <v>3859219.8728128099</v>
      </c>
      <c r="X17" t="s">
        <v>76</v>
      </c>
      <c r="Y17">
        <v>-1.5707963267949001</v>
      </c>
      <c r="Z17">
        <v>0.96942623364964997</v>
      </c>
      <c r="AA17">
        <v>0</v>
      </c>
      <c r="AB17">
        <v>5.65289401661093E-2</v>
      </c>
      <c r="AC17">
        <v>0</v>
      </c>
      <c r="AD17">
        <v>1.6513713480643798E-2</v>
      </c>
      <c r="AE17">
        <v>8.6302978154611805E-4</v>
      </c>
      <c r="AF17">
        <v>0</v>
      </c>
      <c r="AG17">
        <v>3.2134848850319898E-2</v>
      </c>
      <c r="AH17">
        <v>9.0404441834775098E-4</v>
      </c>
      <c r="AI17">
        <v>0.95657165955505596</v>
      </c>
      <c r="AJ17" t="s">
        <v>74</v>
      </c>
      <c r="AK17">
        <v>0</v>
      </c>
      <c r="AL17" t="s">
        <v>77</v>
      </c>
      <c r="AM17">
        <v>0</v>
      </c>
      <c r="AN17">
        <v>0.99199999999999999</v>
      </c>
      <c r="AO17">
        <v>0</v>
      </c>
      <c r="AP17">
        <v>5.8245346242475203E-2</v>
      </c>
      <c r="AQ17">
        <v>0</v>
      </c>
      <c r="AR17">
        <v>1.6E-2</v>
      </c>
      <c r="AS17">
        <v>0</v>
      </c>
      <c r="AT17">
        <v>0</v>
      </c>
      <c r="AU17">
        <v>0</v>
      </c>
      <c r="AV17">
        <v>0</v>
      </c>
      <c r="AW17">
        <v>1</v>
      </c>
      <c r="AX17" t="s">
        <v>74</v>
      </c>
      <c r="AY17">
        <v>0</v>
      </c>
      <c r="AZ17" t="s">
        <v>76</v>
      </c>
      <c r="BA17">
        <v>-1.5707963267949001</v>
      </c>
      <c r="BB17">
        <v>0.99199999999999999</v>
      </c>
      <c r="BC17">
        <v>0</v>
      </c>
      <c r="BD17">
        <v>5.8245346242475203E-2</v>
      </c>
      <c r="BE17">
        <v>0</v>
      </c>
      <c r="BF17">
        <v>1.6E-2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1.1498965679650001E-4</v>
      </c>
      <c r="BM17" s="1">
        <v>1.6519446634333801E-5</v>
      </c>
      <c r="BN17" s="1">
        <v>4.2807599784251402E-7</v>
      </c>
      <c r="BO17" s="1">
        <v>2.5948686093895899E-7</v>
      </c>
      <c r="BP17">
        <v>0</v>
      </c>
      <c r="BQ17">
        <v>0</v>
      </c>
      <c r="BR17" s="1">
        <v>6.5809846661960098E-5</v>
      </c>
      <c r="BS17" s="1">
        <v>9.4557378772796903E-6</v>
      </c>
    </row>
    <row r="18" spans="1:71" x14ac:dyDescent="0.25">
      <c r="A18">
        <v>15</v>
      </c>
      <c r="B18" s="1">
        <v>1.4431827282175699E-5</v>
      </c>
      <c r="C18">
        <v>0.132096830483731</v>
      </c>
      <c r="D18">
        <v>-4.8874059549918305E-4</v>
      </c>
      <c r="E18">
        <v>6.1312499999999995E-4</v>
      </c>
      <c r="F18">
        <v>-1.32096830483731E-3</v>
      </c>
      <c r="G18" s="1">
        <v>1.0842021724855E-19</v>
      </c>
      <c r="H18" t="s">
        <v>74</v>
      </c>
      <c r="I18">
        <v>0</v>
      </c>
      <c r="J18" t="s">
        <v>75</v>
      </c>
      <c r="K18">
        <v>3.14159265358979</v>
      </c>
      <c r="L18">
        <v>0.96841931572814299</v>
      </c>
      <c r="M18">
        <v>0</v>
      </c>
      <c r="N18">
        <v>5.6860804790813103E-2</v>
      </c>
      <c r="O18">
        <v>0</v>
      </c>
      <c r="P18">
        <v>1.6E-2</v>
      </c>
      <c r="Q18">
        <v>0</v>
      </c>
      <c r="R18">
        <v>0</v>
      </c>
      <c r="S18">
        <v>0</v>
      </c>
      <c r="T18">
        <v>0</v>
      </c>
      <c r="U18">
        <v>0.97646765060171403</v>
      </c>
      <c r="V18" t="s">
        <v>78</v>
      </c>
      <c r="W18">
        <v>3859779.1799582401</v>
      </c>
      <c r="X18" t="s">
        <v>76</v>
      </c>
      <c r="Y18">
        <v>-1.5707963267949001</v>
      </c>
      <c r="Z18">
        <v>0.96773570910835904</v>
      </c>
      <c r="AA18">
        <v>0</v>
      </c>
      <c r="AB18">
        <v>5.6425913050118501E-2</v>
      </c>
      <c r="AC18">
        <v>0</v>
      </c>
      <c r="AD18">
        <v>1.64564000145037E-2</v>
      </c>
      <c r="AE18">
        <v>9.3540099672468995E-4</v>
      </c>
      <c r="AF18">
        <v>0</v>
      </c>
      <c r="AG18">
        <v>3.45294157539019E-2</v>
      </c>
      <c r="AH18">
        <v>1.0503865698495399E-3</v>
      </c>
      <c r="AI18">
        <v>0.95322610320835</v>
      </c>
      <c r="AJ18" t="s">
        <v>74</v>
      </c>
      <c r="AK18">
        <v>0</v>
      </c>
      <c r="AL18" t="s">
        <v>77</v>
      </c>
      <c r="AM18">
        <v>0</v>
      </c>
      <c r="AN18">
        <v>0.99199999999999999</v>
      </c>
      <c r="AO18">
        <v>0</v>
      </c>
      <c r="AP18">
        <v>5.8245346242475203E-2</v>
      </c>
      <c r="AQ18">
        <v>0</v>
      </c>
      <c r="AR18">
        <v>1.6E-2</v>
      </c>
      <c r="AS18">
        <v>0</v>
      </c>
      <c r="AT18">
        <v>0</v>
      </c>
      <c r="AU18">
        <v>0</v>
      </c>
      <c r="AV18">
        <v>0</v>
      </c>
      <c r="AW18">
        <v>1</v>
      </c>
      <c r="AX18" t="s">
        <v>74</v>
      </c>
      <c r="AY18">
        <v>0</v>
      </c>
      <c r="AZ18" t="s">
        <v>76</v>
      </c>
      <c r="BA18">
        <v>-1.5707963267949001</v>
      </c>
      <c r="BB18">
        <v>0.99199999999999999</v>
      </c>
      <c r="BC18">
        <v>0</v>
      </c>
      <c r="BD18">
        <v>5.8245346242475203E-2</v>
      </c>
      <c r="BE18">
        <v>0</v>
      </c>
      <c r="BF18">
        <v>1.6E-2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1.1488870516294099E-4</v>
      </c>
      <c r="BM18" s="1">
        <v>1.7789901161875701E-5</v>
      </c>
      <c r="BN18" s="1">
        <v>4.27688253338718E-7</v>
      </c>
      <c r="BO18" s="1">
        <v>2.7944311399118603E-7</v>
      </c>
      <c r="BP18">
        <v>0</v>
      </c>
      <c r="BQ18">
        <v>0</v>
      </c>
      <c r="BR18" s="1">
        <v>6.5746835227269905E-5</v>
      </c>
      <c r="BS18" s="1">
        <v>1.01830874711134E-5</v>
      </c>
    </row>
    <row r="19" spans="1:71" x14ac:dyDescent="0.25">
      <c r="A19">
        <v>16</v>
      </c>
      <c r="B19" s="1">
        <v>1.3502212984505101E-5</v>
      </c>
      <c r="C19">
        <v>0.13211033269671599</v>
      </c>
      <c r="D19">
        <v>-4.8880122950927505E-4</v>
      </c>
      <c r="E19">
        <v>6.1312499999999995E-4</v>
      </c>
      <c r="F19">
        <v>-1.3211033269671601E-3</v>
      </c>
      <c r="G19" s="1">
        <v>2.1684043449710098E-19</v>
      </c>
      <c r="H19" t="s">
        <v>74</v>
      </c>
      <c r="I19">
        <v>0</v>
      </c>
      <c r="J19" t="s">
        <v>75</v>
      </c>
      <c r="K19">
        <v>3.14159265358979</v>
      </c>
      <c r="L19">
        <v>0.96673532975697996</v>
      </c>
      <c r="M19">
        <v>0</v>
      </c>
      <c r="N19">
        <v>5.6761929442065297E-2</v>
      </c>
      <c r="O19">
        <v>0</v>
      </c>
      <c r="P19">
        <v>1.6E-2</v>
      </c>
      <c r="Q19">
        <v>0</v>
      </c>
      <c r="R19">
        <v>0</v>
      </c>
      <c r="S19">
        <v>0</v>
      </c>
      <c r="T19">
        <v>0</v>
      </c>
      <c r="U19">
        <v>0.97474735290661896</v>
      </c>
      <c r="V19" t="s">
        <v>78</v>
      </c>
      <c r="W19">
        <v>3860302.4220339898</v>
      </c>
      <c r="X19" t="s">
        <v>76</v>
      </c>
      <c r="Y19">
        <v>-1.5707963267949001</v>
      </c>
      <c r="Z19">
        <v>0.96604573284838902</v>
      </c>
      <c r="AA19">
        <v>0</v>
      </c>
      <c r="AB19">
        <v>5.6323226844296102E-2</v>
      </c>
      <c r="AC19">
        <v>0</v>
      </c>
      <c r="AD19">
        <v>1.63980232084972E-2</v>
      </c>
      <c r="AE19">
        <v>1.0077914115068801E-3</v>
      </c>
      <c r="AF19">
        <v>0</v>
      </c>
      <c r="AG19">
        <v>3.6912879841177998E-2</v>
      </c>
      <c r="AH19">
        <v>1.20781091817556E-3</v>
      </c>
      <c r="AI19">
        <v>0.94989001808273998</v>
      </c>
      <c r="AJ19" t="s">
        <v>74</v>
      </c>
      <c r="AK19">
        <v>0</v>
      </c>
      <c r="AL19" t="s">
        <v>77</v>
      </c>
      <c r="AM19">
        <v>0</v>
      </c>
      <c r="AN19">
        <v>0.99199999999999999</v>
      </c>
      <c r="AO19">
        <v>0</v>
      </c>
      <c r="AP19">
        <v>5.8245346242475203E-2</v>
      </c>
      <c r="AQ19">
        <v>0</v>
      </c>
      <c r="AR19">
        <v>1.6E-2</v>
      </c>
      <c r="AS19">
        <v>0</v>
      </c>
      <c r="AT19">
        <v>0</v>
      </c>
      <c r="AU19">
        <v>0</v>
      </c>
      <c r="AV19">
        <v>0</v>
      </c>
      <c r="AW19">
        <v>1</v>
      </c>
      <c r="AX19" t="s">
        <v>74</v>
      </c>
      <c r="AY19">
        <v>0</v>
      </c>
      <c r="AZ19" t="s">
        <v>76</v>
      </c>
      <c r="BA19">
        <v>-1.5707963267949001</v>
      </c>
      <c r="BB19">
        <v>0.99199999999999999</v>
      </c>
      <c r="BC19">
        <v>0</v>
      </c>
      <c r="BD19">
        <v>5.8245346242475203E-2</v>
      </c>
      <c r="BE19">
        <v>0</v>
      </c>
      <c r="BF19">
        <v>1.6E-2</v>
      </c>
      <c r="BG19">
        <v>0</v>
      </c>
      <c r="BH19">
        <v>0</v>
      </c>
      <c r="BI19">
        <v>0</v>
      </c>
      <c r="BJ19">
        <v>0</v>
      </c>
      <c r="BK19">
        <v>1</v>
      </c>
      <c r="BL19">
        <v>1.14787924385656E-4</v>
      </c>
      <c r="BM19" s="1">
        <v>1.90603453796768E-5</v>
      </c>
      <c r="BN19" s="1">
        <v>4.2730204231493401E-7</v>
      </c>
      <c r="BO19" s="1">
        <v>2.9939920509838401E-7</v>
      </c>
      <c r="BP19">
        <v>0</v>
      </c>
      <c r="BQ19">
        <v>0</v>
      </c>
      <c r="BR19" s="1">
        <v>6.5683853983082601E-5</v>
      </c>
      <c r="BS19" s="1">
        <v>1.0910441561469899E-5</v>
      </c>
    </row>
    <row r="20" spans="1:71" x14ac:dyDescent="0.25">
      <c r="A20">
        <v>17</v>
      </c>
      <c r="B20" s="1">
        <v>1.26889008771183E-5</v>
      </c>
      <c r="C20">
        <v>0.13212302159759301</v>
      </c>
      <c r="D20">
        <v>-4.8885820735454499E-4</v>
      </c>
      <c r="E20">
        <v>6.1312499999999995E-4</v>
      </c>
      <c r="F20">
        <v>-1.3212302159759299E-3</v>
      </c>
      <c r="G20" s="1">
        <v>2.1684043449710098E-19</v>
      </c>
      <c r="H20" t="s">
        <v>74</v>
      </c>
      <c r="I20">
        <v>0</v>
      </c>
      <c r="J20" t="s">
        <v>75</v>
      </c>
      <c r="K20">
        <v>3.14159265358979</v>
      </c>
      <c r="L20">
        <v>0.96505135758832805</v>
      </c>
      <c r="M20">
        <v>0</v>
      </c>
      <c r="N20">
        <v>5.6663054903732801E-2</v>
      </c>
      <c r="O20">
        <v>0</v>
      </c>
      <c r="P20">
        <v>1.6E-2</v>
      </c>
      <c r="Q20">
        <v>0</v>
      </c>
      <c r="R20">
        <v>0</v>
      </c>
      <c r="S20">
        <v>0</v>
      </c>
      <c r="T20">
        <v>0</v>
      </c>
      <c r="U20">
        <v>0.97302984189305897</v>
      </c>
      <c r="V20" t="s">
        <v>78</v>
      </c>
      <c r="W20">
        <v>3860794.1131819999</v>
      </c>
      <c r="X20" t="s">
        <v>76</v>
      </c>
      <c r="Y20">
        <v>-1.5707963267949001</v>
      </c>
      <c r="Z20">
        <v>0.96435623719012198</v>
      </c>
      <c r="AA20">
        <v>0</v>
      </c>
      <c r="AB20">
        <v>5.6220838413702998E-2</v>
      </c>
      <c r="AC20">
        <v>0</v>
      </c>
      <c r="AD20">
        <v>1.6338721317418901E-2</v>
      </c>
      <c r="AE20">
        <v>1.0801968548586E-3</v>
      </c>
      <c r="AF20">
        <v>0</v>
      </c>
      <c r="AG20">
        <v>3.9285205655745198E-2</v>
      </c>
      <c r="AH20">
        <v>1.3763527132401199E-3</v>
      </c>
      <c r="AI20">
        <v>0.94656264737610296</v>
      </c>
      <c r="AJ20" t="s">
        <v>74</v>
      </c>
      <c r="AK20">
        <v>0</v>
      </c>
      <c r="AL20" t="s">
        <v>77</v>
      </c>
      <c r="AM20">
        <v>0</v>
      </c>
      <c r="AN20">
        <v>0.99199999999999999</v>
      </c>
      <c r="AO20">
        <v>0</v>
      </c>
      <c r="AP20">
        <v>5.8245346242475203E-2</v>
      </c>
      <c r="AQ20">
        <v>0</v>
      </c>
      <c r="AR20">
        <v>1.6E-2</v>
      </c>
      <c r="AS20">
        <v>0</v>
      </c>
      <c r="AT20">
        <v>0</v>
      </c>
      <c r="AU20">
        <v>0</v>
      </c>
      <c r="AV20">
        <v>0</v>
      </c>
      <c r="AW20">
        <v>1</v>
      </c>
      <c r="AX20" t="s">
        <v>74</v>
      </c>
      <c r="AY20">
        <v>0</v>
      </c>
      <c r="AZ20" t="s">
        <v>76</v>
      </c>
      <c r="BA20">
        <v>-1.5707963267949001</v>
      </c>
      <c r="BB20">
        <v>0.99199999999999999</v>
      </c>
      <c r="BC20">
        <v>0</v>
      </c>
      <c r="BD20">
        <v>5.8245346242475203E-2</v>
      </c>
      <c r="BE20">
        <v>0</v>
      </c>
      <c r="BF20">
        <v>1.6E-2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1.14687292901193E-4</v>
      </c>
      <c r="BM20" s="1">
        <v>2.0330779184492701E-5</v>
      </c>
      <c r="BN20" s="1">
        <v>4.2691717065777002E-7</v>
      </c>
      <c r="BO20" s="1">
        <v>3.1935513263879201E-7</v>
      </c>
      <c r="BP20">
        <v>0</v>
      </c>
      <c r="BQ20">
        <v>0</v>
      </c>
      <c r="BR20" s="1">
        <v>6.5620898949075306E-5</v>
      </c>
      <c r="BS20" s="1">
        <v>1.16377994421574E-5</v>
      </c>
    </row>
    <row r="21" spans="1:71" x14ac:dyDescent="0.25">
      <c r="A21">
        <v>18</v>
      </c>
      <c r="B21" s="1">
        <v>1.1971366461081999E-5</v>
      </c>
      <c r="C21">
        <v>0.13213499296405401</v>
      </c>
      <c r="D21">
        <v>-4.8891195979511E-4</v>
      </c>
      <c r="E21">
        <v>6.1312499999999995E-4</v>
      </c>
      <c r="F21">
        <v>-1.32134992964054E-3</v>
      </c>
      <c r="G21" s="1">
        <v>2.1684043449710098E-19</v>
      </c>
      <c r="H21" t="s">
        <v>74</v>
      </c>
      <c r="I21">
        <v>0</v>
      </c>
      <c r="J21" t="s">
        <v>75</v>
      </c>
      <c r="K21">
        <v>3.14159265358979</v>
      </c>
      <c r="L21">
        <v>0.96336739935579596</v>
      </c>
      <c r="M21">
        <v>0</v>
      </c>
      <c r="N21">
        <v>5.6564181183660502E-2</v>
      </c>
      <c r="O21">
        <v>0</v>
      </c>
      <c r="P21">
        <v>1.6E-2</v>
      </c>
      <c r="Q21">
        <v>0</v>
      </c>
      <c r="R21">
        <v>0</v>
      </c>
      <c r="S21">
        <v>0</v>
      </c>
      <c r="T21">
        <v>0</v>
      </c>
      <c r="U21">
        <v>0.97131455604260797</v>
      </c>
      <c r="V21" t="s">
        <v>78</v>
      </c>
      <c r="W21">
        <v>3861257.9706529998</v>
      </c>
      <c r="X21" t="s">
        <v>76</v>
      </c>
      <c r="Y21">
        <v>-1.5707963267949001</v>
      </c>
      <c r="Z21">
        <v>0.96266716669349595</v>
      </c>
      <c r="AA21">
        <v>0</v>
      </c>
      <c r="AB21">
        <v>5.6118712411743599E-2</v>
      </c>
      <c r="AC21">
        <v>0</v>
      </c>
      <c r="AD21">
        <v>1.6278607777130399E-2</v>
      </c>
      <c r="AE21">
        <v>1.15261366742827E-3</v>
      </c>
      <c r="AF21">
        <v>0</v>
      </c>
      <c r="AG21">
        <v>4.16463574589317E-2</v>
      </c>
      <c r="AH21">
        <v>1.5560474921203699E-3</v>
      </c>
      <c r="AI21">
        <v>0.94324343909617603</v>
      </c>
      <c r="AJ21" t="s">
        <v>74</v>
      </c>
      <c r="AK21">
        <v>0</v>
      </c>
      <c r="AL21" t="s">
        <v>77</v>
      </c>
      <c r="AM21">
        <v>0</v>
      </c>
      <c r="AN21">
        <v>0.99199999999999999</v>
      </c>
      <c r="AO21">
        <v>0</v>
      </c>
      <c r="AP21">
        <v>5.8245346242475203E-2</v>
      </c>
      <c r="AQ21">
        <v>0</v>
      </c>
      <c r="AR21">
        <v>1.6E-2</v>
      </c>
      <c r="AS21">
        <v>0</v>
      </c>
      <c r="AT21">
        <v>0</v>
      </c>
      <c r="AU21">
        <v>0</v>
      </c>
      <c r="AV21">
        <v>0</v>
      </c>
      <c r="AW21">
        <v>1</v>
      </c>
      <c r="AX21" t="s">
        <v>74</v>
      </c>
      <c r="AY21">
        <v>0</v>
      </c>
      <c r="AZ21" t="s">
        <v>76</v>
      </c>
      <c r="BA21">
        <v>-1.5707963267949001</v>
      </c>
      <c r="BB21">
        <v>0.99199999999999999</v>
      </c>
      <c r="BC21">
        <v>0</v>
      </c>
      <c r="BD21">
        <v>5.8245346242475203E-2</v>
      </c>
      <c r="BE21">
        <v>0</v>
      </c>
      <c r="BF21">
        <v>1.6E-2</v>
      </c>
      <c r="BG21">
        <v>0</v>
      </c>
      <c r="BH21">
        <v>0</v>
      </c>
      <c r="BI21">
        <v>0</v>
      </c>
      <c r="BJ21">
        <v>0</v>
      </c>
      <c r="BK21">
        <v>1</v>
      </c>
      <c r="BL21">
        <v>1.14586793040177E-4</v>
      </c>
      <c r="BM21" s="1">
        <v>2.1601202475525999E-5</v>
      </c>
      <c r="BN21" s="1">
        <v>4.26533479301524E-7</v>
      </c>
      <c r="BO21" s="1">
        <v>3.3931089502909098E-7</v>
      </c>
      <c r="BP21">
        <v>0</v>
      </c>
      <c r="BQ21">
        <v>0</v>
      </c>
      <c r="BR21" s="1">
        <v>6.5557966903333505E-5</v>
      </c>
      <c r="BS21" s="1">
        <v>1.23651604894694E-5</v>
      </c>
    </row>
    <row r="22" spans="1:71" x14ac:dyDescent="0.25">
      <c r="A22">
        <v>19</v>
      </c>
      <c r="B22" s="1">
        <v>1.1333649201972801E-5</v>
      </c>
      <c r="C22">
        <v>0.13214632661325601</v>
      </c>
      <c r="D22">
        <v>-4.8896284578558004E-4</v>
      </c>
      <c r="E22">
        <v>6.1312499999999995E-4</v>
      </c>
      <c r="F22">
        <v>-1.3214632661325599E-3</v>
      </c>
      <c r="G22" s="1">
        <v>1.0842021724855E-19</v>
      </c>
      <c r="H22" t="s">
        <v>74</v>
      </c>
      <c r="I22">
        <v>0</v>
      </c>
      <c r="J22" t="s">
        <v>75</v>
      </c>
      <c r="K22">
        <v>3.14159265358979</v>
      </c>
      <c r="L22">
        <v>0.96168345519030296</v>
      </c>
      <c r="M22">
        <v>0</v>
      </c>
      <c r="N22">
        <v>5.6465308289535401E-2</v>
      </c>
      <c r="O22">
        <v>0</v>
      </c>
      <c r="P22">
        <v>1.6E-2</v>
      </c>
      <c r="Q22">
        <v>0</v>
      </c>
      <c r="R22">
        <v>0</v>
      </c>
      <c r="S22">
        <v>0</v>
      </c>
      <c r="T22">
        <v>0</v>
      </c>
      <c r="U22">
        <v>0.96960107591371503</v>
      </c>
      <c r="V22" t="s">
        <v>78</v>
      </c>
      <c r="W22">
        <v>3861697.0920510399</v>
      </c>
      <c r="X22" t="s">
        <v>76</v>
      </c>
      <c r="Y22">
        <v>-1.5707963267949001</v>
      </c>
      <c r="Z22">
        <v>0.96097847537125503</v>
      </c>
      <c r="AA22">
        <v>0</v>
      </c>
      <c r="AB22">
        <v>5.6016819506988502E-2</v>
      </c>
      <c r="AC22">
        <v>0</v>
      </c>
      <c r="AD22">
        <v>1.62177768492433E-2</v>
      </c>
      <c r="AE22">
        <v>1.2250386038022E-3</v>
      </c>
      <c r="AF22">
        <v>0</v>
      </c>
      <c r="AG22">
        <v>4.3996299245586498E-2</v>
      </c>
      <c r="AH22">
        <v>1.74693106242886E-3</v>
      </c>
      <c r="AI22">
        <v>0.93993198330666605</v>
      </c>
      <c r="AJ22" t="s">
        <v>74</v>
      </c>
      <c r="AK22">
        <v>0</v>
      </c>
      <c r="AL22" t="s">
        <v>77</v>
      </c>
      <c r="AM22">
        <v>0</v>
      </c>
      <c r="AN22">
        <v>0.99199999999999999</v>
      </c>
      <c r="AO22">
        <v>0</v>
      </c>
      <c r="AP22">
        <v>5.8245346242475203E-2</v>
      </c>
      <c r="AQ22">
        <v>0</v>
      </c>
      <c r="AR22">
        <v>1.6E-2</v>
      </c>
      <c r="AS22">
        <v>0</v>
      </c>
      <c r="AT22">
        <v>0</v>
      </c>
      <c r="AU22">
        <v>0</v>
      </c>
      <c r="AV22">
        <v>0</v>
      </c>
      <c r="AW22">
        <v>1</v>
      </c>
      <c r="AX22" t="s">
        <v>74</v>
      </c>
      <c r="AY22">
        <v>0</v>
      </c>
      <c r="AZ22" t="s">
        <v>76</v>
      </c>
      <c r="BA22">
        <v>-1.5707963267949001</v>
      </c>
      <c r="BB22">
        <v>0.99199999999999999</v>
      </c>
      <c r="BC22">
        <v>0</v>
      </c>
      <c r="BD22">
        <v>5.8245346242475203E-2</v>
      </c>
      <c r="BE22">
        <v>0</v>
      </c>
      <c r="BF22">
        <v>1.6E-2</v>
      </c>
      <c r="BG22">
        <v>0</v>
      </c>
      <c r="BH22">
        <v>0</v>
      </c>
      <c r="BI22">
        <v>0</v>
      </c>
      <c r="BJ22">
        <v>0</v>
      </c>
      <c r="BK22">
        <v>1</v>
      </c>
      <c r="BL22">
        <v>1.1448641014073699E-4</v>
      </c>
      <c r="BM22" s="1">
        <v>2.2871615154007701E-5</v>
      </c>
      <c r="BN22" s="1">
        <v>4.2615083624886702E-7</v>
      </c>
      <c r="BO22" s="1">
        <v>3.59266490717817E-7</v>
      </c>
      <c r="BP22">
        <v>0</v>
      </c>
      <c r="BQ22">
        <v>0</v>
      </c>
      <c r="BR22" s="1">
        <v>6.5495055201301601E-5</v>
      </c>
      <c r="BS22" s="1">
        <v>1.30925241476714E-5</v>
      </c>
    </row>
    <row r="23" spans="1:71" x14ac:dyDescent="0.25">
      <c r="A23">
        <v>20</v>
      </c>
      <c r="B23" s="1">
        <v>1.07631502632983E-5</v>
      </c>
      <c r="C23">
        <v>0.132157089763519</v>
      </c>
      <c r="D23">
        <v>-4.89011167602775E-4</v>
      </c>
      <c r="E23">
        <v>6.1312499999999995E-4</v>
      </c>
      <c r="F23">
        <v>-1.3215708976351899E-3</v>
      </c>
      <c r="G23" s="1">
        <v>2.1684043449710098E-19</v>
      </c>
      <c r="H23" t="s">
        <v>74</v>
      </c>
      <c r="I23">
        <v>0</v>
      </c>
      <c r="J23" t="s">
        <v>75</v>
      </c>
      <c r="K23">
        <v>3.14159265358979</v>
      </c>
      <c r="L23">
        <v>0.95999952522060505</v>
      </c>
      <c r="M23">
        <v>0</v>
      </c>
      <c r="N23">
        <v>5.6366436228917301E-2</v>
      </c>
      <c r="O23">
        <v>0</v>
      </c>
      <c r="P23">
        <v>1.6E-2</v>
      </c>
      <c r="Q23">
        <v>0</v>
      </c>
      <c r="R23">
        <v>0</v>
      </c>
      <c r="S23">
        <v>0</v>
      </c>
      <c r="T23">
        <v>0</v>
      </c>
      <c r="U23">
        <v>0.96788908233214899</v>
      </c>
      <c r="V23" t="s">
        <v>78</v>
      </c>
      <c r="W23">
        <v>3862114.0858783498</v>
      </c>
      <c r="X23" t="s">
        <v>76</v>
      </c>
      <c r="Y23">
        <v>-1.5707963267949001</v>
      </c>
      <c r="Z23">
        <v>0.95929012465368202</v>
      </c>
      <c r="AA23">
        <v>0</v>
      </c>
      <c r="AB23">
        <v>5.5915135088093801E-2</v>
      </c>
      <c r="AC23">
        <v>0</v>
      </c>
      <c r="AD23">
        <v>1.6156307744371899E-2</v>
      </c>
      <c r="AE23">
        <v>1.2974687582033601E-3</v>
      </c>
      <c r="AF23">
        <v>0</v>
      </c>
      <c r="AG23">
        <v>4.6334994756169701E-2</v>
      </c>
      <c r="AH23">
        <v>1.9490394894309199E-3</v>
      </c>
      <c r="AI23">
        <v>0.93662797031592904</v>
      </c>
      <c r="AJ23" t="s">
        <v>74</v>
      </c>
      <c r="AK23">
        <v>0</v>
      </c>
      <c r="AL23" t="s">
        <v>77</v>
      </c>
      <c r="AM23">
        <v>0</v>
      </c>
      <c r="AN23">
        <v>0.99199999999999999</v>
      </c>
      <c r="AO23">
        <v>0</v>
      </c>
      <c r="AP23">
        <v>5.8245346242475203E-2</v>
      </c>
      <c r="AQ23">
        <v>0</v>
      </c>
      <c r="AR23">
        <v>1.6E-2</v>
      </c>
      <c r="AS23">
        <v>0</v>
      </c>
      <c r="AT23">
        <v>0</v>
      </c>
      <c r="AU23">
        <v>0</v>
      </c>
      <c r="AV23">
        <v>0</v>
      </c>
      <c r="AW23">
        <v>1</v>
      </c>
      <c r="AX23" t="s">
        <v>74</v>
      </c>
      <c r="AY23">
        <v>0</v>
      </c>
      <c r="AZ23" t="s">
        <v>76</v>
      </c>
      <c r="BA23">
        <v>-1.5707963267949001</v>
      </c>
      <c r="BB23">
        <v>0.99199999999999999</v>
      </c>
      <c r="BC23">
        <v>0</v>
      </c>
      <c r="BD23">
        <v>5.8245346242475203E-2</v>
      </c>
      <c r="BE23">
        <v>0</v>
      </c>
      <c r="BF23">
        <v>1.6E-2</v>
      </c>
      <c r="BG23">
        <v>0</v>
      </c>
      <c r="BH23">
        <v>0</v>
      </c>
      <c r="BI23">
        <v>0</v>
      </c>
      <c r="BJ23">
        <v>0</v>
      </c>
      <c r="BK23">
        <v>1</v>
      </c>
      <c r="BL23">
        <v>1.1438613190098099E-4</v>
      </c>
      <c r="BM23" s="1">
        <v>2.4142017122800299E-5</v>
      </c>
      <c r="BN23" s="1">
        <v>4.25769130742948E-7</v>
      </c>
      <c r="BO23" s="1">
        <v>3.7922191817914202E-7</v>
      </c>
      <c r="BP23">
        <v>0</v>
      </c>
      <c r="BQ23">
        <v>0</v>
      </c>
      <c r="BR23" s="1">
        <v>6.5432161645664701E-5</v>
      </c>
      <c r="BS23" s="1">
        <v>1.3819889917666601E-5</v>
      </c>
    </row>
    <row r="24" spans="1:71" x14ac:dyDescent="0.25">
      <c r="A24">
        <v>21</v>
      </c>
      <c r="B24" s="1">
        <v>1.02497913886334E-5</v>
      </c>
      <c r="C24">
        <v>0.132167339554908</v>
      </c>
      <c r="D24">
        <v>-4.8905718218766295E-4</v>
      </c>
      <c r="E24">
        <v>6.1312499999999995E-4</v>
      </c>
      <c r="F24">
        <v>-1.32167339554908E-3</v>
      </c>
      <c r="G24" s="1">
        <v>2.1684043449710098E-19</v>
      </c>
      <c r="H24" t="s">
        <v>74</v>
      </c>
      <c r="I24">
        <v>0</v>
      </c>
      <c r="J24" t="s">
        <v>75</v>
      </c>
      <c r="K24">
        <v>3.14159265358979</v>
      </c>
      <c r="L24">
        <v>0.95831560957373196</v>
      </c>
      <c r="M24">
        <v>0</v>
      </c>
      <c r="N24">
        <v>5.6267565009264803E-2</v>
      </c>
      <c r="O24">
        <v>0</v>
      </c>
      <c r="P24">
        <v>1.6E-2</v>
      </c>
      <c r="Q24">
        <v>0</v>
      </c>
      <c r="R24">
        <v>0</v>
      </c>
      <c r="S24">
        <v>0</v>
      </c>
      <c r="T24">
        <v>0</v>
      </c>
      <c r="U24">
        <v>0.96617832817719196</v>
      </c>
      <c r="V24" t="s">
        <v>78</v>
      </c>
      <c r="W24">
        <v>3862511.1694107498</v>
      </c>
      <c r="X24" t="s">
        <v>76</v>
      </c>
      <c r="Y24">
        <v>-1.5707963267949001</v>
      </c>
      <c r="Z24">
        <v>0.95760208187387397</v>
      </c>
      <c r="AA24">
        <v>0</v>
      </c>
      <c r="AB24">
        <v>5.58136382999187E-2</v>
      </c>
      <c r="AC24">
        <v>0</v>
      </c>
      <c r="AD24">
        <v>1.6094267691386201E-2</v>
      </c>
      <c r="AE24">
        <v>1.3699015070226101E-3</v>
      </c>
      <c r="AF24">
        <v>0</v>
      </c>
      <c r="AG24">
        <v>4.8662407486066699E-2</v>
      </c>
      <c r="AH24">
        <v>2.1624090860727701E-3</v>
      </c>
      <c r="AI24">
        <v>0.93333116246178205</v>
      </c>
      <c r="AJ24" t="s">
        <v>74</v>
      </c>
      <c r="AK24">
        <v>0</v>
      </c>
      <c r="AL24" t="s">
        <v>77</v>
      </c>
      <c r="AM24">
        <v>0</v>
      </c>
      <c r="AN24">
        <v>0.99199999999999999</v>
      </c>
      <c r="AO24">
        <v>0</v>
      </c>
      <c r="AP24">
        <v>5.8245346242475203E-2</v>
      </c>
      <c r="AQ24">
        <v>0</v>
      </c>
      <c r="AR24">
        <v>1.6E-2</v>
      </c>
      <c r="AS24">
        <v>0</v>
      </c>
      <c r="AT24">
        <v>0</v>
      </c>
      <c r="AU24">
        <v>0</v>
      </c>
      <c r="AV24">
        <v>0</v>
      </c>
      <c r="AW24">
        <v>1</v>
      </c>
      <c r="AX24" t="s">
        <v>74</v>
      </c>
      <c r="AY24">
        <v>0</v>
      </c>
      <c r="AZ24" t="s">
        <v>76</v>
      </c>
      <c r="BA24">
        <v>-1.5707963267949001</v>
      </c>
      <c r="BB24">
        <v>0.99199999999999999</v>
      </c>
      <c r="BC24">
        <v>0</v>
      </c>
      <c r="BD24">
        <v>5.8245346242475203E-2</v>
      </c>
      <c r="BE24">
        <v>0</v>
      </c>
      <c r="BF24">
        <v>1.6E-2</v>
      </c>
      <c r="BG24">
        <v>0</v>
      </c>
      <c r="BH24">
        <v>0</v>
      </c>
      <c r="BI24">
        <v>0</v>
      </c>
      <c r="BJ24">
        <v>0</v>
      </c>
      <c r="BK24">
        <v>1</v>
      </c>
      <c r="BL24">
        <v>1.14285947897067E-4</v>
      </c>
      <c r="BM24" s="1">
        <v>2.54124082860697E-5</v>
      </c>
      <c r="BN24" s="1">
        <v>4.2538826892990998E-7</v>
      </c>
      <c r="BO24" s="1">
        <v>3.99177175907706E-7</v>
      </c>
      <c r="BP24">
        <v>0</v>
      </c>
      <c r="BQ24">
        <v>0</v>
      </c>
      <c r="BR24" s="1">
        <v>6.5369284390907298E-5</v>
      </c>
      <c r="BS24" s="1">
        <v>1.4547257348034801E-5</v>
      </c>
    </row>
    <row r="25" spans="1:71" x14ac:dyDescent="0.25">
      <c r="A25">
        <v>22</v>
      </c>
      <c r="B25" s="1">
        <v>9.7854143666547905E-6</v>
      </c>
      <c r="C25">
        <v>0.132177124969275</v>
      </c>
      <c r="D25">
        <v>-4.8910110978452796E-4</v>
      </c>
      <c r="E25">
        <v>6.1312499999999995E-4</v>
      </c>
      <c r="F25">
        <v>-1.32177124969275E-3</v>
      </c>
      <c r="G25" s="1">
        <v>2.1684043449710098E-19</v>
      </c>
      <c r="H25" t="s">
        <v>74</v>
      </c>
      <c r="I25">
        <v>0</v>
      </c>
      <c r="J25" t="s">
        <v>75</v>
      </c>
      <c r="K25">
        <v>3.14159265358979</v>
      </c>
      <c r="L25">
        <v>0.95663170837539202</v>
      </c>
      <c r="M25">
        <v>0</v>
      </c>
      <c r="N25">
        <v>5.6168694637958899E-2</v>
      </c>
      <c r="O25">
        <v>0</v>
      </c>
      <c r="P25">
        <v>1.6E-2</v>
      </c>
      <c r="Q25">
        <v>0</v>
      </c>
      <c r="R25">
        <v>0</v>
      </c>
      <c r="S25">
        <v>0</v>
      </c>
      <c r="T25">
        <v>0</v>
      </c>
      <c r="U25">
        <v>0.96446861905233505</v>
      </c>
      <c r="V25" t="s">
        <v>78</v>
      </c>
      <c r="W25">
        <v>3862890.2432495402</v>
      </c>
      <c r="X25" t="s">
        <v>76</v>
      </c>
      <c r="Y25">
        <v>-1.5707963267949001</v>
      </c>
      <c r="Z25">
        <v>0.95591431912147695</v>
      </c>
      <c r="AA25">
        <v>0</v>
      </c>
      <c r="AB25">
        <v>5.5712311314071901E-2</v>
      </c>
      <c r="AC25">
        <v>0</v>
      </c>
      <c r="AD25">
        <v>1.6031714260620701E-2</v>
      </c>
      <c r="AE25">
        <v>1.44233446366354E-3</v>
      </c>
      <c r="AF25">
        <v>0</v>
      </c>
      <c r="AG25">
        <v>5.0978500692708997E-2</v>
      </c>
      <c r="AH25">
        <v>2.3870764052467499E-3</v>
      </c>
      <c r="AI25">
        <v>0.93004137478115101</v>
      </c>
      <c r="AJ25" t="s">
        <v>74</v>
      </c>
      <c r="AK25">
        <v>0</v>
      </c>
      <c r="AL25" t="s">
        <v>77</v>
      </c>
      <c r="AM25">
        <v>0</v>
      </c>
      <c r="AN25">
        <v>0.99199999999999999</v>
      </c>
      <c r="AO25">
        <v>0</v>
      </c>
      <c r="AP25">
        <v>5.8245346242475203E-2</v>
      </c>
      <c r="AQ25">
        <v>0</v>
      </c>
      <c r="AR25">
        <v>1.6E-2</v>
      </c>
      <c r="AS25">
        <v>0</v>
      </c>
      <c r="AT25">
        <v>0</v>
      </c>
      <c r="AU25">
        <v>0</v>
      </c>
      <c r="AV25">
        <v>0</v>
      </c>
      <c r="AW25">
        <v>1</v>
      </c>
      <c r="AX25" t="s">
        <v>74</v>
      </c>
      <c r="AY25">
        <v>0</v>
      </c>
      <c r="AZ25" t="s">
        <v>76</v>
      </c>
      <c r="BA25">
        <v>-1.5707963267949001</v>
      </c>
      <c r="BB25">
        <v>0.99199999999999999</v>
      </c>
      <c r="BC25">
        <v>0</v>
      </c>
      <c r="BD25">
        <v>5.8245346242475203E-2</v>
      </c>
      <c r="BE25">
        <v>0</v>
      </c>
      <c r="BF25">
        <v>1.6E-2</v>
      </c>
      <c r="BG25">
        <v>0</v>
      </c>
      <c r="BH25">
        <v>0</v>
      </c>
      <c r="BI25">
        <v>0</v>
      </c>
      <c r="BJ25">
        <v>0</v>
      </c>
      <c r="BK25">
        <v>1</v>
      </c>
      <c r="BL25">
        <v>1.14185849218491E-4</v>
      </c>
      <c r="BM25" s="1">
        <v>2.6682788548977901E-5</v>
      </c>
      <c r="BN25" s="1">
        <v>4.2500817057633E-7</v>
      </c>
      <c r="BO25" s="1">
        <v>4.1913226241379399E-7</v>
      </c>
      <c r="BP25">
        <v>0</v>
      </c>
      <c r="BQ25">
        <v>0</v>
      </c>
      <c r="BR25" s="1">
        <v>6.5306421872030597E-5</v>
      </c>
      <c r="BS25" s="1">
        <v>1.5274626027834501E-5</v>
      </c>
    </row>
    <row r="26" spans="1:71" x14ac:dyDescent="0.25">
      <c r="A26">
        <v>23</v>
      </c>
      <c r="B26" s="1">
        <v>9.3633444299626003E-6</v>
      </c>
      <c r="C26">
        <v>0.132186488313704</v>
      </c>
      <c r="D26">
        <v>-4.8914314061529896E-4</v>
      </c>
      <c r="E26">
        <v>6.1312499999999995E-4</v>
      </c>
      <c r="F26">
        <v>-1.3218648831370399E-3</v>
      </c>
      <c r="G26" s="1">
        <v>2.1684043449710098E-19</v>
      </c>
      <c r="H26" t="s">
        <v>74</v>
      </c>
      <c r="I26">
        <v>0</v>
      </c>
      <c r="J26" t="s">
        <v>75</v>
      </c>
      <c r="K26">
        <v>3.14159265358979</v>
      </c>
      <c r="L26">
        <v>0.95494782175029003</v>
      </c>
      <c r="M26">
        <v>0</v>
      </c>
      <c r="N26">
        <v>5.6069825122321698E-2</v>
      </c>
      <c r="O26">
        <v>0</v>
      </c>
      <c r="P26">
        <v>1.6E-2</v>
      </c>
      <c r="Q26">
        <v>0</v>
      </c>
      <c r="R26">
        <v>0</v>
      </c>
      <c r="S26">
        <v>0</v>
      </c>
      <c r="T26">
        <v>0</v>
      </c>
      <c r="U26">
        <v>0.96275979982235305</v>
      </c>
      <c r="V26" t="s">
        <v>78</v>
      </c>
      <c r="W26">
        <v>3863252.9489176101</v>
      </c>
      <c r="X26" t="s">
        <v>76</v>
      </c>
      <c r="Y26">
        <v>-1.5707963267949001</v>
      </c>
      <c r="Z26">
        <v>0.95422681236219198</v>
      </c>
      <c r="AA26">
        <v>0</v>
      </c>
      <c r="AB26">
        <v>5.5611138768581203E-2</v>
      </c>
      <c r="AC26">
        <v>0</v>
      </c>
      <c r="AD26">
        <v>1.5968697148823499E-2</v>
      </c>
      <c r="AE26">
        <v>1.51476544256004E-3</v>
      </c>
      <c r="AF26">
        <v>0</v>
      </c>
      <c r="AG26">
        <v>5.3283237401095598E-2</v>
      </c>
      <c r="AH26">
        <v>2.62307823379169E-3</v>
      </c>
      <c r="AI26">
        <v>0.92675846154627595</v>
      </c>
      <c r="AJ26" t="s">
        <v>74</v>
      </c>
      <c r="AK26">
        <v>0</v>
      </c>
      <c r="AL26" t="s">
        <v>77</v>
      </c>
      <c r="AM26">
        <v>0</v>
      </c>
      <c r="AN26">
        <v>0.99199999999999999</v>
      </c>
      <c r="AO26">
        <v>0</v>
      </c>
      <c r="AP26">
        <v>5.8245346242475203E-2</v>
      </c>
      <c r="AQ26">
        <v>0</v>
      </c>
      <c r="AR26">
        <v>1.6E-2</v>
      </c>
      <c r="AS26">
        <v>0</v>
      </c>
      <c r="AT26">
        <v>0</v>
      </c>
      <c r="AU26">
        <v>0</v>
      </c>
      <c r="AV26">
        <v>0</v>
      </c>
      <c r="AW26">
        <v>1</v>
      </c>
      <c r="AX26" t="s">
        <v>74</v>
      </c>
      <c r="AY26">
        <v>0</v>
      </c>
      <c r="AZ26" t="s">
        <v>76</v>
      </c>
      <c r="BA26">
        <v>-1.5707963267949001</v>
      </c>
      <c r="BB26">
        <v>0.99199999999999999</v>
      </c>
      <c r="BC26">
        <v>0</v>
      </c>
      <c r="BD26">
        <v>5.8245346242475203E-2</v>
      </c>
      <c r="BE26">
        <v>0</v>
      </c>
      <c r="BF26">
        <v>1.6E-2</v>
      </c>
      <c r="BG26">
        <v>0</v>
      </c>
      <c r="BH26">
        <v>0</v>
      </c>
      <c r="BI26">
        <v>0</v>
      </c>
      <c r="BJ26">
        <v>0</v>
      </c>
      <c r="BK26">
        <v>1</v>
      </c>
      <c r="BL26">
        <v>1.14085828187927E-4</v>
      </c>
      <c r="BM26" s="1">
        <v>2.7953157817443601E-5</v>
      </c>
      <c r="BN26" s="1">
        <v>4.2462876654771102E-7</v>
      </c>
      <c r="BO26" s="1">
        <v>4.39087176219585E-7</v>
      </c>
      <c r="BP26">
        <v>0</v>
      </c>
      <c r="BQ26">
        <v>0</v>
      </c>
      <c r="BR26" s="1">
        <v>6.5243572750451598E-5</v>
      </c>
      <c r="BS26" s="1">
        <v>1.6001995580780598E-5</v>
      </c>
    </row>
    <row r="27" spans="1:71" x14ac:dyDescent="0.25">
      <c r="A27">
        <v>24</v>
      </c>
      <c r="B27" s="1">
        <v>8.9780676380934999E-6</v>
      </c>
      <c r="C27">
        <v>0.132195466381343</v>
      </c>
      <c r="D27">
        <v>-4.89183440102072E-4</v>
      </c>
      <c r="E27">
        <v>6.1312499999999995E-4</v>
      </c>
      <c r="F27">
        <v>-1.32195466381343E-3</v>
      </c>
      <c r="G27" s="1">
        <v>1.0842021724855E-19</v>
      </c>
      <c r="H27" t="s">
        <v>74</v>
      </c>
      <c r="I27">
        <v>0</v>
      </c>
      <c r="J27" t="s">
        <v>75</v>
      </c>
      <c r="K27">
        <v>3.14159265358979</v>
      </c>
      <c r="L27">
        <v>0.953263949822446</v>
      </c>
      <c r="M27">
        <v>0</v>
      </c>
      <c r="N27">
        <v>5.5970956469635E-2</v>
      </c>
      <c r="O27">
        <v>0</v>
      </c>
      <c r="P27">
        <v>1.6E-2</v>
      </c>
      <c r="Q27">
        <v>0</v>
      </c>
      <c r="R27">
        <v>0</v>
      </c>
      <c r="S27">
        <v>0</v>
      </c>
      <c r="T27">
        <v>0</v>
      </c>
      <c r="U27">
        <v>0.96105174507492797</v>
      </c>
      <c r="V27" t="s">
        <v>78</v>
      </c>
      <c r="W27">
        <v>3863600.71392735</v>
      </c>
      <c r="X27" t="s">
        <v>76</v>
      </c>
      <c r="Y27">
        <v>-1.5707963267949001</v>
      </c>
      <c r="Z27">
        <v>0.95253954075238501</v>
      </c>
      <c r="AA27">
        <v>0</v>
      </c>
      <c r="AB27">
        <v>5.5510107331684197E-2</v>
      </c>
      <c r="AC27">
        <v>0</v>
      </c>
      <c r="AD27">
        <v>1.5905259569061699E-2</v>
      </c>
      <c r="AE27">
        <v>1.5871924301343501E-3</v>
      </c>
      <c r="AF27">
        <v>0</v>
      </c>
      <c r="AG27">
        <v>5.5576580407972503E-2</v>
      </c>
      <c r="AH27">
        <v>2.8704515878345202E-3</v>
      </c>
      <c r="AI27">
        <v>0.92348230672563303</v>
      </c>
      <c r="AJ27" t="s">
        <v>74</v>
      </c>
      <c r="AK27">
        <v>0</v>
      </c>
      <c r="AL27" t="s">
        <v>77</v>
      </c>
      <c r="AM27">
        <v>0</v>
      </c>
      <c r="AN27">
        <v>0.99199999999999999</v>
      </c>
      <c r="AO27">
        <v>0</v>
      </c>
      <c r="AP27">
        <v>5.8245346242475203E-2</v>
      </c>
      <c r="AQ27">
        <v>0</v>
      </c>
      <c r="AR27">
        <v>1.6E-2</v>
      </c>
      <c r="AS27">
        <v>0</v>
      </c>
      <c r="AT27">
        <v>0</v>
      </c>
      <c r="AU27">
        <v>0</v>
      </c>
      <c r="AV27">
        <v>0</v>
      </c>
      <c r="AW27">
        <v>1</v>
      </c>
      <c r="AX27" t="s">
        <v>74</v>
      </c>
      <c r="AY27">
        <v>0</v>
      </c>
      <c r="AZ27" t="s">
        <v>76</v>
      </c>
      <c r="BA27">
        <v>-1.5707963267949001</v>
      </c>
      <c r="BB27">
        <v>0.99199999999999999</v>
      </c>
      <c r="BC27">
        <v>0</v>
      </c>
      <c r="BD27">
        <v>5.8245346242475203E-2</v>
      </c>
      <c r="BE27">
        <v>0</v>
      </c>
      <c r="BF27">
        <v>1.6E-2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1.13985878143135E-4</v>
      </c>
      <c r="BM27" s="1">
        <v>2.9223515997903501E-5</v>
      </c>
      <c r="BN27" s="1">
        <v>4.2424999684553702E-7</v>
      </c>
      <c r="BO27" s="1">
        <v>4.59041915855388E-7</v>
      </c>
      <c r="BP27">
        <v>0</v>
      </c>
      <c r="BQ27">
        <v>0</v>
      </c>
      <c r="BR27" s="1">
        <v>6.5180735872347198E-5</v>
      </c>
      <c r="BS27" s="1">
        <v>1.6729365660452599E-5</v>
      </c>
    </row>
    <row r="28" spans="1:71" x14ac:dyDescent="0.25">
      <c r="A28">
        <v>25</v>
      </c>
      <c r="B28" s="1">
        <v>8.6249889672920408E-6</v>
      </c>
      <c r="C28">
        <v>0.13220409137031</v>
      </c>
      <c r="D28">
        <v>-4.8922215300107198E-4</v>
      </c>
      <c r="E28">
        <v>6.1312499999999995E-4</v>
      </c>
      <c r="F28">
        <v>-1.3220409137031E-3</v>
      </c>
      <c r="G28" s="1">
        <v>1.0842021724855E-19</v>
      </c>
      <c r="H28" t="s">
        <v>74</v>
      </c>
      <c r="I28">
        <v>0</v>
      </c>
      <c r="J28" t="s">
        <v>75</v>
      </c>
      <c r="K28">
        <v>3.14159265358979</v>
      </c>
      <c r="L28">
        <v>0.95158009271543298</v>
      </c>
      <c r="M28">
        <v>0</v>
      </c>
      <c r="N28">
        <v>5.5872088687154299E-2</v>
      </c>
      <c r="O28">
        <v>0</v>
      </c>
      <c r="P28">
        <v>1.6E-2</v>
      </c>
      <c r="Q28">
        <v>0</v>
      </c>
      <c r="R28">
        <v>0</v>
      </c>
      <c r="S28">
        <v>0</v>
      </c>
      <c r="T28">
        <v>0</v>
      </c>
      <c r="U28">
        <v>0.95934435224675896</v>
      </c>
      <c r="V28" t="s">
        <v>78</v>
      </c>
      <c r="W28">
        <v>3863934.7874547401</v>
      </c>
      <c r="X28" t="s">
        <v>76</v>
      </c>
      <c r="Y28">
        <v>-1.5707963267949001</v>
      </c>
      <c r="Z28">
        <v>0.95085248609902395</v>
      </c>
      <c r="AA28">
        <v>0</v>
      </c>
      <c r="AB28">
        <v>5.5409205358115499E-2</v>
      </c>
      <c r="AC28">
        <v>0</v>
      </c>
      <c r="AD28">
        <v>1.5841439346193E-2</v>
      </c>
      <c r="AE28">
        <v>1.65961356109142E-3</v>
      </c>
      <c r="AF28">
        <v>0</v>
      </c>
      <c r="AG28">
        <v>5.7858492285063803E-2</v>
      </c>
      <c r="AH28">
        <v>3.1292337091984399E-3</v>
      </c>
      <c r="AI28">
        <v>0.92021281710942104</v>
      </c>
      <c r="AJ28" t="s">
        <v>74</v>
      </c>
      <c r="AK28">
        <v>0</v>
      </c>
      <c r="AL28" t="s">
        <v>77</v>
      </c>
      <c r="AM28">
        <v>0</v>
      </c>
      <c r="AN28">
        <v>0.99199999999999999</v>
      </c>
      <c r="AO28">
        <v>0</v>
      </c>
      <c r="AP28">
        <v>5.8245346242475203E-2</v>
      </c>
      <c r="AQ28">
        <v>0</v>
      </c>
      <c r="AR28">
        <v>1.6E-2</v>
      </c>
      <c r="AS28">
        <v>0</v>
      </c>
      <c r="AT28">
        <v>0</v>
      </c>
      <c r="AU28">
        <v>0</v>
      </c>
      <c r="AV28">
        <v>0</v>
      </c>
      <c r="AW28">
        <v>1</v>
      </c>
      <c r="AX28" t="s">
        <v>74</v>
      </c>
      <c r="AY28">
        <v>0</v>
      </c>
      <c r="AZ28" t="s">
        <v>76</v>
      </c>
      <c r="BA28">
        <v>-1.5707963267949001</v>
      </c>
      <c r="BB28">
        <v>0.99199999999999999</v>
      </c>
      <c r="BC28">
        <v>0</v>
      </c>
      <c r="BD28">
        <v>5.8245346242475203E-2</v>
      </c>
      <c r="BE28">
        <v>0</v>
      </c>
      <c r="BF28">
        <v>1.6E-2</v>
      </c>
      <c r="BG28">
        <v>0</v>
      </c>
      <c r="BH28">
        <v>0</v>
      </c>
      <c r="BI28">
        <v>0</v>
      </c>
      <c r="BJ28">
        <v>0</v>
      </c>
      <c r="BK28">
        <v>1</v>
      </c>
      <c r="BL28">
        <v>1.1388599326511E-4</v>
      </c>
      <c r="BM28" s="1">
        <v>3.0493862997131101E-5</v>
      </c>
      <c r="BN28" s="1">
        <v>4.23871809060544E-7</v>
      </c>
      <c r="BO28" s="1">
        <v>4.7899647985680403E-7</v>
      </c>
      <c r="BP28">
        <v>0</v>
      </c>
      <c r="BQ28">
        <v>0</v>
      </c>
      <c r="BR28" s="1">
        <v>6.5117910236159904E-5</v>
      </c>
      <c r="BS28" s="1">
        <v>1.7456735946345501E-5</v>
      </c>
    </row>
    <row r="29" spans="1:71" x14ac:dyDescent="0.25">
      <c r="A29">
        <v>26</v>
      </c>
      <c r="B29" s="1">
        <v>8.3002484896750207E-6</v>
      </c>
      <c r="C29">
        <v>0.1322123916188</v>
      </c>
      <c r="D29">
        <v>-4.8925940670950996E-4</v>
      </c>
      <c r="E29">
        <v>6.1312499999999995E-4</v>
      </c>
      <c r="F29">
        <v>-1.322123916188E-3</v>
      </c>
      <c r="G29" s="1">
        <v>2.1684043449710098E-19</v>
      </c>
      <c r="H29" t="s">
        <v>74</v>
      </c>
      <c r="I29">
        <v>0</v>
      </c>
      <c r="J29" t="s">
        <v>75</v>
      </c>
      <c r="K29">
        <v>3.14159265358979</v>
      </c>
      <c r="L29">
        <v>0.94989625055257998</v>
      </c>
      <c r="M29">
        <v>0</v>
      </c>
      <c r="N29">
        <v>5.5773221782120901E-2</v>
      </c>
      <c r="O29">
        <v>0</v>
      </c>
      <c r="P29">
        <v>1.6E-2</v>
      </c>
      <c r="Q29">
        <v>0</v>
      </c>
      <c r="R29">
        <v>0</v>
      </c>
      <c r="S29">
        <v>0</v>
      </c>
      <c r="T29">
        <v>0</v>
      </c>
      <c r="U29">
        <v>0.95763753658758899</v>
      </c>
      <c r="V29" t="s">
        <v>78</v>
      </c>
      <c r="W29">
        <v>3864256.2688758601</v>
      </c>
      <c r="X29" t="s">
        <v>76</v>
      </c>
      <c r="Y29">
        <v>-1.5707963267949001</v>
      </c>
      <c r="Z29">
        <v>0.94916563242944896</v>
      </c>
      <c r="AA29">
        <v>0</v>
      </c>
      <c r="AB29">
        <v>5.5308422615290398E-2</v>
      </c>
      <c r="AC29">
        <v>0</v>
      </c>
      <c r="AD29">
        <v>1.5777269789810599E-2</v>
      </c>
      <c r="AE29">
        <v>1.73202709886905E-3</v>
      </c>
      <c r="AF29">
        <v>0</v>
      </c>
      <c r="AG29">
        <v>6.0128935381507501E-2</v>
      </c>
      <c r="AH29">
        <v>3.39946206265977E-3</v>
      </c>
      <c r="AI29">
        <v>0.91694991727299602</v>
      </c>
      <c r="AJ29" t="s">
        <v>74</v>
      </c>
      <c r="AK29">
        <v>0</v>
      </c>
      <c r="AL29" t="s">
        <v>77</v>
      </c>
      <c r="AM29">
        <v>0</v>
      </c>
      <c r="AN29">
        <v>0.99199999999999999</v>
      </c>
      <c r="AO29">
        <v>0</v>
      </c>
      <c r="AP29">
        <v>5.8245346242475203E-2</v>
      </c>
      <c r="AQ29">
        <v>0</v>
      </c>
      <c r="AR29">
        <v>1.6E-2</v>
      </c>
      <c r="AS29">
        <v>0</v>
      </c>
      <c r="AT29">
        <v>0</v>
      </c>
      <c r="AU29">
        <v>0</v>
      </c>
      <c r="AV29">
        <v>0</v>
      </c>
      <c r="AW29">
        <v>1</v>
      </c>
      <c r="AX29" t="s">
        <v>74</v>
      </c>
      <c r="AY29">
        <v>0</v>
      </c>
      <c r="AZ29" t="s">
        <v>76</v>
      </c>
      <c r="BA29">
        <v>-1.5707963267949001</v>
      </c>
      <c r="BB29">
        <v>0.99199999999999999</v>
      </c>
      <c r="BC29">
        <v>0</v>
      </c>
      <c r="BD29">
        <v>5.8245346242475203E-2</v>
      </c>
      <c r="BE29">
        <v>0</v>
      </c>
      <c r="BF29">
        <v>1.6E-2</v>
      </c>
      <c r="BG29">
        <v>0</v>
      </c>
      <c r="BH29">
        <v>0</v>
      </c>
      <c r="BI29">
        <v>0</v>
      </c>
      <c r="BJ29">
        <v>0</v>
      </c>
      <c r="BK29">
        <v>1</v>
      </c>
      <c r="BL29">
        <v>1.13786168441181E-4</v>
      </c>
      <c r="BM29" s="1">
        <v>3.1764198722083598E-5</v>
      </c>
      <c r="BN29" s="1">
        <v>4.2349415714054498E-7</v>
      </c>
      <c r="BO29" s="1">
        <v>4.9895086676232105E-7</v>
      </c>
      <c r="BP29">
        <v>0</v>
      </c>
      <c r="BQ29">
        <v>0</v>
      </c>
      <c r="BR29" s="1">
        <v>6.5055094966950502E-5</v>
      </c>
      <c r="BS29" s="1">
        <v>1.8184106140576601E-5</v>
      </c>
    </row>
    <row r="30" spans="1:71" x14ac:dyDescent="0.25">
      <c r="A30">
        <v>27</v>
      </c>
      <c r="B30" s="1">
        <v>8.0005799911683902E-6</v>
      </c>
      <c r="C30">
        <v>0.132220392198791</v>
      </c>
      <c r="D30">
        <v>-4.8929531393628696E-4</v>
      </c>
      <c r="E30">
        <v>6.1312499999999995E-4</v>
      </c>
      <c r="F30">
        <v>-1.3222039219879099E-3</v>
      </c>
      <c r="G30" s="1">
        <v>2.1684043449710098E-19</v>
      </c>
      <c r="H30" t="s">
        <v>74</v>
      </c>
      <c r="I30">
        <v>0</v>
      </c>
      <c r="J30" t="s">
        <v>75</v>
      </c>
      <c r="K30">
        <v>3.14159265358979</v>
      </c>
      <c r="L30">
        <v>0.94821242345718104</v>
      </c>
      <c r="M30">
        <v>0</v>
      </c>
      <c r="N30">
        <v>5.5674355761774201E-2</v>
      </c>
      <c r="O30">
        <v>0</v>
      </c>
      <c r="P30">
        <v>1.6E-2</v>
      </c>
      <c r="Q30">
        <v>0</v>
      </c>
      <c r="R30">
        <v>0</v>
      </c>
      <c r="S30">
        <v>0</v>
      </c>
      <c r="T30">
        <v>0</v>
      </c>
      <c r="U30">
        <v>0.95593122741260095</v>
      </c>
      <c r="V30" t="s">
        <v>78</v>
      </c>
      <c r="W30">
        <v>3864566.1308138198</v>
      </c>
      <c r="X30" t="s">
        <v>76</v>
      </c>
      <c r="Y30">
        <v>-1.5707963267949001</v>
      </c>
      <c r="Z30">
        <v>0.94747896564524103</v>
      </c>
      <c r="AA30">
        <v>0</v>
      </c>
      <c r="AB30">
        <v>5.5207750062984798E-2</v>
      </c>
      <c r="AC30">
        <v>0</v>
      </c>
      <c r="AD30">
        <v>1.5712780396868499E-2</v>
      </c>
      <c r="AE30">
        <v>1.8044314193639401E-3</v>
      </c>
      <c r="AF30">
        <v>0</v>
      </c>
      <c r="AG30">
        <v>6.2387871825600898E-2</v>
      </c>
      <c r="AH30">
        <v>3.6811743338864699E-3</v>
      </c>
      <c r="AI30">
        <v>0.91369354582876405</v>
      </c>
      <c r="AJ30" t="s">
        <v>74</v>
      </c>
      <c r="AK30">
        <v>0</v>
      </c>
      <c r="AL30" t="s">
        <v>77</v>
      </c>
      <c r="AM30">
        <v>0</v>
      </c>
      <c r="AN30">
        <v>0.99199999999999999</v>
      </c>
      <c r="AO30">
        <v>0</v>
      </c>
      <c r="AP30">
        <v>5.8245346242475203E-2</v>
      </c>
      <c r="AQ30">
        <v>0</v>
      </c>
      <c r="AR30">
        <v>1.6E-2</v>
      </c>
      <c r="AS30">
        <v>0</v>
      </c>
      <c r="AT30">
        <v>0</v>
      </c>
      <c r="AU30">
        <v>0</v>
      </c>
      <c r="AV30">
        <v>0</v>
      </c>
      <c r="AW30">
        <v>1</v>
      </c>
      <c r="AX30" t="s">
        <v>74</v>
      </c>
      <c r="AY30">
        <v>0</v>
      </c>
      <c r="AZ30" t="s">
        <v>76</v>
      </c>
      <c r="BA30">
        <v>-1.5707963267949001</v>
      </c>
      <c r="BB30">
        <v>0.99199999999999999</v>
      </c>
      <c r="BC30">
        <v>0</v>
      </c>
      <c r="BD30">
        <v>5.8245346242475203E-2</v>
      </c>
      <c r="BE30">
        <v>0</v>
      </c>
      <c r="BF30">
        <v>1.6E-2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1.13686399154855E-4</v>
      </c>
      <c r="BM30" s="1">
        <v>3.30345230797437E-5</v>
      </c>
      <c r="BN30" s="1">
        <v>4.2311700039897599E-7</v>
      </c>
      <c r="BO30" s="1">
        <v>5.1890507511082601E-7</v>
      </c>
      <c r="BP30">
        <v>0</v>
      </c>
      <c r="BQ30">
        <v>0</v>
      </c>
      <c r="BR30" s="1">
        <v>6.4992289295938297E-5</v>
      </c>
      <c r="BS30" s="1">
        <v>1.8911475965100899E-5</v>
      </c>
    </row>
    <row r="31" spans="1:71" x14ac:dyDescent="0.25">
      <c r="A31">
        <v>28</v>
      </c>
      <c r="B31" s="1">
        <v>7.72320101884669E-6</v>
      </c>
      <c r="C31">
        <v>0.13222811539981</v>
      </c>
      <c r="D31">
        <v>-4.8932997487801701E-4</v>
      </c>
      <c r="E31">
        <v>6.1312499999999995E-4</v>
      </c>
      <c r="F31">
        <v>-1.3222811539981001E-3</v>
      </c>
      <c r="G31" s="1">
        <v>1.0842021724855E-19</v>
      </c>
      <c r="H31" t="s">
        <v>74</v>
      </c>
      <c r="I31">
        <v>0</v>
      </c>
      <c r="J31" t="s">
        <v>75</v>
      </c>
      <c r="K31">
        <v>3.14159265358979</v>
      </c>
      <c r="L31">
        <v>0.94652861155265</v>
      </c>
      <c r="M31">
        <v>0</v>
      </c>
      <c r="N31">
        <v>5.55754906333603E-2</v>
      </c>
      <c r="O31">
        <v>0</v>
      </c>
      <c r="P31">
        <v>1.6E-2</v>
      </c>
      <c r="Q31">
        <v>0</v>
      </c>
      <c r="R31">
        <v>0</v>
      </c>
      <c r="S31">
        <v>0</v>
      </c>
      <c r="T31">
        <v>0</v>
      </c>
      <c r="U31">
        <v>0.95422536527253798</v>
      </c>
      <c r="V31" t="s">
        <v>78</v>
      </c>
      <c r="W31">
        <v>3864865.2379167601</v>
      </c>
      <c r="X31" t="s">
        <v>76</v>
      </c>
      <c r="Y31">
        <v>-1.5707963267949001</v>
      </c>
      <c r="Z31">
        <v>0.94579247324113003</v>
      </c>
      <c r="AA31">
        <v>0</v>
      </c>
      <c r="AB31">
        <v>5.5107179674424099E-2</v>
      </c>
      <c r="AC31">
        <v>0</v>
      </c>
      <c r="AD31">
        <v>1.5647997422422E-2</v>
      </c>
      <c r="AE31">
        <v>1.87682499727372E-3</v>
      </c>
      <c r="AF31">
        <v>0</v>
      </c>
      <c r="AG31">
        <v>6.4635263526063996E-2</v>
      </c>
      <c r="AH31">
        <v>3.9744084279469596E-3</v>
      </c>
      <c r="AI31">
        <v>0.91044365259576399</v>
      </c>
      <c r="AJ31" t="s">
        <v>74</v>
      </c>
      <c r="AK31">
        <v>0</v>
      </c>
      <c r="AL31" t="s">
        <v>77</v>
      </c>
      <c r="AM31">
        <v>0</v>
      </c>
      <c r="AN31">
        <v>0.99199999999999999</v>
      </c>
      <c r="AO31">
        <v>0</v>
      </c>
      <c r="AP31">
        <v>5.8245346242475203E-2</v>
      </c>
      <c r="AQ31">
        <v>0</v>
      </c>
      <c r="AR31">
        <v>1.6E-2</v>
      </c>
      <c r="AS31">
        <v>0</v>
      </c>
      <c r="AT31">
        <v>0</v>
      </c>
      <c r="AU31">
        <v>0</v>
      </c>
      <c r="AV31">
        <v>0</v>
      </c>
      <c r="AW31">
        <v>1</v>
      </c>
      <c r="AX31" t="s">
        <v>74</v>
      </c>
      <c r="AY31">
        <v>0</v>
      </c>
      <c r="AZ31" t="s">
        <v>76</v>
      </c>
      <c r="BA31">
        <v>-1.5707963267949001</v>
      </c>
      <c r="BB31">
        <v>0.99199999999999999</v>
      </c>
      <c r="BC31">
        <v>0</v>
      </c>
      <c r="BD31">
        <v>5.8245346242475203E-2</v>
      </c>
      <c r="BE31">
        <v>0</v>
      </c>
      <c r="BF31">
        <v>1.6E-2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1.13586681396367E-4</v>
      </c>
      <c r="BM31" s="1">
        <v>3.4304835977005497E-5</v>
      </c>
      <c r="BN31" s="1">
        <v>4.2274030270978902E-7</v>
      </c>
      <c r="BO31" s="1">
        <v>5.3885910343981595E-7</v>
      </c>
      <c r="BP31">
        <v>0</v>
      </c>
      <c r="BQ31">
        <v>0</v>
      </c>
      <c r="BR31" s="1">
        <v>6.4929492544017793E-5</v>
      </c>
      <c r="BS31" s="1">
        <v>1.96388451593665E-5</v>
      </c>
    </row>
    <row r="32" spans="1:71" x14ac:dyDescent="0.25">
      <c r="A32">
        <v>29</v>
      </c>
      <c r="B32" s="1">
        <v>7.46572649585888E-6</v>
      </c>
      <c r="C32">
        <v>0.13223558112630501</v>
      </c>
      <c r="D32">
        <v>-4.8936347900639296E-4</v>
      </c>
      <c r="E32">
        <v>6.1312499999999995E-4</v>
      </c>
      <c r="F32">
        <v>-1.3223558112630499E-3</v>
      </c>
      <c r="G32" s="1">
        <v>1.0842021724855E-19</v>
      </c>
      <c r="H32" t="s">
        <v>74</v>
      </c>
      <c r="I32">
        <v>0</v>
      </c>
      <c r="J32" t="s">
        <v>75</v>
      </c>
      <c r="K32">
        <v>3.14159265358979</v>
      </c>
      <c r="L32">
        <v>0.94484481496265804</v>
      </c>
      <c r="M32">
        <v>0</v>
      </c>
      <c r="N32">
        <v>5.5476626404140597E-2</v>
      </c>
      <c r="O32">
        <v>0</v>
      </c>
      <c r="P32">
        <v>1.6E-2</v>
      </c>
      <c r="Q32">
        <v>0</v>
      </c>
      <c r="R32">
        <v>0</v>
      </c>
      <c r="S32">
        <v>0</v>
      </c>
      <c r="T32">
        <v>0</v>
      </c>
      <c r="U32">
        <v>0.95251989978776996</v>
      </c>
      <c r="V32" t="s">
        <v>78</v>
      </c>
      <c r="W32">
        <v>3865154.36228196</v>
      </c>
      <c r="X32" t="s">
        <v>76</v>
      </c>
      <c r="Y32">
        <v>-1.5707963267949001</v>
      </c>
      <c r="Z32">
        <v>0.94410614407482696</v>
      </c>
      <c r="AA32">
        <v>0</v>
      </c>
      <c r="AB32">
        <v>5.5006704289774701E-2</v>
      </c>
      <c r="AC32">
        <v>0</v>
      </c>
      <c r="AD32">
        <v>1.55829443471622E-2</v>
      </c>
      <c r="AE32">
        <v>1.94920639454498E-3</v>
      </c>
      <c r="AF32">
        <v>0</v>
      </c>
      <c r="AG32">
        <v>6.6871072172846296E-2</v>
      </c>
      <c r="AH32">
        <v>4.2792024682882304E-3</v>
      </c>
      <c r="AI32">
        <v>0.90720019643324801</v>
      </c>
      <c r="AJ32" t="s">
        <v>74</v>
      </c>
      <c r="AK32">
        <v>0</v>
      </c>
      <c r="AL32" t="s">
        <v>77</v>
      </c>
      <c r="AM32">
        <v>0</v>
      </c>
      <c r="AN32">
        <v>0.99199999999999999</v>
      </c>
      <c r="AO32">
        <v>0</v>
      </c>
      <c r="AP32">
        <v>5.8245346242475203E-2</v>
      </c>
      <c r="AQ32">
        <v>0</v>
      </c>
      <c r="AR32">
        <v>1.6E-2</v>
      </c>
      <c r="AS32">
        <v>0</v>
      </c>
      <c r="AT32">
        <v>0</v>
      </c>
      <c r="AU32">
        <v>0</v>
      </c>
      <c r="AV32">
        <v>0</v>
      </c>
      <c r="AW32">
        <v>1</v>
      </c>
      <c r="AX32" t="s">
        <v>74</v>
      </c>
      <c r="AY32">
        <v>0</v>
      </c>
      <c r="AZ32" t="s">
        <v>76</v>
      </c>
      <c r="BA32">
        <v>-1.5707963267949001</v>
      </c>
      <c r="BB32">
        <v>0.99199999999999999</v>
      </c>
      <c r="BC32">
        <v>0</v>
      </c>
      <c r="BD32">
        <v>5.8245346242475203E-2</v>
      </c>
      <c r="BE32">
        <v>0</v>
      </c>
      <c r="BF32">
        <v>1.6E-2</v>
      </c>
      <c r="BG32">
        <v>0</v>
      </c>
      <c r="BH32">
        <v>0</v>
      </c>
      <c r="BI32">
        <v>0</v>
      </c>
      <c r="BJ32">
        <v>0</v>
      </c>
      <c r="BK32">
        <v>1</v>
      </c>
      <c r="BL32">
        <v>1.1348701158943301E-4</v>
      </c>
      <c r="BM32" s="1">
        <v>3.5575137320567302E-5</v>
      </c>
      <c r="BN32" s="1">
        <v>4.2236403184816198E-7</v>
      </c>
      <c r="BO32" s="1">
        <v>5.5881295028371095E-7</v>
      </c>
      <c r="BP32">
        <v>0</v>
      </c>
      <c r="BQ32">
        <v>0</v>
      </c>
      <c r="BR32" s="1">
        <v>6.4866704108359398E-5</v>
      </c>
      <c r="BS32" s="1">
        <v>2.0366213478310399E-5</v>
      </c>
    </row>
    <row r="33" spans="1:71" x14ac:dyDescent="0.25">
      <c r="A33">
        <v>30</v>
      </c>
      <c r="B33" s="1">
        <v>7.2261002130090598E-6</v>
      </c>
      <c r="C33">
        <v>0.13224280722651799</v>
      </c>
      <c r="D33">
        <v>-4.8939590654735899E-4</v>
      </c>
      <c r="E33">
        <v>6.1312499999999995E-4</v>
      </c>
      <c r="F33">
        <v>-1.32242807226518E-3</v>
      </c>
      <c r="G33" s="1">
        <v>2.1684043449710098E-19</v>
      </c>
      <c r="H33" t="s">
        <v>74</v>
      </c>
      <c r="I33">
        <v>0</v>
      </c>
      <c r="J33" t="s">
        <v>75</v>
      </c>
      <c r="K33">
        <v>3.14159265358979</v>
      </c>
      <c r="L33">
        <v>0.94316103381127603</v>
      </c>
      <c r="M33">
        <v>0</v>
      </c>
      <c r="N33">
        <v>5.53777630813998E-2</v>
      </c>
      <c r="O33">
        <v>0</v>
      </c>
      <c r="P33">
        <v>1.6E-2</v>
      </c>
      <c r="Q33">
        <v>0</v>
      </c>
      <c r="R33">
        <v>0</v>
      </c>
      <c r="S33">
        <v>0</v>
      </c>
      <c r="T33">
        <v>0</v>
      </c>
      <c r="U33">
        <v>0.95081478796990504</v>
      </c>
      <c r="V33" t="s">
        <v>78</v>
      </c>
      <c r="W33">
        <v>3865434.1962203798</v>
      </c>
      <c r="X33" t="s">
        <v>76</v>
      </c>
      <c r="Y33">
        <v>-1.5707963267949001</v>
      </c>
      <c r="Z33">
        <v>0.94241996817709095</v>
      </c>
      <c r="AA33">
        <v>0</v>
      </c>
      <c r="AB33">
        <v>5.4906317495235002E-2</v>
      </c>
      <c r="AC33">
        <v>0</v>
      </c>
      <c r="AD33">
        <v>1.55176422633921E-2</v>
      </c>
      <c r="AE33">
        <v>2.0215742505347201E-3</v>
      </c>
      <c r="AF33">
        <v>0</v>
      </c>
      <c r="AG33">
        <v>6.9095259237546405E-2</v>
      </c>
      <c r="AH33">
        <v>4.5955947961101098E-3</v>
      </c>
      <c r="AI33">
        <v>0.90396314356178997</v>
      </c>
      <c r="AJ33" t="s">
        <v>74</v>
      </c>
      <c r="AK33">
        <v>0</v>
      </c>
      <c r="AL33" t="s">
        <v>77</v>
      </c>
      <c r="AM33">
        <v>0</v>
      </c>
      <c r="AN33">
        <v>0.99199999999999999</v>
      </c>
      <c r="AO33">
        <v>0</v>
      </c>
      <c r="AP33">
        <v>5.8245346242475203E-2</v>
      </c>
      <c r="AQ33">
        <v>0</v>
      </c>
      <c r="AR33">
        <v>1.6E-2</v>
      </c>
      <c r="AS33">
        <v>0</v>
      </c>
      <c r="AT33">
        <v>0</v>
      </c>
      <c r="AU33">
        <v>0</v>
      </c>
      <c r="AV33">
        <v>0</v>
      </c>
      <c r="AW33">
        <v>1</v>
      </c>
      <c r="AX33" t="s">
        <v>74</v>
      </c>
      <c r="AY33">
        <v>0</v>
      </c>
      <c r="AZ33" t="s">
        <v>76</v>
      </c>
      <c r="BA33">
        <v>-1.5707963267949001</v>
      </c>
      <c r="BB33">
        <v>0.99199999999999999</v>
      </c>
      <c r="BC33">
        <v>0</v>
      </c>
      <c r="BD33">
        <v>5.8245346242475203E-2</v>
      </c>
      <c r="BE33">
        <v>0</v>
      </c>
      <c r="BF33">
        <v>1.6E-2</v>
      </c>
      <c r="BG33">
        <v>0</v>
      </c>
      <c r="BH33">
        <v>0</v>
      </c>
      <c r="BI33">
        <v>0</v>
      </c>
      <c r="BJ33">
        <v>0</v>
      </c>
      <c r="BK33">
        <v>1</v>
      </c>
      <c r="BL33">
        <v>1.13387386530793E-4</v>
      </c>
      <c r="BM33" s="1">
        <v>3.6845427016828199E-5</v>
      </c>
      <c r="BN33" s="1">
        <v>4.2198815894639698E-7</v>
      </c>
      <c r="BO33" s="1">
        <v>5.7876661417223302E-7</v>
      </c>
      <c r="BP33">
        <v>0</v>
      </c>
      <c r="BQ33">
        <v>0</v>
      </c>
      <c r="BR33" s="1">
        <v>6.4803923451427504E-5</v>
      </c>
      <c r="BS33" s="1">
        <v>2.10935806906345E-5</v>
      </c>
    </row>
    <row r="34" spans="1:71" x14ac:dyDescent="0.25">
      <c r="A34">
        <v>31</v>
      </c>
      <c r="B34" s="1">
        <v>7.00254002387661E-6</v>
      </c>
      <c r="C34">
        <v>0.13224980976654199</v>
      </c>
      <c r="D34">
        <v>-4.8942732971372102E-4</v>
      </c>
      <c r="E34">
        <v>6.1312499999999995E-4</v>
      </c>
      <c r="F34">
        <v>-1.3224980976654201E-3</v>
      </c>
      <c r="G34" s="1">
        <v>2.1684043449710098E-19</v>
      </c>
      <c r="H34" t="s">
        <v>74</v>
      </c>
      <c r="I34">
        <v>0</v>
      </c>
      <c r="J34" t="s">
        <v>75</v>
      </c>
      <c r="K34">
        <v>3.14159265358979</v>
      </c>
      <c r="L34">
        <v>0.94147726822306999</v>
      </c>
      <c r="M34">
        <v>0</v>
      </c>
      <c r="N34">
        <v>5.5278900672452003E-2</v>
      </c>
      <c r="O34">
        <v>0</v>
      </c>
      <c r="P34">
        <v>1.6E-2</v>
      </c>
      <c r="Q34">
        <v>0</v>
      </c>
      <c r="R34">
        <v>0</v>
      </c>
      <c r="S34">
        <v>0</v>
      </c>
      <c r="T34">
        <v>0</v>
      </c>
      <c r="U34">
        <v>0.94910999290632203</v>
      </c>
      <c r="V34" t="s">
        <v>78</v>
      </c>
      <c r="W34">
        <v>3865705.3628934901</v>
      </c>
      <c r="X34" t="s">
        <v>76</v>
      </c>
      <c r="Y34">
        <v>-1.5707963267949001</v>
      </c>
      <c r="Z34">
        <v>0.94073393659384297</v>
      </c>
      <c r="AA34">
        <v>0</v>
      </c>
      <c r="AB34">
        <v>5.4806013522533302E-2</v>
      </c>
      <c r="AC34">
        <v>0</v>
      </c>
      <c r="AD34">
        <v>1.5452110195969799E-2</v>
      </c>
      <c r="AE34">
        <v>2.0939272735783199E-3</v>
      </c>
      <c r="AF34">
        <v>0</v>
      </c>
      <c r="AG34">
        <v>7.1307785973538707E-2</v>
      </c>
      <c r="AH34">
        <v>4.9236239700837002E-3</v>
      </c>
      <c r="AI34">
        <v>0.90073246624732295</v>
      </c>
      <c r="AJ34" t="s">
        <v>74</v>
      </c>
      <c r="AK34">
        <v>0</v>
      </c>
      <c r="AL34" t="s">
        <v>77</v>
      </c>
      <c r="AM34">
        <v>0</v>
      </c>
      <c r="AN34">
        <v>0.99199999999999999</v>
      </c>
      <c r="AO34">
        <v>0</v>
      </c>
      <c r="AP34">
        <v>5.8245346242475203E-2</v>
      </c>
      <c r="AQ34">
        <v>0</v>
      </c>
      <c r="AR34">
        <v>1.6E-2</v>
      </c>
      <c r="AS34">
        <v>0</v>
      </c>
      <c r="AT34">
        <v>0</v>
      </c>
      <c r="AU34">
        <v>0</v>
      </c>
      <c r="AV34">
        <v>0</v>
      </c>
      <c r="AW34">
        <v>1</v>
      </c>
      <c r="AX34" t="s">
        <v>74</v>
      </c>
      <c r="AY34">
        <v>0</v>
      </c>
      <c r="AZ34" t="s">
        <v>76</v>
      </c>
      <c r="BA34">
        <v>-1.5707963267949001</v>
      </c>
      <c r="BB34">
        <v>0.99199999999999999</v>
      </c>
      <c r="BC34">
        <v>0</v>
      </c>
      <c r="BD34">
        <v>5.8245346242475203E-2</v>
      </c>
      <c r="BE34">
        <v>0</v>
      </c>
      <c r="BF34">
        <v>1.6E-2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1.1328780333996799E-4</v>
      </c>
      <c r="BM34" s="1">
        <v>3.8115704971811203E-5</v>
      </c>
      <c r="BN34" s="1">
        <v>4.2161265804165902E-7</v>
      </c>
      <c r="BO34" s="1">
        <v>5.9872009362918997E-7</v>
      </c>
      <c r="BP34">
        <v>0</v>
      </c>
      <c r="BQ34">
        <v>0</v>
      </c>
      <c r="BR34" s="1">
        <v>6.4741150091909207E-5</v>
      </c>
      <c r="BS34" s="1">
        <v>2.1820946577325601E-5</v>
      </c>
    </row>
    <row r="35" spans="1:71" x14ac:dyDescent="0.25">
      <c r="A35">
        <v>32</v>
      </c>
      <c r="B35" s="1">
        <v>6.7934936484247397E-6</v>
      </c>
      <c r="C35">
        <v>0.13225660326019101</v>
      </c>
      <c r="D35">
        <v>-4.8945781373896E-4</v>
      </c>
      <c r="E35">
        <v>6.1312499999999995E-4</v>
      </c>
      <c r="F35">
        <v>-1.3225660326019099E-3</v>
      </c>
      <c r="G35" s="1">
        <v>1.0842021724855E-19</v>
      </c>
      <c r="H35" t="s">
        <v>74</v>
      </c>
      <c r="I35">
        <v>0</v>
      </c>
      <c r="J35" t="s">
        <v>75</v>
      </c>
      <c r="K35">
        <v>3.14159265358979</v>
      </c>
      <c r="L35">
        <v>0.93979351832320901</v>
      </c>
      <c r="M35">
        <v>0</v>
      </c>
      <c r="N35">
        <v>5.5180039184646403E-2</v>
      </c>
      <c r="O35">
        <v>0</v>
      </c>
      <c r="P35">
        <v>1.6E-2</v>
      </c>
      <c r="Q35">
        <v>0</v>
      </c>
      <c r="R35">
        <v>0</v>
      </c>
      <c r="S35">
        <v>0</v>
      </c>
      <c r="T35">
        <v>0</v>
      </c>
      <c r="U35">
        <v>0.94740548271845904</v>
      </c>
      <c r="V35" t="s">
        <v>78</v>
      </c>
      <c r="W35">
        <v>3865968.4252345702</v>
      </c>
      <c r="X35" t="s">
        <v>76</v>
      </c>
      <c r="Y35">
        <v>-1.5707963267949001</v>
      </c>
      <c r="Z35">
        <v>0.93904804125406505</v>
      </c>
      <c r="AA35">
        <v>0</v>
      </c>
      <c r="AB35">
        <v>5.4705787164831501E-2</v>
      </c>
      <c r="AC35">
        <v>0</v>
      </c>
      <c r="AD35">
        <v>1.538636537096E-2</v>
      </c>
      <c r="AE35">
        <v>2.1662642337196502E-3</v>
      </c>
      <c r="AF35">
        <v>0</v>
      </c>
      <c r="AG35">
        <v>7.3508613415808402E-2</v>
      </c>
      <c r="AH35">
        <v>5.2633287663628502E-3</v>
      </c>
      <c r="AI35">
        <v>0.89750814175892801</v>
      </c>
      <c r="AJ35" t="s">
        <v>74</v>
      </c>
      <c r="AK35">
        <v>0</v>
      </c>
      <c r="AL35" t="s">
        <v>77</v>
      </c>
      <c r="AM35">
        <v>0</v>
      </c>
      <c r="AN35">
        <v>0.99199999999999999</v>
      </c>
      <c r="AO35">
        <v>0</v>
      </c>
      <c r="AP35">
        <v>5.8245346242475203E-2</v>
      </c>
      <c r="AQ35">
        <v>0</v>
      </c>
      <c r="AR35">
        <v>1.6E-2</v>
      </c>
      <c r="AS35">
        <v>0</v>
      </c>
      <c r="AT35">
        <v>0</v>
      </c>
      <c r="AU35">
        <v>0</v>
      </c>
      <c r="AV35">
        <v>0</v>
      </c>
      <c r="AW35">
        <v>1</v>
      </c>
      <c r="AX35" t="s">
        <v>74</v>
      </c>
      <c r="AY35">
        <v>0</v>
      </c>
      <c r="AZ35" t="s">
        <v>76</v>
      </c>
      <c r="BA35">
        <v>-1.5707963267949001</v>
      </c>
      <c r="BB35">
        <v>0.99199999999999999</v>
      </c>
      <c r="BC35">
        <v>0</v>
      </c>
      <c r="BD35">
        <v>5.8245346242475203E-2</v>
      </c>
      <c r="BE35">
        <v>0</v>
      </c>
      <c r="BF35">
        <v>1.6E-2</v>
      </c>
      <c r="BG35">
        <v>0</v>
      </c>
      <c r="BH35">
        <v>0</v>
      </c>
      <c r="BI35">
        <v>0</v>
      </c>
      <c r="BJ35">
        <v>0</v>
      </c>
      <c r="BK35">
        <v>1</v>
      </c>
      <c r="BL35">
        <v>1.13188259417214E-4</v>
      </c>
      <c r="BM35" s="1">
        <v>3.9385971091085599E-5</v>
      </c>
      <c r="BN35" s="1">
        <v>4.2123750569753601E-7</v>
      </c>
      <c r="BO35" s="1">
        <v>6.1867338717127305E-7</v>
      </c>
      <c r="BP35">
        <v>0</v>
      </c>
      <c r="BQ35">
        <v>0</v>
      </c>
      <c r="BR35" s="1">
        <v>6.4678383597170406E-5</v>
      </c>
      <c r="BS35" s="1">
        <v>2.2548310930366701E-5</v>
      </c>
    </row>
    <row r="36" spans="1:71" x14ac:dyDescent="0.25">
      <c r="A36">
        <v>33</v>
      </c>
      <c r="B36" s="1">
        <v>6.5976027637123303E-6</v>
      </c>
      <c r="C36">
        <v>0.13226320086295401</v>
      </c>
      <c r="D36">
        <v>-4.8948741774950202E-4</v>
      </c>
      <c r="E36">
        <v>6.1312499999999995E-4</v>
      </c>
      <c r="F36">
        <v>-1.32263200862954E-3</v>
      </c>
      <c r="G36" s="1">
        <v>1.0842021724855E-19</v>
      </c>
      <c r="H36" t="s">
        <v>74</v>
      </c>
      <c r="I36">
        <v>0</v>
      </c>
      <c r="J36" t="s">
        <v>75</v>
      </c>
      <c r="K36">
        <v>3.14159265358979</v>
      </c>
      <c r="L36">
        <v>0.93810978423756197</v>
      </c>
      <c r="M36">
        <v>0</v>
      </c>
      <c r="N36">
        <v>5.5081178625373498E-2</v>
      </c>
      <c r="O36">
        <v>0</v>
      </c>
      <c r="P36">
        <v>1.6E-2</v>
      </c>
      <c r="Q36">
        <v>0</v>
      </c>
      <c r="R36">
        <v>0</v>
      </c>
      <c r="S36">
        <v>0</v>
      </c>
      <c r="T36">
        <v>0</v>
      </c>
      <c r="U36">
        <v>0.94570122972902204</v>
      </c>
      <c r="V36" t="s">
        <v>78</v>
      </c>
      <c r="W36">
        <v>3866223.8934759502</v>
      </c>
      <c r="X36" t="s">
        <v>76</v>
      </c>
      <c r="Y36">
        <v>-1.5707963267949001</v>
      </c>
      <c r="Z36">
        <v>0.93736227485859702</v>
      </c>
      <c r="AA36">
        <v>0</v>
      </c>
      <c r="AB36">
        <v>5.4605633705918998E-2</v>
      </c>
      <c r="AC36">
        <v>0</v>
      </c>
      <c r="AD36">
        <v>1.53204234419126E-2</v>
      </c>
      <c r="AE36">
        <v>2.23858395640877E-3</v>
      </c>
      <c r="AF36">
        <v>0</v>
      </c>
      <c r="AG36">
        <v>7.5697702380532597E-2</v>
      </c>
      <c r="AH36">
        <v>5.6147481788520904E-3</v>
      </c>
      <c r="AI36">
        <v>0.89429015153555602</v>
      </c>
      <c r="AJ36" t="s">
        <v>74</v>
      </c>
      <c r="AK36">
        <v>0</v>
      </c>
      <c r="AL36" t="s">
        <v>77</v>
      </c>
      <c r="AM36">
        <v>0</v>
      </c>
      <c r="AN36">
        <v>0.99199999999999999</v>
      </c>
      <c r="AO36">
        <v>0</v>
      </c>
      <c r="AP36">
        <v>5.8245346242475203E-2</v>
      </c>
      <c r="AQ36">
        <v>0</v>
      </c>
      <c r="AR36">
        <v>1.6E-2</v>
      </c>
      <c r="AS36">
        <v>0</v>
      </c>
      <c r="AT36">
        <v>0</v>
      </c>
      <c r="AU36">
        <v>0</v>
      </c>
      <c r="AV36">
        <v>0</v>
      </c>
      <c r="AW36">
        <v>1</v>
      </c>
      <c r="AX36" t="s">
        <v>74</v>
      </c>
      <c r="AY36">
        <v>0</v>
      </c>
      <c r="AZ36" t="s">
        <v>76</v>
      </c>
      <c r="BA36">
        <v>-1.5707963267949001</v>
      </c>
      <c r="BB36">
        <v>0.99199999999999999</v>
      </c>
      <c r="BC36">
        <v>0</v>
      </c>
      <c r="BD36">
        <v>5.8245346242475203E-2</v>
      </c>
      <c r="BE36">
        <v>0</v>
      </c>
      <c r="BF36">
        <v>1.6E-2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1.13088752408121E-4</v>
      </c>
      <c r="BM36" s="1">
        <v>4.0656225279692299E-5</v>
      </c>
      <c r="BN36" s="1">
        <v>4.2086268068541001E-7</v>
      </c>
      <c r="BO36" s="1">
        <v>6.3862649330686498E-7</v>
      </c>
      <c r="BP36">
        <v>0</v>
      </c>
      <c r="BQ36">
        <v>0</v>
      </c>
      <c r="BR36" s="1">
        <v>6.4615623576938299E-5</v>
      </c>
      <c r="BS36" s="1">
        <v>2.32756735516095E-5</v>
      </c>
    </row>
    <row r="37" spans="1:71" x14ac:dyDescent="0.25">
      <c r="A37">
        <v>34</v>
      </c>
      <c r="B37" s="1">
        <v>6.4136736235963E-6</v>
      </c>
      <c r="C37">
        <v>0.13226961453657801</v>
      </c>
      <c r="D37">
        <v>-4.8951619550483395E-4</v>
      </c>
      <c r="E37">
        <v>6.1312499999999995E-4</v>
      </c>
      <c r="F37">
        <v>-1.3226961453657799E-3</v>
      </c>
      <c r="G37" s="1">
        <v>2.1684043449710098E-19</v>
      </c>
      <c r="H37" t="s">
        <v>74</v>
      </c>
      <c r="I37">
        <v>0</v>
      </c>
      <c r="J37" t="s">
        <v>75</v>
      </c>
      <c r="K37">
        <v>3.14159265358979</v>
      </c>
      <c r="L37">
        <v>0.93642606609276402</v>
      </c>
      <c r="M37">
        <v>0</v>
      </c>
      <c r="N37">
        <v>5.4982319002068597E-2</v>
      </c>
      <c r="O37">
        <v>0</v>
      </c>
      <c r="P37">
        <v>1.6E-2</v>
      </c>
      <c r="Q37">
        <v>0</v>
      </c>
      <c r="R37">
        <v>0</v>
      </c>
      <c r="S37">
        <v>0</v>
      </c>
      <c r="T37">
        <v>0</v>
      </c>
      <c r="U37">
        <v>0.94399720979039903</v>
      </c>
      <c r="V37" t="s">
        <v>78</v>
      </c>
      <c r="W37">
        <v>3866472.23153594</v>
      </c>
      <c r="X37" t="s">
        <v>76</v>
      </c>
      <c r="Y37">
        <v>-1.5707963267949001</v>
      </c>
      <c r="Z37">
        <v>0.93567663078593399</v>
      </c>
      <c r="AA37">
        <v>0</v>
      </c>
      <c r="AB37">
        <v>5.4505548860249997E-2</v>
      </c>
      <c r="AC37">
        <v>0</v>
      </c>
      <c r="AD37">
        <v>1.52542986815576E-2</v>
      </c>
      <c r="AE37">
        <v>2.3108853170125598E-3</v>
      </c>
      <c r="AF37">
        <v>0</v>
      </c>
      <c r="AG37">
        <v>7.78750134644801E-2</v>
      </c>
      <c r="AH37">
        <v>5.9779214197085801E-3</v>
      </c>
      <c r="AI37">
        <v>0.89107848051391403</v>
      </c>
      <c r="AJ37" t="s">
        <v>74</v>
      </c>
      <c r="AK37">
        <v>0</v>
      </c>
      <c r="AL37" t="s">
        <v>77</v>
      </c>
      <c r="AM37">
        <v>0</v>
      </c>
      <c r="AN37">
        <v>0.99199999999999999</v>
      </c>
      <c r="AO37">
        <v>0</v>
      </c>
      <c r="AP37">
        <v>5.8245346242475203E-2</v>
      </c>
      <c r="AQ37">
        <v>0</v>
      </c>
      <c r="AR37">
        <v>1.6E-2</v>
      </c>
      <c r="AS37">
        <v>0</v>
      </c>
      <c r="AT37">
        <v>0</v>
      </c>
      <c r="AU37">
        <v>0</v>
      </c>
      <c r="AV37">
        <v>0</v>
      </c>
      <c r="AW37">
        <v>1</v>
      </c>
      <c r="AX37" t="s">
        <v>74</v>
      </c>
      <c r="AY37">
        <v>0</v>
      </c>
      <c r="AZ37" t="s">
        <v>76</v>
      </c>
      <c r="BA37">
        <v>-1.5707963267949001</v>
      </c>
      <c r="BB37">
        <v>0.99199999999999999</v>
      </c>
      <c r="BC37">
        <v>0</v>
      </c>
      <c r="BD37">
        <v>5.8245346242475203E-2</v>
      </c>
      <c r="BE37">
        <v>0</v>
      </c>
      <c r="BF37">
        <v>1.6E-2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1.12989280173635E-4</v>
      </c>
      <c r="BM37" s="1">
        <v>4.19264674420943E-5</v>
      </c>
      <c r="BN37" s="1">
        <v>4.2048816371461802E-7</v>
      </c>
      <c r="BO37" s="1">
        <v>6.58579410535276E-7</v>
      </c>
      <c r="BP37">
        <v>0</v>
      </c>
      <c r="BQ37">
        <v>0</v>
      </c>
      <c r="BR37" s="1">
        <v>6.4552869677979806E-5</v>
      </c>
      <c r="BS37" s="1">
        <v>2.4003034251798301E-5</v>
      </c>
    </row>
    <row r="38" spans="1:71" x14ac:dyDescent="0.25">
      <c r="A38">
        <v>35</v>
      </c>
      <c r="B38" s="1">
        <v>6.2406528629620199E-6</v>
      </c>
      <c r="C38">
        <v>0.13227585518944099</v>
      </c>
      <c r="D38">
        <v>-4.8954419602879602E-4</v>
      </c>
      <c r="E38">
        <v>6.1312499999999995E-4</v>
      </c>
      <c r="F38">
        <v>-1.32275855189441E-3</v>
      </c>
      <c r="G38" s="1">
        <v>2.1684043449710098E-19</v>
      </c>
      <c r="H38" t="s">
        <v>74</v>
      </c>
      <c r="I38">
        <v>0</v>
      </c>
      <c r="J38" t="s">
        <v>75</v>
      </c>
      <c r="K38">
        <v>3.14159265358979</v>
      </c>
      <c r="L38">
        <v>0.93474236401630495</v>
      </c>
      <c r="M38">
        <v>0</v>
      </c>
      <c r="N38">
        <v>5.4883460322217199E-2</v>
      </c>
      <c r="O38">
        <v>0</v>
      </c>
      <c r="P38">
        <v>1.6E-2</v>
      </c>
      <c r="Q38">
        <v>0</v>
      </c>
      <c r="R38">
        <v>0</v>
      </c>
      <c r="S38">
        <v>0</v>
      </c>
      <c r="T38">
        <v>0</v>
      </c>
      <c r="U38">
        <v>0.94229340173875198</v>
      </c>
      <c r="V38" t="s">
        <v>78</v>
      </c>
      <c r="W38">
        <v>3866713.8624664601</v>
      </c>
      <c r="X38" t="s">
        <v>76</v>
      </c>
      <c r="Y38">
        <v>-1.5707963267949001</v>
      </c>
      <c r="Z38">
        <v>0.93399110301205601</v>
      </c>
      <c r="AA38">
        <v>0</v>
      </c>
      <c r="AB38">
        <v>5.4405528721890702E-2</v>
      </c>
      <c r="AC38">
        <v>0</v>
      </c>
      <c r="AD38">
        <v>1.51880041450811E-2</v>
      </c>
      <c r="AE38">
        <v>2.3831672360087098E-3</v>
      </c>
      <c r="AF38">
        <v>0</v>
      </c>
      <c r="AG38">
        <v>8.0040507044180295E-2</v>
      </c>
      <c r="AH38">
        <v>6.3528879200420198E-3</v>
      </c>
      <c r="AI38">
        <v>0.88787311658207502</v>
      </c>
      <c r="AJ38" t="s">
        <v>74</v>
      </c>
      <c r="AK38">
        <v>0</v>
      </c>
      <c r="AL38" t="s">
        <v>77</v>
      </c>
      <c r="AM38">
        <v>0</v>
      </c>
      <c r="AN38">
        <v>0.99199999999999999</v>
      </c>
      <c r="AO38">
        <v>0</v>
      </c>
      <c r="AP38">
        <v>5.8245346242475203E-2</v>
      </c>
      <c r="AQ38">
        <v>0</v>
      </c>
      <c r="AR38">
        <v>1.6E-2</v>
      </c>
      <c r="AS38">
        <v>0</v>
      </c>
      <c r="AT38">
        <v>0</v>
      </c>
      <c r="AU38">
        <v>0</v>
      </c>
      <c r="AV38">
        <v>0</v>
      </c>
      <c r="AW38">
        <v>1</v>
      </c>
      <c r="AX38" t="s">
        <v>74</v>
      </c>
      <c r="AY38">
        <v>0</v>
      </c>
      <c r="AZ38" t="s">
        <v>76</v>
      </c>
      <c r="BA38">
        <v>-1.5707963267949001</v>
      </c>
      <c r="BB38">
        <v>0.99199999999999999</v>
      </c>
      <c r="BC38">
        <v>0</v>
      </c>
      <c r="BD38">
        <v>5.8245346242475203E-2</v>
      </c>
      <c r="BE38">
        <v>0</v>
      </c>
      <c r="BF38">
        <v>1.6E-2</v>
      </c>
      <c r="BG38">
        <v>0</v>
      </c>
      <c r="BH38">
        <v>0</v>
      </c>
      <c r="BI38">
        <v>0</v>
      </c>
      <c r="BJ38">
        <v>0</v>
      </c>
      <c r="BK38">
        <v>1</v>
      </c>
      <c r="BL38">
        <v>1.12889840764529E-4</v>
      </c>
      <c r="BM38" s="1">
        <v>4.3196697482111202E-5</v>
      </c>
      <c r="BN38" s="1">
        <v>4.2011393720271299E-7</v>
      </c>
      <c r="BO38" s="1">
        <v>6.7853213734570596E-7</v>
      </c>
      <c r="BP38">
        <v>0</v>
      </c>
      <c r="BQ38">
        <v>0</v>
      </c>
      <c r="BR38" s="1">
        <v>6.4490121579593304E-5</v>
      </c>
      <c r="BS38" s="1">
        <v>2.47303928496981E-5</v>
      </c>
    </row>
    <row r="39" spans="1:71" x14ac:dyDescent="0.25">
      <c r="A39">
        <v>36</v>
      </c>
      <c r="B39" s="1">
        <v>6.0776074495292604E-6</v>
      </c>
      <c r="C39">
        <v>0.13228193279689099</v>
      </c>
      <c r="D39">
        <v>-4.8957146415068995E-4</v>
      </c>
      <c r="E39">
        <v>6.1312499999999995E-4</v>
      </c>
      <c r="F39">
        <v>-1.3228193279689101E-3</v>
      </c>
      <c r="G39" s="1">
        <v>1.0842021724855E-19</v>
      </c>
      <c r="H39" t="s">
        <v>74</v>
      </c>
      <c r="I39">
        <v>0</v>
      </c>
      <c r="J39" t="s">
        <v>75</v>
      </c>
      <c r="K39">
        <v>3.14159265358979</v>
      </c>
      <c r="L39">
        <v>0.93305867813659005</v>
      </c>
      <c r="M39">
        <v>0</v>
      </c>
      <c r="N39">
        <v>5.4784602593358801E-2</v>
      </c>
      <c r="O39">
        <v>0</v>
      </c>
      <c r="P39">
        <v>1.6E-2</v>
      </c>
      <c r="Q39">
        <v>0</v>
      </c>
      <c r="R39">
        <v>0</v>
      </c>
      <c r="S39">
        <v>0</v>
      </c>
      <c r="T39">
        <v>0</v>
      </c>
      <c r="U39">
        <v>0.94058978694699702</v>
      </c>
      <c r="V39" t="s">
        <v>78</v>
      </c>
      <c r="W39">
        <v>3866949.17312265</v>
      </c>
      <c r="X39" t="s">
        <v>76</v>
      </c>
      <c r="Y39">
        <v>-1.5707963267949001</v>
      </c>
      <c r="Z39">
        <v>0.93230568604181696</v>
      </c>
      <c r="AA39">
        <v>0</v>
      </c>
      <c r="AB39">
        <v>5.4305569720829498E-2</v>
      </c>
      <c r="AC39">
        <v>0</v>
      </c>
      <c r="AD39">
        <v>1.5121551809904101E-2</v>
      </c>
      <c r="AE39">
        <v>2.4554286747612499E-3</v>
      </c>
      <c r="AF39">
        <v>0</v>
      </c>
      <c r="AG39">
        <v>8.2194143274935003E-2</v>
      </c>
      <c r="AH39">
        <v>6.7396873308015097E-3</v>
      </c>
      <c r="AI39">
        <v>0.88467405013192602</v>
      </c>
      <c r="AJ39" t="s">
        <v>74</v>
      </c>
      <c r="AK39">
        <v>0</v>
      </c>
      <c r="AL39" t="s">
        <v>77</v>
      </c>
      <c r="AM39">
        <v>0</v>
      </c>
      <c r="AN39">
        <v>0.99199999999999999</v>
      </c>
      <c r="AO39">
        <v>0</v>
      </c>
      <c r="AP39">
        <v>5.8245346242475203E-2</v>
      </c>
      <c r="AQ39">
        <v>0</v>
      </c>
      <c r="AR39">
        <v>1.6E-2</v>
      </c>
      <c r="AS39">
        <v>0</v>
      </c>
      <c r="AT39">
        <v>0</v>
      </c>
      <c r="AU39">
        <v>0</v>
      </c>
      <c r="AV39">
        <v>0</v>
      </c>
      <c r="AW39">
        <v>1</v>
      </c>
      <c r="AX39" t="s">
        <v>74</v>
      </c>
      <c r="AY39">
        <v>0</v>
      </c>
      <c r="AZ39" t="s">
        <v>76</v>
      </c>
      <c r="BA39">
        <v>-1.5707963267949001</v>
      </c>
      <c r="BB39">
        <v>0.99199999999999999</v>
      </c>
      <c r="BC39">
        <v>0</v>
      </c>
      <c r="BD39">
        <v>5.8245346242475203E-2</v>
      </c>
      <c r="BE39">
        <v>0</v>
      </c>
      <c r="BF39">
        <v>1.6E-2</v>
      </c>
      <c r="BG39">
        <v>0</v>
      </c>
      <c r="BH39">
        <v>0</v>
      </c>
      <c r="BI39">
        <v>0</v>
      </c>
      <c r="BJ39">
        <v>0</v>
      </c>
      <c r="BK39">
        <v>1</v>
      </c>
      <c r="BL39">
        <v>1.12790432399569E-4</v>
      </c>
      <c r="BM39" s="1">
        <v>4.4466915302868299E-5</v>
      </c>
      <c r="BN39" s="1">
        <v>4.19739985078859E-7</v>
      </c>
      <c r="BO39" s="1">
        <v>6.9848467221645202E-7</v>
      </c>
      <c r="BP39">
        <v>0</v>
      </c>
      <c r="BQ39">
        <v>0</v>
      </c>
      <c r="BR39" s="1">
        <v>6.4427378989767898E-5</v>
      </c>
      <c r="BS39" s="1">
        <v>2.5457749171329801E-5</v>
      </c>
    </row>
    <row r="40" spans="1:71" x14ac:dyDescent="0.25">
      <c r="A40">
        <v>37</v>
      </c>
      <c r="B40" s="1">
        <v>5.9237079765883303E-6</v>
      </c>
      <c r="C40">
        <v>0.13228785650486699</v>
      </c>
      <c r="D40">
        <v>-4.89598040971254E-4</v>
      </c>
      <c r="E40">
        <v>6.1312499999999995E-4</v>
      </c>
      <c r="F40">
        <v>-1.32287856504867E-3</v>
      </c>
      <c r="G40" s="1">
        <v>2.1684043449710098E-19</v>
      </c>
      <c r="H40" t="s">
        <v>74</v>
      </c>
      <c r="I40">
        <v>0</v>
      </c>
      <c r="J40" t="s">
        <v>75</v>
      </c>
      <c r="K40">
        <v>3.14159265358979</v>
      </c>
      <c r="L40">
        <v>0.93137500858301703</v>
      </c>
      <c r="M40">
        <v>0</v>
      </c>
      <c r="N40">
        <v>5.4685745823090798E-2</v>
      </c>
      <c r="O40">
        <v>0</v>
      </c>
      <c r="P40">
        <v>1.6E-2</v>
      </c>
      <c r="Q40">
        <v>0</v>
      </c>
      <c r="R40">
        <v>0</v>
      </c>
      <c r="S40">
        <v>0</v>
      </c>
      <c r="T40">
        <v>0</v>
      </c>
      <c r="U40">
        <v>0.93888634895623502</v>
      </c>
      <c r="V40" t="s">
        <v>78</v>
      </c>
      <c r="W40">
        <v>3867178.5181839</v>
      </c>
      <c r="X40" t="s">
        <v>76</v>
      </c>
      <c r="Y40">
        <v>-1.5707963267949001</v>
      </c>
      <c r="Z40">
        <v>0.93062037484995497</v>
      </c>
      <c r="AA40">
        <v>0</v>
      </c>
      <c r="AB40">
        <v>5.42056685854128E-2</v>
      </c>
      <c r="AC40">
        <v>0</v>
      </c>
      <c r="AD40">
        <v>1.50549526959129E-2</v>
      </c>
      <c r="AE40">
        <v>2.5276686317913899E-3</v>
      </c>
      <c r="AF40">
        <v>0</v>
      </c>
      <c r="AG40">
        <v>8.4335882089665304E-2</v>
      </c>
      <c r="AH40">
        <v>7.1383595238285399E-3</v>
      </c>
      <c r="AI40">
        <v>0.88148127369010199</v>
      </c>
      <c r="AJ40" t="s">
        <v>74</v>
      </c>
      <c r="AK40">
        <v>0</v>
      </c>
      <c r="AL40" t="s">
        <v>77</v>
      </c>
      <c r="AM40">
        <v>0</v>
      </c>
      <c r="AN40">
        <v>0.99199999999999999</v>
      </c>
      <c r="AO40">
        <v>0</v>
      </c>
      <c r="AP40">
        <v>5.8245346242475203E-2</v>
      </c>
      <c r="AQ40">
        <v>0</v>
      </c>
      <c r="AR40">
        <v>1.6E-2</v>
      </c>
      <c r="AS40">
        <v>0</v>
      </c>
      <c r="AT40">
        <v>0</v>
      </c>
      <c r="AU40">
        <v>0</v>
      </c>
      <c r="AV40">
        <v>0</v>
      </c>
      <c r="AW40">
        <v>1</v>
      </c>
      <c r="AX40" t="s">
        <v>74</v>
      </c>
      <c r="AY40">
        <v>0</v>
      </c>
      <c r="AZ40" t="s">
        <v>76</v>
      </c>
      <c r="BA40">
        <v>-1.5707963267949001</v>
      </c>
      <c r="BB40">
        <v>0.99199999999999999</v>
      </c>
      <c r="BC40">
        <v>0</v>
      </c>
      <c r="BD40">
        <v>5.8245346242475203E-2</v>
      </c>
      <c r="BE40">
        <v>0</v>
      </c>
      <c r="BF40">
        <v>1.6E-2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1.1269105344672701E-4</v>
      </c>
      <c r="BM40" s="1">
        <v>4.5737120806746902E-5</v>
      </c>
      <c r="BN40" s="1">
        <v>4.1936629261478199E-7</v>
      </c>
      <c r="BO40" s="1">
        <v>7.1843701361412502E-7</v>
      </c>
      <c r="BP40">
        <v>0</v>
      </c>
      <c r="BQ40">
        <v>0</v>
      </c>
      <c r="BR40" s="1">
        <v>6.4364641641896295E-5</v>
      </c>
      <c r="BS40" s="1">
        <v>2.61851030492903E-5</v>
      </c>
    </row>
    <row r="41" spans="1:71" x14ac:dyDescent="0.25">
      <c r="A41">
        <v>38</v>
      </c>
      <c r="B41" s="1">
        <v>5.7782146646829896E-6</v>
      </c>
      <c r="C41">
        <v>0.13229363471953201</v>
      </c>
      <c r="D41">
        <v>-4.8962396426566895E-4</v>
      </c>
      <c r="E41">
        <v>6.1312499999999995E-4</v>
      </c>
      <c r="F41">
        <v>-1.3229363471953201E-3</v>
      </c>
      <c r="G41" s="1">
        <v>2.1684043449710098E-19</v>
      </c>
      <c r="H41" t="s">
        <v>74</v>
      </c>
      <c r="I41">
        <v>0</v>
      </c>
      <c r="J41" t="s">
        <v>75</v>
      </c>
      <c r="K41">
        <v>3.14159265358979</v>
      </c>
      <c r="L41">
        <v>0.929691355486015</v>
      </c>
      <c r="M41">
        <v>0</v>
      </c>
      <c r="N41">
        <v>5.4586890019071597E-2</v>
      </c>
      <c r="O41">
        <v>0</v>
      </c>
      <c r="P41">
        <v>1.6E-2</v>
      </c>
      <c r="Q41">
        <v>0</v>
      </c>
      <c r="R41">
        <v>0</v>
      </c>
      <c r="S41">
        <v>0</v>
      </c>
      <c r="T41">
        <v>0</v>
      </c>
      <c r="U41">
        <v>0.937177643977254</v>
      </c>
      <c r="V41" t="s">
        <v>78</v>
      </c>
      <c r="W41">
        <v>3867402.2236317</v>
      </c>
      <c r="X41" t="s">
        <v>76</v>
      </c>
      <c r="Y41">
        <v>-1.5707963267949001</v>
      </c>
      <c r="Z41">
        <v>0.92893516483013705</v>
      </c>
      <c r="AA41">
        <v>0</v>
      </c>
      <c r="AB41">
        <v>5.4105822309899097E-2</v>
      </c>
      <c r="AC41">
        <v>0</v>
      </c>
      <c r="AD41">
        <v>1.49882169693418E-2</v>
      </c>
      <c r="AE41">
        <v>2.5998861394736701E-3</v>
      </c>
      <c r="AF41">
        <v>0</v>
      </c>
      <c r="AG41">
        <v>8.6465683197625195E-2</v>
      </c>
      <c r="AH41">
        <v>7.5489445930662603E-3</v>
      </c>
      <c r="AI41">
        <v>0.87828935241894202</v>
      </c>
      <c r="AJ41" t="s">
        <v>74</v>
      </c>
      <c r="AK41">
        <v>0</v>
      </c>
      <c r="AL41" t="s">
        <v>77</v>
      </c>
      <c r="AM41">
        <v>0</v>
      </c>
      <c r="AN41">
        <v>0.99199999999999999</v>
      </c>
      <c r="AO41">
        <v>0</v>
      </c>
      <c r="AP41">
        <v>5.8245346242475203E-2</v>
      </c>
      <c r="AQ41">
        <v>0</v>
      </c>
      <c r="AR41">
        <v>1.6E-2</v>
      </c>
      <c r="AS41">
        <v>0</v>
      </c>
      <c r="AT41">
        <v>0</v>
      </c>
      <c r="AU41">
        <v>0</v>
      </c>
      <c r="AV41">
        <v>0</v>
      </c>
      <c r="AW41">
        <v>1</v>
      </c>
      <c r="AX41" t="s">
        <v>74</v>
      </c>
      <c r="AY41">
        <v>0</v>
      </c>
      <c r="AZ41" t="s">
        <v>76</v>
      </c>
      <c r="BA41">
        <v>-1.5707963267949001</v>
      </c>
      <c r="BB41">
        <v>0.99199999999999999</v>
      </c>
      <c r="BC41">
        <v>0</v>
      </c>
      <c r="BD41">
        <v>5.8245346242475203E-2</v>
      </c>
      <c r="BE41">
        <v>0</v>
      </c>
      <c r="BF41">
        <v>1.6E-2</v>
      </c>
      <c r="BG41">
        <v>0</v>
      </c>
      <c r="BH41">
        <v>0</v>
      </c>
      <c r="BI41">
        <v>0</v>
      </c>
      <c r="BJ41">
        <v>0</v>
      </c>
      <c r="BK41">
        <v>1</v>
      </c>
      <c r="BL41">
        <v>1.12591702406961E-4</v>
      </c>
      <c r="BM41" s="1">
        <v>4.7007313895345703E-5</v>
      </c>
      <c r="BN41" s="1">
        <v>4.1899284627877101E-7</v>
      </c>
      <c r="BO41" s="1">
        <v>7.3838915999303703E-7</v>
      </c>
      <c r="BP41">
        <v>0</v>
      </c>
      <c r="BQ41">
        <v>0</v>
      </c>
      <c r="BR41" s="1">
        <v>6.43019092919465E-5</v>
      </c>
      <c r="BS41" s="1">
        <v>2.6912454322150798E-5</v>
      </c>
    </row>
    <row r="42" spans="1:71" x14ac:dyDescent="0.25">
      <c r="A42">
        <v>39</v>
      </c>
      <c r="B42" s="1">
        <v>5.6404655732506904E-6</v>
      </c>
      <c r="C42">
        <v>0.13229927518510501</v>
      </c>
      <c r="D42">
        <v>-4.8964926883355697E-4</v>
      </c>
      <c r="E42">
        <v>6.1312499999999995E-4</v>
      </c>
      <c r="F42">
        <v>-1.32299275185105E-3</v>
      </c>
      <c r="G42" s="1">
        <v>2.1684043449710098E-19</v>
      </c>
      <c r="H42" t="s">
        <v>74</v>
      </c>
      <c r="I42">
        <v>0</v>
      </c>
      <c r="J42" t="s">
        <v>75</v>
      </c>
      <c r="K42">
        <v>3.14159265358979</v>
      </c>
      <c r="L42">
        <v>0.92800771900321199</v>
      </c>
      <c r="M42">
        <v>0</v>
      </c>
      <c r="N42">
        <v>5.44880351905562E-2</v>
      </c>
      <c r="O42">
        <v>0</v>
      </c>
      <c r="P42">
        <v>1.6E-2</v>
      </c>
      <c r="Q42">
        <v>0</v>
      </c>
      <c r="R42">
        <v>0</v>
      </c>
      <c r="S42">
        <v>0</v>
      </c>
      <c r="T42">
        <v>0</v>
      </c>
      <c r="U42">
        <v>0.935463566658565</v>
      </c>
      <c r="V42" t="s">
        <v>78</v>
      </c>
      <c r="W42">
        <v>3867620.5897699101</v>
      </c>
      <c r="X42" t="s">
        <v>76</v>
      </c>
      <c r="Y42">
        <v>-1.5707963267949001</v>
      </c>
      <c r="Z42">
        <v>0.92725005177685704</v>
      </c>
      <c r="AA42">
        <v>0</v>
      </c>
      <c r="AB42">
        <v>5.4006028127838702E-2</v>
      </c>
      <c r="AC42">
        <v>0</v>
      </c>
      <c r="AD42">
        <v>1.4921353569519799E-2</v>
      </c>
      <c r="AE42">
        <v>2.6720806914546798E-3</v>
      </c>
      <c r="AF42">
        <v>0</v>
      </c>
      <c r="AG42">
        <v>8.8583503524325105E-2</v>
      </c>
      <c r="AH42">
        <v>7.9714853751690299E-3</v>
      </c>
      <c r="AI42">
        <v>0.87509819122254495</v>
      </c>
      <c r="AJ42" t="s">
        <v>74</v>
      </c>
      <c r="AK42">
        <v>0</v>
      </c>
      <c r="AL42" t="s">
        <v>77</v>
      </c>
      <c r="AM42">
        <v>0</v>
      </c>
      <c r="AN42">
        <v>0.99199999999999999</v>
      </c>
      <c r="AO42">
        <v>0</v>
      </c>
      <c r="AP42">
        <v>5.8245346242475203E-2</v>
      </c>
      <c r="AQ42">
        <v>0</v>
      </c>
      <c r="AR42">
        <v>1.6E-2</v>
      </c>
      <c r="AS42">
        <v>0</v>
      </c>
      <c r="AT42">
        <v>0</v>
      </c>
      <c r="AU42">
        <v>0</v>
      </c>
      <c r="AV42">
        <v>0</v>
      </c>
      <c r="AW42">
        <v>1</v>
      </c>
      <c r="AX42" t="s">
        <v>74</v>
      </c>
      <c r="AY42">
        <v>0</v>
      </c>
      <c r="AZ42" t="s">
        <v>76</v>
      </c>
      <c r="BA42">
        <v>-1.5707963267949001</v>
      </c>
      <c r="BB42">
        <v>0.99199999999999999</v>
      </c>
      <c r="BC42">
        <v>0</v>
      </c>
      <c r="BD42">
        <v>5.8245346242475203E-2</v>
      </c>
      <c r="BE42">
        <v>0</v>
      </c>
      <c r="BF42">
        <v>1.6E-2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1.12492377901673E-4</v>
      </c>
      <c r="BM42" s="1">
        <v>4.8277494449747102E-5</v>
      </c>
      <c r="BN42" s="1">
        <v>4.1861963361469802E-7</v>
      </c>
      <c r="BO42" s="1">
        <v>7.5834110948523696E-7</v>
      </c>
      <c r="BP42">
        <v>0</v>
      </c>
      <c r="BQ42">
        <v>0</v>
      </c>
      <c r="BR42" s="1">
        <v>6.42391817169892E-5</v>
      </c>
      <c r="BS42" s="1">
        <v>2.7639802822642499E-5</v>
      </c>
    </row>
    <row r="43" spans="1:71" x14ac:dyDescent="0.25">
      <c r="A43">
        <v>40</v>
      </c>
      <c r="B43" s="1">
        <v>5.5098667940589399E-6</v>
      </c>
      <c r="C43">
        <v>0.13230478505189899</v>
      </c>
      <c r="D43">
        <v>-4.8967398680487201E-4</v>
      </c>
      <c r="E43">
        <v>6.1312499999999995E-4</v>
      </c>
      <c r="F43">
        <v>-1.32304785051899E-3</v>
      </c>
      <c r="G43" s="1">
        <v>2.1684043449710098E-19</v>
      </c>
      <c r="H43" t="s">
        <v>74</v>
      </c>
      <c r="I43">
        <v>0</v>
      </c>
      <c r="J43" t="s">
        <v>75</v>
      </c>
      <c r="K43">
        <v>3.14159265358979</v>
      </c>
      <c r="L43">
        <v>0.92632409929425497</v>
      </c>
      <c r="M43">
        <v>0</v>
      </c>
      <c r="N43">
        <v>5.4389181346918197E-2</v>
      </c>
      <c r="O43">
        <v>0</v>
      </c>
      <c r="P43">
        <v>1.6E-2</v>
      </c>
      <c r="Q43">
        <v>0</v>
      </c>
      <c r="R43">
        <v>0</v>
      </c>
      <c r="S43">
        <v>0</v>
      </c>
      <c r="T43">
        <v>0</v>
      </c>
      <c r="U43">
        <v>0.93374423755147595</v>
      </c>
      <c r="V43" t="s">
        <v>78</v>
      </c>
      <c r="W43">
        <v>3867833.8938644198</v>
      </c>
      <c r="X43" t="s">
        <v>76</v>
      </c>
      <c r="Y43">
        <v>-1.5707963267949001</v>
      </c>
      <c r="Z43">
        <v>0.92556503182167504</v>
      </c>
      <c r="AA43">
        <v>0</v>
      </c>
      <c r="AB43">
        <v>5.3906283486047001E-2</v>
      </c>
      <c r="AC43">
        <v>0</v>
      </c>
      <c r="AD43">
        <v>1.48543707439509E-2</v>
      </c>
      <c r="AE43">
        <v>2.7442518184224601E-3</v>
      </c>
      <c r="AF43">
        <v>0</v>
      </c>
      <c r="AG43">
        <v>9.0689299496379799E-2</v>
      </c>
      <c r="AH43">
        <v>8.4060252026383394E-3</v>
      </c>
      <c r="AI43">
        <v>0.87190792101173697</v>
      </c>
      <c r="AJ43" t="s">
        <v>74</v>
      </c>
      <c r="AK43">
        <v>0</v>
      </c>
      <c r="AL43" t="s">
        <v>77</v>
      </c>
      <c r="AM43">
        <v>0</v>
      </c>
      <c r="AN43">
        <v>0.99199999999999999</v>
      </c>
      <c r="AO43">
        <v>0</v>
      </c>
      <c r="AP43">
        <v>5.8245346242475203E-2</v>
      </c>
      <c r="AQ43">
        <v>0</v>
      </c>
      <c r="AR43">
        <v>1.6E-2</v>
      </c>
      <c r="AS43">
        <v>0</v>
      </c>
      <c r="AT43">
        <v>0</v>
      </c>
      <c r="AU43">
        <v>0</v>
      </c>
      <c r="AV43">
        <v>0</v>
      </c>
      <c r="AW43">
        <v>1</v>
      </c>
      <c r="AX43" t="s">
        <v>74</v>
      </c>
      <c r="AY43">
        <v>0</v>
      </c>
      <c r="AZ43" t="s">
        <v>76</v>
      </c>
      <c r="BA43">
        <v>-1.5707963267949001</v>
      </c>
      <c r="BB43">
        <v>0.99199999999999999</v>
      </c>
      <c r="BC43">
        <v>0</v>
      </c>
      <c r="BD43">
        <v>5.8245346242475203E-2</v>
      </c>
      <c r="BE43">
        <v>0</v>
      </c>
      <c r="BF43">
        <v>1.6E-2</v>
      </c>
      <c r="BG43">
        <v>0</v>
      </c>
      <c r="BH43">
        <v>0</v>
      </c>
      <c r="BI43">
        <v>0</v>
      </c>
      <c r="BJ43">
        <v>0</v>
      </c>
      <c r="BK43">
        <v>1</v>
      </c>
      <c r="BL43">
        <v>1.12393078658958E-4</v>
      </c>
      <c r="BM43" s="1">
        <v>4.95476623495091E-5</v>
      </c>
      <c r="BN43" s="1">
        <v>4.1824664312604001E-7</v>
      </c>
      <c r="BO43" s="1">
        <v>7.7829286019882697E-7</v>
      </c>
      <c r="BP43">
        <v>0</v>
      </c>
      <c r="BQ43">
        <v>0</v>
      </c>
      <c r="BR43" s="1">
        <v>6.4176458712136001E-5</v>
      </c>
      <c r="BS43" s="1">
        <v>2.8367148388071499E-5</v>
      </c>
    </row>
    <row r="44" spans="1:71" x14ac:dyDescent="0.25">
      <c r="A44">
        <v>41</v>
      </c>
      <c r="B44" s="1">
        <v>5.3858837893977903E-6</v>
      </c>
      <c r="C44">
        <v>0.132310170935689</v>
      </c>
      <c r="D44">
        <v>-4.8969814790683598E-4</v>
      </c>
      <c r="E44">
        <v>6.1312499999999995E-4</v>
      </c>
      <c r="F44">
        <v>-1.32310170935689E-3</v>
      </c>
      <c r="G44" s="1">
        <v>2.1684043449710098E-19</v>
      </c>
      <c r="H44" t="s">
        <v>74</v>
      </c>
      <c r="I44">
        <v>0</v>
      </c>
      <c r="J44" t="s">
        <v>75</v>
      </c>
      <c r="K44">
        <v>3.14159265358979</v>
      </c>
      <c r="L44">
        <v>0.92464049651978697</v>
      </c>
      <c r="M44">
        <v>0</v>
      </c>
      <c r="N44">
        <v>5.4290328497589899E-2</v>
      </c>
      <c r="O44">
        <v>0</v>
      </c>
      <c r="P44">
        <v>1.6E-2</v>
      </c>
      <c r="Q44">
        <v>0</v>
      </c>
      <c r="R44">
        <v>0</v>
      </c>
      <c r="S44">
        <v>0</v>
      </c>
      <c r="T44">
        <v>0</v>
      </c>
      <c r="U44">
        <v>0.93201976795296604</v>
      </c>
      <c r="V44" t="s">
        <v>78</v>
      </c>
      <c r="W44">
        <v>3868042.3924467298</v>
      </c>
      <c r="X44" t="s">
        <v>76</v>
      </c>
      <c r="Y44">
        <v>-1.5707963267949001</v>
      </c>
      <c r="Z44">
        <v>0.92388010139852905</v>
      </c>
      <c r="AA44">
        <v>0</v>
      </c>
      <c r="AB44">
        <v>5.3806586023129203E-2</v>
      </c>
      <c r="AC44">
        <v>0</v>
      </c>
      <c r="AD44">
        <v>1.4787276135927001E-2</v>
      </c>
      <c r="AE44">
        <v>2.8163990679085098E-3</v>
      </c>
      <c r="AF44">
        <v>0</v>
      </c>
      <c r="AG44">
        <v>9.2783027143682195E-2</v>
      </c>
      <c r="AH44">
        <v>8.8526078031931493E-3</v>
      </c>
      <c r="AI44">
        <v>0.86871866349148397</v>
      </c>
      <c r="AJ44" t="s">
        <v>74</v>
      </c>
      <c r="AK44">
        <v>0</v>
      </c>
      <c r="AL44" t="s">
        <v>77</v>
      </c>
      <c r="AM44">
        <v>0</v>
      </c>
      <c r="AN44">
        <v>0.99199999999999999</v>
      </c>
      <c r="AO44">
        <v>0</v>
      </c>
      <c r="AP44">
        <v>5.8245346242475203E-2</v>
      </c>
      <c r="AQ44">
        <v>0</v>
      </c>
      <c r="AR44">
        <v>1.6E-2</v>
      </c>
      <c r="AS44">
        <v>0</v>
      </c>
      <c r="AT44">
        <v>0</v>
      </c>
      <c r="AU44">
        <v>0</v>
      </c>
      <c r="AV44">
        <v>0</v>
      </c>
      <c r="AW44">
        <v>1</v>
      </c>
      <c r="AX44" t="s">
        <v>74</v>
      </c>
      <c r="AY44">
        <v>0</v>
      </c>
      <c r="AZ44" t="s">
        <v>76</v>
      </c>
      <c r="BA44">
        <v>-1.5707963267949001</v>
      </c>
      <c r="BB44">
        <v>0.99199999999999999</v>
      </c>
      <c r="BC44">
        <v>0</v>
      </c>
      <c r="BD44">
        <v>5.8245346242475203E-2</v>
      </c>
      <c r="BE44">
        <v>0</v>
      </c>
      <c r="BF44">
        <v>1.6E-2</v>
      </c>
      <c r="BG44">
        <v>0</v>
      </c>
      <c r="BH44">
        <v>0</v>
      </c>
      <c r="BI44">
        <v>0</v>
      </c>
      <c r="BJ44">
        <v>0</v>
      </c>
      <c r="BK44">
        <v>1</v>
      </c>
      <c r="BL44">
        <v>1.12293803502835E-4</v>
      </c>
      <c r="BM44" s="1">
        <v>5.0817817473437702E-5</v>
      </c>
      <c r="BN44" s="1">
        <v>4.1787386417928099E-7</v>
      </c>
      <c r="BO44" s="1">
        <v>7.9824441023009395E-7</v>
      </c>
      <c r="BP44">
        <v>0</v>
      </c>
      <c r="BQ44">
        <v>0</v>
      </c>
      <c r="BR44" s="1">
        <v>6.4113740088654695E-5</v>
      </c>
      <c r="BS44" s="1">
        <v>2.9094490860346699E-5</v>
      </c>
    </row>
    <row r="45" spans="1:71" x14ac:dyDescent="0.25">
      <c r="A45">
        <v>42</v>
      </c>
      <c r="B45" s="1">
        <v>5.2680341487843796E-6</v>
      </c>
      <c r="C45">
        <v>0.132315438969837</v>
      </c>
      <c r="D45">
        <v>-4.8972177969830704E-4</v>
      </c>
      <c r="E45">
        <v>6.1312499999999995E-4</v>
      </c>
      <c r="F45">
        <v>-1.3231543896983699E-3</v>
      </c>
      <c r="G45" s="1">
        <v>1.0842021724855E-19</v>
      </c>
      <c r="H45" t="s">
        <v>74</v>
      </c>
      <c r="I45">
        <v>0</v>
      </c>
      <c r="J45" t="s">
        <v>75</v>
      </c>
      <c r="K45">
        <v>3.14159265358979</v>
      </c>
      <c r="L45">
        <v>0.92295691084158504</v>
      </c>
      <c r="M45">
        <v>0</v>
      </c>
      <c r="N45">
        <v>5.4191476652069998E-2</v>
      </c>
      <c r="O45">
        <v>0</v>
      </c>
      <c r="P45">
        <v>1.6E-2</v>
      </c>
      <c r="Q45">
        <v>0</v>
      </c>
      <c r="R45">
        <v>0</v>
      </c>
      <c r="S45">
        <v>0</v>
      </c>
      <c r="T45">
        <v>0</v>
      </c>
      <c r="U45">
        <v>0.93029026080850896</v>
      </c>
      <c r="V45" t="s">
        <v>78</v>
      </c>
      <c r="W45">
        <v>3868246.3233364099</v>
      </c>
      <c r="X45" t="s">
        <v>76</v>
      </c>
      <c r="Y45">
        <v>-1.5707963267949001</v>
      </c>
      <c r="Z45">
        <v>0.92219525721434703</v>
      </c>
      <c r="AA45">
        <v>0</v>
      </c>
      <c r="AB45">
        <v>5.3706933550703599E-2</v>
      </c>
      <c r="AC45">
        <v>0</v>
      </c>
      <c r="AD45">
        <v>1.47200768436609E-2</v>
      </c>
      <c r="AE45">
        <v>2.8885220029422E-3</v>
      </c>
      <c r="AF45">
        <v>0</v>
      </c>
      <c r="AG45">
        <v>9.4864642096393698E-2</v>
      </c>
      <c r="AH45">
        <v>9.3112773025755304E-3</v>
      </c>
      <c r="AI45">
        <v>0.86553053206330899</v>
      </c>
      <c r="AJ45" t="s">
        <v>74</v>
      </c>
      <c r="AK45">
        <v>0</v>
      </c>
      <c r="AL45" t="s">
        <v>77</v>
      </c>
      <c r="AM45">
        <v>0</v>
      </c>
      <c r="AN45">
        <v>0.99199999999999999</v>
      </c>
      <c r="AO45">
        <v>0</v>
      </c>
      <c r="AP45">
        <v>5.8245346242475203E-2</v>
      </c>
      <c r="AQ45">
        <v>0</v>
      </c>
      <c r="AR45">
        <v>1.6E-2</v>
      </c>
      <c r="AS45">
        <v>0</v>
      </c>
      <c r="AT45">
        <v>0</v>
      </c>
      <c r="AU45">
        <v>0</v>
      </c>
      <c r="AV45">
        <v>0</v>
      </c>
      <c r="AW45">
        <v>1</v>
      </c>
      <c r="AX45" t="s">
        <v>74</v>
      </c>
      <c r="AY45">
        <v>0</v>
      </c>
      <c r="AZ45" t="s">
        <v>76</v>
      </c>
      <c r="BA45">
        <v>-1.5707963267949001</v>
      </c>
      <c r="BB45">
        <v>0.99199999999999999</v>
      </c>
      <c r="BC45">
        <v>0</v>
      </c>
      <c r="BD45">
        <v>5.8245346242475203E-2</v>
      </c>
      <c r="BE45">
        <v>0</v>
      </c>
      <c r="BF45">
        <v>1.6E-2</v>
      </c>
      <c r="BG45">
        <v>0</v>
      </c>
      <c r="BH45">
        <v>0</v>
      </c>
      <c r="BI45">
        <v>0</v>
      </c>
      <c r="BJ45">
        <v>0</v>
      </c>
      <c r="BK45">
        <v>1</v>
      </c>
      <c r="BL45">
        <v>1.1219455134386199E-4</v>
      </c>
      <c r="BM45" s="1">
        <v>5.20879596994846E-5</v>
      </c>
      <c r="BN45" s="1">
        <v>4.1750128691941502E-7</v>
      </c>
      <c r="BO45" s="1">
        <v>8.1819575766191E-7</v>
      </c>
      <c r="BP45">
        <v>0</v>
      </c>
      <c r="BQ45">
        <v>0</v>
      </c>
      <c r="BR45" s="1">
        <v>6.4051025672358296E-5</v>
      </c>
      <c r="BS45" s="1">
        <v>2.9821830085547798E-5</v>
      </c>
    </row>
    <row r="46" spans="1:71" x14ac:dyDescent="0.25">
      <c r="A46">
        <v>43</v>
      </c>
      <c r="B46" s="1">
        <v>5.1558813873448301E-6</v>
      </c>
      <c r="C46">
        <v>0.13232059485122499</v>
      </c>
      <c r="D46">
        <v>-4.8974490777625799E-4</v>
      </c>
      <c r="E46">
        <v>6.1312500000000104E-4</v>
      </c>
      <c r="F46">
        <v>-1.3232059485122499E-3</v>
      </c>
      <c r="G46" s="1">
        <v>2.1684043449710098E-19</v>
      </c>
      <c r="H46" t="s">
        <v>74</v>
      </c>
      <c r="I46">
        <v>0</v>
      </c>
      <c r="J46" t="s">
        <v>75</v>
      </c>
      <c r="K46">
        <v>3.14159265358979</v>
      </c>
      <c r="L46">
        <v>0.92127334242262304</v>
      </c>
      <c r="M46">
        <v>0</v>
      </c>
      <c r="N46">
        <v>5.4092625819927499E-2</v>
      </c>
      <c r="O46">
        <v>0</v>
      </c>
      <c r="P46">
        <v>1.6E-2</v>
      </c>
      <c r="Q46">
        <v>0</v>
      </c>
      <c r="R46">
        <v>0</v>
      </c>
      <c r="S46">
        <v>0</v>
      </c>
      <c r="T46">
        <v>0</v>
      </c>
      <c r="U46">
        <v>0.92855581150739597</v>
      </c>
      <c r="V46" t="s">
        <v>78</v>
      </c>
      <c r="W46">
        <v>3868445.90742291</v>
      </c>
      <c r="X46" t="s">
        <v>76</v>
      </c>
      <c r="Y46">
        <v>-1.5707963267949001</v>
      </c>
      <c r="Z46">
        <v>0.92051049622311998</v>
      </c>
      <c r="AA46">
        <v>0</v>
      </c>
      <c r="AB46">
        <v>5.36073240368721E-2</v>
      </c>
      <c r="AC46">
        <v>0</v>
      </c>
      <c r="AD46">
        <v>1.4652779472343299E-2</v>
      </c>
      <c r="AE46">
        <v>2.9606202008401299E-3</v>
      </c>
      <c r="AF46">
        <v>0</v>
      </c>
      <c r="AG46">
        <v>9.6934099581796607E-2</v>
      </c>
      <c r="AH46">
        <v>9.7820782275979193E-3</v>
      </c>
      <c r="AI46">
        <v>0.86234363262019798</v>
      </c>
      <c r="AJ46" t="s">
        <v>74</v>
      </c>
      <c r="AK46">
        <v>0</v>
      </c>
      <c r="AL46" t="s">
        <v>77</v>
      </c>
      <c r="AM46">
        <v>0</v>
      </c>
      <c r="AN46">
        <v>0.99199999999999999</v>
      </c>
      <c r="AO46">
        <v>0</v>
      </c>
      <c r="AP46">
        <v>5.8245346242475203E-2</v>
      </c>
      <c r="AQ46">
        <v>0</v>
      </c>
      <c r="AR46">
        <v>1.6E-2</v>
      </c>
      <c r="AS46">
        <v>0</v>
      </c>
      <c r="AT46">
        <v>0</v>
      </c>
      <c r="AU46">
        <v>0</v>
      </c>
      <c r="AV46">
        <v>0</v>
      </c>
      <c r="AW46">
        <v>1</v>
      </c>
      <c r="AX46" t="s">
        <v>74</v>
      </c>
      <c r="AY46">
        <v>0</v>
      </c>
      <c r="AZ46" t="s">
        <v>76</v>
      </c>
      <c r="BA46">
        <v>-1.5707963267949001</v>
      </c>
      <c r="BB46">
        <v>0.99199999999999999</v>
      </c>
      <c r="BC46">
        <v>0</v>
      </c>
      <c r="BD46">
        <v>5.8245346242475203E-2</v>
      </c>
      <c r="BE46">
        <v>0</v>
      </c>
      <c r="BF46">
        <v>1.6E-2</v>
      </c>
      <c r="BG46">
        <v>0</v>
      </c>
      <c r="BH46">
        <v>0</v>
      </c>
      <c r="BI46">
        <v>0</v>
      </c>
      <c r="BJ46">
        <v>0</v>
      </c>
      <c r="BK46">
        <v>1</v>
      </c>
      <c r="BL46">
        <v>1.12095321170875E-4</v>
      </c>
      <c r="BM46" s="1">
        <v>5.3358088904697297E-5</v>
      </c>
      <c r="BN46" s="1">
        <v>4.17128902195557E-7</v>
      </c>
      <c r="BO46" s="1">
        <v>8.3814690056293995E-7</v>
      </c>
      <c r="BP46">
        <v>0</v>
      </c>
      <c r="BQ46">
        <v>0</v>
      </c>
      <c r="BR46" s="1">
        <v>6.3988315302190903E-5</v>
      </c>
      <c r="BS46" s="1">
        <v>3.0549165913559497E-5</v>
      </c>
    </row>
    <row r="47" spans="1:71" x14ac:dyDescent="0.25">
      <c r="A47">
        <v>44</v>
      </c>
      <c r="B47" s="1">
        <v>5.0490296088278198E-6</v>
      </c>
      <c r="C47">
        <v>0.13232564388083301</v>
      </c>
      <c r="D47">
        <v>-4.8976755595825101E-4</v>
      </c>
      <c r="E47">
        <v>6.1312499999999995E-4</v>
      </c>
      <c r="F47">
        <v>-1.32325643880834E-3</v>
      </c>
      <c r="G47" s="1">
        <v>1.0842021724855E-19</v>
      </c>
      <c r="H47" t="s">
        <v>74</v>
      </c>
      <c r="I47">
        <v>0</v>
      </c>
      <c r="J47" t="s">
        <v>75</v>
      </c>
      <c r="K47">
        <v>3.14159265358979</v>
      </c>
      <c r="L47">
        <v>0.91958979142720398</v>
      </c>
      <c r="M47">
        <v>0</v>
      </c>
      <c r="N47">
        <v>5.3993776010809597E-2</v>
      </c>
      <c r="O47">
        <v>0</v>
      </c>
      <c r="P47">
        <v>1.6E-2</v>
      </c>
      <c r="Q47">
        <v>0</v>
      </c>
      <c r="R47">
        <v>0</v>
      </c>
      <c r="S47">
        <v>0</v>
      </c>
      <c r="T47">
        <v>0</v>
      </c>
      <c r="U47">
        <v>0.92681650858568199</v>
      </c>
      <c r="V47" t="s">
        <v>78</v>
      </c>
      <c r="W47">
        <v>3868641.3502402399</v>
      </c>
      <c r="X47" t="s">
        <v>76</v>
      </c>
      <c r="Y47">
        <v>-1.5707963267949001</v>
      </c>
      <c r="Z47">
        <v>0.91882581560308396</v>
      </c>
      <c r="AA47">
        <v>0</v>
      </c>
      <c r="AB47">
        <v>5.3507755591628701E-2</v>
      </c>
      <c r="AC47">
        <v>0</v>
      </c>
      <c r="AD47">
        <v>1.4585390180123701E-2</v>
      </c>
      <c r="AE47">
        <v>3.0326932521087999E-3</v>
      </c>
      <c r="AF47">
        <v>0</v>
      </c>
      <c r="AG47">
        <v>9.8991354420857797E-2</v>
      </c>
      <c r="AH47">
        <v>1.02650555093851E-2</v>
      </c>
      <c r="AI47">
        <v>0.85915806424922603</v>
      </c>
      <c r="AJ47" t="s">
        <v>74</v>
      </c>
      <c r="AK47">
        <v>0</v>
      </c>
      <c r="AL47" t="s">
        <v>77</v>
      </c>
      <c r="AM47">
        <v>0</v>
      </c>
      <c r="AN47">
        <v>0.99199999999999999</v>
      </c>
      <c r="AO47">
        <v>0</v>
      </c>
      <c r="AP47">
        <v>5.8245346242475203E-2</v>
      </c>
      <c r="AQ47">
        <v>0</v>
      </c>
      <c r="AR47">
        <v>1.6E-2</v>
      </c>
      <c r="AS47">
        <v>0</v>
      </c>
      <c r="AT47">
        <v>0</v>
      </c>
      <c r="AU47">
        <v>0</v>
      </c>
      <c r="AV47">
        <v>0</v>
      </c>
      <c r="AW47">
        <v>1</v>
      </c>
      <c r="AX47" t="s">
        <v>74</v>
      </c>
      <c r="AY47">
        <v>0</v>
      </c>
      <c r="AZ47" t="s">
        <v>76</v>
      </c>
      <c r="BA47">
        <v>-1.5707963267949001</v>
      </c>
      <c r="BB47">
        <v>0.99199999999999999</v>
      </c>
      <c r="BC47">
        <v>0</v>
      </c>
      <c r="BD47">
        <v>5.8245346242475203E-2</v>
      </c>
      <c r="BE47">
        <v>0</v>
      </c>
      <c r="BF47">
        <v>1.6E-2</v>
      </c>
      <c r="BG47">
        <v>0</v>
      </c>
      <c r="BH47">
        <v>0</v>
      </c>
      <c r="BI47">
        <v>0</v>
      </c>
      <c r="BJ47">
        <v>0</v>
      </c>
      <c r="BK47">
        <v>1</v>
      </c>
      <c r="BL47">
        <v>1.11996112043694E-4</v>
      </c>
      <c r="BM47" s="1">
        <v>5.4628204965121501E-5</v>
      </c>
      <c r="BN47" s="1">
        <v>4.1675670149527698E-7</v>
      </c>
      <c r="BO47" s="1">
        <v>8.5809783698611499E-7</v>
      </c>
      <c r="BP47">
        <v>0</v>
      </c>
      <c r="BQ47">
        <v>0</v>
      </c>
      <c r="BR47" s="1">
        <v>6.3925608828984307E-5</v>
      </c>
      <c r="BS47" s="1">
        <v>3.1276498197711401E-5</v>
      </c>
    </row>
    <row r="48" spans="1:71" x14ac:dyDescent="0.25">
      <c r="A48">
        <v>45</v>
      </c>
      <c r="B48" s="1">
        <v>4.9471188964359598E-6</v>
      </c>
      <c r="C48">
        <v>0.13233059099972999</v>
      </c>
      <c r="D48">
        <v>-4.8978974644419402E-4</v>
      </c>
      <c r="E48">
        <v>6.1312499999999995E-4</v>
      </c>
      <c r="F48">
        <v>-1.3233059099973001E-3</v>
      </c>
      <c r="G48" s="1">
        <v>1.0842021724855E-19</v>
      </c>
      <c r="H48" t="s">
        <v>74</v>
      </c>
      <c r="I48">
        <v>0</v>
      </c>
      <c r="J48" t="s">
        <v>75</v>
      </c>
      <c r="K48">
        <v>3.14159265358979</v>
      </c>
      <c r="L48">
        <v>0.91790625802103198</v>
      </c>
      <c r="M48">
        <v>0</v>
      </c>
      <c r="N48">
        <v>5.3894927234445403E-2</v>
      </c>
      <c r="O48">
        <v>0</v>
      </c>
      <c r="P48">
        <v>1.6E-2</v>
      </c>
      <c r="Q48">
        <v>0</v>
      </c>
      <c r="R48">
        <v>0</v>
      </c>
      <c r="S48">
        <v>0</v>
      </c>
      <c r="T48">
        <v>0</v>
      </c>
      <c r="U48">
        <v>0.92507243434923503</v>
      </c>
      <c r="V48" t="s">
        <v>78</v>
      </c>
      <c r="W48">
        <v>3868832.8433628101</v>
      </c>
      <c r="X48" t="s">
        <v>76</v>
      </c>
      <c r="Y48">
        <v>-1.5707963267949001</v>
      </c>
      <c r="Z48">
        <v>0.91714121273646698</v>
      </c>
      <c r="AA48">
        <v>0</v>
      </c>
      <c r="AB48">
        <v>5.34082264539322E-2</v>
      </c>
      <c r="AC48">
        <v>0</v>
      </c>
      <c r="AD48">
        <v>1.4517914718843099E-2</v>
      </c>
      <c r="AE48">
        <v>3.1047407594518902E-3</v>
      </c>
      <c r="AF48">
        <v>0</v>
      </c>
      <c r="AG48">
        <v>0.10103636102466</v>
      </c>
      <c r="AH48">
        <v>1.07602544868325E-2</v>
      </c>
      <c r="AI48">
        <v>0.85597391985429006</v>
      </c>
      <c r="AJ48" t="s">
        <v>74</v>
      </c>
      <c r="AK48">
        <v>0</v>
      </c>
      <c r="AL48" t="s">
        <v>77</v>
      </c>
      <c r="AM48">
        <v>0</v>
      </c>
      <c r="AN48">
        <v>0.99199999999999999</v>
      </c>
      <c r="AO48">
        <v>0</v>
      </c>
      <c r="AP48">
        <v>5.8245346242475203E-2</v>
      </c>
      <c r="AQ48">
        <v>0</v>
      </c>
      <c r="AR48">
        <v>1.6E-2</v>
      </c>
      <c r="AS48">
        <v>0</v>
      </c>
      <c r="AT48">
        <v>0</v>
      </c>
      <c r="AU48">
        <v>0</v>
      </c>
      <c r="AV48">
        <v>0</v>
      </c>
      <c r="AW48">
        <v>1</v>
      </c>
      <c r="AX48" t="s">
        <v>74</v>
      </c>
      <c r="AY48">
        <v>0</v>
      </c>
      <c r="AZ48" t="s">
        <v>76</v>
      </c>
      <c r="BA48">
        <v>-1.5707963267949001</v>
      </c>
      <c r="BB48">
        <v>0.99199999999999999</v>
      </c>
      <c r="BC48">
        <v>0</v>
      </c>
      <c r="BD48">
        <v>5.8245346242475203E-2</v>
      </c>
      <c r="BE48">
        <v>0</v>
      </c>
      <c r="BF48">
        <v>1.6E-2</v>
      </c>
      <c r="BG48">
        <v>0</v>
      </c>
      <c r="BH48">
        <v>0</v>
      </c>
      <c r="BI48">
        <v>0</v>
      </c>
      <c r="BJ48">
        <v>0</v>
      </c>
      <c r="BK48">
        <v>1</v>
      </c>
      <c r="BL48">
        <v>1.1189692308666401E-4</v>
      </c>
      <c r="BM48" s="1">
        <v>5.5898307755746003E-5</v>
      </c>
      <c r="BN48" s="1">
        <v>4.1638467688642299E-7</v>
      </c>
      <c r="BO48" s="1">
        <v>8.7804856496776498E-7</v>
      </c>
      <c r="BP48">
        <v>0</v>
      </c>
      <c r="BQ48">
        <v>0</v>
      </c>
      <c r="BR48" s="1">
        <v>6.3862906114359197E-5</v>
      </c>
      <c r="BS48" s="1">
        <v>3.2003826794469597E-5</v>
      </c>
    </row>
    <row r="49" spans="1:71" x14ac:dyDescent="0.25">
      <c r="A49">
        <v>46</v>
      </c>
      <c r="B49" s="1">
        <v>4.8498213177469897E-6</v>
      </c>
      <c r="C49">
        <v>0.13233544082104801</v>
      </c>
      <c r="D49">
        <v>-4.8981149996012597E-4</v>
      </c>
      <c r="E49">
        <v>6.1312499999999995E-4</v>
      </c>
      <c r="F49">
        <v>-1.3233544082104801E-3</v>
      </c>
      <c r="G49" s="1">
        <v>2.1684043449710098E-19</v>
      </c>
      <c r="H49" t="s">
        <v>74</v>
      </c>
      <c r="I49">
        <v>0</v>
      </c>
      <c r="J49" t="s">
        <v>75</v>
      </c>
      <c r="K49">
        <v>3.14159265358979</v>
      </c>
      <c r="L49">
        <v>0.91622274237128598</v>
      </c>
      <c r="M49">
        <v>0</v>
      </c>
      <c r="N49">
        <v>5.3796079500650899E-2</v>
      </c>
      <c r="O49">
        <v>0</v>
      </c>
      <c r="P49">
        <v>1.6E-2</v>
      </c>
      <c r="Q49">
        <v>0</v>
      </c>
      <c r="R49">
        <v>0</v>
      </c>
      <c r="S49">
        <v>0</v>
      </c>
      <c r="T49">
        <v>0</v>
      </c>
      <c r="U49">
        <v>0.92332366542760003</v>
      </c>
      <c r="V49" t="s">
        <v>78</v>
      </c>
      <c r="W49">
        <v>3869020.5656463001</v>
      </c>
      <c r="X49" t="s">
        <v>76</v>
      </c>
      <c r="Y49">
        <v>-1.5707963267949001</v>
      </c>
      <c r="Z49">
        <v>0.91545668519151102</v>
      </c>
      <c r="AA49">
        <v>0</v>
      </c>
      <c r="AB49">
        <v>5.3308734980224898E-2</v>
      </c>
      <c r="AC49">
        <v>0</v>
      </c>
      <c r="AD49">
        <v>1.44503584702262E-2</v>
      </c>
      <c r="AE49">
        <v>3.1767623368680101E-3</v>
      </c>
      <c r="AF49">
        <v>0</v>
      </c>
      <c r="AG49">
        <v>0.10306907339063499</v>
      </c>
      <c r="AH49">
        <v>1.12677209102564E-2</v>
      </c>
      <c r="AI49">
        <v>0.85279128670967497</v>
      </c>
      <c r="AJ49" t="s">
        <v>74</v>
      </c>
      <c r="AK49">
        <v>0</v>
      </c>
      <c r="AL49" t="s">
        <v>77</v>
      </c>
      <c r="AM49">
        <v>0</v>
      </c>
      <c r="AN49">
        <v>0.99199999999999999</v>
      </c>
      <c r="AO49">
        <v>0</v>
      </c>
      <c r="AP49">
        <v>5.8245346242475203E-2</v>
      </c>
      <c r="AQ49">
        <v>0</v>
      </c>
      <c r="AR49">
        <v>1.6E-2</v>
      </c>
      <c r="AS49">
        <v>0</v>
      </c>
      <c r="AT49">
        <v>0</v>
      </c>
      <c r="AU49">
        <v>0</v>
      </c>
      <c r="AV49">
        <v>0</v>
      </c>
      <c r="AW49">
        <v>1</v>
      </c>
      <c r="AX49" t="s">
        <v>74</v>
      </c>
      <c r="AY49">
        <v>0</v>
      </c>
      <c r="AZ49" t="s">
        <v>76</v>
      </c>
      <c r="BA49">
        <v>-1.5707963267949001</v>
      </c>
      <c r="BB49">
        <v>0.99199999999999999</v>
      </c>
      <c r="BC49">
        <v>0</v>
      </c>
      <c r="BD49">
        <v>5.8245346242475203E-2</v>
      </c>
      <c r="BE49">
        <v>0</v>
      </c>
      <c r="BF49">
        <v>1.6E-2</v>
      </c>
      <c r="BG49">
        <v>0</v>
      </c>
      <c r="BH49">
        <v>0</v>
      </c>
      <c r="BI49">
        <v>0</v>
      </c>
      <c r="BJ49">
        <v>0</v>
      </c>
      <c r="BK49">
        <v>1</v>
      </c>
      <c r="BL49">
        <v>1.11797753482913E-4</v>
      </c>
      <c r="BM49" s="1">
        <v>5.7168397150445599E-5</v>
      </c>
      <c r="BN49" s="1">
        <v>4.1601282096545301E-7</v>
      </c>
      <c r="BO49" s="1">
        <v>8.9799908252671799E-7</v>
      </c>
      <c r="BP49">
        <v>0</v>
      </c>
      <c r="BQ49">
        <v>0</v>
      </c>
      <c r="BR49" s="1">
        <v>6.3800207029751096E-5</v>
      </c>
      <c r="BS49" s="1">
        <v>3.2731151563153103E-5</v>
      </c>
    </row>
    <row r="50" spans="1:71" x14ac:dyDescent="0.25">
      <c r="A50">
        <v>47</v>
      </c>
      <c r="B50" s="1">
        <v>4.7568374506309396E-6</v>
      </c>
      <c r="C50">
        <v>0.132340197658498</v>
      </c>
      <c r="D50">
        <v>-4.8983283588638902E-4</v>
      </c>
      <c r="E50">
        <v>6.1312499999999995E-4</v>
      </c>
      <c r="F50">
        <v>-1.3234019765849801E-3</v>
      </c>
      <c r="G50" s="1">
        <v>2.1684043449710098E-19</v>
      </c>
      <c r="H50" t="s">
        <v>74</v>
      </c>
      <c r="I50">
        <v>0</v>
      </c>
      <c r="J50" t="s">
        <v>75</v>
      </c>
      <c r="K50">
        <v>3.14159265358979</v>
      </c>
      <c r="L50">
        <v>0.91453924464671799</v>
      </c>
      <c r="M50">
        <v>0</v>
      </c>
      <c r="N50">
        <v>5.3697232819334501E-2</v>
      </c>
      <c r="O50">
        <v>0</v>
      </c>
      <c r="P50">
        <v>1.6E-2</v>
      </c>
      <c r="Q50">
        <v>0</v>
      </c>
      <c r="R50">
        <v>0</v>
      </c>
      <c r="S50">
        <v>0</v>
      </c>
      <c r="T50">
        <v>0</v>
      </c>
      <c r="U50">
        <v>0.92157027326770602</v>
      </c>
      <c r="V50" t="s">
        <v>78</v>
      </c>
      <c r="W50">
        <v>3869204.6843336299</v>
      </c>
      <c r="X50" t="s">
        <v>76</v>
      </c>
      <c r="Y50">
        <v>-1.5707963267949001</v>
      </c>
      <c r="Z50">
        <v>0.91377223070647895</v>
      </c>
      <c r="AA50">
        <v>0</v>
      </c>
      <c r="AB50">
        <v>5.32092796342062E-2</v>
      </c>
      <c r="AC50">
        <v>0</v>
      </c>
      <c r="AD50">
        <v>1.4382726478127199E-2</v>
      </c>
      <c r="AE50">
        <v>3.2487576088280402E-3</v>
      </c>
      <c r="AF50">
        <v>0</v>
      </c>
      <c r="AG50">
        <v>0.105089445098597</v>
      </c>
      <c r="AH50">
        <v>1.17875009452247E-2</v>
      </c>
      <c r="AI50">
        <v>0.84961024695353404</v>
      </c>
      <c r="AJ50" t="s">
        <v>74</v>
      </c>
      <c r="AK50">
        <v>0</v>
      </c>
      <c r="AL50" t="s">
        <v>77</v>
      </c>
      <c r="AM50">
        <v>0</v>
      </c>
      <c r="AN50">
        <v>0.99199999999999999</v>
      </c>
      <c r="AO50">
        <v>0</v>
      </c>
      <c r="AP50">
        <v>5.8245346242475203E-2</v>
      </c>
      <c r="AQ50">
        <v>0</v>
      </c>
      <c r="AR50">
        <v>1.6E-2</v>
      </c>
      <c r="AS50">
        <v>0</v>
      </c>
      <c r="AT50">
        <v>0</v>
      </c>
      <c r="AU50">
        <v>0</v>
      </c>
      <c r="AV50">
        <v>0</v>
      </c>
      <c r="AW50">
        <v>1</v>
      </c>
      <c r="AX50" t="s">
        <v>74</v>
      </c>
      <c r="AY50">
        <v>0</v>
      </c>
      <c r="AZ50" t="s">
        <v>76</v>
      </c>
      <c r="BA50">
        <v>-1.5707963267949001</v>
      </c>
      <c r="BB50">
        <v>0.99199999999999999</v>
      </c>
      <c r="BC50">
        <v>0</v>
      </c>
      <c r="BD50">
        <v>5.8245346242475203E-2</v>
      </c>
      <c r="BE50">
        <v>0</v>
      </c>
      <c r="BF50">
        <v>1.6E-2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1.11698602469246E-4</v>
      </c>
      <c r="BM50" s="1">
        <v>5.8438473021910702E-5</v>
      </c>
      <c r="BN50" s="1">
        <v>4.1564112681141102E-7</v>
      </c>
      <c r="BO50" s="1">
        <v>9.1794938766320005E-7</v>
      </c>
      <c r="BP50">
        <v>0</v>
      </c>
      <c r="BQ50">
        <v>0</v>
      </c>
      <c r="BR50" s="1">
        <v>6.3737511455546795E-5</v>
      </c>
      <c r="BS50" s="1">
        <v>3.3458472365664498E-5</v>
      </c>
    </row>
    <row r="51" spans="1:71" x14ac:dyDescent="0.25">
      <c r="A51">
        <v>48</v>
      </c>
      <c r="B51" s="1">
        <v>4.6678933524578097E-6</v>
      </c>
      <c r="C51">
        <v>0.13234486555185099</v>
      </c>
      <c r="D51">
        <v>-4.8985377237216303E-4</v>
      </c>
      <c r="E51">
        <v>6.1312499999999995E-4</v>
      </c>
      <c r="F51">
        <v>-1.32344865551851E-3</v>
      </c>
      <c r="G51" s="1">
        <v>2.1684043449710098E-19</v>
      </c>
      <c r="H51" t="s">
        <v>74</v>
      </c>
      <c r="I51">
        <v>0</v>
      </c>
      <c r="J51" t="s">
        <v>75</v>
      </c>
      <c r="K51">
        <v>3.14159265358979</v>
      </c>
      <c r="L51">
        <v>0.91285576501771604</v>
      </c>
      <c r="M51">
        <v>0</v>
      </c>
      <c r="N51">
        <v>5.3598387200500502E-2</v>
      </c>
      <c r="O51">
        <v>0</v>
      </c>
      <c r="P51">
        <v>1.6E-2</v>
      </c>
      <c r="Q51">
        <v>0</v>
      </c>
      <c r="R51">
        <v>0</v>
      </c>
      <c r="S51">
        <v>0</v>
      </c>
      <c r="T51">
        <v>0</v>
      </c>
      <c r="U51">
        <v>0.91981232457506501</v>
      </c>
      <c r="V51" t="s">
        <v>78</v>
      </c>
      <c r="W51">
        <v>3869385.35604343</v>
      </c>
      <c r="X51" t="s">
        <v>76</v>
      </c>
      <c r="Y51">
        <v>-1.5707963267949001</v>
      </c>
      <c r="Z51">
        <v>0.91208784717536395</v>
      </c>
      <c r="AA51">
        <v>0</v>
      </c>
      <c r="AB51">
        <v>5.3109858977698703E-2</v>
      </c>
      <c r="AC51">
        <v>0</v>
      </c>
      <c r="AD51">
        <v>1.43150234773356E-2</v>
      </c>
      <c r="AE51">
        <v>3.3207262095248098E-3</v>
      </c>
      <c r="AF51">
        <v>0</v>
      </c>
      <c r="AG51">
        <v>0.10709742930661501</v>
      </c>
      <c r="AH51">
        <v>1.2319641176572501E-2</v>
      </c>
      <c r="AI51">
        <v>0.84643087802885897</v>
      </c>
      <c r="AJ51" t="s">
        <v>74</v>
      </c>
      <c r="AK51">
        <v>0</v>
      </c>
      <c r="AL51" t="s">
        <v>77</v>
      </c>
      <c r="AM51">
        <v>0</v>
      </c>
      <c r="AN51">
        <v>0.99199999999999999</v>
      </c>
      <c r="AO51">
        <v>0</v>
      </c>
      <c r="AP51">
        <v>5.8245346242475203E-2</v>
      </c>
      <c r="AQ51">
        <v>0</v>
      </c>
      <c r="AR51">
        <v>1.6E-2</v>
      </c>
      <c r="AS51">
        <v>0</v>
      </c>
      <c r="AT51">
        <v>0</v>
      </c>
      <c r="AU51">
        <v>0</v>
      </c>
      <c r="AV51">
        <v>0</v>
      </c>
      <c r="AW51">
        <v>1</v>
      </c>
      <c r="AX51" t="s">
        <v>74</v>
      </c>
      <c r="AY51">
        <v>0</v>
      </c>
      <c r="AZ51" t="s">
        <v>76</v>
      </c>
      <c r="BA51">
        <v>-1.5707963267949001</v>
      </c>
      <c r="BB51">
        <v>0.99199999999999999</v>
      </c>
      <c r="BC51">
        <v>0</v>
      </c>
      <c r="BD51">
        <v>5.8245346242475203E-2</v>
      </c>
      <c r="BE51">
        <v>0</v>
      </c>
      <c r="BF51">
        <v>1.6E-2</v>
      </c>
      <c r="BG51">
        <v>0</v>
      </c>
      <c r="BH51">
        <v>0</v>
      </c>
      <c r="BI51">
        <v>0</v>
      </c>
      <c r="BJ51">
        <v>0</v>
      </c>
      <c r="BK51">
        <v>1</v>
      </c>
      <c r="BL51">
        <v>1.11599469331575E-4</v>
      </c>
      <c r="BM51" s="1">
        <v>5.9708535241593802E-5</v>
      </c>
      <c r="BN51" s="1">
        <v>4.1526958794482001E-7</v>
      </c>
      <c r="BO51" s="1">
        <v>9.3789947835799102E-7</v>
      </c>
      <c r="BP51">
        <v>0</v>
      </c>
      <c r="BQ51">
        <v>0</v>
      </c>
      <c r="BR51" s="1">
        <v>6.3674819280314001E-5</v>
      </c>
      <c r="BS51" s="1">
        <v>3.4185789066250401E-5</v>
      </c>
    </row>
    <row r="52" spans="1:71" x14ac:dyDescent="0.25">
      <c r="A52">
        <v>49</v>
      </c>
      <c r="B52" s="1">
        <v>4.5827379079182004E-6</v>
      </c>
      <c r="C52">
        <v>0.132349448289759</v>
      </c>
      <c r="D52">
        <v>-4.8987432643808301E-4</v>
      </c>
      <c r="E52">
        <v>6.1312499999999995E-4</v>
      </c>
      <c r="F52">
        <v>-1.3234944828975899E-3</v>
      </c>
      <c r="G52" s="1">
        <v>1.0842021724855E-19</v>
      </c>
      <c r="H52" t="s">
        <v>74</v>
      </c>
      <c r="I52">
        <v>0</v>
      </c>
      <c r="J52" t="s">
        <v>75</v>
      </c>
      <c r="K52">
        <v>3.14159265358979</v>
      </c>
      <c r="L52">
        <v>0.91117230365638702</v>
      </c>
      <c r="M52">
        <v>0</v>
      </c>
      <c r="N52">
        <v>5.3499542654254099E-2</v>
      </c>
      <c r="O52">
        <v>0</v>
      </c>
      <c r="P52">
        <v>1.6E-2</v>
      </c>
      <c r="Q52">
        <v>0</v>
      </c>
      <c r="R52">
        <v>0</v>
      </c>
      <c r="S52">
        <v>0</v>
      </c>
      <c r="T52">
        <v>0</v>
      </c>
      <c r="U52">
        <v>0.918049881709049</v>
      </c>
      <c r="V52" t="s">
        <v>78</v>
      </c>
      <c r="W52">
        <v>3869562.72765551</v>
      </c>
      <c r="X52" t="s">
        <v>76</v>
      </c>
      <c r="Y52">
        <v>-1.5707963267949001</v>
      </c>
      <c r="Z52">
        <v>0.91040353263509799</v>
      </c>
      <c r="AA52">
        <v>0</v>
      </c>
      <c r="AB52">
        <v>5.3010471662470297E-2</v>
      </c>
      <c r="AC52">
        <v>0</v>
      </c>
      <c r="AD52">
        <v>1.42472539193742E-2</v>
      </c>
      <c r="AE52">
        <v>3.3926677821865801E-3</v>
      </c>
      <c r="AF52">
        <v>0</v>
      </c>
      <c r="AG52">
        <v>0.109092978746719</v>
      </c>
      <c r="AH52">
        <v>1.2864188612590701E-2</v>
      </c>
      <c r="AI52">
        <v>0.84325325307855403</v>
      </c>
      <c r="AJ52" t="s">
        <v>74</v>
      </c>
      <c r="AK52">
        <v>0</v>
      </c>
      <c r="AL52" t="s">
        <v>77</v>
      </c>
      <c r="AM52">
        <v>0</v>
      </c>
      <c r="AN52">
        <v>0.99199999999999999</v>
      </c>
      <c r="AO52">
        <v>0</v>
      </c>
      <c r="AP52">
        <v>5.8245346242475203E-2</v>
      </c>
      <c r="AQ52">
        <v>0</v>
      </c>
      <c r="AR52">
        <v>1.6E-2</v>
      </c>
      <c r="AS52">
        <v>0</v>
      </c>
      <c r="AT52">
        <v>0</v>
      </c>
      <c r="AU52">
        <v>0</v>
      </c>
      <c r="AV52">
        <v>0</v>
      </c>
      <c r="AW52">
        <v>1</v>
      </c>
      <c r="AX52" t="s">
        <v>74</v>
      </c>
      <c r="AY52">
        <v>0</v>
      </c>
      <c r="AZ52" t="s">
        <v>76</v>
      </c>
      <c r="BA52">
        <v>-1.5707963267949001</v>
      </c>
      <c r="BB52">
        <v>0.99199999999999999</v>
      </c>
      <c r="BC52">
        <v>0</v>
      </c>
      <c r="BD52">
        <v>5.8245346242475203E-2</v>
      </c>
      <c r="BE52">
        <v>0</v>
      </c>
      <c r="BF52">
        <v>1.6E-2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1.11500353400837E-4</v>
      </c>
      <c r="BM52" s="1">
        <v>6.0978583679654798E-5</v>
      </c>
      <c r="BN52" s="1">
        <v>4.1489819829088198E-7</v>
      </c>
      <c r="BO52" s="1">
        <v>9.5784935257157005E-7</v>
      </c>
      <c r="BP52">
        <v>0</v>
      </c>
      <c r="BQ52">
        <v>0</v>
      </c>
      <c r="BR52" s="1">
        <v>6.3612130400113694E-5</v>
      </c>
      <c r="BS52" s="1">
        <v>3.4913101531279399E-5</v>
      </c>
    </row>
    <row r="53" spans="1:71" x14ac:dyDescent="0.25">
      <c r="A53">
        <v>50</v>
      </c>
      <c r="B53" s="1">
        <v>4.5011405015878903E-6</v>
      </c>
      <c r="C53">
        <v>0.13235394943025999</v>
      </c>
      <c r="D53">
        <v>-4.8989451406839196E-4</v>
      </c>
      <c r="E53">
        <v>6.1312499999999995E-4</v>
      </c>
      <c r="F53">
        <v>-1.3235394943026E-3</v>
      </c>
      <c r="G53" s="1">
        <v>1.0842021724855E-19</v>
      </c>
      <c r="H53" t="s">
        <v>74</v>
      </c>
      <c r="I53">
        <v>0</v>
      </c>
      <c r="J53" t="s">
        <v>75</v>
      </c>
      <c r="K53">
        <v>3.14159265358979</v>
      </c>
      <c r="L53">
        <v>0.90948886073663804</v>
      </c>
      <c r="M53">
        <v>0</v>
      </c>
      <c r="N53">
        <v>5.3400699190806297E-2</v>
      </c>
      <c r="O53">
        <v>0</v>
      </c>
      <c r="P53">
        <v>1.6E-2</v>
      </c>
      <c r="Q53">
        <v>0</v>
      </c>
      <c r="R53">
        <v>0</v>
      </c>
      <c r="S53">
        <v>0</v>
      </c>
      <c r="T53">
        <v>0</v>
      </c>
      <c r="U53">
        <v>0.91628300303787202</v>
      </c>
      <c r="V53" t="s">
        <v>78</v>
      </c>
      <c r="W53">
        <v>3869736.9371061302</v>
      </c>
      <c r="X53" t="s">
        <v>76</v>
      </c>
      <c r="Y53">
        <v>-1.5707963267949001</v>
      </c>
      <c r="Z53">
        <v>0.90871928525410395</v>
      </c>
      <c r="AA53">
        <v>0</v>
      </c>
      <c r="AB53">
        <v>5.2911116422896101E-2</v>
      </c>
      <c r="AC53">
        <v>0</v>
      </c>
      <c r="AD53">
        <v>1.4179421995660701E-2</v>
      </c>
      <c r="AE53">
        <v>3.4645819784467099E-3</v>
      </c>
      <c r="AF53">
        <v>0</v>
      </c>
      <c r="AG53">
        <v>0.111076045720408</v>
      </c>
      <c r="AH53">
        <v>1.34211906893773E-2</v>
      </c>
      <c r="AI53">
        <v>0.84007744130026996</v>
      </c>
      <c r="AJ53" t="s">
        <v>74</v>
      </c>
      <c r="AK53">
        <v>0</v>
      </c>
      <c r="AL53" t="s">
        <v>77</v>
      </c>
      <c r="AM53">
        <v>0</v>
      </c>
      <c r="AN53">
        <v>0.99199999999999999</v>
      </c>
      <c r="AO53">
        <v>0</v>
      </c>
      <c r="AP53">
        <v>5.8245346242475203E-2</v>
      </c>
      <c r="AQ53">
        <v>0</v>
      </c>
      <c r="AR53">
        <v>1.6E-2</v>
      </c>
      <c r="AS53">
        <v>0</v>
      </c>
      <c r="AT53">
        <v>0</v>
      </c>
      <c r="AU53">
        <v>0</v>
      </c>
      <c r="AV53">
        <v>0</v>
      </c>
      <c r="AW53">
        <v>1</v>
      </c>
      <c r="AX53" t="s">
        <v>74</v>
      </c>
      <c r="AY53">
        <v>0</v>
      </c>
      <c r="AZ53" t="s">
        <v>76</v>
      </c>
      <c r="BA53">
        <v>-1.5707963267949001</v>
      </c>
      <c r="BB53">
        <v>0.99199999999999999</v>
      </c>
      <c r="BC53">
        <v>0</v>
      </c>
      <c r="BD53">
        <v>5.8245346242475203E-2</v>
      </c>
      <c r="BE53">
        <v>0</v>
      </c>
      <c r="BF53">
        <v>1.6E-2</v>
      </c>
      <c r="BG53">
        <v>0</v>
      </c>
      <c r="BH53">
        <v>0</v>
      </c>
      <c r="BI53">
        <v>0</v>
      </c>
      <c r="BJ53">
        <v>0</v>
      </c>
      <c r="BK53">
        <v>1</v>
      </c>
      <c r="BL53">
        <v>1.11401254049326E-4</v>
      </c>
      <c r="BM53" s="1">
        <v>6.2248618204892799E-5</v>
      </c>
      <c r="BN53" s="1">
        <v>4.1452695214644898E-7</v>
      </c>
      <c r="BO53" s="1">
        <v>9.7779900824303597E-7</v>
      </c>
      <c r="BP53">
        <v>0</v>
      </c>
      <c r="BQ53">
        <v>0</v>
      </c>
      <c r="BR53" s="1">
        <v>6.3549444717884803E-5</v>
      </c>
      <c r="BS53" s="1">
        <v>3.5640409629027703E-5</v>
      </c>
    </row>
    <row r="54" spans="1:71" x14ac:dyDescent="0.25">
      <c r="A54">
        <v>51</v>
      </c>
      <c r="B54" s="1">
        <v>4.4228889696320201E-6</v>
      </c>
      <c r="C54">
        <v>0.13235837231923001</v>
      </c>
      <c r="D54">
        <v>-4.8991435029387804E-4</v>
      </c>
      <c r="E54">
        <v>6.1312499999999995E-4</v>
      </c>
      <c r="F54">
        <v>-1.3235837231923E-3</v>
      </c>
      <c r="G54" s="1">
        <v>2.1684043449710098E-19</v>
      </c>
      <c r="H54" t="s">
        <v>74</v>
      </c>
      <c r="I54">
        <v>0</v>
      </c>
      <c r="J54" t="s">
        <v>75</v>
      </c>
      <c r="K54">
        <v>3.14159265358979</v>
      </c>
      <c r="L54">
        <v>0.90780543643421796</v>
      </c>
      <c r="M54">
        <v>0</v>
      </c>
      <c r="N54">
        <v>5.3301856820476202E-2</v>
      </c>
      <c r="O54">
        <v>0</v>
      </c>
      <c r="P54">
        <v>1.6E-2</v>
      </c>
      <c r="Q54">
        <v>0</v>
      </c>
      <c r="R54">
        <v>0</v>
      </c>
      <c r="S54">
        <v>0</v>
      </c>
      <c r="T54">
        <v>0</v>
      </c>
      <c r="U54">
        <v>0.91451174325805695</v>
      </c>
      <c r="V54" t="s">
        <v>78</v>
      </c>
      <c r="W54">
        <v>3869908.1141037098</v>
      </c>
      <c r="X54" t="s">
        <v>76</v>
      </c>
      <c r="Y54">
        <v>-1.5707963267949001</v>
      </c>
      <c r="Z54">
        <v>0.90703510332194004</v>
      </c>
      <c r="AA54">
        <v>0</v>
      </c>
      <c r="AB54">
        <v>5.2811792069353998E-2</v>
      </c>
      <c r="AC54">
        <v>0</v>
      </c>
      <c r="AD54">
        <v>1.4111531658346299E-2</v>
      </c>
      <c r="AE54">
        <v>3.5364684577668102E-3</v>
      </c>
      <c r="AF54">
        <v>0</v>
      </c>
      <c r="AG54">
        <v>0.113046582094065</v>
      </c>
      <c r="AH54">
        <v>1.39906952753713E-2</v>
      </c>
      <c r="AI54">
        <v>0.83690350826568605</v>
      </c>
      <c r="AJ54" t="s">
        <v>74</v>
      </c>
      <c r="AK54">
        <v>0</v>
      </c>
      <c r="AL54" t="s">
        <v>77</v>
      </c>
      <c r="AM54">
        <v>0</v>
      </c>
      <c r="AN54">
        <v>0.99199999999999999</v>
      </c>
      <c r="AO54">
        <v>0</v>
      </c>
      <c r="AP54">
        <v>5.8245346242475203E-2</v>
      </c>
      <c r="AQ54">
        <v>0</v>
      </c>
      <c r="AR54">
        <v>1.6E-2</v>
      </c>
      <c r="AS54">
        <v>0</v>
      </c>
      <c r="AT54">
        <v>0</v>
      </c>
      <c r="AU54">
        <v>0</v>
      </c>
      <c r="AV54">
        <v>0</v>
      </c>
      <c r="AW54">
        <v>1</v>
      </c>
      <c r="AX54" t="s">
        <v>74</v>
      </c>
      <c r="AY54">
        <v>0</v>
      </c>
      <c r="AZ54" t="s">
        <v>76</v>
      </c>
      <c r="BA54">
        <v>-1.5707963267949001</v>
      </c>
      <c r="BB54">
        <v>0.99199999999999999</v>
      </c>
      <c r="BC54">
        <v>0</v>
      </c>
      <c r="BD54">
        <v>5.8245346242475203E-2</v>
      </c>
      <c r="BE54">
        <v>0</v>
      </c>
      <c r="BF54">
        <v>1.6E-2</v>
      </c>
      <c r="BG54">
        <v>0</v>
      </c>
      <c r="BH54">
        <v>0</v>
      </c>
      <c r="BI54">
        <v>0</v>
      </c>
      <c r="BJ54">
        <v>0</v>
      </c>
      <c r="BK54">
        <v>1</v>
      </c>
      <c r="BL54">
        <v>1.1130217068739E-4</v>
      </c>
      <c r="BM54" s="1">
        <v>6.3518638684717998E-5</v>
      </c>
      <c r="BN54" s="1">
        <v>4.1415584415030198E-7</v>
      </c>
      <c r="BO54" s="1">
        <v>9.9774844328967305E-7</v>
      </c>
      <c r="BP54">
        <v>0</v>
      </c>
      <c r="BQ54">
        <v>0</v>
      </c>
      <c r="BR54" s="1">
        <v>6.3486762142891097E-5</v>
      </c>
      <c r="BS54" s="1">
        <v>3.6367713229502103E-5</v>
      </c>
    </row>
    <row r="55" spans="1:71" x14ac:dyDescent="0.25">
      <c r="A55">
        <v>52</v>
      </c>
      <c r="B55" s="1">
        <v>4.3477877922785602E-6</v>
      </c>
      <c r="C55">
        <v>0.13236272010702199</v>
      </c>
      <c r="D55">
        <v>-4.8993384926669301E-4</v>
      </c>
      <c r="E55">
        <v>6.1312499999999995E-4</v>
      </c>
      <c r="F55">
        <v>-1.3236272010702199E-3</v>
      </c>
      <c r="G55" s="1">
        <v>1.0842021724855E-19</v>
      </c>
      <c r="H55" t="s">
        <v>74</v>
      </c>
      <c r="I55">
        <v>0</v>
      </c>
      <c r="J55" t="s">
        <v>75</v>
      </c>
      <c r="K55">
        <v>3.14159265358979</v>
      </c>
      <c r="L55">
        <v>0.90612203092681198</v>
      </c>
      <c r="M55">
        <v>0</v>
      </c>
      <c r="N55">
        <v>5.3203015553696602E-2</v>
      </c>
      <c r="O55">
        <v>0</v>
      </c>
      <c r="P55">
        <v>1.6E-2</v>
      </c>
      <c r="Q55">
        <v>0</v>
      </c>
      <c r="R55">
        <v>0</v>
      </c>
      <c r="S55">
        <v>0</v>
      </c>
      <c r="T55">
        <v>0</v>
      </c>
      <c r="U55">
        <v>0.91273615368266403</v>
      </c>
      <c r="V55" t="s">
        <v>78</v>
      </c>
      <c r="W55">
        <v>3870076.3807744202</v>
      </c>
      <c r="X55" t="s">
        <v>76</v>
      </c>
      <c r="Y55">
        <v>-1.5707963267949001</v>
      </c>
      <c r="Z55">
        <v>0.90535098524003899</v>
      </c>
      <c r="AA55">
        <v>0</v>
      </c>
      <c r="AB55">
        <v>5.2712497482273302E-2</v>
      </c>
      <c r="AC55">
        <v>0</v>
      </c>
      <c r="AD55">
        <v>1.40435866391123E-2</v>
      </c>
      <c r="AE55">
        <v>3.6083268869033899E-3</v>
      </c>
      <c r="AF55">
        <v>0</v>
      </c>
      <c r="AG55">
        <v>0.115004539294131</v>
      </c>
      <c r="AH55">
        <v>1.45727506760298E-2</v>
      </c>
      <c r="AI55">
        <v>0.83373151620863295</v>
      </c>
      <c r="AJ55" t="s">
        <v>74</v>
      </c>
      <c r="AK55">
        <v>0</v>
      </c>
      <c r="AL55" t="s">
        <v>77</v>
      </c>
      <c r="AM55">
        <v>0</v>
      </c>
      <c r="AN55">
        <v>0.99199999999999999</v>
      </c>
      <c r="AO55">
        <v>0</v>
      </c>
      <c r="AP55">
        <v>5.8245346242475203E-2</v>
      </c>
      <c r="AQ55">
        <v>0</v>
      </c>
      <c r="AR55">
        <v>1.6E-2</v>
      </c>
      <c r="AS55">
        <v>0</v>
      </c>
      <c r="AT55">
        <v>0</v>
      </c>
      <c r="AU55">
        <v>0</v>
      </c>
      <c r="AV55">
        <v>0</v>
      </c>
      <c r="AW55">
        <v>1</v>
      </c>
      <c r="AX55" t="s">
        <v>74</v>
      </c>
      <c r="AY55">
        <v>0</v>
      </c>
      <c r="AZ55" t="s">
        <v>76</v>
      </c>
      <c r="BA55">
        <v>-1.5707963267949001</v>
      </c>
      <c r="BB55">
        <v>0.99199999999999999</v>
      </c>
      <c r="BC55">
        <v>0</v>
      </c>
      <c r="BD55">
        <v>5.8245346242475203E-2</v>
      </c>
      <c r="BE55">
        <v>0</v>
      </c>
      <c r="BF55">
        <v>1.6E-2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1.1120310276046E-4</v>
      </c>
      <c r="BM55" s="1">
        <v>6.4788644985080295E-5</v>
      </c>
      <c r="BN55" s="1">
        <v>4.1378486925636799E-7</v>
      </c>
      <c r="BO55" s="1">
        <v>1.01769765560583E-6</v>
      </c>
      <c r="BP55">
        <v>0</v>
      </c>
      <c r="BQ55">
        <v>0</v>
      </c>
      <c r="BR55" s="1">
        <v>6.3424082590225005E-5</v>
      </c>
      <c r="BS55" s="1">
        <v>3.7095012204252003E-5</v>
      </c>
    </row>
    <row r="56" spans="1:71" x14ac:dyDescent="0.25">
      <c r="A56">
        <v>53</v>
      </c>
      <c r="B56" s="1">
        <v>4.2756564949058902E-6</v>
      </c>
      <c r="C56">
        <v>0.13236699576351699</v>
      </c>
      <c r="D56">
        <v>-4.8995302432797605E-4</v>
      </c>
      <c r="E56">
        <v>6.1312499999999995E-4</v>
      </c>
      <c r="F56">
        <v>-1.3236699576351699E-3</v>
      </c>
      <c r="G56" s="1">
        <v>1.0842021724855E-19</v>
      </c>
      <c r="H56" t="s">
        <v>74</v>
      </c>
      <c r="I56">
        <v>0</v>
      </c>
      <c r="J56" t="s">
        <v>75</v>
      </c>
      <c r="K56">
        <v>3.14159265358979</v>
      </c>
      <c r="L56">
        <v>0.90443864439407895</v>
      </c>
      <c r="M56">
        <v>0</v>
      </c>
      <c r="N56">
        <v>5.3104175401016203E-2</v>
      </c>
      <c r="O56">
        <v>0</v>
      </c>
      <c r="P56">
        <v>1.6E-2</v>
      </c>
      <c r="Q56">
        <v>0</v>
      </c>
      <c r="R56">
        <v>0</v>
      </c>
      <c r="S56">
        <v>0</v>
      </c>
      <c r="T56">
        <v>0</v>
      </c>
      <c r="U56">
        <v>0.91095628250177596</v>
      </c>
      <c r="V56" t="s">
        <v>78</v>
      </c>
      <c r="W56">
        <v>3870241.85224585</v>
      </c>
      <c r="X56" t="s">
        <v>76</v>
      </c>
      <c r="Y56">
        <v>-1.5707963267949001</v>
      </c>
      <c r="Z56">
        <v>0.90366692951328298</v>
      </c>
      <c r="AA56">
        <v>0</v>
      </c>
      <c r="AB56">
        <v>5.2613231606755302E-2</v>
      </c>
      <c r="AC56">
        <v>0</v>
      </c>
      <c r="AD56">
        <v>1.39755904661545E-2</v>
      </c>
      <c r="AE56">
        <v>3.6801569394182602E-3</v>
      </c>
      <c r="AF56">
        <v>0</v>
      </c>
      <c r="AG56">
        <v>0.116949868302196</v>
      </c>
      <c r="AH56">
        <v>1.5167405638683301E-2</v>
      </c>
      <c r="AI56">
        <v>0.83056152428543895</v>
      </c>
      <c r="AJ56" t="s">
        <v>74</v>
      </c>
      <c r="AK56">
        <v>0</v>
      </c>
      <c r="AL56" t="s">
        <v>77</v>
      </c>
      <c r="AM56">
        <v>0</v>
      </c>
      <c r="AN56">
        <v>0.99199999999999999</v>
      </c>
      <c r="AO56">
        <v>0</v>
      </c>
      <c r="AP56">
        <v>5.8245346242475203E-2</v>
      </c>
      <c r="AQ56">
        <v>0</v>
      </c>
      <c r="AR56">
        <v>1.6E-2</v>
      </c>
      <c r="AS56">
        <v>0</v>
      </c>
      <c r="AT56">
        <v>0</v>
      </c>
      <c r="AU56">
        <v>0</v>
      </c>
      <c r="AV56">
        <v>0</v>
      </c>
      <c r="AW56">
        <v>1</v>
      </c>
      <c r="AX56" t="s">
        <v>74</v>
      </c>
      <c r="AY56">
        <v>0</v>
      </c>
      <c r="AZ56" t="s">
        <v>76</v>
      </c>
      <c r="BA56">
        <v>-1.5707963267949001</v>
      </c>
      <c r="BB56">
        <v>0.99199999999999999</v>
      </c>
      <c r="BC56">
        <v>0</v>
      </c>
      <c r="BD56">
        <v>5.8245346242475203E-2</v>
      </c>
      <c r="BE56">
        <v>0</v>
      </c>
      <c r="BF56">
        <v>1.6E-2</v>
      </c>
      <c r="BG56">
        <v>0</v>
      </c>
      <c r="BH56">
        <v>0</v>
      </c>
      <c r="BI56">
        <v>0</v>
      </c>
      <c r="BJ56">
        <v>0</v>
      </c>
      <c r="BK56">
        <v>1</v>
      </c>
      <c r="BL56">
        <v>1.11104049746361E-4</v>
      </c>
      <c r="BM56" s="1">
        <v>6.6058636970439905E-5</v>
      </c>
      <c r="BN56" s="1">
        <v>4.13414022709506E-7</v>
      </c>
      <c r="BO56" s="1">
        <v>1.03764664306245E-6</v>
      </c>
      <c r="BP56">
        <v>0</v>
      </c>
      <c r="BQ56">
        <v>0</v>
      </c>
      <c r="BR56" s="1">
        <v>6.3361405980358305E-5</v>
      </c>
      <c r="BS56" s="1">
        <v>3.78223064262154E-5</v>
      </c>
    </row>
    <row r="57" spans="1:71" x14ac:dyDescent="0.25">
      <c r="A57">
        <v>54</v>
      </c>
      <c r="B57" s="1">
        <v>4.2063282299068103E-6</v>
      </c>
      <c r="C57">
        <v>0.13237120209174699</v>
      </c>
      <c r="D57">
        <v>-4.8997188806910704E-4</v>
      </c>
      <c r="E57">
        <v>6.1312499999999995E-4</v>
      </c>
      <c r="F57">
        <v>-1.3237120209174699E-3</v>
      </c>
      <c r="G57" s="1">
        <v>1.0842021724855E-19</v>
      </c>
      <c r="H57" t="s">
        <v>74</v>
      </c>
      <c r="I57">
        <v>0</v>
      </c>
      <c r="J57" t="s">
        <v>75</v>
      </c>
      <c r="K57">
        <v>3.14159265358979</v>
      </c>
      <c r="L57">
        <v>0.90275527701775704</v>
      </c>
      <c r="M57">
        <v>0</v>
      </c>
      <c r="N57">
        <v>5.3005336373105699E-2</v>
      </c>
      <c r="O57">
        <v>0</v>
      </c>
      <c r="P57">
        <v>1.6E-2</v>
      </c>
      <c r="Q57">
        <v>0</v>
      </c>
      <c r="R57">
        <v>0</v>
      </c>
      <c r="S57">
        <v>0</v>
      </c>
      <c r="T57">
        <v>0</v>
      </c>
      <c r="U57">
        <v>0.90917217501850001</v>
      </c>
      <c r="V57" t="s">
        <v>78</v>
      </c>
      <c r="W57">
        <v>3870404.6371754799</v>
      </c>
      <c r="X57" t="s">
        <v>76</v>
      </c>
      <c r="Y57">
        <v>-1.5707963267949001</v>
      </c>
      <c r="Z57">
        <v>0.90198293474244695</v>
      </c>
      <c r="AA57">
        <v>0</v>
      </c>
      <c r="AB57">
        <v>5.25139934477062E-2</v>
      </c>
      <c r="AC57">
        <v>0</v>
      </c>
      <c r="AD57">
        <v>1.39075464795677E-2</v>
      </c>
      <c r="AE57">
        <v>3.75195829522362E-3</v>
      </c>
      <c r="AF57">
        <v>0</v>
      </c>
      <c r="AG57">
        <v>0.118882519649852</v>
      </c>
      <c r="AH57">
        <v>1.57747093575261E-2</v>
      </c>
      <c r="AI57">
        <v>0.827393588810869</v>
      </c>
      <c r="AJ57" t="s">
        <v>74</v>
      </c>
      <c r="AK57">
        <v>0</v>
      </c>
      <c r="AL57" t="s">
        <v>77</v>
      </c>
      <c r="AM57">
        <v>0</v>
      </c>
      <c r="AN57">
        <v>0.99199999999999999</v>
      </c>
      <c r="AO57">
        <v>0</v>
      </c>
      <c r="AP57">
        <v>5.8245346242475203E-2</v>
      </c>
      <c r="AQ57">
        <v>0</v>
      </c>
      <c r="AR57">
        <v>1.6E-2</v>
      </c>
      <c r="AS57">
        <v>0</v>
      </c>
      <c r="AT57">
        <v>0</v>
      </c>
      <c r="AU57">
        <v>0</v>
      </c>
      <c r="AV57">
        <v>0</v>
      </c>
      <c r="AW57">
        <v>1</v>
      </c>
      <c r="AX57" t="s">
        <v>74</v>
      </c>
      <c r="AY57">
        <v>0</v>
      </c>
      <c r="AZ57" t="s">
        <v>76</v>
      </c>
      <c r="BA57">
        <v>-1.5707963267949001</v>
      </c>
      <c r="BB57">
        <v>0.99199999999999999</v>
      </c>
      <c r="BC57">
        <v>0</v>
      </c>
      <c r="BD57">
        <v>5.8245346242475203E-2</v>
      </c>
      <c r="BE57">
        <v>0</v>
      </c>
      <c r="BF57">
        <v>1.6E-2</v>
      </c>
      <c r="BG57">
        <v>0</v>
      </c>
      <c r="BH57">
        <v>0</v>
      </c>
      <c r="BI57">
        <v>0</v>
      </c>
      <c r="BJ57">
        <v>0</v>
      </c>
      <c r="BK57">
        <v>1</v>
      </c>
      <c r="BL57">
        <v>1.11005011152881E-4</v>
      </c>
      <c r="BM57" s="1">
        <v>6.7328614503688904E-5</v>
      </c>
      <c r="BN57" s="1">
        <v>4.1304330002360602E-7</v>
      </c>
      <c r="BO57" s="1">
        <v>1.05759540350584E-6</v>
      </c>
      <c r="BP57">
        <v>0</v>
      </c>
      <c r="BQ57">
        <v>0</v>
      </c>
      <c r="BR57" s="1">
        <v>6.3298732238739602E-5</v>
      </c>
      <c r="BS57" s="1">
        <v>3.8549595769549498E-5</v>
      </c>
    </row>
    <row r="58" spans="1:71" x14ac:dyDescent="0.25">
      <c r="A58">
        <v>55</v>
      </c>
      <c r="B58" s="1">
        <v>4.1396485162438798E-6</v>
      </c>
      <c r="C58">
        <v>0.132375341740263</v>
      </c>
      <c r="D58">
        <v>-4.8999045238729E-4</v>
      </c>
      <c r="E58">
        <v>6.1312499999999995E-4</v>
      </c>
      <c r="F58">
        <v>-1.32375341740263E-3</v>
      </c>
      <c r="G58" s="1">
        <v>1.0842021724855E-19</v>
      </c>
      <c r="H58" t="s">
        <v>74</v>
      </c>
      <c r="I58">
        <v>0</v>
      </c>
      <c r="J58" t="s">
        <v>75</v>
      </c>
      <c r="K58">
        <v>3.14159265358979</v>
      </c>
      <c r="L58">
        <v>0.90107192898168897</v>
      </c>
      <c r="M58">
        <v>0</v>
      </c>
      <c r="N58">
        <v>5.2906498480759602E-2</v>
      </c>
      <c r="O58">
        <v>0</v>
      </c>
      <c r="P58">
        <v>1.6E-2</v>
      </c>
      <c r="Q58">
        <v>0</v>
      </c>
      <c r="R58">
        <v>0</v>
      </c>
      <c r="S58">
        <v>0</v>
      </c>
      <c r="T58">
        <v>0</v>
      </c>
      <c r="U58">
        <v>0.90738387386306696</v>
      </c>
      <c r="V58" t="s">
        <v>78</v>
      </c>
      <c r="W58">
        <v>3870564.8382303999</v>
      </c>
      <c r="X58" t="s">
        <v>76</v>
      </c>
      <c r="Y58">
        <v>-1.5707963267949001</v>
      </c>
      <c r="Z58">
        <v>0.90029899961728099</v>
      </c>
      <c r="AA58">
        <v>0</v>
      </c>
      <c r="AB58">
        <v>5.2414782065418802E-2</v>
      </c>
      <c r="AC58">
        <v>0</v>
      </c>
      <c r="AD58">
        <v>1.3839457845301901E-2</v>
      </c>
      <c r="AE58">
        <v>3.8237306401640702E-3</v>
      </c>
      <c r="AF58">
        <v>0</v>
      </c>
      <c r="AG58">
        <v>0.120802443413472</v>
      </c>
      <c r="AH58">
        <v>1.63947114787895E-2</v>
      </c>
      <c r="AI58">
        <v>0.82422776347211202</v>
      </c>
      <c r="AJ58" t="s">
        <v>74</v>
      </c>
      <c r="AK58">
        <v>0</v>
      </c>
      <c r="AL58" t="s">
        <v>77</v>
      </c>
      <c r="AM58">
        <v>0</v>
      </c>
      <c r="AN58">
        <v>0.99199999999999999</v>
      </c>
      <c r="AO58">
        <v>0</v>
      </c>
      <c r="AP58">
        <v>5.8245346242475203E-2</v>
      </c>
      <c r="AQ58">
        <v>0</v>
      </c>
      <c r="AR58">
        <v>1.6E-2</v>
      </c>
      <c r="AS58">
        <v>0</v>
      </c>
      <c r="AT58">
        <v>0</v>
      </c>
      <c r="AU58">
        <v>0</v>
      </c>
      <c r="AV58">
        <v>0</v>
      </c>
      <c r="AW58">
        <v>1</v>
      </c>
      <c r="AX58" t="s">
        <v>74</v>
      </c>
      <c r="AY58">
        <v>0</v>
      </c>
      <c r="AZ58" t="s">
        <v>76</v>
      </c>
      <c r="BA58">
        <v>-1.5707963267949001</v>
      </c>
      <c r="BB58">
        <v>0.99199999999999999</v>
      </c>
      <c r="BC58">
        <v>0</v>
      </c>
      <c r="BD58">
        <v>5.8245346242475203E-2</v>
      </c>
      <c r="BE58">
        <v>0</v>
      </c>
      <c r="BF58">
        <v>1.6E-2</v>
      </c>
      <c r="BG58">
        <v>0</v>
      </c>
      <c r="BH58">
        <v>0</v>
      </c>
      <c r="BI58">
        <v>0</v>
      </c>
      <c r="BJ58">
        <v>0</v>
      </c>
      <c r="BK58">
        <v>1</v>
      </c>
      <c r="BL58">
        <v>1.10905986515564E-4</v>
      </c>
      <c r="BM58" s="1">
        <v>6.8598577446130703E-5</v>
      </c>
      <c r="BN58" s="1">
        <v>4.1267269696170198E-7</v>
      </c>
      <c r="BO58" s="1">
        <v>1.07754393475737E-6</v>
      </c>
      <c r="BP58">
        <v>0</v>
      </c>
      <c r="BQ58">
        <v>0</v>
      </c>
      <c r="BR58" s="1">
        <v>6.3236061295426297E-5</v>
      </c>
      <c r="BS58" s="1">
        <v>3.9276880109502097E-5</v>
      </c>
    </row>
    <row r="59" spans="1:71" x14ac:dyDescent="0.25">
      <c r="A59">
        <v>56</v>
      </c>
      <c r="B59" s="1">
        <v>4.0754741162364297E-6</v>
      </c>
      <c r="C59">
        <v>0.13237941721437901</v>
      </c>
      <c r="D59">
        <v>-4.9000872853608498E-4</v>
      </c>
      <c r="E59">
        <v>6.1312499999999995E-4</v>
      </c>
      <c r="F59">
        <v>-1.3237941721438E-3</v>
      </c>
      <c r="G59" s="1">
        <v>2.1684043449710098E-19</v>
      </c>
      <c r="H59" t="s">
        <v>74</v>
      </c>
      <c r="I59">
        <v>0</v>
      </c>
      <c r="J59" t="s">
        <v>75</v>
      </c>
      <c r="K59">
        <v>3.14159265358979</v>
      </c>
      <c r="L59">
        <v>0.89938860047192204</v>
      </c>
      <c r="M59">
        <v>0</v>
      </c>
      <c r="N59">
        <v>5.28076617349015E-2</v>
      </c>
      <c r="O59">
        <v>0</v>
      </c>
      <c r="P59">
        <v>1.6E-2</v>
      </c>
      <c r="Q59">
        <v>0</v>
      </c>
      <c r="R59">
        <v>0</v>
      </c>
      <c r="S59">
        <v>0</v>
      </c>
      <c r="T59">
        <v>0</v>
      </c>
      <c r="U59">
        <v>0.90559141918756303</v>
      </c>
      <c r="V59" t="s">
        <v>78</v>
      </c>
      <c r="W59">
        <v>3870722.5525233801</v>
      </c>
      <c r="X59" t="s">
        <v>76</v>
      </c>
      <c r="Y59">
        <v>-1.5707963267949001</v>
      </c>
      <c r="Z59">
        <v>0.898615122910288</v>
      </c>
      <c r="AA59">
        <v>0</v>
      </c>
      <c r="AB59">
        <v>5.2315596571559597E-2</v>
      </c>
      <c r="AC59">
        <v>0</v>
      </c>
      <c r="AD59">
        <v>1.37713275678534E-2</v>
      </c>
      <c r="AE59">
        <v>3.89547366562654E-3</v>
      </c>
      <c r="AF59">
        <v>0</v>
      </c>
      <c r="AG59">
        <v>0.122709589208769</v>
      </c>
      <c r="AH59">
        <v>1.70274621060457E-2</v>
      </c>
      <c r="AI59">
        <v>0.82106409952347204</v>
      </c>
      <c r="AJ59" t="s">
        <v>74</v>
      </c>
      <c r="AK59">
        <v>0</v>
      </c>
      <c r="AL59" t="s">
        <v>77</v>
      </c>
      <c r="AM59">
        <v>0</v>
      </c>
      <c r="AN59">
        <v>0.99199999999999999</v>
      </c>
      <c r="AO59">
        <v>0</v>
      </c>
      <c r="AP59">
        <v>5.8245346242475203E-2</v>
      </c>
      <c r="AQ59">
        <v>0</v>
      </c>
      <c r="AR59">
        <v>1.6E-2</v>
      </c>
      <c r="AS59">
        <v>0</v>
      </c>
      <c r="AT59">
        <v>0</v>
      </c>
      <c r="AU59">
        <v>0</v>
      </c>
      <c r="AV59">
        <v>0</v>
      </c>
      <c r="AW59">
        <v>1</v>
      </c>
      <c r="AX59" t="s">
        <v>74</v>
      </c>
      <c r="AY59">
        <v>0</v>
      </c>
      <c r="AZ59" t="s">
        <v>76</v>
      </c>
      <c r="BA59">
        <v>-1.5707963267949001</v>
      </c>
      <c r="BB59">
        <v>0.99199999999999999</v>
      </c>
      <c r="BC59">
        <v>0</v>
      </c>
      <c r="BD59">
        <v>5.8245346242475203E-2</v>
      </c>
      <c r="BE59">
        <v>0</v>
      </c>
      <c r="BF59">
        <v>1.6E-2</v>
      </c>
      <c r="BG59">
        <v>0</v>
      </c>
      <c r="BH59">
        <v>0</v>
      </c>
      <c r="BI59">
        <v>0</v>
      </c>
      <c r="BJ59">
        <v>0</v>
      </c>
      <c r="BK59">
        <v>1</v>
      </c>
      <c r="BL59">
        <v>1.10806975395706E-4</v>
      </c>
      <c r="BM59" s="1">
        <v>6.9868525657407497E-5</v>
      </c>
      <c r="BN59" s="1">
        <v>4.1230220951791102E-7</v>
      </c>
      <c r="BO59" s="1">
        <v>1.09749223461231E-6</v>
      </c>
      <c r="BP59">
        <v>0</v>
      </c>
      <c r="BQ59">
        <v>0</v>
      </c>
      <c r="BR59" s="1">
        <v>6.3173393084753807E-5</v>
      </c>
      <c r="BS59" s="1">
        <v>4.0004159322262799E-5</v>
      </c>
    </row>
    <row r="60" spans="1:71" x14ac:dyDescent="0.25">
      <c r="A60">
        <v>57</v>
      </c>
      <c r="B60" s="1">
        <v>4.0136720328772902E-6</v>
      </c>
      <c r="C60">
        <v>0.132383430886412</v>
      </c>
      <c r="D60">
        <v>-4.9002672717143999E-4</v>
      </c>
      <c r="E60">
        <v>6.1312499999999995E-4</v>
      </c>
      <c r="F60">
        <v>-1.3238343088641199E-3</v>
      </c>
      <c r="G60" s="1">
        <v>2.1684043449710098E-19</v>
      </c>
      <c r="H60" t="s">
        <v>74</v>
      </c>
      <c r="I60">
        <v>0</v>
      </c>
      <c r="J60" t="s">
        <v>75</v>
      </c>
      <c r="K60">
        <v>3.14159265358979</v>
      </c>
      <c r="L60">
        <v>0.89770529167672197</v>
      </c>
      <c r="M60">
        <v>0</v>
      </c>
      <c r="N60">
        <v>5.2708826146585598E-2</v>
      </c>
      <c r="O60">
        <v>0</v>
      </c>
      <c r="P60">
        <v>1.6E-2</v>
      </c>
      <c r="Q60">
        <v>0</v>
      </c>
      <c r="R60">
        <v>0</v>
      </c>
      <c r="S60">
        <v>0</v>
      </c>
      <c r="T60">
        <v>0</v>
      </c>
      <c r="U60">
        <v>0.90379484884321704</v>
      </c>
      <c r="V60" t="s">
        <v>78</v>
      </c>
      <c r="W60">
        <v>3870877.8720100801</v>
      </c>
      <c r="X60" t="s">
        <v>76</v>
      </c>
      <c r="Y60">
        <v>-1.5707963267949001</v>
      </c>
      <c r="Z60">
        <v>0.89693130347099403</v>
      </c>
      <c r="AA60">
        <v>0</v>
      </c>
      <c r="AB60">
        <v>5.2216436125512501E-2</v>
      </c>
      <c r="AC60">
        <v>0</v>
      </c>
      <c r="AD60">
        <v>1.37031585018193E-2</v>
      </c>
      <c r="AE60">
        <v>3.9671870681810897E-3</v>
      </c>
      <c r="AF60">
        <v>0</v>
      </c>
      <c r="AG60">
        <v>0.124603906185275</v>
      </c>
      <c r="AH60">
        <v>1.76730118056951E-2</v>
      </c>
      <c r="AI60">
        <v>0.81790264596356599</v>
      </c>
      <c r="AJ60" t="s">
        <v>74</v>
      </c>
      <c r="AK60">
        <v>0</v>
      </c>
      <c r="AL60" t="s">
        <v>77</v>
      </c>
      <c r="AM60">
        <v>0</v>
      </c>
      <c r="AN60">
        <v>0.99199999999999999</v>
      </c>
      <c r="AO60">
        <v>0</v>
      </c>
      <c r="AP60">
        <v>5.8245346242475203E-2</v>
      </c>
      <c r="AQ60">
        <v>0</v>
      </c>
      <c r="AR60">
        <v>1.6E-2</v>
      </c>
      <c r="AS60">
        <v>0</v>
      </c>
      <c r="AT60">
        <v>0</v>
      </c>
      <c r="AU60">
        <v>0</v>
      </c>
      <c r="AV60">
        <v>0</v>
      </c>
      <c r="AW60">
        <v>1</v>
      </c>
      <c r="AX60" t="s">
        <v>74</v>
      </c>
      <c r="AY60">
        <v>0</v>
      </c>
      <c r="AZ60" t="s">
        <v>76</v>
      </c>
      <c r="BA60">
        <v>-1.5707963267949001</v>
      </c>
      <c r="BB60">
        <v>0.99199999999999999</v>
      </c>
      <c r="BC60">
        <v>0</v>
      </c>
      <c r="BD60">
        <v>5.8245346242475203E-2</v>
      </c>
      <c r="BE60">
        <v>0</v>
      </c>
      <c r="BF60">
        <v>1.6E-2</v>
      </c>
      <c r="BG60">
        <v>0</v>
      </c>
      <c r="BH60">
        <v>0</v>
      </c>
      <c r="BI60">
        <v>0</v>
      </c>
      <c r="BJ60">
        <v>0</v>
      </c>
      <c r="BK60">
        <v>1</v>
      </c>
      <c r="BL60">
        <v>1.10707977378524E-4</v>
      </c>
      <c r="BM60" s="1">
        <v>7.1138458995485305E-5</v>
      </c>
      <c r="BN60" s="1">
        <v>4.1193183390097702E-7</v>
      </c>
      <c r="BO60" s="1">
        <v>1.1174403008395801E-6</v>
      </c>
      <c r="BP60">
        <v>0</v>
      </c>
      <c r="BQ60">
        <v>0</v>
      </c>
      <c r="BR60" s="1">
        <v>6.3110727545032206E-5</v>
      </c>
      <c r="BS60" s="1">
        <v>4.0731433284855199E-5</v>
      </c>
    </row>
    <row r="61" spans="1:71" x14ac:dyDescent="0.25">
      <c r="A61">
        <v>58</v>
      </c>
      <c r="B61" s="1">
        <v>3.9541186123662098E-6</v>
      </c>
      <c r="C61">
        <v>0.132387385005025</v>
      </c>
      <c r="D61">
        <v>-4.90044458393681E-4</v>
      </c>
      <c r="E61">
        <v>6.1312499999999995E-4</v>
      </c>
      <c r="F61">
        <v>-1.32387385005025E-3</v>
      </c>
      <c r="G61" s="1">
        <v>1.0842021724855E-19</v>
      </c>
      <c r="H61" t="s">
        <v>74</v>
      </c>
      <c r="I61">
        <v>0</v>
      </c>
      <c r="J61" t="s">
        <v>75</v>
      </c>
      <c r="K61">
        <v>3.14159265358979</v>
      </c>
      <c r="L61">
        <v>0.89602200278669497</v>
      </c>
      <c r="M61">
        <v>0</v>
      </c>
      <c r="N61">
        <v>5.2609991727003202E-2</v>
      </c>
      <c r="O61">
        <v>0</v>
      </c>
      <c r="P61">
        <v>1.6E-2</v>
      </c>
      <c r="Q61">
        <v>0</v>
      </c>
      <c r="R61">
        <v>0</v>
      </c>
      <c r="S61">
        <v>0</v>
      </c>
      <c r="T61">
        <v>0</v>
      </c>
      <c r="U61">
        <v>0.90199419854225804</v>
      </c>
      <c r="V61" t="s">
        <v>78</v>
      </c>
      <c r="W61">
        <v>3871030.8838514001</v>
      </c>
      <c r="X61" t="s">
        <v>76</v>
      </c>
      <c r="Y61">
        <v>-1.5707963267949001</v>
      </c>
      <c r="Z61">
        <v>0.89524754022081998</v>
      </c>
      <c r="AA61">
        <v>0</v>
      </c>
      <c r="AB61">
        <v>5.2117299931048702E-2</v>
      </c>
      <c r="AC61">
        <v>0</v>
      </c>
      <c r="AD61">
        <v>1.36349533624445E-2</v>
      </c>
      <c r="AE61">
        <v>4.0388705492430598E-3</v>
      </c>
      <c r="AF61">
        <v>0</v>
      </c>
      <c r="AG61">
        <v>0.126485343020562</v>
      </c>
      <c r="AH61">
        <v>1.8331411612570899E-2</v>
      </c>
      <c r="AI61">
        <v>0.81474344969718704</v>
      </c>
      <c r="AJ61" t="s">
        <v>74</v>
      </c>
      <c r="AK61">
        <v>0</v>
      </c>
      <c r="AL61" t="s">
        <v>77</v>
      </c>
      <c r="AM61">
        <v>0</v>
      </c>
      <c r="AN61">
        <v>0.99199999999999999</v>
      </c>
      <c r="AO61">
        <v>0</v>
      </c>
      <c r="AP61">
        <v>5.8245346242475203E-2</v>
      </c>
      <c r="AQ61">
        <v>0</v>
      </c>
      <c r="AR61">
        <v>1.6E-2</v>
      </c>
      <c r="AS61">
        <v>0</v>
      </c>
      <c r="AT61">
        <v>0</v>
      </c>
      <c r="AU61">
        <v>0</v>
      </c>
      <c r="AV61">
        <v>0</v>
      </c>
      <c r="AW61">
        <v>1</v>
      </c>
      <c r="AX61" t="s">
        <v>74</v>
      </c>
      <c r="AY61">
        <v>0</v>
      </c>
      <c r="AZ61" t="s">
        <v>76</v>
      </c>
      <c r="BA61">
        <v>-1.5707963267949001</v>
      </c>
      <c r="BB61">
        <v>0.99199999999999999</v>
      </c>
      <c r="BC61">
        <v>0</v>
      </c>
      <c r="BD61">
        <v>5.8245346242475203E-2</v>
      </c>
      <c r="BE61">
        <v>0</v>
      </c>
      <c r="BF61">
        <v>1.6E-2</v>
      </c>
      <c r="BG61">
        <v>0</v>
      </c>
      <c r="BH61">
        <v>0</v>
      </c>
      <c r="BI61">
        <v>0</v>
      </c>
      <c r="BJ61">
        <v>0</v>
      </c>
      <c r="BK61">
        <v>1</v>
      </c>
      <c r="BL61">
        <v>1.1060899207150099E-4</v>
      </c>
      <c r="BM61" s="1">
        <v>7.2408377316566502E-5</v>
      </c>
      <c r="BN61" s="1">
        <v>4.11561566519282E-7</v>
      </c>
      <c r="BO61" s="1">
        <v>1.1373881311804201E-6</v>
      </c>
      <c r="BP61">
        <v>0</v>
      </c>
      <c r="BQ61">
        <v>0</v>
      </c>
      <c r="BR61" s="1">
        <v>6.3048064618274094E-5</v>
      </c>
      <c r="BS61" s="1">
        <v>4.1458701874994202E-5</v>
      </c>
    </row>
    <row r="62" spans="1:71" x14ac:dyDescent="0.25">
      <c r="A62">
        <v>59</v>
      </c>
      <c r="B62" s="1">
        <v>3.8966987397537603E-6</v>
      </c>
      <c r="C62">
        <v>0.13239128170376399</v>
      </c>
      <c r="D62">
        <v>-4.9006193178588702E-4</v>
      </c>
      <c r="E62">
        <v>6.1312499999999995E-4</v>
      </c>
      <c r="F62">
        <v>-1.32391281703765E-3</v>
      </c>
      <c r="G62" s="1">
        <v>2.1684043449710098E-19</v>
      </c>
      <c r="H62" t="s">
        <v>74</v>
      </c>
      <c r="I62">
        <v>0</v>
      </c>
      <c r="J62" t="s">
        <v>75</v>
      </c>
      <c r="K62">
        <v>3.14159265358979</v>
      </c>
      <c r="L62">
        <v>0.89433873399481001</v>
      </c>
      <c r="M62">
        <v>0</v>
      </c>
      <c r="N62">
        <v>5.2511158487484499E-2</v>
      </c>
      <c r="O62">
        <v>0</v>
      </c>
      <c r="P62">
        <v>1.6E-2</v>
      </c>
      <c r="Q62">
        <v>0</v>
      </c>
      <c r="R62">
        <v>0</v>
      </c>
      <c r="S62">
        <v>0</v>
      </c>
      <c r="T62">
        <v>0</v>
      </c>
      <c r="U62">
        <v>0.90018950200575998</v>
      </c>
      <c r="V62" t="s">
        <v>78</v>
      </c>
      <c r="W62">
        <v>3871181.6707446701</v>
      </c>
      <c r="X62" t="s">
        <v>76</v>
      </c>
      <c r="Y62">
        <v>-1.5707963267949001</v>
      </c>
      <c r="Z62">
        <v>0.89356383214831303</v>
      </c>
      <c r="AA62">
        <v>0</v>
      </c>
      <c r="AB62">
        <v>5.2018187233279202E-2</v>
      </c>
      <c r="AC62">
        <v>0</v>
      </c>
      <c r="AD62">
        <v>1.3566714735255499E-2</v>
      </c>
      <c r="AE62">
        <v>4.1105238147620699E-3</v>
      </c>
      <c r="AF62">
        <v>0</v>
      </c>
      <c r="AG62">
        <v>0.12835384791440799</v>
      </c>
      <c r="AH62">
        <v>1.90027130357328E-2</v>
      </c>
      <c r="AI62">
        <v>0.81158655568308502</v>
      </c>
      <c r="AJ62" t="s">
        <v>74</v>
      </c>
      <c r="AK62">
        <v>0</v>
      </c>
      <c r="AL62" t="s">
        <v>77</v>
      </c>
      <c r="AM62">
        <v>0</v>
      </c>
      <c r="AN62">
        <v>0.99199999999999999</v>
      </c>
      <c r="AO62">
        <v>0</v>
      </c>
      <c r="AP62">
        <v>5.8245346242475203E-2</v>
      </c>
      <c r="AQ62">
        <v>0</v>
      </c>
      <c r="AR62">
        <v>1.6E-2</v>
      </c>
      <c r="AS62">
        <v>0</v>
      </c>
      <c r="AT62">
        <v>0</v>
      </c>
      <c r="AU62">
        <v>0</v>
      </c>
      <c r="AV62">
        <v>0</v>
      </c>
      <c r="AW62">
        <v>1</v>
      </c>
      <c r="AX62" t="s">
        <v>74</v>
      </c>
      <c r="AY62">
        <v>0</v>
      </c>
      <c r="AZ62" t="s">
        <v>76</v>
      </c>
      <c r="BA62">
        <v>-1.5707963267949001</v>
      </c>
      <c r="BB62">
        <v>0.99199999999999999</v>
      </c>
      <c r="BC62">
        <v>0</v>
      </c>
      <c r="BD62">
        <v>5.8245346242475203E-2</v>
      </c>
      <c r="BE62">
        <v>0</v>
      </c>
      <c r="BF62">
        <v>1.6E-2</v>
      </c>
      <c r="BG62">
        <v>0</v>
      </c>
      <c r="BH62">
        <v>0</v>
      </c>
      <c r="BI62">
        <v>0</v>
      </c>
      <c r="BJ62">
        <v>0</v>
      </c>
      <c r="BK62">
        <v>1</v>
      </c>
      <c r="BL62">
        <v>1.10510019102857E-4</v>
      </c>
      <c r="BM62" s="1">
        <v>7.3678280475070301E-5</v>
      </c>
      <c r="BN62" s="1">
        <v>4.1119140396713102E-7</v>
      </c>
      <c r="BO62" s="1">
        <v>1.1573357233480501E-6</v>
      </c>
      <c r="BP62">
        <v>0</v>
      </c>
      <c r="BQ62">
        <v>0</v>
      </c>
      <c r="BR62" s="1">
        <v>6.2985404249942204E-5</v>
      </c>
      <c r="BS62" s="1">
        <v>4.2185964970989301E-5</v>
      </c>
    </row>
    <row r="63" spans="1:71" x14ac:dyDescent="0.25">
      <c r="A63">
        <v>60</v>
      </c>
      <c r="B63" s="1">
        <v>3.84130511610195E-6</v>
      </c>
      <c r="C63">
        <v>0.13239512300888101</v>
      </c>
      <c r="D63">
        <v>-4.9007915644902304E-4</v>
      </c>
      <c r="E63">
        <v>6.1312499999999995E-4</v>
      </c>
      <c r="F63">
        <v>-1.3239512300888101E-3</v>
      </c>
      <c r="G63" s="1">
        <v>2.1684043449710098E-19</v>
      </c>
      <c r="H63" t="s">
        <v>74</v>
      </c>
      <c r="I63">
        <v>0</v>
      </c>
      <c r="J63" t="s">
        <v>75</v>
      </c>
      <c r="K63">
        <v>3.14159265358979</v>
      </c>
      <c r="L63">
        <v>0.892655485496475</v>
      </c>
      <c r="M63">
        <v>0</v>
      </c>
      <c r="N63">
        <v>5.2412326439502999E-2</v>
      </c>
      <c r="O63">
        <v>0</v>
      </c>
      <c r="P63">
        <v>1.6E-2</v>
      </c>
      <c r="Q63">
        <v>0</v>
      </c>
      <c r="R63">
        <v>0</v>
      </c>
      <c r="S63">
        <v>0</v>
      </c>
      <c r="T63">
        <v>0</v>
      </c>
      <c r="U63">
        <v>0.89838079109901903</v>
      </c>
      <c r="V63" t="s">
        <v>78</v>
      </c>
      <c r="W63">
        <v>3871330.3112267898</v>
      </c>
      <c r="X63" t="s">
        <v>76</v>
      </c>
      <c r="Y63">
        <v>-1.5707963267949001</v>
      </c>
      <c r="Z63">
        <v>0.89188017830484301</v>
      </c>
      <c r="AA63">
        <v>0</v>
      </c>
      <c r="AB63">
        <v>5.19190973158698E-2</v>
      </c>
      <c r="AC63">
        <v>0</v>
      </c>
      <c r="AD63">
        <v>1.3498445084882901E-2</v>
      </c>
      <c r="AE63">
        <v>4.1821465749298202E-3</v>
      </c>
      <c r="AF63">
        <v>0</v>
      </c>
      <c r="AG63">
        <v>0.13020936858275201</v>
      </c>
      <c r="AH63">
        <v>1.9686968064396401E-2</v>
      </c>
      <c r="AI63">
        <v>0.80843200706934204</v>
      </c>
      <c r="AJ63" t="s">
        <v>74</v>
      </c>
      <c r="AK63">
        <v>0</v>
      </c>
      <c r="AL63" t="s">
        <v>77</v>
      </c>
      <c r="AM63">
        <v>0</v>
      </c>
      <c r="AN63">
        <v>0.99199999999999999</v>
      </c>
      <c r="AO63">
        <v>0</v>
      </c>
      <c r="AP63">
        <v>5.8245346242475203E-2</v>
      </c>
      <c r="AQ63">
        <v>0</v>
      </c>
      <c r="AR63">
        <v>1.6E-2</v>
      </c>
      <c r="AS63">
        <v>0</v>
      </c>
      <c r="AT63">
        <v>0</v>
      </c>
      <c r="AU63">
        <v>0</v>
      </c>
      <c r="AV63">
        <v>0</v>
      </c>
      <c r="AW63">
        <v>1</v>
      </c>
      <c r="AX63" t="s">
        <v>74</v>
      </c>
      <c r="AY63">
        <v>0</v>
      </c>
      <c r="AZ63" t="s">
        <v>76</v>
      </c>
      <c r="BA63">
        <v>-1.5707963267949001</v>
      </c>
      <c r="BB63">
        <v>0.99199999999999999</v>
      </c>
      <c r="BC63">
        <v>0</v>
      </c>
      <c r="BD63">
        <v>5.8245346242475203E-2</v>
      </c>
      <c r="BE63">
        <v>0</v>
      </c>
      <c r="BF63">
        <v>1.6E-2</v>
      </c>
      <c r="BG63">
        <v>0</v>
      </c>
      <c r="BH63">
        <v>0</v>
      </c>
      <c r="BI63">
        <v>0</v>
      </c>
      <c r="BJ63">
        <v>0</v>
      </c>
      <c r="BK63">
        <v>1</v>
      </c>
      <c r="BL63">
        <v>1.10411058120162E-4</v>
      </c>
      <c r="BM63" s="1">
        <v>7.49481683235744E-5</v>
      </c>
      <c r="BN63" s="1">
        <v>4.1082134301221498E-7</v>
      </c>
      <c r="BO63" s="1">
        <v>1.1772830750267599E-6</v>
      </c>
      <c r="BP63">
        <v>0</v>
      </c>
      <c r="BQ63">
        <v>0</v>
      </c>
      <c r="BR63" s="1">
        <v>6.2922746388722101E-5</v>
      </c>
      <c r="BS63" s="1">
        <v>4.2913222451631003E-5</v>
      </c>
    </row>
    <row r="64" spans="1:71" x14ac:dyDescent="0.25">
      <c r="A64">
        <v>61</v>
      </c>
      <c r="B64" s="1">
        <v>3.7878376080185602E-6</v>
      </c>
      <c r="C64">
        <v>0.132398910846489</v>
      </c>
      <c r="D64">
        <v>-4.9009614103413704E-4</v>
      </c>
      <c r="E64">
        <v>6.1312499999999995E-4</v>
      </c>
      <c r="F64">
        <v>-1.3239891084648901E-3</v>
      </c>
      <c r="G64" s="1">
        <v>2.1684043449710098E-19</v>
      </c>
      <c r="H64" t="s">
        <v>74</v>
      </c>
      <c r="I64">
        <v>0</v>
      </c>
      <c r="J64" t="s">
        <v>75</v>
      </c>
      <c r="K64">
        <v>3.14159265358979</v>
      </c>
      <c r="L64">
        <v>0.89097225748959796</v>
      </c>
      <c r="M64">
        <v>0</v>
      </c>
      <c r="N64">
        <v>5.2313495594678898E-2</v>
      </c>
      <c r="O64">
        <v>0</v>
      </c>
      <c r="P64">
        <v>1.6E-2</v>
      </c>
      <c r="Q64">
        <v>0</v>
      </c>
      <c r="R64">
        <v>0</v>
      </c>
      <c r="S64">
        <v>0</v>
      </c>
      <c r="T64">
        <v>0</v>
      </c>
      <c r="U64">
        <v>0.896568095955663</v>
      </c>
      <c r="V64" t="s">
        <v>78</v>
      </c>
      <c r="W64">
        <v>3871476.8799521299</v>
      </c>
      <c r="X64" t="s">
        <v>76</v>
      </c>
      <c r="Y64">
        <v>-1.5707963267949001</v>
      </c>
      <c r="Z64">
        <v>0.89019657780063299</v>
      </c>
      <c r="AA64">
        <v>0</v>
      </c>
      <c r="AB64">
        <v>5.1820029498487102E-2</v>
      </c>
      <c r="AC64">
        <v>0</v>
      </c>
      <c r="AD64">
        <v>1.34301467631475E-2</v>
      </c>
      <c r="AE64">
        <v>4.2537385439081997E-3</v>
      </c>
      <c r="AF64">
        <v>0</v>
      </c>
      <c r="AG64">
        <v>0.132051852251519</v>
      </c>
      <c r="AH64">
        <v>2.03842291740268E-2</v>
      </c>
      <c r="AI64">
        <v>0.80527984531746599</v>
      </c>
      <c r="AJ64" t="s">
        <v>74</v>
      </c>
      <c r="AK64">
        <v>0</v>
      </c>
      <c r="AL64" t="s">
        <v>77</v>
      </c>
      <c r="AM64">
        <v>0</v>
      </c>
      <c r="AN64">
        <v>0.99199999999999999</v>
      </c>
      <c r="AO64">
        <v>0</v>
      </c>
      <c r="AP64">
        <v>5.8245346242475203E-2</v>
      </c>
      <c r="AQ64">
        <v>0</v>
      </c>
      <c r="AR64">
        <v>1.6E-2</v>
      </c>
      <c r="AS64">
        <v>0</v>
      </c>
      <c r="AT64">
        <v>0</v>
      </c>
      <c r="AU64">
        <v>0</v>
      </c>
      <c r="AV64">
        <v>0</v>
      </c>
      <c r="AW64">
        <v>1</v>
      </c>
      <c r="AX64" t="s">
        <v>74</v>
      </c>
      <c r="AY64">
        <v>0</v>
      </c>
      <c r="AZ64" t="s">
        <v>76</v>
      </c>
      <c r="BA64">
        <v>-1.5707963267949001</v>
      </c>
      <c r="BB64">
        <v>0.99199999999999999</v>
      </c>
      <c r="BC64">
        <v>0</v>
      </c>
      <c r="BD64">
        <v>5.8245346242475203E-2</v>
      </c>
      <c r="BE64">
        <v>0</v>
      </c>
      <c r="BF64">
        <v>1.6E-2</v>
      </c>
      <c r="BG64">
        <v>0</v>
      </c>
      <c r="BH64">
        <v>0</v>
      </c>
      <c r="BI64">
        <v>0</v>
      </c>
      <c r="BJ64">
        <v>0</v>
      </c>
      <c r="BK64">
        <v>1</v>
      </c>
      <c r="BL64">
        <v>1.10312108789058E-4</v>
      </c>
      <c r="BM64" s="1">
        <v>7.6218040712773099E-5</v>
      </c>
      <c r="BN64" s="1">
        <v>4.1045138058411699E-7</v>
      </c>
      <c r="BO64" s="1">
        <v>1.19723018387128E-6</v>
      </c>
      <c r="BP64">
        <v>0</v>
      </c>
      <c r="BQ64">
        <v>0</v>
      </c>
      <c r="BR64" s="1">
        <v>6.2860090986312795E-5</v>
      </c>
      <c r="BS64" s="1">
        <v>4.3640474196092897E-5</v>
      </c>
    </row>
    <row r="65" spans="1:71" x14ac:dyDescent="0.25">
      <c r="A65">
        <v>62</v>
      </c>
      <c r="B65" s="1">
        <v>3.7362026612003302E-6</v>
      </c>
      <c r="C65">
        <v>0.13240264704915</v>
      </c>
      <c r="D65">
        <v>-4.9011289377193397E-4</v>
      </c>
      <c r="E65">
        <v>6.1312499999999995E-4</v>
      </c>
      <c r="F65">
        <v>-1.3240264704915E-3</v>
      </c>
      <c r="G65" s="1">
        <v>1.0842021724855E-19</v>
      </c>
      <c r="H65" t="s">
        <v>74</v>
      </c>
      <c r="I65">
        <v>0</v>
      </c>
      <c r="J65" t="s">
        <v>75</v>
      </c>
      <c r="K65">
        <v>3.14159265358979</v>
      </c>
      <c r="L65">
        <v>0.88928905017464799</v>
      </c>
      <c r="M65">
        <v>0</v>
      </c>
      <c r="N65">
        <v>5.2214665964782601E-2</v>
      </c>
      <c r="O65">
        <v>0</v>
      </c>
      <c r="P65">
        <v>1.6E-2</v>
      </c>
      <c r="Q65">
        <v>0</v>
      </c>
      <c r="R65">
        <v>0</v>
      </c>
      <c r="S65">
        <v>0</v>
      </c>
      <c r="T65">
        <v>0</v>
      </c>
      <c r="U65">
        <v>0.89475144509161297</v>
      </c>
      <c r="V65" t="s">
        <v>78</v>
      </c>
      <c r="W65">
        <v>3871621.4479476502</v>
      </c>
      <c r="X65" t="s">
        <v>76</v>
      </c>
      <c r="Y65">
        <v>-1.5707963267949001</v>
      </c>
      <c r="Z65">
        <v>0.888513029801141</v>
      </c>
      <c r="AA65">
        <v>0</v>
      </c>
      <c r="AB65">
        <v>5.17209831344548E-2</v>
      </c>
      <c r="AC65">
        <v>0</v>
      </c>
      <c r="AD65">
        <v>1.3361822016487E-2</v>
      </c>
      <c r="AE65">
        <v>4.3252994395743998E-3</v>
      </c>
      <c r="AF65">
        <v>0</v>
      </c>
      <c r="AG65">
        <v>0.13388124565026899</v>
      </c>
      <c r="AH65">
        <v>2.1094549332583999E-2</v>
      </c>
      <c r="AI65">
        <v>0.80213011031635395</v>
      </c>
      <c r="AJ65" t="s">
        <v>74</v>
      </c>
      <c r="AK65">
        <v>0</v>
      </c>
      <c r="AL65" t="s">
        <v>77</v>
      </c>
      <c r="AM65">
        <v>0</v>
      </c>
      <c r="AN65">
        <v>0.99199999999999999</v>
      </c>
      <c r="AO65">
        <v>0</v>
      </c>
      <c r="AP65">
        <v>5.8245346242475203E-2</v>
      </c>
      <c r="AQ65">
        <v>0</v>
      </c>
      <c r="AR65">
        <v>1.6E-2</v>
      </c>
      <c r="AS65">
        <v>0</v>
      </c>
      <c r="AT65">
        <v>0</v>
      </c>
      <c r="AU65">
        <v>0</v>
      </c>
      <c r="AV65">
        <v>0</v>
      </c>
      <c r="AW65">
        <v>1</v>
      </c>
      <c r="AX65" t="s">
        <v>74</v>
      </c>
      <c r="AY65">
        <v>0</v>
      </c>
      <c r="AZ65" t="s">
        <v>76</v>
      </c>
      <c r="BA65">
        <v>-1.5707963267949001</v>
      </c>
      <c r="BB65">
        <v>0.99199999999999999</v>
      </c>
      <c r="BC65">
        <v>0</v>
      </c>
      <c r="BD65">
        <v>5.8245346242475203E-2</v>
      </c>
      <c r="BE65">
        <v>0</v>
      </c>
      <c r="BF65">
        <v>1.6E-2</v>
      </c>
      <c r="BG65">
        <v>0</v>
      </c>
      <c r="BH65">
        <v>0</v>
      </c>
      <c r="BI65">
        <v>0</v>
      </c>
      <c r="BJ65">
        <v>0</v>
      </c>
      <c r="BK65">
        <v>1</v>
      </c>
      <c r="BL65">
        <v>1.1021317079209401E-4</v>
      </c>
      <c r="BM65" s="1">
        <v>7.7487897491426702E-5</v>
      </c>
      <c r="BN65" s="1">
        <v>4.1008151376376099E-7</v>
      </c>
      <c r="BO65" s="1">
        <v>1.2171770475059301E-6</v>
      </c>
      <c r="BP65">
        <v>0</v>
      </c>
      <c r="BQ65">
        <v>0</v>
      </c>
      <c r="BR65" s="1">
        <v>6.2797437997235298E-5</v>
      </c>
      <c r="BS65" s="1">
        <v>4.4367720083833297E-5</v>
      </c>
    </row>
    <row r="66" spans="1:71" x14ac:dyDescent="0.25">
      <c r="A66">
        <v>63</v>
      </c>
      <c r="B66" s="1">
        <v>3.6863127705682E-6</v>
      </c>
      <c r="C66">
        <v>0.13240633336192001</v>
      </c>
      <c r="D66">
        <v>-4.9012942249995598E-4</v>
      </c>
      <c r="E66">
        <v>6.1312499999999995E-4</v>
      </c>
      <c r="F66">
        <v>-1.3240633336192001E-3</v>
      </c>
      <c r="G66" s="1">
        <v>1.0842021724855E-19</v>
      </c>
      <c r="H66" t="s">
        <v>74</v>
      </c>
      <c r="I66">
        <v>0</v>
      </c>
      <c r="J66" t="s">
        <v>75</v>
      </c>
      <c r="K66">
        <v>3.14159265358979</v>
      </c>
      <c r="L66">
        <v>0.88760586375472095</v>
      </c>
      <c r="M66">
        <v>0</v>
      </c>
      <c r="N66">
        <v>5.2115837561738897E-2</v>
      </c>
      <c r="O66">
        <v>0</v>
      </c>
      <c r="P66">
        <v>1.6E-2</v>
      </c>
      <c r="Q66">
        <v>0</v>
      </c>
      <c r="R66">
        <v>0</v>
      </c>
      <c r="S66">
        <v>0</v>
      </c>
      <c r="T66">
        <v>0</v>
      </c>
      <c r="U66">
        <v>0.89293086550987599</v>
      </c>
      <c r="V66" t="s">
        <v>78</v>
      </c>
      <c r="W66">
        <v>3871764.0828475398</v>
      </c>
      <c r="X66" t="s">
        <v>76</v>
      </c>
      <c r="Y66">
        <v>-1.5707963267949001</v>
      </c>
      <c r="Z66">
        <v>0.88682953352372396</v>
      </c>
      <c r="AA66">
        <v>0</v>
      </c>
      <c r="AB66">
        <v>5.1621957608599299E-2</v>
      </c>
      <c r="AC66">
        <v>0</v>
      </c>
      <c r="AD66">
        <v>1.3293472992784199E-2</v>
      </c>
      <c r="AE66">
        <v>4.3968289832824296E-3</v>
      </c>
      <c r="AF66">
        <v>0</v>
      </c>
      <c r="AG66">
        <v>0.135697495005699</v>
      </c>
      <c r="AH66">
        <v>2.1817982006928999E-2</v>
      </c>
      <c r="AI66">
        <v>0.7989828404871</v>
      </c>
      <c r="AJ66" t="s">
        <v>74</v>
      </c>
      <c r="AK66">
        <v>0</v>
      </c>
      <c r="AL66" t="s">
        <v>77</v>
      </c>
      <c r="AM66">
        <v>0</v>
      </c>
      <c r="AN66">
        <v>0.99199999999999999</v>
      </c>
      <c r="AO66">
        <v>0</v>
      </c>
      <c r="AP66">
        <v>5.8245346242475203E-2</v>
      </c>
      <c r="AQ66">
        <v>0</v>
      </c>
      <c r="AR66">
        <v>1.6E-2</v>
      </c>
      <c r="AS66">
        <v>0</v>
      </c>
      <c r="AT66">
        <v>0</v>
      </c>
      <c r="AU66">
        <v>0</v>
      </c>
      <c r="AV66">
        <v>0</v>
      </c>
      <c r="AW66">
        <v>1</v>
      </c>
      <c r="AX66" t="s">
        <v>74</v>
      </c>
      <c r="AY66">
        <v>0</v>
      </c>
      <c r="AZ66" t="s">
        <v>76</v>
      </c>
      <c r="BA66">
        <v>-1.5707963267949001</v>
      </c>
      <c r="BB66">
        <v>0.99199999999999999</v>
      </c>
      <c r="BC66">
        <v>0</v>
      </c>
      <c r="BD66">
        <v>5.8245346242475203E-2</v>
      </c>
      <c r="BE66">
        <v>0</v>
      </c>
      <c r="BF66">
        <v>1.6E-2</v>
      </c>
      <c r="BG66">
        <v>0</v>
      </c>
      <c r="BH66">
        <v>0</v>
      </c>
      <c r="BI66">
        <v>0</v>
      </c>
      <c r="BJ66">
        <v>0</v>
      </c>
      <c r="BK66">
        <v>1</v>
      </c>
      <c r="BL66">
        <v>1.10114243827644E-4</v>
      </c>
      <c r="BM66" s="1">
        <v>7.8757738506314294E-5</v>
      </c>
      <c r="BN66" s="1">
        <v>4.0971173977371398E-7</v>
      </c>
      <c r="BO66" s="1">
        <v>1.2371236635239099E-6</v>
      </c>
      <c r="BP66">
        <v>0</v>
      </c>
      <c r="BQ66">
        <v>0</v>
      </c>
      <c r="BR66" s="1">
        <v>6.2734787378657404E-5</v>
      </c>
      <c r="BS66" s="1">
        <v>4.5094959994503398E-5</v>
      </c>
    </row>
    <row r="67" spans="1:71" x14ac:dyDescent="0.25">
      <c r="A67">
        <v>64</v>
      </c>
      <c r="B67" s="1">
        <v>3.63808600088655E-6</v>
      </c>
      <c r="C67">
        <v>0.13240997144792099</v>
      </c>
      <c r="D67">
        <v>-4.9014573468761499E-4</v>
      </c>
      <c r="E67">
        <v>6.1312499999999995E-4</v>
      </c>
      <c r="F67">
        <v>-1.32409971447921E-3</v>
      </c>
      <c r="G67" s="1">
        <v>2.1684043449710098E-19</v>
      </c>
      <c r="H67" t="s">
        <v>74</v>
      </c>
      <c r="I67">
        <v>0</v>
      </c>
      <c r="J67" t="s">
        <v>75</v>
      </c>
      <c r="K67">
        <v>3.14159265358979</v>
      </c>
      <c r="L67">
        <v>0.88592269843562099</v>
      </c>
      <c r="M67">
        <v>0</v>
      </c>
      <c r="N67">
        <v>5.2017010397631701E-2</v>
      </c>
      <c r="O67">
        <v>0</v>
      </c>
      <c r="P67">
        <v>1.6E-2</v>
      </c>
      <c r="Q67">
        <v>0</v>
      </c>
      <c r="R67">
        <v>0</v>
      </c>
      <c r="S67">
        <v>0</v>
      </c>
      <c r="T67">
        <v>0</v>
      </c>
      <c r="U67">
        <v>0.891106382797062</v>
      </c>
      <c r="V67" t="s">
        <v>78</v>
      </c>
      <c r="W67">
        <v>3871904.8491092101</v>
      </c>
      <c r="X67" t="s">
        <v>76</v>
      </c>
      <c r="Y67">
        <v>-1.5707963267949001</v>
      </c>
      <c r="Z67">
        <v>0.88514608823460705</v>
      </c>
      <c r="AA67">
        <v>0</v>
      </c>
      <c r="AB67">
        <v>5.1522952335268303E-2</v>
      </c>
      <c r="AC67">
        <v>0</v>
      </c>
      <c r="AD67">
        <v>1.3225101747656801E-2</v>
      </c>
      <c r="AE67">
        <v>4.4683268996386603E-3</v>
      </c>
      <c r="AF67">
        <v>0</v>
      </c>
      <c r="AG67">
        <v>0.13750054603496201</v>
      </c>
      <c r="AH67">
        <v>2.2554581169380701E-2</v>
      </c>
      <c r="AI67">
        <v>0.795838072879541</v>
      </c>
      <c r="AJ67" t="s">
        <v>74</v>
      </c>
      <c r="AK67">
        <v>0</v>
      </c>
      <c r="AL67" t="s">
        <v>77</v>
      </c>
      <c r="AM67">
        <v>0</v>
      </c>
      <c r="AN67">
        <v>0.99199999999999999</v>
      </c>
      <c r="AO67">
        <v>0</v>
      </c>
      <c r="AP67">
        <v>5.8245346242475203E-2</v>
      </c>
      <c r="AQ67">
        <v>0</v>
      </c>
      <c r="AR67">
        <v>1.6E-2</v>
      </c>
      <c r="AS67">
        <v>0</v>
      </c>
      <c r="AT67">
        <v>0</v>
      </c>
      <c r="AU67">
        <v>0</v>
      </c>
      <c r="AV67">
        <v>0</v>
      </c>
      <c r="AW67">
        <v>1</v>
      </c>
      <c r="AX67" t="s">
        <v>74</v>
      </c>
      <c r="AY67">
        <v>0</v>
      </c>
      <c r="AZ67" t="s">
        <v>76</v>
      </c>
      <c r="BA67">
        <v>-1.5707963267949001</v>
      </c>
      <c r="BB67">
        <v>0.99199999999999999</v>
      </c>
      <c r="BC67">
        <v>0</v>
      </c>
      <c r="BD67">
        <v>5.8245346242475203E-2</v>
      </c>
      <c r="BE67">
        <v>0</v>
      </c>
      <c r="BF67">
        <v>1.6E-2</v>
      </c>
      <c r="BG67">
        <v>0</v>
      </c>
      <c r="BH67">
        <v>0</v>
      </c>
      <c r="BI67">
        <v>0</v>
      </c>
      <c r="BJ67">
        <v>0</v>
      </c>
      <c r="BK67">
        <v>1</v>
      </c>
      <c r="BL67">
        <v>1.10015327608925E-4</v>
      </c>
      <c r="BM67" s="1">
        <v>8.0027563602171401E-5</v>
      </c>
      <c r="BN67" s="1">
        <v>4.0934205596926798E-7</v>
      </c>
      <c r="BO67" s="1">
        <v>1.25707002948636E-6</v>
      </c>
      <c r="BP67">
        <v>0</v>
      </c>
      <c r="BQ67">
        <v>0</v>
      </c>
      <c r="BR67" s="1">
        <v>6.2672139090233199E-5</v>
      </c>
      <c r="BS67" s="1">
        <v>4.5822193807851403E-5</v>
      </c>
    </row>
    <row r="68" spans="1:71" x14ac:dyDescent="0.25">
      <c r="A68">
        <v>65</v>
      </c>
      <c r="B68" s="1">
        <v>3.5914455525023199E-6</v>
      </c>
      <c r="C68">
        <v>0.132413562893474</v>
      </c>
      <c r="D68">
        <v>-4.9016183745927405E-4</v>
      </c>
      <c r="E68">
        <v>6.1312499999999995E-4</v>
      </c>
      <c r="F68">
        <v>-1.3241356289347399E-3</v>
      </c>
      <c r="G68" s="1">
        <v>2.1684043449710098E-19</v>
      </c>
      <c r="H68" t="s">
        <v>74</v>
      </c>
      <c r="I68">
        <v>0</v>
      </c>
      <c r="J68" t="s">
        <v>75</v>
      </c>
      <c r="K68">
        <v>3.14159265358979</v>
      </c>
      <c r="L68">
        <v>0.88423955442588398</v>
      </c>
      <c r="M68">
        <v>0</v>
      </c>
      <c r="N68">
        <v>5.1918184484705303E-2</v>
      </c>
      <c r="O68">
        <v>0</v>
      </c>
      <c r="P68">
        <v>1.6E-2</v>
      </c>
      <c r="Q68">
        <v>0</v>
      </c>
      <c r="R68">
        <v>0</v>
      </c>
      <c r="S68">
        <v>0</v>
      </c>
      <c r="T68">
        <v>0</v>
      </c>
      <c r="U68">
        <v>0.88927802121232702</v>
      </c>
      <c r="V68" t="s">
        <v>78</v>
      </c>
      <c r="W68">
        <v>3872043.8082124498</v>
      </c>
      <c r="X68" t="s">
        <v>76</v>
      </c>
      <c r="Y68">
        <v>-1.5707963267949001</v>
      </c>
      <c r="Z68">
        <v>0.88346269324601701</v>
      </c>
      <c r="AA68">
        <v>0</v>
      </c>
      <c r="AB68">
        <v>5.1423966756499802E-2</v>
      </c>
      <c r="AC68">
        <v>0</v>
      </c>
      <c r="AD68">
        <v>1.3156710250254101E-2</v>
      </c>
      <c r="AE68">
        <v>4.53979291629343E-3</v>
      </c>
      <c r="AF68">
        <v>0</v>
      </c>
      <c r="AG68">
        <v>0.13929034393888601</v>
      </c>
      <c r="AH68">
        <v>2.33044013044598E-2</v>
      </c>
      <c r="AI68">
        <v>0.79269584326119402</v>
      </c>
      <c r="AJ68" t="s">
        <v>74</v>
      </c>
      <c r="AK68">
        <v>0</v>
      </c>
      <c r="AL68" t="s">
        <v>77</v>
      </c>
      <c r="AM68">
        <v>0</v>
      </c>
      <c r="AN68">
        <v>0.99199999999999999</v>
      </c>
      <c r="AO68">
        <v>0</v>
      </c>
      <c r="AP68">
        <v>5.8245346242475203E-2</v>
      </c>
      <c r="AQ68">
        <v>0</v>
      </c>
      <c r="AR68">
        <v>1.6E-2</v>
      </c>
      <c r="AS68">
        <v>0</v>
      </c>
      <c r="AT68">
        <v>0</v>
      </c>
      <c r="AU68">
        <v>0</v>
      </c>
      <c r="AV68">
        <v>0</v>
      </c>
      <c r="AW68">
        <v>1</v>
      </c>
      <c r="AX68" t="s">
        <v>74</v>
      </c>
      <c r="AY68">
        <v>0</v>
      </c>
      <c r="AZ68" t="s">
        <v>76</v>
      </c>
      <c r="BA68">
        <v>-1.5707963267949001</v>
      </c>
      <c r="BB68">
        <v>0.99199999999999999</v>
      </c>
      <c r="BC68">
        <v>0</v>
      </c>
      <c r="BD68">
        <v>5.8245346242475203E-2</v>
      </c>
      <c r="BE68">
        <v>0</v>
      </c>
      <c r="BF68">
        <v>1.6E-2</v>
      </c>
      <c r="BG68">
        <v>0</v>
      </c>
      <c r="BH68">
        <v>0</v>
      </c>
      <c r="BI68">
        <v>0</v>
      </c>
      <c r="BJ68">
        <v>0</v>
      </c>
      <c r="BK68">
        <v>1</v>
      </c>
      <c r="BL68">
        <v>1.09916421863078E-4</v>
      </c>
      <c r="BM68" s="1">
        <v>8.1297372621672902E-5</v>
      </c>
      <c r="BN68" s="1">
        <v>4.0897245983019802E-7</v>
      </c>
      <c r="BO68" s="1">
        <v>1.2770161429219999E-6</v>
      </c>
      <c r="BP68">
        <v>0</v>
      </c>
      <c r="BQ68">
        <v>0</v>
      </c>
      <c r="BR68" s="1">
        <v>6.2609493093953198E-5</v>
      </c>
      <c r="BS68" s="1">
        <v>4.6549421403656E-5</v>
      </c>
    </row>
    <row r="69" spans="1:71" x14ac:dyDescent="0.25">
      <c r="A69">
        <v>66</v>
      </c>
      <c r="B69" s="1">
        <v>3.5463193668258999E-6</v>
      </c>
      <c r="C69">
        <v>0.132417109212841</v>
      </c>
      <c r="D69">
        <v>-4.9017773761554802E-4</v>
      </c>
      <c r="E69">
        <v>6.1312499999999995E-4</v>
      </c>
      <c r="F69">
        <v>-1.32417109212841E-3</v>
      </c>
      <c r="G69" s="1">
        <v>1.0842021724855E-19</v>
      </c>
      <c r="H69" t="s">
        <v>74</v>
      </c>
      <c r="I69">
        <v>0</v>
      </c>
      <c r="J69" t="s">
        <v>75</v>
      </c>
      <c r="K69">
        <v>3.14159265358979</v>
      </c>
      <c r="L69">
        <v>0.88255643193690203</v>
      </c>
      <c r="M69">
        <v>0</v>
      </c>
      <c r="N69">
        <v>5.1819359835371302E-2</v>
      </c>
      <c r="O69">
        <v>0</v>
      </c>
      <c r="P69">
        <v>1.6E-2</v>
      </c>
      <c r="Q69">
        <v>0</v>
      </c>
      <c r="R69">
        <v>0</v>
      </c>
      <c r="S69">
        <v>0</v>
      </c>
      <c r="T69">
        <v>0</v>
      </c>
      <c r="U69">
        <v>0.88744580376959203</v>
      </c>
      <c r="V69" t="s">
        <v>78</v>
      </c>
      <c r="W69">
        <v>3872181.0188432601</v>
      </c>
      <c r="X69" t="s">
        <v>76</v>
      </c>
      <c r="Y69">
        <v>-1.5707963267949001</v>
      </c>
      <c r="Z69">
        <v>0.88177934791365697</v>
      </c>
      <c r="AA69">
        <v>0</v>
      </c>
      <c r="AB69">
        <v>5.1325000340339801E-2</v>
      </c>
      <c r="AC69">
        <v>0</v>
      </c>
      <c r="AD69">
        <v>1.3088300388614501E-2</v>
      </c>
      <c r="AE69">
        <v>4.6112267637410699E-3</v>
      </c>
      <c r="AF69">
        <v>0</v>
      </c>
      <c r="AG69">
        <v>0.14106683339492601</v>
      </c>
      <c r="AH69">
        <v>2.4067497415752401E-2</v>
      </c>
      <c r="AI69">
        <v>0.78955618619955503</v>
      </c>
      <c r="AJ69" t="s">
        <v>74</v>
      </c>
      <c r="AK69">
        <v>0</v>
      </c>
      <c r="AL69" t="s">
        <v>77</v>
      </c>
      <c r="AM69">
        <v>0</v>
      </c>
      <c r="AN69">
        <v>0.99199999999999999</v>
      </c>
      <c r="AO69">
        <v>0</v>
      </c>
      <c r="AP69">
        <v>5.8245346242475203E-2</v>
      </c>
      <c r="AQ69">
        <v>0</v>
      </c>
      <c r="AR69">
        <v>1.6E-2</v>
      </c>
      <c r="AS69">
        <v>0</v>
      </c>
      <c r="AT69">
        <v>0</v>
      </c>
      <c r="AU69">
        <v>0</v>
      </c>
      <c r="AV69">
        <v>0</v>
      </c>
      <c r="AW69">
        <v>1</v>
      </c>
      <c r="AX69" t="s">
        <v>74</v>
      </c>
      <c r="AY69">
        <v>0</v>
      </c>
      <c r="AZ69" t="s">
        <v>76</v>
      </c>
      <c r="BA69">
        <v>-1.5707963267949001</v>
      </c>
      <c r="BB69">
        <v>0.99199999999999999</v>
      </c>
      <c r="BC69">
        <v>0</v>
      </c>
      <c r="BD69">
        <v>5.8245346242475203E-2</v>
      </c>
      <c r="BE69">
        <v>0</v>
      </c>
      <c r="BF69">
        <v>1.6E-2</v>
      </c>
      <c r="BG69">
        <v>0</v>
      </c>
      <c r="BH69">
        <v>0</v>
      </c>
      <c r="BI69">
        <v>0</v>
      </c>
      <c r="BJ69">
        <v>0</v>
      </c>
      <c r="BK69">
        <v>1</v>
      </c>
      <c r="BL69">
        <v>1.09817526330331E-4</v>
      </c>
      <c r="BM69" s="1">
        <v>8.2567165405339095E-5</v>
      </c>
      <c r="BN69" s="1">
        <v>4.0860294895318501E-7</v>
      </c>
      <c r="BO69" s="1">
        <v>1.2969620013257301E-6</v>
      </c>
      <c r="BP69">
        <v>0</v>
      </c>
      <c r="BQ69">
        <v>0</v>
      </c>
      <c r="BR69" s="1">
        <v>6.2546849354010403E-5</v>
      </c>
      <c r="BS69" s="1">
        <v>4.7276642661619897E-5</v>
      </c>
    </row>
    <row r="70" spans="1:71" x14ac:dyDescent="0.25">
      <c r="A70">
        <v>67</v>
      </c>
      <c r="B70" s="1">
        <v>3.5026397680394099E-6</v>
      </c>
      <c r="C70">
        <v>0.132420611852609</v>
      </c>
      <c r="D70">
        <v>-4.90193441653003E-4</v>
      </c>
      <c r="E70">
        <v>6.1312499999999995E-4</v>
      </c>
      <c r="F70">
        <v>-1.3242061185260901E-3</v>
      </c>
      <c r="G70" s="1">
        <v>2.1684043449710098E-19</v>
      </c>
      <c r="H70" t="s">
        <v>74</v>
      </c>
      <c r="I70">
        <v>0</v>
      </c>
      <c r="J70" t="s">
        <v>75</v>
      </c>
      <c r="K70">
        <v>3.14159265358979</v>
      </c>
      <c r="L70">
        <v>0.88087333118291</v>
      </c>
      <c r="M70">
        <v>0</v>
      </c>
      <c r="N70">
        <v>5.1720536462208803E-2</v>
      </c>
      <c r="O70">
        <v>0</v>
      </c>
      <c r="P70">
        <v>1.6E-2</v>
      </c>
      <c r="Q70">
        <v>0</v>
      </c>
      <c r="R70">
        <v>0</v>
      </c>
      <c r="S70">
        <v>0</v>
      </c>
      <c r="T70">
        <v>0</v>
      </c>
      <c r="U70">
        <v>0.88560975231341799</v>
      </c>
      <c r="V70" t="s">
        <v>78</v>
      </c>
      <c r="W70">
        <v>3872316.5370638701</v>
      </c>
      <c r="X70" t="s">
        <v>76</v>
      </c>
      <c r="Y70">
        <v>-1.5707963267949001</v>
      </c>
      <c r="Z70">
        <v>0.88009605163423399</v>
      </c>
      <c r="AA70">
        <v>0</v>
      </c>
      <c r="AB70">
        <v>5.1226052579277898E-2</v>
      </c>
      <c r="AC70">
        <v>0</v>
      </c>
      <c r="AD70">
        <v>1.3019873974612701E-2</v>
      </c>
      <c r="AE70">
        <v>4.6826281751372297E-3</v>
      </c>
      <c r="AF70">
        <v>0</v>
      </c>
      <c r="AG70">
        <v>0.14282995855009101</v>
      </c>
      <c r="AH70">
        <v>2.4843925033000501E-2</v>
      </c>
      <c r="AI70">
        <v>0.78641913513795203</v>
      </c>
      <c r="AJ70" t="s">
        <v>74</v>
      </c>
      <c r="AK70">
        <v>0</v>
      </c>
      <c r="AL70" t="s">
        <v>77</v>
      </c>
      <c r="AM70">
        <v>0</v>
      </c>
      <c r="AN70">
        <v>0.99199999999999999</v>
      </c>
      <c r="AO70">
        <v>0</v>
      </c>
      <c r="AP70">
        <v>5.8245346242475203E-2</v>
      </c>
      <c r="AQ70">
        <v>0</v>
      </c>
      <c r="AR70">
        <v>1.6E-2</v>
      </c>
      <c r="AS70">
        <v>0</v>
      </c>
      <c r="AT70">
        <v>0</v>
      </c>
      <c r="AU70">
        <v>0</v>
      </c>
      <c r="AV70">
        <v>0</v>
      </c>
      <c r="AW70">
        <v>1</v>
      </c>
      <c r="AX70" t="s">
        <v>74</v>
      </c>
      <c r="AY70">
        <v>0</v>
      </c>
      <c r="AZ70" t="s">
        <v>76</v>
      </c>
      <c r="BA70">
        <v>-1.5707963267949001</v>
      </c>
      <c r="BB70">
        <v>0.99199999999999999</v>
      </c>
      <c r="BC70">
        <v>0</v>
      </c>
      <c r="BD70">
        <v>5.8245346242475203E-2</v>
      </c>
      <c r="BE70">
        <v>0</v>
      </c>
      <c r="BF70">
        <v>1.6E-2</v>
      </c>
      <c r="BG70">
        <v>0</v>
      </c>
      <c r="BH70">
        <v>0</v>
      </c>
      <c r="BI70">
        <v>0</v>
      </c>
      <c r="BJ70">
        <v>0</v>
      </c>
      <c r="BK70">
        <v>1</v>
      </c>
      <c r="BL70">
        <v>1.09718640763219E-4</v>
      </c>
      <c r="BM70" s="1">
        <v>8.3836941791545603E-5</v>
      </c>
      <c r="BN70" s="1">
        <v>4.08233521044781E-7</v>
      </c>
      <c r="BO70" s="1">
        <v>1.3169076021587701E-6</v>
      </c>
      <c r="BP70">
        <v>0</v>
      </c>
      <c r="BQ70">
        <v>0</v>
      </c>
      <c r="BR70" s="1">
        <v>6.2484207836671301E-5</v>
      </c>
      <c r="BS70" s="1">
        <v>4.80038574613258E-5</v>
      </c>
    </row>
    <row r="71" spans="1:71" x14ac:dyDescent="0.25">
      <c r="A71">
        <v>68</v>
      </c>
      <c r="B71" s="1">
        <v>3.4603431364573202E-6</v>
      </c>
      <c r="C71">
        <v>0.13242407219574501</v>
      </c>
      <c r="D71">
        <v>-4.9020895578238304E-4</v>
      </c>
      <c r="E71">
        <v>6.1312499999999995E-4</v>
      </c>
      <c r="F71">
        <v>-1.32424072195745E-3</v>
      </c>
      <c r="G71" s="1">
        <v>2.1684043449710098E-19</v>
      </c>
      <c r="H71" t="s">
        <v>74</v>
      </c>
      <c r="I71">
        <v>0</v>
      </c>
      <c r="J71" t="s">
        <v>75</v>
      </c>
      <c r="K71">
        <v>3.14159265358979</v>
      </c>
      <c r="L71">
        <v>0.879190252381156</v>
      </c>
      <c r="M71">
        <v>0</v>
      </c>
      <c r="N71">
        <v>5.1621714377973402E-2</v>
      </c>
      <c r="O71">
        <v>0</v>
      </c>
      <c r="P71">
        <v>1.6E-2</v>
      </c>
      <c r="Q71">
        <v>0</v>
      </c>
      <c r="R71">
        <v>0</v>
      </c>
      <c r="S71">
        <v>0</v>
      </c>
      <c r="T71">
        <v>0</v>
      </c>
      <c r="U71">
        <v>0.88376988758943198</v>
      </c>
      <c r="V71" t="s">
        <v>78</v>
      </c>
      <c r="W71">
        <v>3872450.41646996</v>
      </c>
      <c r="X71" t="s">
        <v>76</v>
      </c>
      <c r="Y71">
        <v>-1.5707963267949001</v>
      </c>
      <c r="Z71">
        <v>0.87841280384335496</v>
      </c>
      <c r="AA71">
        <v>0</v>
      </c>
      <c r="AB71">
        <v>5.1127122988811703E-2</v>
      </c>
      <c r="AC71">
        <v>0</v>
      </c>
      <c r="AD71">
        <v>1.29514327485471E-2</v>
      </c>
      <c r="AE71">
        <v>4.7539968861191901E-3</v>
      </c>
      <c r="AF71">
        <v>0</v>
      </c>
      <c r="AG71">
        <v>0.14457966301351199</v>
      </c>
      <c r="AH71">
        <v>2.5633740219277602E-2</v>
      </c>
      <c r="AI71">
        <v>0.78328472246609904</v>
      </c>
      <c r="AJ71" t="s">
        <v>74</v>
      </c>
      <c r="AK71">
        <v>0</v>
      </c>
      <c r="AL71" t="s">
        <v>77</v>
      </c>
      <c r="AM71">
        <v>0</v>
      </c>
      <c r="AN71">
        <v>0.99199999999999999</v>
      </c>
      <c r="AO71">
        <v>0</v>
      </c>
      <c r="AP71">
        <v>5.8245346242475203E-2</v>
      </c>
      <c r="AQ71">
        <v>0</v>
      </c>
      <c r="AR71">
        <v>1.6E-2</v>
      </c>
      <c r="AS71">
        <v>0</v>
      </c>
      <c r="AT71">
        <v>0</v>
      </c>
      <c r="AU71">
        <v>0</v>
      </c>
      <c r="AV71">
        <v>0</v>
      </c>
      <c r="AW71">
        <v>1</v>
      </c>
      <c r="AX71" t="s">
        <v>74</v>
      </c>
      <c r="AY71">
        <v>0</v>
      </c>
      <c r="AZ71" t="s">
        <v>76</v>
      </c>
      <c r="BA71">
        <v>-1.5707963267949001</v>
      </c>
      <c r="BB71">
        <v>0.99199999999999999</v>
      </c>
      <c r="BC71">
        <v>0</v>
      </c>
      <c r="BD71">
        <v>5.8245346242475203E-2</v>
      </c>
      <c r="BE71">
        <v>0</v>
      </c>
      <c r="BF71">
        <v>1.6E-2</v>
      </c>
      <c r="BG71">
        <v>0</v>
      </c>
      <c r="BH71">
        <v>0</v>
      </c>
      <c r="BI71">
        <v>0</v>
      </c>
      <c r="BJ71">
        <v>0</v>
      </c>
      <c r="BK71">
        <v>1</v>
      </c>
      <c r="BL71">
        <v>1.09619764925868E-4</v>
      </c>
      <c r="BM71" s="1">
        <v>8.5106701616394806E-5</v>
      </c>
      <c r="BN71" s="1">
        <v>4.0786417391493502E-7</v>
      </c>
      <c r="BO71" s="1">
        <v>1.3368529428466201E-6</v>
      </c>
      <c r="BP71">
        <v>0</v>
      </c>
      <c r="BQ71">
        <v>0</v>
      </c>
      <c r="BR71" s="1">
        <v>6.2421568510163903E-5</v>
      </c>
      <c r="BS71" s="1">
        <v>4.8731065682116699E-5</v>
      </c>
    </row>
    <row r="72" spans="1:71" x14ac:dyDescent="0.25">
      <c r="A72">
        <v>69</v>
      </c>
      <c r="B72" s="1">
        <v>3.4193696112257502E-6</v>
      </c>
      <c r="C72">
        <v>0.13242749156535599</v>
      </c>
      <c r="D72">
        <v>-4.9022428594549801E-4</v>
      </c>
      <c r="E72">
        <v>6.1312499999999995E-4</v>
      </c>
      <c r="F72">
        <v>-1.32427491565356E-3</v>
      </c>
      <c r="G72" s="1">
        <v>1.0842021724855E-19</v>
      </c>
      <c r="H72" t="s">
        <v>74</v>
      </c>
      <c r="I72">
        <v>0</v>
      </c>
      <c r="J72" t="s">
        <v>75</v>
      </c>
      <c r="K72">
        <v>3.14159265358979</v>
      </c>
      <c r="L72">
        <v>0.87750719575187897</v>
      </c>
      <c r="M72">
        <v>0</v>
      </c>
      <c r="N72">
        <v>5.1522893595596399E-2</v>
      </c>
      <c r="O72">
        <v>0</v>
      </c>
      <c r="P72">
        <v>1.6E-2</v>
      </c>
      <c r="Q72">
        <v>0</v>
      </c>
      <c r="R72">
        <v>0</v>
      </c>
      <c r="S72">
        <v>0</v>
      </c>
      <c r="T72">
        <v>0</v>
      </c>
      <c r="U72">
        <v>0.88192622930939402</v>
      </c>
      <c r="V72" t="s">
        <v>78</v>
      </c>
      <c r="W72">
        <v>3872582.7083364902</v>
      </c>
      <c r="X72" t="s">
        <v>76</v>
      </c>
      <c r="Y72">
        <v>-1.5707963267949001</v>
      </c>
      <c r="Z72">
        <v>0.87672960401340005</v>
      </c>
      <c r="AA72">
        <v>0</v>
      </c>
      <c r="AB72">
        <v>5.10282111061056E-2</v>
      </c>
      <c r="AC72">
        <v>0</v>
      </c>
      <c r="AD72">
        <v>1.2882978383384199E-2</v>
      </c>
      <c r="AE72">
        <v>4.8253326346441297E-3</v>
      </c>
      <c r="AF72">
        <v>0</v>
      </c>
      <c r="AG72">
        <v>0.14631588984904201</v>
      </c>
      <c r="AH72">
        <v>2.6436999578422798E-2</v>
      </c>
      <c r="AI72">
        <v>0.78015297958514396</v>
      </c>
      <c r="AJ72" t="s">
        <v>74</v>
      </c>
      <c r="AK72">
        <v>0</v>
      </c>
      <c r="AL72" t="s">
        <v>77</v>
      </c>
      <c r="AM72">
        <v>0</v>
      </c>
      <c r="AN72">
        <v>0.99199999999999999</v>
      </c>
      <c r="AO72">
        <v>0</v>
      </c>
      <c r="AP72">
        <v>5.8245346242475203E-2</v>
      </c>
      <c r="AQ72">
        <v>0</v>
      </c>
      <c r="AR72">
        <v>1.6E-2</v>
      </c>
      <c r="AS72">
        <v>0</v>
      </c>
      <c r="AT72">
        <v>0</v>
      </c>
      <c r="AU72">
        <v>0</v>
      </c>
      <c r="AV72">
        <v>0</v>
      </c>
      <c r="AW72">
        <v>1</v>
      </c>
      <c r="AX72" t="s">
        <v>74</v>
      </c>
      <c r="AY72">
        <v>0</v>
      </c>
      <c r="AZ72" t="s">
        <v>76</v>
      </c>
      <c r="BA72">
        <v>-1.5707963267949001</v>
      </c>
      <c r="BB72">
        <v>0.99199999999999999</v>
      </c>
      <c r="BC72">
        <v>0</v>
      </c>
      <c r="BD72">
        <v>5.8245346242475203E-2</v>
      </c>
      <c r="BE72">
        <v>0</v>
      </c>
      <c r="BF72">
        <v>1.6E-2</v>
      </c>
      <c r="BG72">
        <v>0</v>
      </c>
      <c r="BH72">
        <v>0</v>
      </c>
      <c r="BI72">
        <v>0</v>
      </c>
      <c r="BJ72">
        <v>0</v>
      </c>
      <c r="BK72">
        <v>1</v>
      </c>
      <c r="BL72">
        <v>1.09520898593326E-4</v>
      </c>
      <c r="BM72" s="1">
        <v>8.6376444713732407E-5</v>
      </c>
      <c r="BN72" s="1">
        <v>4.0749490547096399E-7</v>
      </c>
      <c r="BO72" s="1">
        <v>1.3567980207793299E-6</v>
      </c>
      <c r="BP72">
        <v>0</v>
      </c>
      <c r="BQ72">
        <v>0</v>
      </c>
      <c r="BR72" s="1">
        <v>6.2358931344567604E-5</v>
      </c>
      <c r="BS72" s="1">
        <v>4.9458267203061103E-5</v>
      </c>
    </row>
    <row r="73" spans="1:71" x14ac:dyDescent="0.25">
      <c r="A73">
        <v>70</v>
      </c>
      <c r="B73" s="1">
        <v>3.3796628183248101E-6</v>
      </c>
      <c r="C73">
        <v>0.13243087122817501</v>
      </c>
      <c r="D73">
        <v>-4.9023943783089497E-4</v>
      </c>
      <c r="E73">
        <v>6.1312499999999995E-4</v>
      </c>
      <c r="F73">
        <v>-1.32430871228175E-3</v>
      </c>
      <c r="G73" s="1">
        <v>2.1684043449710098E-19</v>
      </c>
      <c r="H73" t="s">
        <v>74</v>
      </c>
      <c r="I73">
        <v>0</v>
      </c>
      <c r="J73" t="s">
        <v>75</v>
      </c>
      <c r="K73">
        <v>3.14159265358979</v>
      </c>
      <c r="L73">
        <v>0.87582416151841502</v>
      </c>
      <c r="M73">
        <v>0</v>
      </c>
      <c r="N73">
        <v>5.1424074128191097E-2</v>
      </c>
      <c r="O73">
        <v>0</v>
      </c>
      <c r="P73">
        <v>1.6E-2</v>
      </c>
      <c r="Q73">
        <v>0</v>
      </c>
      <c r="R73">
        <v>0</v>
      </c>
      <c r="S73">
        <v>0</v>
      </c>
      <c r="T73">
        <v>0</v>
      </c>
      <c r="U73">
        <v>0.88007879621170604</v>
      </c>
      <c r="V73" t="s">
        <v>78</v>
      </c>
      <c r="W73">
        <v>3872713.4617528399</v>
      </c>
      <c r="X73" t="s">
        <v>76</v>
      </c>
      <c r="Y73">
        <v>-1.5707963267949001</v>
      </c>
      <c r="Z73">
        <v>0.87504645165167605</v>
      </c>
      <c r="AA73">
        <v>0</v>
      </c>
      <c r="AB73">
        <v>5.0929316488754102E-2</v>
      </c>
      <c r="AC73">
        <v>0</v>
      </c>
      <c r="AD73">
        <v>1.28145124887018E-2</v>
      </c>
      <c r="AE73">
        <v>4.8966351608312102E-3</v>
      </c>
      <c r="AF73">
        <v>0</v>
      </c>
      <c r="AG73">
        <v>0.14803858156754399</v>
      </c>
      <c r="AH73">
        <v>2.7253760262590299E-2</v>
      </c>
      <c r="AI73">
        <v>0.77702393696826799</v>
      </c>
      <c r="AJ73" t="s">
        <v>74</v>
      </c>
      <c r="AK73">
        <v>0</v>
      </c>
      <c r="AL73" t="s">
        <v>77</v>
      </c>
      <c r="AM73">
        <v>0</v>
      </c>
      <c r="AN73">
        <v>0.99199999999999999</v>
      </c>
      <c r="AO73">
        <v>0</v>
      </c>
      <c r="AP73">
        <v>5.8245346242475203E-2</v>
      </c>
      <c r="AQ73">
        <v>0</v>
      </c>
      <c r="AR73">
        <v>1.6E-2</v>
      </c>
      <c r="AS73">
        <v>0</v>
      </c>
      <c r="AT73">
        <v>0</v>
      </c>
      <c r="AU73">
        <v>0</v>
      </c>
      <c r="AV73">
        <v>0</v>
      </c>
      <c r="AW73">
        <v>1</v>
      </c>
      <c r="AX73" t="s">
        <v>74</v>
      </c>
      <c r="AY73">
        <v>0</v>
      </c>
      <c r="AZ73" t="s">
        <v>76</v>
      </c>
      <c r="BA73">
        <v>-1.5707963267949001</v>
      </c>
      <c r="BB73">
        <v>0.99199999999999999</v>
      </c>
      <c r="BC73">
        <v>0</v>
      </c>
      <c r="BD73">
        <v>5.8245346242475203E-2</v>
      </c>
      <c r="BE73">
        <v>0</v>
      </c>
      <c r="BF73">
        <v>1.6E-2</v>
      </c>
      <c r="BG73">
        <v>0</v>
      </c>
      <c r="BH73">
        <v>0</v>
      </c>
      <c r="BI73">
        <v>0</v>
      </c>
      <c r="BJ73">
        <v>0</v>
      </c>
      <c r="BK73">
        <v>1</v>
      </c>
      <c r="BL73">
        <v>1.09422041550948E-4</v>
      </c>
      <c r="BM73" s="1">
        <v>8.7646170915066897E-5</v>
      </c>
      <c r="BN73" s="1">
        <v>4.0712571371197998E-7</v>
      </c>
      <c r="BO73" s="1">
        <v>1.3767428333102501E-6</v>
      </c>
      <c r="BP73">
        <v>0</v>
      </c>
      <c r="BQ73">
        <v>0</v>
      </c>
      <c r="BR73" s="1">
        <v>6.2296296311714804E-5</v>
      </c>
      <c r="BS73" s="1">
        <v>5.0185461902866502E-5</v>
      </c>
    </row>
    <row r="74" spans="1:71" x14ac:dyDescent="0.25">
      <c r="A74">
        <v>71</v>
      </c>
      <c r="B74" s="1">
        <v>3.3411696223282901E-6</v>
      </c>
      <c r="C74">
        <v>0.13243421239779701</v>
      </c>
      <c r="D74">
        <v>-4.9025441688840799E-4</v>
      </c>
      <c r="E74">
        <v>6.1312499999999995E-4</v>
      </c>
      <c r="F74">
        <v>-1.3243421239779701E-3</v>
      </c>
      <c r="G74" s="1">
        <v>1.0842021724855E-19</v>
      </c>
      <c r="H74" t="s">
        <v>74</v>
      </c>
      <c r="I74">
        <v>0</v>
      </c>
      <c r="J74" t="s">
        <v>75</v>
      </c>
      <c r="K74">
        <v>3.14159265358979</v>
      </c>
      <c r="L74">
        <v>0.87414114990727998</v>
      </c>
      <c r="M74">
        <v>0</v>
      </c>
      <c r="N74">
        <v>5.1325255989057399E-2</v>
      </c>
      <c r="O74">
        <v>0</v>
      </c>
      <c r="P74">
        <v>1.6E-2</v>
      </c>
      <c r="Q74">
        <v>0</v>
      </c>
      <c r="R74">
        <v>0</v>
      </c>
      <c r="S74">
        <v>0</v>
      </c>
      <c r="T74">
        <v>0</v>
      </c>
      <c r="U74">
        <v>0.87822760611758899</v>
      </c>
      <c r="V74" t="s">
        <v>78</v>
      </c>
      <c r="W74">
        <v>3872842.7237484399</v>
      </c>
      <c r="X74" t="s">
        <v>76</v>
      </c>
      <c r="Y74">
        <v>-1.5707963267949001</v>
      </c>
      <c r="Z74">
        <v>0.87336334629868295</v>
      </c>
      <c r="AA74">
        <v>0</v>
      </c>
      <c r="AB74">
        <v>5.0830438713632103E-2</v>
      </c>
      <c r="AC74">
        <v>0</v>
      </c>
      <c r="AD74">
        <v>1.2746036614351801E-2</v>
      </c>
      <c r="AE74">
        <v>4.9679042068131703E-3</v>
      </c>
      <c r="AF74">
        <v>0</v>
      </c>
      <c r="AG74">
        <v>0.149747680119031</v>
      </c>
      <c r="AH74">
        <v>2.8084079979986701E-2</v>
      </c>
      <c r="AI74">
        <v>0.77389762421693298</v>
      </c>
      <c r="AJ74" t="s">
        <v>74</v>
      </c>
      <c r="AK74">
        <v>0</v>
      </c>
      <c r="AL74" t="s">
        <v>77</v>
      </c>
      <c r="AM74">
        <v>0</v>
      </c>
      <c r="AN74">
        <v>0.99199999999999999</v>
      </c>
      <c r="AO74">
        <v>0</v>
      </c>
      <c r="AP74">
        <v>5.8245346242475203E-2</v>
      </c>
      <c r="AQ74">
        <v>0</v>
      </c>
      <c r="AR74">
        <v>1.6E-2</v>
      </c>
      <c r="AS74">
        <v>0</v>
      </c>
      <c r="AT74">
        <v>0</v>
      </c>
      <c r="AU74">
        <v>0</v>
      </c>
      <c r="AV74">
        <v>0</v>
      </c>
      <c r="AW74">
        <v>1</v>
      </c>
      <c r="AX74" t="s">
        <v>74</v>
      </c>
      <c r="AY74">
        <v>0</v>
      </c>
      <c r="AZ74" t="s">
        <v>76</v>
      </c>
      <c r="BA74">
        <v>-1.5707963267949001</v>
      </c>
      <c r="BB74">
        <v>0.99199999999999999</v>
      </c>
      <c r="BC74">
        <v>0</v>
      </c>
      <c r="BD74">
        <v>5.8245346242475203E-2</v>
      </c>
      <c r="BE74">
        <v>0</v>
      </c>
      <c r="BF74">
        <v>1.6E-2</v>
      </c>
      <c r="BG74">
        <v>0</v>
      </c>
      <c r="BH74">
        <v>0</v>
      </c>
      <c r="BI74">
        <v>0</v>
      </c>
      <c r="BJ74">
        <v>0</v>
      </c>
      <c r="BK74">
        <v>1</v>
      </c>
      <c r="BL74">
        <v>1.0932319359381999E-4</v>
      </c>
      <c r="BM74" s="1">
        <v>8.8915880049509E-5</v>
      </c>
      <c r="BN74" s="1">
        <v>4.0675659672371401E-7</v>
      </c>
      <c r="BO74" s="1">
        <v>1.39668737775504E-6</v>
      </c>
      <c r="BP74">
        <v>0</v>
      </c>
      <c r="BQ74">
        <v>0</v>
      </c>
      <c r="BR74" s="1">
        <v>6.2233663385100106E-5</v>
      </c>
      <c r="BS74" s="1">
        <v>5.0912649659806199E-5</v>
      </c>
    </row>
    <row r="75" spans="1:71" x14ac:dyDescent="0.25">
      <c r="A75">
        <v>72</v>
      </c>
      <c r="B75" s="1">
        <v>3.3038398989544199E-6</v>
      </c>
      <c r="C75">
        <v>0.13243751623769601</v>
      </c>
      <c r="D75">
        <v>-4.9026922834269099E-4</v>
      </c>
      <c r="E75">
        <v>6.1312499999999995E-4</v>
      </c>
      <c r="F75">
        <v>-1.32437516237696E-3</v>
      </c>
      <c r="G75" s="1">
        <v>2.1684043449710098E-19</v>
      </c>
      <c r="H75" t="s">
        <v>74</v>
      </c>
      <c r="I75">
        <v>0</v>
      </c>
      <c r="J75" t="s">
        <v>75</v>
      </c>
      <c r="K75">
        <v>3.14159265358979</v>
      </c>
      <c r="L75">
        <v>0.87245816114821095</v>
      </c>
      <c r="M75">
        <v>0</v>
      </c>
      <c r="N75">
        <v>5.1226439191684299E-2</v>
      </c>
      <c r="O75">
        <v>0</v>
      </c>
      <c r="P75">
        <v>1.6E-2</v>
      </c>
      <c r="Q75">
        <v>0</v>
      </c>
      <c r="R75">
        <v>0</v>
      </c>
      <c r="S75">
        <v>0</v>
      </c>
      <c r="T75">
        <v>0</v>
      </c>
      <c r="U75">
        <v>0.87637267598329605</v>
      </c>
      <c r="V75" t="s">
        <v>78</v>
      </c>
      <c r="W75">
        <v>3872970.5394095201</v>
      </c>
      <c r="X75" t="s">
        <v>76</v>
      </c>
      <c r="Y75">
        <v>-1.5707963267949001</v>
      </c>
      <c r="Z75">
        <v>0.87168028752646598</v>
      </c>
      <c r="AA75">
        <v>0</v>
      </c>
      <c r="AB75">
        <v>5.0731577375824302E-2</v>
      </c>
      <c r="AC75">
        <v>0</v>
      </c>
      <c r="AD75">
        <v>1.26775522538644E-2</v>
      </c>
      <c r="AE75">
        <v>5.0391395165973896E-3</v>
      </c>
      <c r="AF75">
        <v>0</v>
      </c>
      <c r="AG75">
        <v>0.15144312688467201</v>
      </c>
      <c r="AH75">
        <v>2.8928017002807699E-2</v>
      </c>
      <c r="AI75">
        <v>0.77077407011314003</v>
      </c>
      <c r="AJ75" t="s">
        <v>74</v>
      </c>
      <c r="AK75">
        <v>0</v>
      </c>
      <c r="AL75" t="s">
        <v>77</v>
      </c>
      <c r="AM75">
        <v>0</v>
      </c>
      <c r="AN75">
        <v>0.99199999999999999</v>
      </c>
      <c r="AO75">
        <v>0</v>
      </c>
      <c r="AP75">
        <v>5.8245346242475203E-2</v>
      </c>
      <c r="AQ75">
        <v>0</v>
      </c>
      <c r="AR75">
        <v>1.6E-2</v>
      </c>
      <c r="AS75">
        <v>0</v>
      </c>
      <c r="AT75">
        <v>0</v>
      </c>
      <c r="AU75">
        <v>0</v>
      </c>
      <c r="AV75">
        <v>0</v>
      </c>
      <c r="AW75">
        <v>1</v>
      </c>
      <c r="AX75" t="s">
        <v>74</v>
      </c>
      <c r="AY75">
        <v>0</v>
      </c>
      <c r="AZ75" t="s">
        <v>76</v>
      </c>
      <c r="BA75">
        <v>-1.5707963267949001</v>
      </c>
      <c r="BB75">
        <v>0.99199999999999999</v>
      </c>
      <c r="BC75">
        <v>0</v>
      </c>
      <c r="BD75">
        <v>5.8245346242475203E-2</v>
      </c>
      <c r="BE75">
        <v>0</v>
      </c>
      <c r="BF75">
        <v>1.6E-2</v>
      </c>
      <c r="BG75">
        <v>0</v>
      </c>
      <c r="BH75">
        <v>0</v>
      </c>
      <c r="BI75">
        <v>0</v>
      </c>
      <c r="BJ75">
        <v>0</v>
      </c>
      <c r="BK75">
        <v>1</v>
      </c>
      <c r="BL75">
        <v>1.0922435452622899E-4</v>
      </c>
      <c r="BM75" s="1">
        <v>9.0185571943739593E-5</v>
      </c>
      <c r="BN75" s="1">
        <v>4.06387552673695E-7</v>
      </c>
      <c r="BO75" s="1">
        <v>1.41663165139123E-6</v>
      </c>
      <c r="BP75">
        <v>0</v>
      </c>
      <c r="BQ75">
        <v>0</v>
      </c>
      <c r="BR75" s="1">
        <v>6.2171032539794303E-5</v>
      </c>
      <c r="BS75" s="1">
        <v>5.1639830351664399E-5</v>
      </c>
    </row>
    <row r="76" spans="1:71" x14ac:dyDescent="0.25">
      <c r="A76">
        <v>73</v>
      </c>
      <c r="B76" s="1">
        <v>3.2676263264153598E-6</v>
      </c>
      <c r="C76">
        <v>0.132440783864022</v>
      </c>
      <c r="D76">
        <v>-4.9028387720581102E-4</v>
      </c>
      <c r="E76">
        <v>6.1312499999999995E-4</v>
      </c>
      <c r="F76">
        <v>-1.3244078386402201E-3</v>
      </c>
      <c r="G76" s="1">
        <v>2.1684043449710098E-19</v>
      </c>
      <c r="H76" t="s">
        <v>74</v>
      </c>
      <c r="I76">
        <v>0</v>
      </c>
      <c r="J76" t="s">
        <v>75</v>
      </c>
      <c r="K76">
        <v>3.14159265358979</v>
      </c>
      <c r="L76">
        <v>0.87077519547426396</v>
      </c>
      <c r="M76">
        <v>0</v>
      </c>
      <c r="N76">
        <v>5.1127623749755602E-2</v>
      </c>
      <c r="O76">
        <v>0</v>
      </c>
      <c r="P76">
        <v>1.6E-2</v>
      </c>
      <c r="Q76">
        <v>0</v>
      </c>
      <c r="R76">
        <v>0</v>
      </c>
      <c r="S76">
        <v>0</v>
      </c>
      <c r="T76">
        <v>0</v>
      </c>
      <c r="U76">
        <v>0.87451402194877303</v>
      </c>
      <c r="V76" t="s">
        <v>78</v>
      </c>
      <c r="W76">
        <v>3873096.9519877899</v>
      </c>
      <c r="X76" t="s">
        <v>76</v>
      </c>
      <c r="Y76">
        <v>-1.5707963267949001</v>
      </c>
      <c r="Z76">
        <v>0.86999727493714996</v>
      </c>
      <c r="AA76">
        <v>0</v>
      </c>
      <c r="AB76">
        <v>5.0632732087632498E-2</v>
      </c>
      <c r="AC76">
        <v>0</v>
      </c>
      <c r="AD76">
        <v>1.26090608476211E-2</v>
      </c>
      <c r="AE76">
        <v>5.1103408359319102E-3</v>
      </c>
      <c r="AF76">
        <v>0</v>
      </c>
      <c r="AG76">
        <v>0.153124862668538</v>
      </c>
      <c r="AH76">
        <v>2.97856301753299E-2</v>
      </c>
      <c r="AI76">
        <v>0.76765330266818299</v>
      </c>
      <c r="AJ76" t="s">
        <v>74</v>
      </c>
      <c r="AK76">
        <v>0</v>
      </c>
      <c r="AL76" t="s">
        <v>77</v>
      </c>
      <c r="AM76">
        <v>0</v>
      </c>
      <c r="AN76">
        <v>0.99199999999999999</v>
      </c>
      <c r="AO76">
        <v>0</v>
      </c>
      <c r="AP76">
        <v>5.8245346242475203E-2</v>
      </c>
      <c r="AQ76">
        <v>0</v>
      </c>
      <c r="AR76">
        <v>1.6E-2</v>
      </c>
      <c r="AS76">
        <v>0</v>
      </c>
      <c r="AT76">
        <v>0</v>
      </c>
      <c r="AU76">
        <v>0</v>
      </c>
      <c r="AV76">
        <v>0</v>
      </c>
      <c r="AW76">
        <v>1</v>
      </c>
      <c r="AX76" t="s">
        <v>74</v>
      </c>
      <c r="AY76">
        <v>0</v>
      </c>
      <c r="AZ76" t="s">
        <v>76</v>
      </c>
      <c r="BA76">
        <v>-1.5707963267949001</v>
      </c>
      <c r="BB76">
        <v>0.99199999999999999</v>
      </c>
      <c r="BC76">
        <v>0</v>
      </c>
      <c r="BD76">
        <v>5.8245346242475203E-2</v>
      </c>
      <c r="BE76">
        <v>0</v>
      </c>
      <c r="BF76">
        <v>1.6E-2</v>
      </c>
      <c r="BG76">
        <v>0</v>
      </c>
      <c r="BH76">
        <v>0</v>
      </c>
      <c r="BI76">
        <v>0</v>
      </c>
      <c r="BJ76">
        <v>0</v>
      </c>
      <c r="BK76">
        <v>1</v>
      </c>
      <c r="BL76">
        <v>1.09125524161169E-4</v>
      </c>
      <c r="BM76" s="1">
        <v>9.1455246421934207E-5</v>
      </c>
      <c r="BN76" s="1">
        <v>4.0601857980678E-7</v>
      </c>
      <c r="BO76" s="1">
        <v>1.4365756514569601E-6</v>
      </c>
      <c r="BP76">
        <v>0</v>
      </c>
      <c r="BQ76">
        <v>0</v>
      </c>
      <c r="BR76" s="1">
        <v>6.2108403752366198E-5</v>
      </c>
      <c r="BS76" s="1">
        <v>5.2367003855659202E-5</v>
      </c>
    </row>
    <row r="77" spans="1:71" x14ac:dyDescent="0.25">
      <c r="A77">
        <v>74</v>
      </c>
      <c r="B77" s="1">
        <v>3.2324841943185501E-6</v>
      </c>
      <c r="C77">
        <v>0.13244401634821701</v>
      </c>
      <c r="D77">
        <v>-4.9029836828897702E-4</v>
      </c>
      <c r="E77">
        <v>6.1312499999999995E-4</v>
      </c>
      <c r="F77">
        <v>-1.3244401634821699E-3</v>
      </c>
      <c r="G77" s="1">
        <v>1.0842021724855E-19</v>
      </c>
      <c r="H77" t="s">
        <v>74</v>
      </c>
      <c r="I77">
        <v>0</v>
      </c>
      <c r="J77" t="s">
        <v>75</v>
      </c>
      <c r="K77">
        <v>3.14159265358979</v>
      </c>
      <c r="L77">
        <v>0.86909225312189897</v>
      </c>
      <c r="M77">
        <v>0</v>
      </c>
      <c r="N77">
        <v>5.1028809677155201E-2</v>
      </c>
      <c r="O77">
        <v>0</v>
      </c>
      <c r="P77">
        <v>1.6E-2</v>
      </c>
      <c r="Q77">
        <v>0</v>
      </c>
      <c r="R77">
        <v>0</v>
      </c>
      <c r="S77">
        <v>0</v>
      </c>
      <c r="T77">
        <v>0</v>
      </c>
      <c r="U77">
        <v>0.87265165938298705</v>
      </c>
      <c r="V77" t="s">
        <v>78</v>
      </c>
      <c r="W77">
        <v>3873222.0030016298</v>
      </c>
      <c r="X77" t="s">
        <v>76</v>
      </c>
      <c r="Y77">
        <v>-1.5707963267949001</v>
      </c>
      <c r="Z77">
        <v>0.86831430816155297</v>
      </c>
      <c r="AA77">
        <v>0</v>
      </c>
      <c r="AB77">
        <v>5.0533902477649502E-2</v>
      </c>
      <c r="AC77">
        <v>0</v>
      </c>
      <c r="AD77">
        <v>1.254056378581E-2</v>
      </c>
      <c r="AE77">
        <v>5.1815079121789002E-3</v>
      </c>
      <c r="AF77">
        <v>0</v>
      </c>
      <c r="AG77">
        <v>0.15479282768920599</v>
      </c>
      <c r="AH77">
        <v>3.0656978922197702E-2</v>
      </c>
      <c r="AI77">
        <v>0.76453534916806698</v>
      </c>
      <c r="AJ77" t="s">
        <v>74</v>
      </c>
      <c r="AK77">
        <v>0</v>
      </c>
      <c r="AL77" t="s">
        <v>77</v>
      </c>
      <c r="AM77">
        <v>0</v>
      </c>
      <c r="AN77">
        <v>0.99199999999999999</v>
      </c>
      <c r="AO77">
        <v>0</v>
      </c>
      <c r="AP77">
        <v>5.8245346242475203E-2</v>
      </c>
      <c r="AQ77">
        <v>0</v>
      </c>
      <c r="AR77">
        <v>1.6E-2</v>
      </c>
      <c r="AS77">
        <v>0</v>
      </c>
      <c r="AT77">
        <v>0</v>
      </c>
      <c r="AU77">
        <v>0</v>
      </c>
      <c r="AV77">
        <v>0</v>
      </c>
      <c r="AW77">
        <v>1</v>
      </c>
      <c r="AX77" t="s">
        <v>74</v>
      </c>
      <c r="AY77">
        <v>0</v>
      </c>
      <c r="AZ77" t="s">
        <v>76</v>
      </c>
      <c r="BA77">
        <v>-1.5707963267949001</v>
      </c>
      <c r="BB77">
        <v>0.99199999999999999</v>
      </c>
      <c r="BC77">
        <v>0</v>
      </c>
      <c r="BD77">
        <v>5.8245346242475203E-2</v>
      </c>
      <c r="BE77">
        <v>0</v>
      </c>
      <c r="BF77">
        <v>1.6E-2</v>
      </c>
      <c r="BG77">
        <v>0</v>
      </c>
      <c r="BH77">
        <v>0</v>
      </c>
      <c r="BI77">
        <v>0</v>
      </c>
      <c r="BJ77">
        <v>0</v>
      </c>
      <c r="BK77">
        <v>1</v>
      </c>
      <c r="BL77">
        <v>1.09026702319878E-4</v>
      </c>
      <c r="BM77" s="1">
        <v>9.2724903305701806E-5</v>
      </c>
      <c r="BN77" s="1">
        <v>4.0564967644098401E-7</v>
      </c>
      <c r="BO77" s="1">
        <v>1.4565193751500801E-6</v>
      </c>
      <c r="BP77">
        <v>0</v>
      </c>
      <c r="BQ77">
        <v>0</v>
      </c>
      <c r="BR77" s="1">
        <v>6.2045777000810595E-5</v>
      </c>
      <c r="BS77" s="1">
        <v>5.3094170048375402E-5</v>
      </c>
    </row>
    <row r="78" spans="1:71" x14ac:dyDescent="0.25">
      <c r="A78">
        <v>75</v>
      </c>
      <c r="B78" s="1">
        <v>3.19837122770536E-6</v>
      </c>
      <c r="C78">
        <v>0.13244721471944401</v>
      </c>
      <c r="D78">
        <v>-4.9031270621348799E-4</v>
      </c>
      <c r="E78">
        <v>6.1312499999999995E-4</v>
      </c>
      <c r="F78">
        <v>-1.3244721471944399E-3</v>
      </c>
      <c r="G78" s="1">
        <v>2.1684043449710098E-19</v>
      </c>
      <c r="H78" t="s">
        <v>74</v>
      </c>
      <c r="I78">
        <v>0</v>
      </c>
      <c r="J78" t="s">
        <v>75</v>
      </c>
      <c r="K78">
        <v>3.14159265358979</v>
      </c>
      <c r="L78">
        <v>0.86740933433099798</v>
      </c>
      <c r="M78">
        <v>0</v>
      </c>
      <c r="N78">
        <v>5.0929996987967602E-2</v>
      </c>
      <c r="O78">
        <v>0</v>
      </c>
      <c r="P78">
        <v>1.6E-2</v>
      </c>
      <c r="Q78">
        <v>0</v>
      </c>
      <c r="R78">
        <v>0</v>
      </c>
      <c r="S78">
        <v>0</v>
      </c>
      <c r="T78">
        <v>0</v>
      </c>
      <c r="U78">
        <v>0.87078560292616503</v>
      </c>
      <c r="V78" t="s">
        <v>78</v>
      </c>
      <c r="W78">
        <v>3873345.7323306398</v>
      </c>
      <c r="X78" t="s">
        <v>76</v>
      </c>
      <c r="Y78">
        <v>-1.5707963267949001</v>
      </c>
      <c r="Z78">
        <v>0.86663138685785102</v>
      </c>
      <c r="AA78">
        <v>0</v>
      </c>
      <c r="AB78">
        <v>5.0435088189892799E-2</v>
      </c>
      <c r="AC78">
        <v>0</v>
      </c>
      <c r="AD78">
        <v>1.24720624111819E-2</v>
      </c>
      <c r="AE78">
        <v>5.2526404941970499E-3</v>
      </c>
      <c r="AF78">
        <v>0</v>
      </c>
      <c r="AG78">
        <v>0.156446961571203</v>
      </c>
      <c r="AH78">
        <v>3.1542123256933903E-2</v>
      </c>
      <c r="AI78">
        <v>0.76142023621577604</v>
      </c>
      <c r="AJ78" t="s">
        <v>74</v>
      </c>
      <c r="AK78">
        <v>0</v>
      </c>
      <c r="AL78" t="s">
        <v>77</v>
      </c>
      <c r="AM78">
        <v>0</v>
      </c>
      <c r="AN78">
        <v>0.99199999999999999</v>
      </c>
      <c r="AO78">
        <v>0</v>
      </c>
      <c r="AP78">
        <v>5.8245346242475203E-2</v>
      </c>
      <c r="AQ78">
        <v>0</v>
      </c>
      <c r="AR78">
        <v>1.6E-2</v>
      </c>
      <c r="AS78">
        <v>0</v>
      </c>
      <c r="AT78">
        <v>0</v>
      </c>
      <c r="AU78">
        <v>0</v>
      </c>
      <c r="AV78">
        <v>0</v>
      </c>
      <c r="AW78">
        <v>1</v>
      </c>
      <c r="AX78" t="s">
        <v>74</v>
      </c>
      <c r="AY78">
        <v>0</v>
      </c>
      <c r="AZ78" t="s">
        <v>76</v>
      </c>
      <c r="BA78">
        <v>-1.5707963267949001</v>
      </c>
      <c r="BB78">
        <v>0.99199999999999999</v>
      </c>
      <c r="BC78">
        <v>0</v>
      </c>
      <c r="BD78">
        <v>5.8245346242475203E-2</v>
      </c>
      <c r="BE78">
        <v>0</v>
      </c>
      <c r="BF78">
        <v>1.6E-2</v>
      </c>
      <c r="BG78">
        <v>0</v>
      </c>
      <c r="BH78">
        <v>0</v>
      </c>
      <c r="BI78">
        <v>0</v>
      </c>
      <c r="BJ78">
        <v>0</v>
      </c>
      <c r="BK78">
        <v>1</v>
      </c>
      <c r="BL78">
        <v>1.08927888831405E-4</v>
      </c>
      <c r="BM78" s="1">
        <v>9.3994542414068395E-5</v>
      </c>
      <c r="BN78" s="1">
        <v>4.0528084096357501E-7</v>
      </c>
      <c r="BO78" s="1">
        <v>1.4764628196278601E-6</v>
      </c>
      <c r="BP78">
        <v>0</v>
      </c>
      <c r="BQ78">
        <v>0</v>
      </c>
      <c r="BR78" s="1">
        <v>6.1983152264477698E-5</v>
      </c>
      <c r="BS78" s="1">
        <v>5.38213288057248E-5</v>
      </c>
    </row>
    <row r="79" spans="1:71" x14ac:dyDescent="0.25">
      <c r="A79">
        <v>76</v>
      </c>
      <c r="B79" s="1">
        <v>3.1652474253039601E-6</v>
      </c>
      <c r="C79">
        <v>0.13245037996687001</v>
      </c>
      <c r="D79">
        <v>-4.90326895420949E-4</v>
      </c>
      <c r="E79">
        <v>6.1312499999999995E-4</v>
      </c>
      <c r="F79">
        <v>-1.3245037996687001E-3</v>
      </c>
      <c r="G79" s="1">
        <v>1.0842021724855E-19</v>
      </c>
      <c r="H79" t="s">
        <v>74</v>
      </c>
      <c r="I79">
        <v>0</v>
      </c>
      <c r="J79" t="s">
        <v>75</v>
      </c>
      <c r="K79">
        <v>3.14159265358979</v>
      </c>
      <c r="L79">
        <v>0.86572643934502402</v>
      </c>
      <c r="M79">
        <v>0</v>
      </c>
      <c r="N79">
        <v>5.0831185696488E-2</v>
      </c>
      <c r="O79">
        <v>0</v>
      </c>
      <c r="P79">
        <v>1.6E-2</v>
      </c>
      <c r="Q79">
        <v>0</v>
      </c>
      <c r="R79">
        <v>0</v>
      </c>
      <c r="S79">
        <v>0</v>
      </c>
      <c r="T79">
        <v>0</v>
      </c>
      <c r="U79">
        <v>0.86891586652936104</v>
      </c>
      <c r="V79" t="s">
        <v>78</v>
      </c>
      <c r="W79">
        <v>3873468.1783036701</v>
      </c>
      <c r="X79" t="s">
        <v>76</v>
      </c>
      <c r="Y79">
        <v>-1.5707963267949001</v>
      </c>
      <c r="Z79">
        <v>0.86494851071045398</v>
      </c>
      <c r="AA79">
        <v>0</v>
      </c>
      <c r="AB79">
        <v>5.0336288883003601E-2</v>
      </c>
      <c r="AC79">
        <v>0</v>
      </c>
      <c r="AD79">
        <v>1.24035580216286E-2</v>
      </c>
      <c r="AE79">
        <v>5.3237383322241299E-3</v>
      </c>
      <c r="AF79">
        <v>0</v>
      </c>
      <c r="AG79">
        <v>0.15808720333614401</v>
      </c>
      <c r="AH79">
        <v>3.2441123790573997E-2</v>
      </c>
      <c r="AI79">
        <v>0.758307989771001</v>
      </c>
      <c r="AJ79" t="s">
        <v>74</v>
      </c>
      <c r="AK79">
        <v>0</v>
      </c>
      <c r="AL79" t="s">
        <v>77</v>
      </c>
      <c r="AM79">
        <v>0</v>
      </c>
      <c r="AN79">
        <v>0.99199999999999999</v>
      </c>
      <c r="AO79">
        <v>0</v>
      </c>
      <c r="AP79">
        <v>5.8245346242475203E-2</v>
      </c>
      <c r="AQ79">
        <v>0</v>
      </c>
      <c r="AR79">
        <v>1.6E-2</v>
      </c>
      <c r="AS79">
        <v>0</v>
      </c>
      <c r="AT79">
        <v>0</v>
      </c>
      <c r="AU79">
        <v>0</v>
      </c>
      <c r="AV79">
        <v>0</v>
      </c>
      <c r="AW79">
        <v>1</v>
      </c>
      <c r="AX79" t="s">
        <v>74</v>
      </c>
      <c r="AY79">
        <v>0</v>
      </c>
      <c r="AZ79" t="s">
        <v>76</v>
      </c>
      <c r="BA79">
        <v>-1.5707963267949001</v>
      </c>
      <c r="BB79">
        <v>0.99199999999999999</v>
      </c>
      <c r="BC79">
        <v>0</v>
      </c>
      <c r="BD79">
        <v>5.8245346242475203E-2</v>
      </c>
      <c r="BE79">
        <v>0</v>
      </c>
      <c r="BF79">
        <v>1.6E-2</v>
      </c>
      <c r="BG79">
        <v>0</v>
      </c>
      <c r="BH79">
        <v>0</v>
      </c>
      <c r="BI79">
        <v>0</v>
      </c>
      <c r="BJ79">
        <v>0</v>
      </c>
      <c r="BK79">
        <v>1</v>
      </c>
      <c r="BL79">
        <v>1.08829083532221E-4</v>
      </c>
      <c r="BM79" s="1">
        <v>9.5264163563359107E-5</v>
      </c>
      <c r="BN79" s="1">
        <v>4.0491207182746901E-7</v>
      </c>
      <c r="BO79" s="1">
        <v>1.4964059820051299E-6</v>
      </c>
      <c r="BP79">
        <v>0</v>
      </c>
      <c r="BQ79">
        <v>0</v>
      </c>
      <c r="BR79" s="1">
        <v>6.1920529524013494E-5</v>
      </c>
      <c r="BS79" s="1">
        <v>5.45484800028503E-5</v>
      </c>
    </row>
    <row r="80" spans="1:71" x14ac:dyDescent="0.25">
      <c r="A80">
        <v>77</v>
      </c>
      <c r="B80" s="1">
        <v>3.133074910616E-6</v>
      </c>
      <c r="C80">
        <v>0.13245351304177999</v>
      </c>
      <c r="D80">
        <v>-4.9034094018281205E-4</v>
      </c>
      <c r="E80">
        <v>6.1312499999999995E-4</v>
      </c>
      <c r="F80">
        <v>-1.3245351304178E-3</v>
      </c>
      <c r="G80" s="1">
        <v>1.0842021724855E-19</v>
      </c>
      <c r="H80" t="s">
        <v>74</v>
      </c>
      <c r="I80">
        <v>0</v>
      </c>
      <c r="J80" t="s">
        <v>75</v>
      </c>
      <c r="K80">
        <v>3.14159265358979</v>
      </c>
      <c r="L80">
        <v>0.86404356841103802</v>
      </c>
      <c r="M80">
        <v>0</v>
      </c>
      <c r="N80">
        <v>5.0732375817222501E-2</v>
      </c>
      <c r="O80">
        <v>0</v>
      </c>
      <c r="P80">
        <v>1.6E-2</v>
      </c>
      <c r="Q80">
        <v>0</v>
      </c>
      <c r="R80">
        <v>0</v>
      </c>
      <c r="S80">
        <v>0</v>
      </c>
      <c r="T80">
        <v>0</v>
      </c>
      <c r="U80">
        <v>0.86704246349131597</v>
      </c>
      <c r="V80" t="s">
        <v>78</v>
      </c>
      <c r="W80">
        <v>3873589.3777813101</v>
      </c>
      <c r="X80" t="s">
        <v>76</v>
      </c>
      <c r="Y80">
        <v>-1.5707963267949001</v>
      </c>
      <c r="Z80">
        <v>0.86326567942883803</v>
      </c>
      <c r="AA80">
        <v>0</v>
      </c>
      <c r="AB80">
        <v>5.0237504229490602E-2</v>
      </c>
      <c r="AC80">
        <v>0</v>
      </c>
      <c r="AD80">
        <v>1.23350518725883E-2</v>
      </c>
      <c r="AE80">
        <v>5.3948011777708096E-3</v>
      </c>
      <c r="AF80">
        <v>0</v>
      </c>
      <c r="AG80">
        <v>0.15971349139379501</v>
      </c>
      <c r="AH80">
        <v>3.3354041740572403E-2</v>
      </c>
      <c r="AI80">
        <v>0.75519863518702801</v>
      </c>
      <c r="AJ80" t="s">
        <v>74</v>
      </c>
      <c r="AK80">
        <v>0</v>
      </c>
      <c r="AL80" t="s">
        <v>77</v>
      </c>
      <c r="AM80">
        <v>0</v>
      </c>
      <c r="AN80">
        <v>0.99199999999999999</v>
      </c>
      <c r="AO80">
        <v>0</v>
      </c>
      <c r="AP80">
        <v>5.8245346242475203E-2</v>
      </c>
      <c r="AQ80">
        <v>0</v>
      </c>
      <c r="AR80">
        <v>1.6E-2</v>
      </c>
      <c r="AS80">
        <v>0</v>
      </c>
      <c r="AT80">
        <v>0</v>
      </c>
      <c r="AU80">
        <v>0</v>
      </c>
      <c r="AV80">
        <v>0</v>
      </c>
      <c r="AW80">
        <v>1</v>
      </c>
      <c r="AX80" t="s">
        <v>74</v>
      </c>
      <c r="AY80">
        <v>0</v>
      </c>
      <c r="AZ80" t="s">
        <v>76</v>
      </c>
      <c r="BA80">
        <v>-1.5707963267949001</v>
      </c>
      <c r="BB80">
        <v>0.99199999999999999</v>
      </c>
      <c r="BC80">
        <v>0</v>
      </c>
      <c r="BD80">
        <v>5.8245346242475203E-2</v>
      </c>
      <c r="BE80">
        <v>0</v>
      </c>
      <c r="BF80">
        <v>1.6E-2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1.08730286265832E-4</v>
      </c>
      <c r="BM80" s="1">
        <v>9.6533766567183894E-5</v>
      </c>
      <c r="BN80" s="1">
        <v>4.0454336754782399E-7</v>
      </c>
      <c r="BO80" s="1">
        <v>1.5163488593540899E-6</v>
      </c>
      <c r="BP80">
        <v>0</v>
      </c>
      <c r="BQ80">
        <v>0</v>
      </c>
      <c r="BR80" s="1">
        <v>6.1857908761298798E-5</v>
      </c>
      <c r="BS80" s="1">
        <v>5.5275623514090797E-5</v>
      </c>
    </row>
    <row r="81" spans="1:71" x14ac:dyDescent="0.25">
      <c r="A81">
        <v>78</v>
      </c>
      <c r="B81" s="1">
        <v>3.1018177945402398E-6</v>
      </c>
      <c r="C81">
        <v>0.13245661485957499</v>
      </c>
      <c r="D81">
        <v>-4.9035484460931199E-4</v>
      </c>
      <c r="E81">
        <v>6.1312499999999995E-4</v>
      </c>
      <c r="F81">
        <v>-1.32456614859575E-3</v>
      </c>
      <c r="G81" s="1">
        <v>1.0842021724855E-19</v>
      </c>
      <c r="H81" t="s">
        <v>74</v>
      </c>
      <c r="I81">
        <v>0</v>
      </c>
      <c r="J81" t="s">
        <v>75</v>
      </c>
      <c r="K81">
        <v>3.14159265358979</v>
      </c>
      <c r="L81">
        <v>0.86236072177981005</v>
      </c>
      <c r="M81">
        <v>0</v>
      </c>
      <c r="N81">
        <v>5.0633567364895E-2</v>
      </c>
      <c r="O81">
        <v>0</v>
      </c>
      <c r="P81">
        <v>1.6E-2</v>
      </c>
      <c r="Q81">
        <v>0</v>
      </c>
      <c r="R81">
        <v>0</v>
      </c>
      <c r="S81">
        <v>0</v>
      </c>
      <c r="T81">
        <v>0</v>
      </c>
      <c r="U81">
        <v>0.86516540649302998</v>
      </c>
      <c r="V81" t="s">
        <v>78</v>
      </c>
      <c r="W81">
        <v>3873709.3662328999</v>
      </c>
      <c r="X81" t="s">
        <v>76</v>
      </c>
      <c r="Y81">
        <v>-1.5707963267949001</v>
      </c>
      <c r="Z81">
        <v>0.86158289274653699</v>
      </c>
      <c r="AA81">
        <v>0</v>
      </c>
      <c r="AB81">
        <v>5.0138733915028703E-2</v>
      </c>
      <c r="AC81">
        <v>0</v>
      </c>
      <c r="AD81">
        <v>1.2266545179299799E-2</v>
      </c>
      <c r="AE81">
        <v>5.46582878351589E-3</v>
      </c>
      <c r="AF81">
        <v>0</v>
      </c>
      <c r="AG81">
        <v>0.161325763532848</v>
      </c>
      <c r="AH81">
        <v>3.4280938939864801E-2</v>
      </c>
      <c r="AI81">
        <v>0.75209219724543697</v>
      </c>
      <c r="AJ81" t="s">
        <v>74</v>
      </c>
      <c r="AK81">
        <v>0</v>
      </c>
      <c r="AL81" t="s">
        <v>77</v>
      </c>
      <c r="AM81">
        <v>0</v>
      </c>
      <c r="AN81">
        <v>0.99199999999999999</v>
      </c>
      <c r="AO81">
        <v>0</v>
      </c>
      <c r="AP81">
        <v>5.8245346242475203E-2</v>
      </c>
      <c r="AQ81">
        <v>0</v>
      </c>
      <c r="AR81">
        <v>1.6E-2</v>
      </c>
      <c r="AS81">
        <v>0</v>
      </c>
      <c r="AT81">
        <v>0</v>
      </c>
      <c r="AU81">
        <v>0</v>
      </c>
      <c r="AV81">
        <v>0</v>
      </c>
      <c r="AW81">
        <v>1</v>
      </c>
      <c r="AX81" t="s">
        <v>74</v>
      </c>
      <c r="AY81">
        <v>0</v>
      </c>
      <c r="AZ81" t="s">
        <v>76</v>
      </c>
      <c r="BA81">
        <v>-1.5707963267949001</v>
      </c>
      <c r="BB81">
        <v>0.99199999999999999</v>
      </c>
      <c r="BC81">
        <v>0</v>
      </c>
      <c r="BD81">
        <v>5.8245346242475203E-2</v>
      </c>
      <c r="BE81">
        <v>0</v>
      </c>
      <c r="BF81">
        <v>1.6E-2</v>
      </c>
      <c r="BG81">
        <v>0</v>
      </c>
      <c r="BH81">
        <v>0</v>
      </c>
      <c r="BI81">
        <v>0</v>
      </c>
      <c r="BJ81">
        <v>0</v>
      </c>
      <c r="BK81">
        <v>1</v>
      </c>
      <c r="BL81">
        <v>1.0863149688243699E-4</v>
      </c>
      <c r="BM81" s="1">
        <v>9.7803351236356404E-5</v>
      </c>
      <c r="BN81" s="1">
        <v>4.0417472669887697E-7</v>
      </c>
      <c r="BO81" s="1">
        <v>1.536291448703E-6</v>
      </c>
      <c r="BP81">
        <v>0</v>
      </c>
      <c r="BQ81">
        <v>0</v>
      </c>
      <c r="BR81" s="1">
        <v>6.1795289959395701E-5</v>
      </c>
      <c r="BS81" s="1">
        <v>5.60027592129093E-5</v>
      </c>
    </row>
    <row r="82" spans="1:71" x14ac:dyDescent="0.25">
      <c r="A82">
        <v>79</v>
      </c>
      <c r="B82" s="1">
        <v>3.0714420485851299E-6</v>
      </c>
      <c r="C82">
        <v>0.132459686301623</v>
      </c>
      <c r="D82">
        <v>-4.9036861265782598E-4</v>
      </c>
      <c r="E82">
        <v>6.1312499999999995E-4</v>
      </c>
      <c r="F82">
        <v>-1.32459686301623E-3</v>
      </c>
      <c r="G82" s="1">
        <v>2.1684043449710098E-19</v>
      </c>
      <c r="H82" t="s">
        <v>74</v>
      </c>
      <c r="I82">
        <v>0</v>
      </c>
      <c r="J82" t="s">
        <v>75</v>
      </c>
      <c r="K82">
        <v>3.14159265358979</v>
      </c>
      <c r="L82">
        <v>0.86067789970588604</v>
      </c>
      <c r="M82">
        <v>0</v>
      </c>
      <c r="N82">
        <v>5.05347603544513E-2</v>
      </c>
      <c r="O82">
        <v>0</v>
      </c>
      <c r="P82">
        <v>1.6E-2</v>
      </c>
      <c r="Q82">
        <v>0</v>
      </c>
      <c r="R82">
        <v>0</v>
      </c>
      <c r="S82">
        <v>0</v>
      </c>
      <c r="T82">
        <v>0</v>
      </c>
      <c r="U82">
        <v>0.86328470763010201</v>
      </c>
      <c r="V82" t="s">
        <v>78</v>
      </c>
      <c r="W82">
        <v>3873828.1778086498</v>
      </c>
      <c r="X82" t="s">
        <v>76</v>
      </c>
      <c r="Y82">
        <v>-1.5707963267949001</v>
      </c>
      <c r="Z82">
        <v>0.85990015042017998</v>
      </c>
      <c r="AA82">
        <v>0</v>
      </c>
      <c r="AB82">
        <v>5.00399776378E-2</v>
      </c>
      <c r="AC82">
        <v>0</v>
      </c>
      <c r="AD82">
        <v>1.2198039118912599E-2</v>
      </c>
      <c r="AE82">
        <v>5.5368209032077096E-3</v>
      </c>
      <c r="AF82">
        <v>0</v>
      </c>
      <c r="AG82">
        <v>0.16292395691151901</v>
      </c>
      <c r="AH82">
        <v>3.5221877846158302E-2</v>
      </c>
      <c r="AI82">
        <v>0.74898870018852504</v>
      </c>
      <c r="AJ82" t="s">
        <v>74</v>
      </c>
      <c r="AK82">
        <v>0</v>
      </c>
      <c r="AL82" t="s">
        <v>77</v>
      </c>
      <c r="AM82">
        <v>0</v>
      </c>
      <c r="AN82">
        <v>0.99199999999999999</v>
      </c>
      <c r="AO82">
        <v>0</v>
      </c>
      <c r="AP82">
        <v>5.8245346242475203E-2</v>
      </c>
      <c r="AQ82">
        <v>0</v>
      </c>
      <c r="AR82">
        <v>1.6E-2</v>
      </c>
      <c r="AS82">
        <v>0</v>
      </c>
      <c r="AT82">
        <v>0</v>
      </c>
      <c r="AU82">
        <v>0</v>
      </c>
      <c r="AV82">
        <v>0</v>
      </c>
      <c r="AW82">
        <v>1</v>
      </c>
      <c r="AX82" t="s">
        <v>74</v>
      </c>
      <c r="AY82">
        <v>0</v>
      </c>
      <c r="AZ82" t="s">
        <v>76</v>
      </c>
      <c r="BA82">
        <v>-1.5707963267949001</v>
      </c>
      <c r="BB82">
        <v>0.99199999999999999</v>
      </c>
      <c r="BC82">
        <v>0</v>
      </c>
      <c r="BD82">
        <v>5.8245346242475203E-2</v>
      </c>
      <c r="BE82">
        <v>0</v>
      </c>
      <c r="BF82">
        <v>1.6E-2</v>
      </c>
      <c r="BG82">
        <v>0</v>
      </c>
      <c r="BH82">
        <v>0</v>
      </c>
      <c r="BI82">
        <v>0</v>
      </c>
      <c r="BJ82">
        <v>0</v>
      </c>
      <c r="BK82">
        <v>1</v>
      </c>
      <c r="BL82">
        <v>1.08532715238601E-4</v>
      </c>
      <c r="BM82" s="1">
        <v>9.9072917378838804E-5</v>
      </c>
      <c r="BN82" s="1">
        <v>4.0380614791097802E-7</v>
      </c>
      <c r="BO82" s="1">
        <v>1.5562337470353401E-6</v>
      </c>
      <c r="BP82">
        <v>0</v>
      </c>
      <c r="BQ82">
        <v>0</v>
      </c>
      <c r="BR82" s="1">
        <v>6.1732673102496495E-5</v>
      </c>
      <c r="BS82" s="1">
        <v>5.6729886971837399E-5</v>
      </c>
    </row>
    <row r="83" spans="1:71" x14ac:dyDescent="0.25">
      <c r="A83">
        <v>80</v>
      </c>
      <c r="B83" s="1">
        <v>3.0419153877339999E-6</v>
      </c>
      <c r="C83">
        <v>0.13246272821701099</v>
      </c>
      <c r="D83">
        <v>-4.9038224814069997E-4</v>
      </c>
      <c r="E83">
        <v>6.1312499999999995E-4</v>
      </c>
      <c r="F83">
        <v>-1.3246272821701101E-3</v>
      </c>
      <c r="G83" s="1">
        <v>1.0842021724855E-19</v>
      </c>
      <c r="H83" t="s">
        <v>74</v>
      </c>
      <c r="I83">
        <v>0</v>
      </c>
      <c r="J83" t="s">
        <v>75</v>
      </c>
      <c r="K83">
        <v>3.14159265358979</v>
      </c>
      <c r="L83">
        <v>0.85899510244767696</v>
      </c>
      <c r="M83">
        <v>0</v>
      </c>
      <c r="N83">
        <v>5.0435954801063901E-2</v>
      </c>
      <c r="O83">
        <v>0</v>
      </c>
      <c r="P83">
        <v>1.6E-2</v>
      </c>
      <c r="Q83">
        <v>0</v>
      </c>
      <c r="R83">
        <v>0</v>
      </c>
      <c r="S83">
        <v>0</v>
      </c>
      <c r="T83">
        <v>0</v>
      </c>
      <c r="U83">
        <v>0.86140037844306505</v>
      </c>
      <c r="V83" t="s">
        <v>78</v>
      </c>
      <c r="W83">
        <v>3873945.8454072801</v>
      </c>
      <c r="X83" t="s">
        <v>76</v>
      </c>
      <c r="Y83">
        <v>-1.5707963267949001</v>
      </c>
      <c r="Z83">
        <v>0.85821745222858903</v>
      </c>
      <c r="AA83">
        <v>0</v>
      </c>
      <c r="AB83">
        <v>4.9941235107877797E-2</v>
      </c>
      <c r="AC83">
        <v>0</v>
      </c>
      <c r="AD83">
        <v>1.21295348324646E-2</v>
      </c>
      <c r="AE83">
        <v>5.6077772915697401E-3</v>
      </c>
      <c r="AF83">
        <v>0</v>
      </c>
      <c r="AG83">
        <v>0.164508008047932</v>
      </c>
      <c r="AH83">
        <v>3.6176921551429798E-2</v>
      </c>
      <c r="AI83">
        <v>0.74588816774973599</v>
      </c>
      <c r="AJ83" t="s">
        <v>74</v>
      </c>
      <c r="AK83">
        <v>0</v>
      </c>
      <c r="AL83" t="s">
        <v>77</v>
      </c>
      <c r="AM83">
        <v>0</v>
      </c>
      <c r="AN83">
        <v>0.99199999999999999</v>
      </c>
      <c r="AO83">
        <v>0</v>
      </c>
      <c r="AP83">
        <v>5.8245346242475203E-2</v>
      </c>
      <c r="AQ83">
        <v>0</v>
      </c>
      <c r="AR83">
        <v>1.6E-2</v>
      </c>
      <c r="AS83">
        <v>0</v>
      </c>
      <c r="AT83">
        <v>0</v>
      </c>
      <c r="AU83">
        <v>0</v>
      </c>
      <c r="AV83">
        <v>0</v>
      </c>
      <c r="AW83">
        <v>1</v>
      </c>
      <c r="AX83" t="s">
        <v>74</v>
      </c>
      <c r="AY83">
        <v>0</v>
      </c>
      <c r="AZ83" t="s">
        <v>76</v>
      </c>
      <c r="BA83">
        <v>-1.5707963267949001</v>
      </c>
      <c r="BB83">
        <v>0.99199999999999999</v>
      </c>
      <c r="BC83">
        <v>0</v>
      </c>
      <c r="BD83">
        <v>5.8245346242475203E-2</v>
      </c>
      <c r="BE83">
        <v>0</v>
      </c>
      <c r="BF83">
        <v>1.6E-2</v>
      </c>
      <c r="BG83">
        <v>0</v>
      </c>
      <c r="BH83">
        <v>0</v>
      </c>
      <c r="BI83">
        <v>0</v>
      </c>
      <c r="BJ83">
        <v>0</v>
      </c>
      <c r="BK83">
        <v>1</v>
      </c>
      <c r="BL83">
        <v>1.0843394119694601E-4</v>
      </c>
      <c r="BM83">
        <v>1.00342464799681E-4</v>
      </c>
      <c r="BN83" s="1">
        <v>4.03437629867815E-7</v>
      </c>
      <c r="BO83" s="1">
        <v>1.5761757512888499E-6</v>
      </c>
      <c r="BP83">
        <v>0</v>
      </c>
      <c r="BQ83">
        <v>0</v>
      </c>
      <c r="BR83" s="1">
        <v>6.1670058175876494E-5</v>
      </c>
      <c r="BS83" s="1">
        <v>5.7457006662417799E-5</v>
      </c>
    </row>
    <row r="84" spans="1:71" x14ac:dyDescent="0.25">
      <c r="A84">
        <v>81</v>
      </c>
      <c r="B84" s="1">
        <v>3.0132071620985198E-6</v>
      </c>
      <c r="C84">
        <v>0.132465741424173</v>
      </c>
      <c r="D84">
        <v>-4.9039575473260304E-4</v>
      </c>
      <c r="E84">
        <v>6.1312499999999995E-4</v>
      </c>
      <c r="F84">
        <v>-1.32465741424173E-3</v>
      </c>
      <c r="G84" s="1">
        <v>2.1684043449710098E-19</v>
      </c>
      <c r="H84" t="s">
        <v>74</v>
      </c>
      <c r="I84">
        <v>0</v>
      </c>
      <c r="J84" t="s">
        <v>75</v>
      </c>
      <c r="K84">
        <v>3.14159265358979</v>
      </c>
      <c r="L84">
        <v>0.85731233026755904</v>
      </c>
      <c r="M84">
        <v>0</v>
      </c>
      <c r="N84">
        <v>5.0337150720138397E-2</v>
      </c>
      <c r="O84">
        <v>0</v>
      </c>
      <c r="P84">
        <v>1.6E-2</v>
      </c>
      <c r="Q84">
        <v>0</v>
      </c>
      <c r="R84">
        <v>0</v>
      </c>
      <c r="S84">
        <v>0</v>
      </c>
      <c r="T84">
        <v>0</v>
      </c>
      <c r="U84">
        <v>0.863543453985543</v>
      </c>
      <c r="V84" t="s">
        <v>78</v>
      </c>
      <c r="W84">
        <v>3874062.4007394002</v>
      </c>
      <c r="X84" t="s">
        <v>76</v>
      </c>
      <c r="Y84">
        <v>-1.5707963267949001</v>
      </c>
      <c r="Z84">
        <v>0.85653479797197596</v>
      </c>
      <c r="AA84">
        <v>0</v>
      </c>
      <c r="AB84">
        <v>4.9842506046650498E-2</v>
      </c>
      <c r="AC84">
        <v>0</v>
      </c>
      <c r="AD84">
        <v>1.20610334267395E-2</v>
      </c>
      <c r="AE84">
        <v>5.6786977042090998E-3</v>
      </c>
      <c r="AF84">
        <v>0</v>
      </c>
      <c r="AG84">
        <v>0.16607785281024701</v>
      </c>
      <c r="AH84">
        <v>3.7146133791626602E-2</v>
      </c>
      <c r="AI84">
        <v>0.74279062318226696</v>
      </c>
      <c r="AJ84" t="s">
        <v>74</v>
      </c>
      <c r="AK84">
        <v>0</v>
      </c>
      <c r="AL84" t="s">
        <v>77</v>
      </c>
      <c r="AM84">
        <v>0</v>
      </c>
      <c r="AN84">
        <v>0.99199999999999999</v>
      </c>
      <c r="AO84">
        <v>0</v>
      </c>
      <c r="AP84">
        <v>5.8245346242475203E-2</v>
      </c>
      <c r="AQ84">
        <v>0</v>
      </c>
      <c r="AR84">
        <v>1.6E-2</v>
      </c>
      <c r="AS84">
        <v>0</v>
      </c>
      <c r="AT84">
        <v>0</v>
      </c>
      <c r="AU84">
        <v>0</v>
      </c>
      <c r="AV84">
        <v>0</v>
      </c>
      <c r="AW84">
        <v>1</v>
      </c>
      <c r="AX84" t="s">
        <v>74</v>
      </c>
      <c r="AY84">
        <v>0</v>
      </c>
      <c r="AZ84" t="s">
        <v>76</v>
      </c>
      <c r="BA84">
        <v>-1.5707963267949001</v>
      </c>
      <c r="BB84">
        <v>0.99199999999999999</v>
      </c>
      <c r="BC84">
        <v>0</v>
      </c>
      <c r="BD84">
        <v>5.8245346242475203E-2</v>
      </c>
      <c r="BE84">
        <v>0</v>
      </c>
      <c r="BF84">
        <v>1.6E-2</v>
      </c>
      <c r="BG84">
        <v>0</v>
      </c>
      <c r="BH84">
        <v>0</v>
      </c>
      <c r="BI84">
        <v>0</v>
      </c>
      <c r="BJ84">
        <v>0</v>
      </c>
      <c r="BK84">
        <v>1</v>
      </c>
      <c r="BL84">
        <v>1.0833517462587E-4</v>
      </c>
      <c r="BM84">
        <v>1.01611993300937E-4</v>
      </c>
      <c r="BN84" s="1">
        <v>4.03069171303811E-7</v>
      </c>
      <c r="BO84" s="1">
        <v>1.5961174583541901E-6</v>
      </c>
      <c r="BP84">
        <v>0</v>
      </c>
      <c r="BQ84">
        <v>0</v>
      </c>
      <c r="BR84" s="1">
        <v>6.1607445165850602E-5</v>
      </c>
      <c r="BS84" s="1">
        <v>5.8184118155135799E-5</v>
      </c>
    </row>
    <row r="85" spans="1:71" x14ac:dyDescent="0.25">
      <c r="A85">
        <v>82</v>
      </c>
      <c r="B85" s="1">
        <v>2.9852882566283301E-6</v>
      </c>
      <c r="C85">
        <v>0.13246872671243001</v>
      </c>
      <c r="D85">
        <v>-4.9040913597741902E-4</v>
      </c>
      <c r="E85">
        <v>6.1312499999999995E-4</v>
      </c>
      <c r="F85">
        <v>-1.3246872671243001E-3</v>
      </c>
      <c r="G85" s="1">
        <v>1.0842021724855E-19</v>
      </c>
      <c r="H85" t="s">
        <v>74</v>
      </c>
      <c r="I85">
        <v>0</v>
      </c>
      <c r="J85" t="s">
        <v>75</v>
      </c>
      <c r="K85">
        <v>3.14159265358979</v>
      </c>
      <c r="L85">
        <v>0.85562958343194695</v>
      </c>
      <c r="M85">
        <v>0</v>
      </c>
      <c r="N85">
        <v>5.0238348127317103E-2</v>
      </c>
      <c r="O85">
        <v>0</v>
      </c>
      <c r="P85">
        <v>1.6E-2</v>
      </c>
      <c r="Q85">
        <v>0</v>
      </c>
      <c r="R85">
        <v>0</v>
      </c>
      <c r="S85">
        <v>0</v>
      </c>
      <c r="T85">
        <v>0</v>
      </c>
      <c r="U85">
        <v>0.86101575765651095</v>
      </c>
      <c r="V85" t="s">
        <v>78</v>
      </c>
      <c r="W85">
        <v>3874177.8743870002</v>
      </c>
      <c r="X85" t="s">
        <v>76</v>
      </c>
      <c r="Y85">
        <v>-1.5707963267949001</v>
      </c>
      <c r="Z85">
        <v>0.85485218747114999</v>
      </c>
      <c r="AA85">
        <v>0</v>
      </c>
      <c r="AB85">
        <v>4.97437901862786E-2</v>
      </c>
      <c r="AC85">
        <v>0</v>
      </c>
      <c r="AD85">
        <v>1.19925359760091E-2</v>
      </c>
      <c r="AE85">
        <v>5.7495818975308701E-3</v>
      </c>
      <c r="AF85">
        <v>0</v>
      </c>
      <c r="AG85">
        <v>0.16763342640662099</v>
      </c>
      <c r="AH85">
        <v>3.8129578956615298E-2</v>
      </c>
      <c r="AI85">
        <v>0.73969608928585695</v>
      </c>
      <c r="AJ85" t="s">
        <v>74</v>
      </c>
      <c r="AK85">
        <v>0</v>
      </c>
      <c r="AL85" t="s">
        <v>77</v>
      </c>
      <c r="AM85">
        <v>0</v>
      </c>
      <c r="AN85">
        <v>0.99199999999999999</v>
      </c>
      <c r="AO85">
        <v>0</v>
      </c>
      <c r="AP85">
        <v>5.8245346242475203E-2</v>
      </c>
      <c r="AQ85">
        <v>0</v>
      </c>
      <c r="AR85">
        <v>1.6E-2</v>
      </c>
      <c r="AS85">
        <v>0</v>
      </c>
      <c r="AT85">
        <v>0</v>
      </c>
      <c r="AU85">
        <v>0</v>
      </c>
      <c r="AV85">
        <v>0</v>
      </c>
      <c r="AW85">
        <v>1</v>
      </c>
      <c r="AX85" t="s">
        <v>74</v>
      </c>
      <c r="AY85">
        <v>0</v>
      </c>
      <c r="AZ85" t="s">
        <v>76</v>
      </c>
      <c r="BA85">
        <v>-1.5707963267949001</v>
      </c>
      <c r="BB85">
        <v>0.99199999999999999</v>
      </c>
      <c r="BC85">
        <v>0</v>
      </c>
      <c r="BD85">
        <v>5.8245346242475203E-2</v>
      </c>
      <c r="BE85">
        <v>0</v>
      </c>
      <c r="BF85">
        <v>1.6E-2</v>
      </c>
      <c r="BG85">
        <v>0</v>
      </c>
      <c r="BH85">
        <v>0</v>
      </c>
      <c r="BI85">
        <v>0</v>
      </c>
      <c r="BJ85">
        <v>0</v>
      </c>
      <c r="BK85">
        <v>1</v>
      </c>
      <c r="BL85">
        <v>1.08236415399273E-4</v>
      </c>
      <c r="BM85">
        <v>1.02881502681618E-4</v>
      </c>
      <c r="BN85" s="1">
        <v>4.0270077100168699E-7</v>
      </c>
      <c r="BO85" s="1">
        <v>1.6160588650742499E-6</v>
      </c>
      <c r="BP85">
        <v>0</v>
      </c>
      <c r="BQ85">
        <v>0</v>
      </c>
      <c r="BR85" s="1">
        <v>6.1544834059731903E-5</v>
      </c>
      <c r="BS85" s="1">
        <v>5.8911221319370802E-5</v>
      </c>
    </row>
    <row r="86" spans="1:71" x14ac:dyDescent="0.25">
      <c r="A86">
        <v>83</v>
      </c>
      <c r="B86" s="1">
        <v>2.95813099810817E-6</v>
      </c>
      <c r="C86">
        <v>0.132471684843428</v>
      </c>
      <c r="D86">
        <v>-4.9042239529472503E-4</v>
      </c>
      <c r="E86">
        <v>6.1312499999999995E-4</v>
      </c>
      <c r="F86">
        <v>-1.32471684843428E-3</v>
      </c>
      <c r="G86" s="1">
        <v>2.1684043449710098E-19</v>
      </c>
      <c r="H86" t="s">
        <v>74</v>
      </c>
      <c r="I86">
        <v>0</v>
      </c>
      <c r="J86" t="s">
        <v>75</v>
      </c>
      <c r="K86">
        <v>3.14159265358979</v>
      </c>
      <c r="L86">
        <v>0.85394686221140403</v>
      </c>
      <c r="M86">
        <v>0</v>
      </c>
      <c r="N86">
        <v>5.0139547038486401E-2</v>
      </c>
      <c r="O86">
        <v>0</v>
      </c>
      <c r="P86">
        <v>1.6E-2</v>
      </c>
      <c r="Q86">
        <v>0</v>
      </c>
      <c r="R86">
        <v>0</v>
      </c>
      <c r="S86">
        <v>0</v>
      </c>
      <c r="T86">
        <v>0</v>
      </c>
      <c r="U86">
        <v>0.86065699728465395</v>
      </c>
      <c r="V86" t="s">
        <v>78</v>
      </c>
      <c r="W86">
        <v>3874292.2958593601</v>
      </c>
      <c r="X86" t="s">
        <v>76</v>
      </c>
      <c r="Y86">
        <v>-1.5707963267949001</v>
      </c>
      <c r="Z86">
        <v>0.85316962056682299</v>
      </c>
      <c r="AA86">
        <v>0</v>
      </c>
      <c r="AB86">
        <v>4.96450872691881E-2</v>
      </c>
      <c r="AC86">
        <v>0</v>
      </c>
      <c r="AD86">
        <v>1.19240435236728E-2</v>
      </c>
      <c r="AE86">
        <v>5.8204296286539104E-3</v>
      </c>
      <c r="AF86">
        <v>0</v>
      </c>
      <c r="AG86">
        <v>0.16917466337487599</v>
      </c>
      <c r="AH86">
        <v>3.9127322100329903E-2</v>
      </c>
      <c r="AI86">
        <v>0.736604588432068</v>
      </c>
      <c r="AJ86" t="s">
        <v>74</v>
      </c>
      <c r="AK86">
        <v>0</v>
      </c>
      <c r="AL86" t="s">
        <v>77</v>
      </c>
      <c r="AM86">
        <v>0</v>
      </c>
      <c r="AN86">
        <v>0.99199999999999999</v>
      </c>
      <c r="AO86">
        <v>0</v>
      </c>
      <c r="AP86">
        <v>5.8245346242475203E-2</v>
      </c>
      <c r="AQ86">
        <v>0</v>
      </c>
      <c r="AR86">
        <v>1.6E-2</v>
      </c>
      <c r="AS86">
        <v>0</v>
      </c>
      <c r="AT86">
        <v>0</v>
      </c>
      <c r="AU86">
        <v>0</v>
      </c>
      <c r="AV86">
        <v>0</v>
      </c>
      <c r="AW86">
        <v>1</v>
      </c>
      <c r="AX86" t="s">
        <v>74</v>
      </c>
      <c r="AY86">
        <v>0</v>
      </c>
      <c r="AZ86" t="s">
        <v>76</v>
      </c>
      <c r="BA86">
        <v>-1.5707963267949001</v>
      </c>
      <c r="BB86">
        <v>0.99199999999999999</v>
      </c>
      <c r="BC86">
        <v>0</v>
      </c>
      <c r="BD86">
        <v>5.8245346242475203E-2</v>
      </c>
      <c r="BE86">
        <v>0</v>
      </c>
      <c r="BF86">
        <v>1.6E-2</v>
      </c>
      <c r="BG86">
        <v>0</v>
      </c>
      <c r="BH86">
        <v>0</v>
      </c>
      <c r="BI86">
        <v>0</v>
      </c>
      <c r="BJ86">
        <v>0</v>
      </c>
      <c r="BK86">
        <v>1</v>
      </c>
      <c r="BL86">
        <v>1.08137663396312E-4</v>
      </c>
      <c r="BM86">
        <v>1.04150992737603E-4</v>
      </c>
      <c r="BN86" s="1">
        <v>4.0233242779016701E-7</v>
      </c>
      <c r="BO86" s="1">
        <v>1.6359999682426899E-6</v>
      </c>
      <c r="BP86">
        <v>0</v>
      </c>
      <c r="BQ86">
        <v>0</v>
      </c>
      <c r="BR86" s="1">
        <v>6.1482224845793899E-5</v>
      </c>
      <c r="BS86" s="1">
        <v>5.9638316023326798E-5</v>
      </c>
    </row>
    <row r="87" spans="1:71" x14ac:dyDescent="0.25">
      <c r="A87">
        <v>84</v>
      </c>
      <c r="B87" s="1">
        <v>2.9317090690350701E-6</v>
      </c>
      <c r="C87">
        <v>0.13247461655249701</v>
      </c>
      <c r="D87">
        <v>-4.9043553598588101E-4</v>
      </c>
      <c r="E87">
        <v>6.1312499999999995E-4</v>
      </c>
      <c r="F87">
        <v>-1.3247461655249699E-3</v>
      </c>
      <c r="G87" s="1">
        <v>2.1684043449710098E-19</v>
      </c>
      <c r="H87" t="s">
        <v>74</v>
      </c>
      <c r="I87">
        <v>0</v>
      </c>
      <c r="J87" t="s">
        <v>75</v>
      </c>
      <c r="K87">
        <v>3.14159265358979</v>
      </c>
      <c r="L87">
        <v>0.85226416688070195</v>
      </c>
      <c r="M87">
        <v>0</v>
      </c>
      <c r="N87">
        <v>5.0040747469779399E-2</v>
      </c>
      <c r="O87">
        <v>0</v>
      </c>
      <c r="P87">
        <v>1.6E-2</v>
      </c>
      <c r="Q87">
        <v>0</v>
      </c>
      <c r="R87">
        <v>0</v>
      </c>
      <c r="S87">
        <v>0</v>
      </c>
      <c r="T87">
        <v>0</v>
      </c>
      <c r="U87">
        <v>0.85826256515016797</v>
      </c>
      <c r="V87" t="s">
        <v>78</v>
      </c>
      <c r="W87">
        <v>3874405.69364563</v>
      </c>
      <c r="X87" t="s">
        <v>76</v>
      </c>
      <c r="Y87">
        <v>-1.5707963267949001</v>
      </c>
      <c r="Z87">
        <v>0.85148709711890702</v>
      </c>
      <c r="AA87">
        <v>0</v>
      </c>
      <c r="AB87">
        <v>4.9546397047590902E-2</v>
      </c>
      <c r="AC87">
        <v>0</v>
      </c>
      <c r="AD87">
        <v>1.1855557083797499E-2</v>
      </c>
      <c r="AE87">
        <v>5.8912406553327098E-3</v>
      </c>
      <c r="AF87">
        <v>0</v>
      </c>
      <c r="AG87">
        <v>0.17070149757200401</v>
      </c>
      <c r="AH87">
        <v>4.0139428951191401E-2</v>
      </c>
      <c r="AI87">
        <v>0.73351614258796205</v>
      </c>
      <c r="AJ87" t="s">
        <v>74</v>
      </c>
      <c r="AK87">
        <v>0</v>
      </c>
      <c r="AL87" t="s">
        <v>77</v>
      </c>
      <c r="AM87">
        <v>0</v>
      </c>
      <c r="AN87">
        <v>0.99199999999999999</v>
      </c>
      <c r="AO87">
        <v>0</v>
      </c>
      <c r="AP87">
        <v>5.8245346242475203E-2</v>
      </c>
      <c r="AQ87">
        <v>0</v>
      </c>
      <c r="AR87">
        <v>1.6E-2</v>
      </c>
      <c r="AS87">
        <v>0</v>
      </c>
      <c r="AT87">
        <v>0</v>
      </c>
      <c r="AU87">
        <v>0</v>
      </c>
      <c r="AV87">
        <v>0</v>
      </c>
      <c r="AW87">
        <v>1</v>
      </c>
      <c r="AX87" t="s">
        <v>74</v>
      </c>
      <c r="AY87">
        <v>0</v>
      </c>
      <c r="AZ87" t="s">
        <v>76</v>
      </c>
      <c r="BA87">
        <v>-1.5707963267949001</v>
      </c>
      <c r="BB87">
        <v>0.99199999999999999</v>
      </c>
      <c r="BC87">
        <v>0</v>
      </c>
      <c r="BD87">
        <v>5.8245346242475203E-2</v>
      </c>
      <c r="BE87">
        <v>0</v>
      </c>
      <c r="BF87">
        <v>1.6E-2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1.0803891850116E-4</v>
      </c>
      <c r="BM87">
        <v>1.05420463261598E-4</v>
      </c>
      <c r="BN87" s="1">
        <v>4.0196414054182502E-7</v>
      </c>
      <c r="BO87" s="1">
        <v>1.65594076460334E-6</v>
      </c>
      <c r="BP87">
        <v>0</v>
      </c>
      <c r="BQ87">
        <v>0</v>
      </c>
      <c r="BR87" s="1">
        <v>6.1419617513234004E-5</v>
      </c>
      <c r="BS87" s="1">
        <v>6.0365402133991398E-5</v>
      </c>
    </row>
    <row r="88" spans="1:71" x14ac:dyDescent="0.25">
      <c r="A88">
        <v>85</v>
      </c>
      <c r="B88" s="1">
        <v>2.9059974274984E-6</v>
      </c>
      <c r="C88">
        <v>0.13247752254992401</v>
      </c>
      <c r="D88">
        <v>-4.9044856123976299E-4</v>
      </c>
      <c r="E88">
        <v>6.1312499999999995E-4</v>
      </c>
      <c r="F88">
        <v>-1.32477522549925E-3</v>
      </c>
      <c r="G88" s="1">
        <v>2.1684043449710098E-19</v>
      </c>
      <c r="H88" t="s">
        <v>74</v>
      </c>
      <c r="I88">
        <v>0</v>
      </c>
      <c r="J88" t="s">
        <v>75</v>
      </c>
      <c r="K88">
        <v>3.14159265358979</v>
      </c>
      <c r="L88">
        <v>0.85058149771892599</v>
      </c>
      <c r="M88">
        <v>0</v>
      </c>
      <c r="N88">
        <v>4.9941949437582601E-2</v>
      </c>
      <c r="O88">
        <v>0</v>
      </c>
      <c r="P88">
        <v>1.6E-2</v>
      </c>
      <c r="Q88">
        <v>0</v>
      </c>
      <c r="R88">
        <v>0</v>
      </c>
      <c r="S88">
        <v>0</v>
      </c>
      <c r="T88">
        <v>0</v>
      </c>
      <c r="U88">
        <v>0.857329853309305</v>
      </c>
      <c r="V88" t="s">
        <v>78</v>
      </c>
      <c r="W88">
        <v>3874518.0952642602</v>
      </c>
      <c r="X88" t="s">
        <v>76</v>
      </c>
      <c r="Y88">
        <v>-1.5707963267949001</v>
      </c>
      <c r="Z88">
        <v>0.84980461700591203</v>
      </c>
      <c r="AA88">
        <v>0</v>
      </c>
      <c r="AB88">
        <v>4.9447719283037303E-2</v>
      </c>
      <c r="AC88">
        <v>0</v>
      </c>
      <c r="AD88">
        <v>1.1787077642569199E-2</v>
      </c>
      <c r="AE88">
        <v>5.9620147358800503E-3</v>
      </c>
      <c r="AF88">
        <v>0</v>
      </c>
      <c r="AG88">
        <v>0.17221386216336901</v>
      </c>
      <c r="AH88">
        <v>4.1165965922733902E-2</v>
      </c>
      <c r="AI88">
        <v>0.73043077333849904</v>
      </c>
      <c r="AJ88" t="s">
        <v>74</v>
      </c>
      <c r="AK88">
        <v>0</v>
      </c>
      <c r="AL88" t="s">
        <v>77</v>
      </c>
      <c r="AM88">
        <v>0</v>
      </c>
      <c r="AN88">
        <v>0.99199999999999999</v>
      </c>
      <c r="AO88">
        <v>0</v>
      </c>
      <c r="AP88">
        <v>5.8245346242475203E-2</v>
      </c>
      <c r="AQ88">
        <v>0</v>
      </c>
      <c r="AR88">
        <v>1.6E-2</v>
      </c>
      <c r="AS88">
        <v>0</v>
      </c>
      <c r="AT88">
        <v>0</v>
      </c>
      <c r="AU88">
        <v>0</v>
      </c>
      <c r="AV88">
        <v>0</v>
      </c>
      <c r="AW88">
        <v>1</v>
      </c>
      <c r="AX88" t="s">
        <v>74</v>
      </c>
      <c r="AY88">
        <v>0</v>
      </c>
      <c r="AZ88" t="s">
        <v>76</v>
      </c>
      <c r="BA88">
        <v>-1.5707963267949001</v>
      </c>
      <c r="BB88">
        <v>0.99199999999999999</v>
      </c>
      <c r="BC88">
        <v>0</v>
      </c>
      <c r="BD88">
        <v>5.8245346242475203E-2</v>
      </c>
      <c r="BE88">
        <v>0</v>
      </c>
      <c r="BF88">
        <v>1.6E-2</v>
      </c>
      <c r="BG88">
        <v>0</v>
      </c>
      <c r="BH88">
        <v>0</v>
      </c>
      <c r="BI88">
        <v>0</v>
      </c>
      <c r="BJ88">
        <v>0</v>
      </c>
      <c r="BK88">
        <v>1</v>
      </c>
      <c r="BL88">
        <v>1.0794018060278501E-4</v>
      </c>
      <c r="BM88">
        <v>1.06689914043052E-4</v>
      </c>
      <c r="BN88" s="1">
        <v>4.0159590817106098E-7</v>
      </c>
      <c r="BO88" s="1">
        <v>1.6758812508488899E-6</v>
      </c>
      <c r="BP88">
        <v>0</v>
      </c>
      <c r="BQ88">
        <v>0</v>
      </c>
      <c r="BR88" s="1">
        <v>6.1357012052140497E-5</v>
      </c>
      <c r="BS88" s="1">
        <v>6.1092479517070301E-5</v>
      </c>
    </row>
    <row r="89" spans="1:71" x14ac:dyDescent="0.25">
      <c r="A89">
        <v>86</v>
      </c>
      <c r="B89" s="1">
        <v>2.8809722327510401E-6</v>
      </c>
      <c r="C89">
        <v>0.13248040352215701</v>
      </c>
      <c r="D89">
        <v>-4.9046147413815602E-4</v>
      </c>
      <c r="E89">
        <v>6.1312499999999995E-4</v>
      </c>
      <c r="F89">
        <v>-1.32480403522157E-3</v>
      </c>
      <c r="G89" s="1">
        <v>1.0842021724855E-19</v>
      </c>
      <c r="H89" t="s">
        <v>74</v>
      </c>
      <c r="I89">
        <v>0</v>
      </c>
      <c r="J89" t="s">
        <v>75</v>
      </c>
      <c r="K89">
        <v>3.14159265358979</v>
      </c>
      <c r="L89">
        <v>0.84889885500962003</v>
      </c>
      <c r="M89">
        <v>0</v>
      </c>
      <c r="N89">
        <v>4.9843152958544398E-2</v>
      </c>
      <c r="O89">
        <v>0</v>
      </c>
      <c r="P89">
        <v>1.6E-2</v>
      </c>
      <c r="Q89">
        <v>0</v>
      </c>
      <c r="R89">
        <v>0</v>
      </c>
      <c r="S89">
        <v>0</v>
      </c>
      <c r="T89">
        <v>0</v>
      </c>
      <c r="U89">
        <v>0.85542038889543803</v>
      </c>
      <c r="V89" t="s">
        <v>78</v>
      </c>
      <c r="W89">
        <v>3874629.5273095602</v>
      </c>
      <c r="X89" t="s">
        <v>76</v>
      </c>
      <c r="Y89">
        <v>-1.5707963267949001</v>
      </c>
      <c r="Z89">
        <v>0.84812218012440999</v>
      </c>
      <c r="AA89">
        <v>0</v>
      </c>
      <c r="AB89">
        <v>4.9349053745995901E-2</v>
      </c>
      <c r="AC89">
        <v>0</v>
      </c>
      <c r="AD89">
        <v>1.17186061596617E-2</v>
      </c>
      <c r="AE89">
        <v>6.0327516290915196E-3</v>
      </c>
      <c r="AF89">
        <v>0</v>
      </c>
      <c r="AG89">
        <v>0.17371168961164399</v>
      </c>
      <c r="AH89">
        <v>4.2207000124459701E-2</v>
      </c>
      <c r="AI89">
        <v>0.72734850190770195</v>
      </c>
      <c r="AJ89" t="s">
        <v>74</v>
      </c>
      <c r="AK89">
        <v>0</v>
      </c>
      <c r="AL89" t="s">
        <v>77</v>
      </c>
      <c r="AM89">
        <v>0</v>
      </c>
      <c r="AN89">
        <v>0.99199999999999999</v>
      </c>
      <c r="AO89">
        <v>0</v>
      </c>
      <c r="AP89">
        <v>5.8245346242475203E-2</v>
      </c>
      <c r="AQ89">
        <v>0</v>
      </c>
      <c r="AR89">
        <v>1.6E-2</v>
      </c>
      <c r="AS89">
        <v>0</v>
      </c>
      <c r="AT89">
        <v>0</v>
      </c>
      <c r="AU89">
        <v>0</v>
      </c>
      <c r="AV89">
        <v>0</v>
      </c>
      <c r="AW89">
        <v>1</v>
      </c>
      <c r="AX89" t="s">
        <v>74</v>
      </c>
      <c r="AY89">
        <v>0</v>
      </c>
      <c r="AZ89" t="s">
        <v>76</v>
      </c>
      <c r="BA89">
        <v>-1.5707963267949001</v>
      </c>
      <c r="BB89">
        <v>0.99199999999999999</v>
      </c>
      <c r="BC89">
        <v>0</v>
      </c>
      <c r="BD89">
        <v>5.8245346242475203E-2</v>
      </c>
      <c r="BE89">
        <v>0</v>
      </c>
      <c r="BF89">
        <v>1.6E-2</v>
      </c>
      <c r="BG89">
        <v>0</v>
      </c>
      <c r="BH89">
        <v>0</v>
      </c>
      <c r="BI89">
        <v>0</v>
      </c>
      <c r="BJ89">
        <v>0</v>
      </c>
      <c r="BK89">
        <v>1</v>
      </c>
      <c r="BL89">
        <v>1.0784144959474501E-4</v>
      </c>
      <c r="BM89">
        <v>1.07959344868052E-4</v>
      </c>
      <c r="BN89" s="1">
        <v>4.01227729632209E-7</v>
      </c>
      <c r="BO89" s="1">
        <v>1.6958214236192E-6</v>
      </c>
      <c r="BP89">
        <v>0</v>
      </c>
      <c r="BQ89">
        <v>0</v>
      </c>
      <c r="BR89" s="1">
        <v>6.1294408453463502E-5</v>
      </c>
      <c r="BS89" s="1">
        <v>6.1819548036911302E-5</v>
      </c>
    </row>
    <row r="90" spans="1:71" x14ac:dyDescent="0.25">
      <c r="A90">
        <v>87</v>
      </c>
      <c r="B90" s="1">
        <v>2.8566107761722001E-6</v>
      </c>
      <c r="C90">
        <v>0.13248326013293299</v>
      </c>
      <c r="D90">
        <v>-4.90474277660846E-4</v>
      </c>
      <c r="E90">
        <v>6.1312499999999995E-4</v>
      </c>
      <c r="F90">
        <v>-1.32483260132934E-3</v>
      </c>
      <c r="G90" s="1">
        <v>1.0842021724855E-19</v>
      </c>
      <c r="H90" t="s">
        <v>74</v>
      </c>
      <c r="I90">
        <v>0</v>
      </c>
      <c r="J90" t="s">
        <v>75</v>
      </c>
      <c r="K90">
        <v>3.14159265358979</v>
      </c>
      <c r="L90">
        <v>0.84721623904081</v>
      </c>
      <c r="M90">
        <v>0</v>
      </c>
      <c r="N90">
        <v>4.9744358049576297E-2</v>
      </c>
      <c r="O90">
        <v>0</v>
      </c>
      <c r="P90">
        <v>1.6E-2</v>
      </c>
      <c r="Q90">
        <v>0</v>
      </c>
      <c r="R90">
        <v>0</v>
      </c>
      <c r="S90">
        <v>0</v>
      </c>
      <c r="T90">
        <v>0</v>
      </c>
      <c r="U90">
        <v>0.85391987217538901</v>
      </c>
      <c r="V90" t="s">
        <v>78</v>
      </c>
      <c r="W90">
        <v>3874740.0154956202</v>
      </c>
      <c r="X90" t="s">
        <v>76</v>
      </c>
      <c r="Y90">
        <v>-1.5707963267949001</v>
      </c>
      <c r="Z90">
        <v>0.84643978638843298</v>
      </c>
      <c r="AA90">
        <v>0</v>
      </c>
      <c r="AB90">
        <v>4.9250400215453002E-2</v>
      </c>
      <c r="AC90">
        <v>0</v>
      </c>
      <c r="AD90">
        <v>1.16501435695236E-2</v>
      </c>
      <c r="AE90">
        <v>6.10345109417756E-3</v>
      </c>
      <c r="AF90">
        <v>0</v>
      </c>
      <c r="AG90">
        <v>0.17519491166559401</v>
      </c>
      <c r="AH90">
        <v>4.3262599373015499E-2</v>
      </c>
      <c r="AI90">
        <v>0.72426934917841601</v>
      </c>
      <c r="AJ90" t="s">
        <v>74</v>
      </c>
      <c r="AK90">
        <v>0</v>
      </c>
      <c r="AL90" t="s">
        <v>77</v>
      </c>
      <c r="AM90">
        <v>0</v>
      </c>
      <c r="AN90">
        <v>0.99199999999999999</v>
      </c>
      <c r="AO90">
        <v>0</v>
      </c>
      <c r="AP90">
        <v>5.8245346242475203E-2</v>
      </c>
      <c r="AQ90">
        <v>0</v>
      </c>
      <c r="AR90">
        <v>1.6E-2</v>
      </c>
      <c r="AS90">
        <v>0</v>
      </c>
      <c r="AT90">
        <v>0</v>
      </c>
      <c r="AU90">
        <v>0</v>
      </c>
      <c r="AV90">
        <v>0</v>
      </c>
      <c r="AW90">
        <v>1</v>
      </c>
      <c r="AX90" t="s">
        <v>74</v>
      </c>
      <c r="AY90">
        <v>0</v>
      </c>
      <c r="AZ90" t="s">
        <v>76</v>
      </c>
      <c r="BA90">
        <v>-1.5707963267949001</v>
      </c>
      <c r="BB90">
        <v>0.99199999999999999</v>
      </c>
      <c r="BC90">
        <v>0</v>
      </c>
      <c r="BD90">
        <v>5.8245346242475203E-2</v>
      </c>
      <c r="BE90">
        <v>0</v>
      </c>
      <c r="BF90">
        <v>1.6E-2</v>
      </c>
      <c r="BG90">
        <v>0</v>
      </c>
      <c r="BH90">
        <v>0</v>
      </c>
      <c r="BI90">
        <v>0</v>
      </c>
      <c r="BJ90">
        <v>0</v>
      </c>
      <c r="BK90">
        <v>1</v>
      </c>
      <c r="BL90">
        <v>1.0774272537499E-4</v>
      </c>
      <c r="BM90">
        <v>1.09228755519305E-4</v>
      </c>
      <c r="BN90" s="1">
        <v>4.0085960391772901E-7</v>
      </c>
      <c r="BO90" s="1">
        <v>1.71576127950102E-6</v>
      </c>
      <c r="BP90">
        <v>0</v>
      </c>
      <c r="BQ90">
        <v>0</v>
      </c>
      <c r="BR90" s="1">
        <v>6.1231806708983303E-5</v>
      </c>
      <c r="BS90" s="1">
        <v>6.2546607556477005E-5</v>
      </c>
    </row>
    <row r="91" spans="1:71" x14ac:dyDescent="0.25">
      <c r="A91">
        <v>88</v>
      </c>
      <c r="B91" s="1">
        <v>2.83289141673204E-6</v>
      </c>
      <c r="C91">
        <v>0.13248609302434999</v>
      </c>
      <c r="D91">
        <v>-4.9048697469040699E-4</v>
      </c>
      <c r="E91">
        <v>6.1312499999999995E-4</v>
      </c>
      <c r="F91">
        <v>-1.3248609302435E-3</v>
      </c>
      <c r="G91" s="1">
        <v>2.1684043449710098E-19</v>
      </c>
      <c r="H91" t="s">
        <v>74</v>
      </c>
      <c r="I91">
        <v>0</v>
      </c>
      <c r="J91" t="s">
        <v>75</v>
      </c>
      <c r="K91">
        <v>3.14159265358979</v>
      </c>
      <c r="L91">
        <v>0.84553365010517501</v>
      </c>
      <c r="M91">
        <v>0</v>
      </c>
      <c r="N91">
        <v>4.9645564727862697E-2</v>
      </c>
      <c r="O91">
        <v>0</v>
      </c>
      <c r="P91">
        <v>1.6E-2</v>
      </c>
      <c r="Q91">
        <v>0</v>
      </c>
      <c r="R91">
        <v>0</v>
      </c>
      <c r="S91">
        <v>0</v>
      </c>
      <c r="T91">
        <v>0</v>
      </c>
      <c r="U91">
        <v>0.85220998812964499</v>
      </c>
      <c r="V91" t="s">
        <v>78</v>
      </c>
      <c r="W91">
        <v>3874849.5846976899</v>
      </c>
      <c r="X91" t="s">
        <v>76</v>
      </c>
      <c r="Y91">
        <v>-1.5707963267949001</v>
      </c>
      <c r="Z91">
        <v>0.84475743572904105</v>
      </c>
      <c r="AA91">
        <v>0</v>
      </c>
      <c r="AB91">
        <v>4.9151758478541703E-2</v>
      </c>
      <c r="AC91">
        <v>0</v>
      </c>
      <c r="AD91">
        <v>1.15816907825971E-2</v>
      </c>
      <c r="AE91">
        <v>6.1741128906922498E-3</v>
      </c>
      <c r="AF91">
        <v>0</v>
      </c>
      <c r="AG91">
        <v>0.176663459348469</v>
      </c>
      <c r="AH91">
        <v>4.4332832203541103E-2</v>
      </c>
      <c r="AI91">
        <v>0.72119333571122801</v>
      </c>
      <c r="AJ91" t="s">
        <v>74</v>
      </c>
      <c r="AK91">
        <v>0</v>
      </c>
      <c r="AL91" t="s">
        <v>77</v>
      </c>
      <c r="AM91">
        <v>0</v>
      </c>
      <c r="AN91">
        <v>0.99199999999999999</v>
      </c>
      <c r="AO91">
        <v>0</v>
      </c>
      <c r="AP91">
        <v>5.8245346242475203E-2</v>
      </c>
      <c r="AQ91">
        <v>0</v>
      </c>
      <c r="AR91">
        <v>1.6E-2</v>
      </c>
      <c r="AS91">
        <v>0</v>
      </c>
      <c r="AT91">
        <v>0</v>
      </c>
      <c r="AU91">
        <v>0</v>
      </c>
      <c r="AV91">
        <v>0</v>
      </c>
      <c r="AW91">
        <v>1</v>
      </c>
      <c r="AX91" t="s">
        <v>74</v>
      </c>
      <c r="AY91">
        <v>0</v>
      </c>
      <c r="AZ91" t="s">
        <v>76</v>
      </c>
      <c r="BA91">
        <v>-1.5707963267949001</v>
      </c>
      <c r="BB91">
        <v>0.99199999999999999</v>
      </c>
      <c r="BC91">
        <v>0</v>
      </c>
      <c r="BD91">
        <v>5.8245346242475203E-2</v>
      </c>
      <c r="BE91">
        <v>0</v>
      </c>
      <c r="BF91">
        <v>1.6E-2</v>
      </c>
      <c r="BG91">
        <v>0</v>
      </c>
      <c r="BH91">
        <v>0</v>
      </c>
      <c r="BI91">
        <v>0</v>
      </c>
      <c r="BJ91">
        <v>0</v>
      </c>
      <c r="BK91">
        <v>1</v>
      </c>
      <c r="BL91">
        <v>1.07644007845677E-4</v>
      </c>
      <c r="BM91">
        <v>1.1049814577600499E-4</v>
      </c>
      <c r="BN91" s="1">
        <v>4.00491530056534E-7</v>
      </c>
      <c r="BO91" s="1">
        <v>1.7357008150259599E-6</v>
      </c>
      <c r="BP91">
        <v>0</v>
      </c>
      <c r="BQ91">
        <v>0</v>
      </c>
      <c r="BR91" s="1">
        <v>6.1169206811286097E-5</v>
      </c>
      <c r="BS91" s="1">
        <v>6.3273657937257399E-5</v>
      </c>
    </row>
    <row r="92" spans="1:71" x14ac:dyDescent="0.25">
      <c r="A92">
        <v>89</v>
      </c>
      <c r="B92" s="1">
        <v>2.8097935211157101E-6</v>
      </c>
      <c r="C92">
        <v>0.13248890281787101</v>
      </c>
      <c r="D92">
        <v>-4.9049956801673698E-4</v>
      </c>
      <c r="E92">
        <v>6.1312499999999995E-4</v>
      </c>
      <c r="F92">
        <v>-1.3248890281787099E-3</v>
      </c>
      <c r="G92" s="1">
        <v>2.1684043449710098E-19</v>
      </c>
      <c r="H92" t="s">
        <v>74</v>
      </c>
      <c r="I92">
        <v>0</v>
      </c>
      <c r="J92" t="s">
        <v>75</v>
      </c>
      <c r="K92">
        <v>3.14159265358979</v>
      </c>
      <c r="L92">
        <v>0.84385108850009305</v>
      </c>
      <c r="M92">
        <v>0</v>
      </c>
      <c r="N92">
        <v>4.9546773010864402E-2</v>
      </c>
      <c r="O92">
        <v>0</v>
      </c>
      <c r="P92">
        <v>1.6E-2</v>
      </c>
      <c r="Q92">
        <v>0</v>
      </c>
      <c r="R92">
        <v>0</v>
      </c>
      <c r="S92">
        <v>0</v>
      </c>
      <c r="T92">
        <v>0</v>
      </c>
      <c r="U92">
        <v>0.85055847978453303</v>
      </c>
      <c r="V92" t="s">
        <v>78</v>
      </c>
      <c r="W92">
        <v>3874958.2589912</v>
      </c>
      <c r="X92" t="s">
        <v>76</v>
      </c>
      <c r="Y92">
        <v>-1.5707963267949001</v>
      </c>
      <c r="Z92">
        <v>0.84307512809381002</v>
      </c>
      <c r="AA92">
        <v>0</v>
      </c>
      <c r="AB92">
        <v>4.9053128330186803E-2</v>
      </c>
      <c r="AC92">
        <v>0</v>
      </c>
      <c r="AD92">
        <v>1.15132486864648E-2</v>
      </c>
      <c r="AE92">
        <v>6.2447367784696098E-3</v>
      </c>
      <c r="AF92">
        <v>0</v>
      </c>
      <c r="AG92">
        <v>0.178117262946245</v>
      </c>
      <c r="AH92">
        <v>4.5417767881358699E-2</v>
      </c>
      <c r="AI92">
        <v>0.71812048176211396</v>
      </c>
      <c r="AJ92" t="s">
        <v>74</v>
      </c>
      <c r="AK92">
        <v>0</v>
      </c>
      <c r="AL92" t="s">
        <v>77</v>
      </c>
      <c r="AM92">
        <v>0</v>
      </c>
      <c r="AN92">
        <v>0.99199999999999999</v>
      </c>
      <c r="AO92">
        <v>0</v>
      </c>
      <c r="AP92">
        <v>5.8245346242475203E-2</v>
      </c>
      <c r="AQ92">
        <v>0</v>
      </c>
      <c r="AR92">
        <v>1.6E-2</v>
      </c>
      <c r="AS92">
        <v>0</v>
      </c>
      <c r="AT92">
        <v>0</v>
      </c>
      <c r="AU92">
        <v>0</v>
      </c>
      <c r="AV92">
        <v>0</v>
      </c>
      <c r="AW92">
        <v>1</v>
      </c>
      <c r="AX92" t="s">
        <v>74</v>
      </c>
      <c r="AY92">
        <v>0</v>
      </c>
      <c r="AZ92" t="s">
        <v>76</v>
      </c>
      <c r="BA92">
        <v>-1.5707963267949001</v>
      </c>
      <c r="BB92">
        <v>0.99199999999999999</v>
      </c>
      <c r="BC92">
        <v>0</v>
      </c>
      <c r="BD92">
        <v>5.8245346242475203E-2</v>
      </c>
      <c r="BE92">
        <v>0</v>
      </c>
      <c r="BF92">
        <v>1.6E-2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1.07545296913001E-4</v>
      </c>
      <c r="BM92">
        <v>1.11767515413802E-4</v>
      </c>
      <c r="BN92" s="1">
        <v>4.0012350711238298E-7</v>
      </c>
      <c r="BO92" s="1">
        <v>1.75564002666992E-6</v>
      </c>
      <c r="BP92">
        <v>0</v>
      </c>
      <c r="BQ92">
        <v>0</v>
      </c>
      <c r="BR92" s="1">
        <v>6.1106608753736799E-5</v>
      </c>
      <c r="BS92" s="1">
        <v>6.4000699039235497E-5</v>
      </c>
    </row>
    <row r="93" spans="1:71" x14ac:dyDescent="0.25">
      <c r="A93">
        <v>90</v>
      </c>
      <c r="B93" s="1">
        <v>2.7872974077132699E-6</v>
      </c>
      <c r="C93">
        <v>0.132491690115279</v>
      </c>
      <c r="D93">
        <v>-4.9051206034132603E-4</v>
      </c>
      <c r="E93">
        <v>6.1312499999999995E-4</v>
      </c>
      <c r="F93">
        <v>-1.32491690115279E-3</v>
      </c>
      <c r="G93" s="1">
        <v>2.1684043449710098E-19</v>
      </c>
      <c r="H93" t="s">
        <v>74</v>
      </c>
      <c r="I93">
        <v>0</v>
      </c>
      <c r="J93" t="s">
        <v>75</v>
      </c>
      <c r="K93">
        <v>3.14159265358979</v>
      </c>
      <c r="L93">
        <v>0.84216855452781503</v>
      </c>
      <c r="M93">
        <v>0</v>
      </c>
      <c r="N93">
        <v>4.9447982916328098E-2</v>
      </c>
      <c r="O93">
        <v>0</v>
      </c>
      <c r="P93">
        <v>1.6E-2</v>
      </c>
      <c r="Q93">
        <v>0</v>
      </c>
      <c r="R93">
        <v>0</v>
      </c>
      <c r="S93">
        <v>0</v>
      </c>
      <c r="T93">
        <v>0</v>
      </c>
      <c r="U93">
        <v>0.84888024786209104</v>
      </c>
      <c r="V93" t="s">
        <v>78</v>
      </c>
      <c r="W93">
        <v>3875066.06168871</v>
      </c>
      <c r="X93" t="s">
        <v>76</v>
      </c>
      <c r="Y93">
        <v>-1.5707963267949001</v>
      </c>
      <c r="Z93">
        <v>0.84139286344646402</v>
      </c>
      <c r="AA93">
        <v>0</v>
      </c>
      <c r="AB93">
        <v>4.8954509572775501E-2</v>
      </c>
      <c r="AC93">
        <v>0</v>
      </c>
      <c r="AD93">
        <v>1.14448181469382E-2</v>
      </c>
      <c r="AE93">
        <v>6.3153225175572496E-3</v>
      </c>
      <c r="AF93">
        <v>0</v>
      </c>
      <c r="AG93">
        <v>0.17955625199548</v>
      </c>
      <c r="AH93">
        <v>4.6517476413860899E-2</v>
      </c>
      <c r="AI93">
        <v>0.715050807299348</v>
      </c>
      <c r="AJ93" t="s">
        <v>74</v>
      </c>
      <c r="AK93">
        <v>0</v>
      </c>
      <c r="AL93" t="s">
        <v>77</v>
      </c>
      <c r="AM93">
        <v>0</v>
      </c>
      <c r="AN93">
        <v>0.99199999999999999</v>
      </c>
      <c r="AO93">
        <v>0</v>
      </c>
      <c r="AP93">
        <v>5.8245346242475203E-2</v>
      </c>
      <c r="AQ93">
        <v>0</v>
      </c>
      <c r="AR93">
        <v>1.6E-2</v>
      </c>
      <c r="AS93">
        <v>0</v>
      </c>
      <c r="AT93">
        <v>0</v>
      </c>
      <c r="AU93">
        <v>0</v>
      </c>
      <c r="AV93">
        <v>0</v>
      </c>
      <c r="AW93">
        <v>1</v>
      </c>
      <c r="AX93" t="s">
        <v>74</v>
      </c>
      <c r="AY93">
        <v>0</v>
      </c>
      <c r="AZ93" t="s">
        <v>76</v>
      </c>
      <c r="BA93">
        <v>-1.5707963267949001</v>
      </c>
      <c r="BB93">
        <v>0.99199999999999999</v>
      </c>
      <c r="BC93">
        <v>0</v>
      </c>
      <c r="BD93">
        <v>5.8245346242475203E-2</v>
      </c>
      <c r="BE93">
        <v>0</v>
      </c>
      <c r="BF93">
        <v>1.6E-2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1.07446592487027E-4</v>
      </c>
      <c r="BM93">
        <v>1.1303686420467E-4</v>
      </c>
      <c r="BN93" s="1">
        <v>3.9975553418240301E-7</v>
      </c>
      <c r="BO93" s="1">
        <v>1.7755789108510999E-6</v>
      </c>
      <c r="BP93">
        <v>0</v>
      </c>
      <c r="BQ93">
        <v>0</v>
      </c>
      <c r="BR93" s="1">
        <v>6.1044012530457907E-5</v>
      </c>
      <c r="BS93" s="1">
        <v>6.4727730720801107E-5</v>
      </c>
    </row>
    <row r="94" spans="1:71" x14ac:dyDescent="0.25">
      <c r="A94">
        <v>91</v>
      </c>
      <c r="B94" s="1">
        <v>2.7653842945484998E-6</v>
      </c>
      <c r="C94">
        <v>0.132494455499574</v>
      </c>
      <c r="D94">
        <v>-4.9052445428130398E-4</v>
      </c>
      <c r="E94">
        <v>6.1312499999999995E-4</v>
      </c>
      <c r="F94">
        <v>-1.3249445549957399E-3</v>
      </c>
      <c r="G94" s="1">
        <v>1.0842021724855E-19</v>
      </c>
      <c r="H94" t="s">
        <v>74</v>
      </c>
      <c r="I94">
        <v>0</v>
      </c>
      <c r="J94" t="s">
        <v>75</v>
      </c>
      <c r="K94">
        <v>3.14159265358979</v>
      </c>
      <c r="L94">
        <v>0.84048604849550501</v>
      </c>
      <c r="M94">
        <v>0</v>
      </c>
      <c r="N94">
        <v>4.9349194462288803E-2</v>
      </c>
      <c r="O94">
        <v>0</v>
      </c>
      <c r="P94">
        <v>1.6E-2</v>
      </c>
      <c r="Q94">
        <v>0</v>
      </c>
      <c r="R94">
        <v>0</v>
      </c>
      <c r="S94">
        <v>0</v>
      </c>
      <c r="T94">
        <v>0</v>
      </c>
      <c r="U94">
        <v>0.84720209689626502</v>
      </c>
      <c r="V94" t="s">
        <v>78</v>
      </c>
      <c r="W94">
        <v>3875173.0153747802</v>
      </c>
      <c r="X94" t="s">
        <v>76</v>
      </c>
      <c r="Y94">
        <v>-1.5707963267949001</v>
      </c>
      <c r="Z94">
        <v>0.83971064176642496</v>
      </c>
      <c r="AA94">
        <v>0</v>
      </c>
      <c r="AB94">
        <v>4.8855902015840398E-2</v>
      </c>
      <c r="AC94">
        <v>0</v>
      </c>
      <c r="AD94">
        <v>1.13764000090824E-2</v>
      </c>
      <c r="AE94">
        <v>6.3858698681573496E-3</v>
      </c>
      <c r="AF94">
        <v>0</v>
      </c>
      <c r="AG94">
        <v>0.18098035527099701</v>
      </c>
      <c r="AH94">
        <v>4.7632028562756001E-2</v>
      </c>
      <c r="AI94">
        <v>0.71198433201928801</v>
      </c>
      <c r="AJ94" t="s">
        <v>74</v>
      </c>
      <c r="AK94">
        <v>0</v>
      </c>
      <c r="AL94" t="s">
        <v>77</v>
      </c>
      <c r="AM94">
        <v>0</v>
      </c>
      <c r="AN94">
        <v>0.99199999999999999</v>
      </c>
      <c r="AO94">
        <v>0</v>
      </c>
      <c r="AP94">
        <v>5.8245346242475203E-2</v>
      </c>
      <c r="AQ94">
        <v>0</v>
      </c>
      <c r="AR94">
        <v>1.6E-2</v>
      </c>
      <c r="AS94">
        <v>0</v>
      </c>
      <c r="AT94">
        <v>0</v>
      </c>
      <c r="AU94">
        <v>0</v>
      </c>
      <c r="AV94">
        <v>0</v>
      </c>
      <c r="AW94">
        <v>1</v>
      </c>
      <c r="AX94" t="s">
        <v>74</v>
      </c>
      <c r="AY94">
        <v>0</v>
      </c>
      <c r="AZ94" t="s">
        <v>76</v>
      </c>
      <c r="BA94">
        <v>-1.5707963267949001</v>
      </c>
      <c r="BB94">
        <v>0.99199999999999999</v>
      </c>
      <c r="BC94">
        <v>0</v>
      </c>
      <c r="BD94">
        <v>5.8245346242475203E-2</v>
      </c>
      <c r="BE94">
        <v>0</v>
      </c>
      <c r="BF94">
        <v>1.6E-2</v>
      </c>
      <c r="BG94">
        <v>0</v>
      </c>
      <c r="BH94">
        <v>0</v>
      </c>
      <c r="BI94">
        <v>0</v>
      </c>
      <c r="BJ94">
        <v>0</v>
      </c>
      <c r="BK94">
        <v>1</v>
      </c>
      <c r="BL94">
        <v>1.0734789448154E-4</v>
      </c>
      <c r="BM94">
        <v>1.14306191916876E-4</v>
      </c>
      <c r="BN94" s="1">
        <v>3.9938761039564897E-7</v>
      </c>
      <c r="BO94" s="1">
        <v>1.79551746392942E-6</v>
      </c>
      <c r="BP94">
        <v>0</v>
      </c>
      <c r="BQ94">
        <v>0</v>
      </c>
      <c r="BR94" s="1">
        <v>6.0981418136305797E-5</v>
      </c>
      <c r="BS94" s="1">
        <v>6.5454752838718503E-5</v>
      </c>
    </row>
    <row r="95" spans="1:71" x14ac:dyDescent="0.25">
      <c r="A95">
        <v>92</v>
      </c>
      <c r="B95" s="1">
        <v>2.7440362504612199E-6</v>
      </c>
      <c r="C95">
        <v>0.13249719953582401</v>
      </c>
      <c r="D95">
        <v>-4.9053675237325698E-4</v>
      </c>
      <c r="E95">
        <v>6.1312499999999995E-4</v>
      </c>
      <c r="F95">
        <v>-1.3249719953582399E-3</v>
      </c>
      <c r="G95" s="1">
        <v>2.1684043449710098E-19</v>
      </c>
      <c r="H95" t="s">
        <v>74</v>
      </c>
      <c r="I95">
        <v>0</v>
      </c>
      <c r="J95" t="s">
        <v>75</v>
      </c>
      <c r="K95">
        <v>3.14159265358979</v>
      </c>
      <c r="L95">
        <v>0.83880357071542699</v>
      </c>
      <c r="M95">
        <v>0</v>
      </c>
      <c r="N95">
        <v>4.9250407667081199E-2</v>
      </c>
      <c r="O95">
        <v>0</v>
      </c>
      <c r="P95">
        <v>1.6E-2</v>
      </c>
      <c r="Q95">
        <v>0</v>
      </c>
      <c r="R95">
        <v>0</v>
      </c>
      <c r="S95">
        <v>0</v>
      </c>
      <c r="T95">
        <v>0</v>
      </c>
      <c r="U95">
        <v>0.84551919666261599</v>
      </c>
      <c r="V95" t="s">
        <v>78</v>
      </c>
      <c r="W95">
        <v>3875279.1419389201</v>
      </c>
      <c r="X95" t="s">
        <v>76</v>
      </c>
      <c r="Y95">
        <v>-1.5707963267949001</v>
      </c>
      <c r="Z95">
        <v>0.83802846304851197</v>
      </c>
      <c r="AA95">
        <v>0</v>
      </c>
      <c r="AB95">
        <v>4.8757305475767503E-2</v>
      </c>
      <c r="AC95">
        <v>0</v>
      </c>
      <c r="AD95">
        <v>1.13079950981902E-2</v>
      </c>
      <c r="AE95">
        <v>6.4563785905641597E-3</v>
      </c>
      <c r="AF95">
        <v>0</v>
      </c>
      <c r="AG95">
        <v>0.18238950077316601</v>
      </c>
      <c r="AH95">
        <v>4.8761495856515999E-2</v>
      </c>
      <c r="AI95">
        <v>0.70892107536155002</v>
      </c>
      <c r="AJ95" t="s">
        <v>74</v>
      </c>
      <c r="AK95">
        <v>0</v>
      </c>
      <c r="AL95" t="s">
        <v>77</v>
      </c>
      <c r="AM95">
        <v>0</v>
      </c>
      <c r="AN95">
        <v>0.99199999999999999</v>
      </c>
      <c r="AO95">
        <v>0</v>
      </c>
      <c r="AP95">
        <v>5.8245346242475203E-2</v>
      </c>
      <c r="AQ95">
        <v>0</v>
      </c>
      <c r="AR95">
        <v>1.6E-2</v>
      </c>
      <c r="AS95">
        <v>0</v>
      </c>
      <c r="AT95">
        <v>0</v>
      </c>
      <c r="AU95">
        <v>0</v>
      </c>
      <c r="AV95">
        <v>0</v>
      </c>
      <c r="AW95">
        <v>1</v>
      </c>
      <c r="AX95" t="s">
        <v>74</v>
      </c>
      <c r="AY95">
        <v>0</v>
      </c>
      <c r="AZ95" t="s">
        <v>76</v>
      </c>
      <c r="BA95">
        <v>-1.5707963267949001</v>
      </c>
      <c r="BB95">
        <v>0.99199999999999999</v>
      </c>
      <c r="BC95">
        <v>0</v>
      </c>
      <c r="BD95">
        <v>5.8245346242475203E-2</v>
      </c>
      <c r="BE95">
        <v>0</v>
      </c>
      <c r="BF95">
        <v>1.6E-2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1.072492028139E-4</v>
      </c>
      <c r="BM95">
        <v>1.15575498314841E-4</v>
      </c>
      <c r="BN95" s="1">
        <v>3.99019734911788E-7</v>
      </c>
      <c r="BO95" s="1">
        <v>1.81545568220442E-6</v>
      </c>
      <c r="BP95">
        <v>0</v>
      </c>
      <c r="BQ95">
        <v>0</v>
      </c>
      <c r="BR95" s="1">
        <v>6.0918825566852797E-5</v>
      </c>
      <c r="BS95" s="1">
        <v>6.6181765248037595E-5</v>
      </c>
    </row>
    <row r="96" spans="1:71" x14ac:dyDescent="0.25">
      <c r="A96">
        <v>93</v>
      </c>
      <c r="B96" s="1">
        <v>2.7232361496522401E-6</v>
      </c>
      <c r="C96">
        <v>0.132499922771974</v>
      </c>
      <c r="D96">
        <v>-4.9054895707684805E-4</v>
      </c>
      <c r="E96">
        <v>6.1312499999999995E-4</v>
      </c>
      <c r="F96">
        <v>-1.3249992277197401E-3</v>
      </c>
      <c r="G96" s="1">
        <v>2.1684043449710098E-19</v>
      </c>
      <c r="H96" t="s">
        <v>74</v>
      </c>
      <c r="I96">
        <v>0</v>
      </c>
      <c r="J96" t="s">
        <v>75</v>
      </c>
      <c r="K96">
        <v>3.14159265358979</v>
      </c>
      <c r="L96">
        <v>0.83712112150498197</v>
      </c>
      <c r="M96">
        <v>0</v>
      </c>
      <c r="N96">
        <v>4.9151622549341502E-2</v>
      </c>
      <c r="O96">
        <v>0</v>
      </c>
      <c r="P96">
        <v>1.6E-2</v>
      </c>
      <c r="Q96">
        <v>0</v>
      </c>
      <c r="R96">
        <v>0</v>
      </c>
      <c r="S96">
        <v>0</v>
      </c>
      <c r="T96">
        <v>0</v>
      </c>
      <c r="U96">
        <v>0.84383358028315403</v>
      </c>
      <c r="V96" t="s">
        <v>78</v>
      </c>
      <c r="W96">
        <v>3875384.4626068398</v>
      </c>
      <c r="X96" t="s">
        <v>76</v>
      </c>
      <c r="Y96">
        <v>-1.5707963267949001</v>
      </c>
      <c r="Z96">
        <v>0.836346327302536</v>
      </c>
      <c r="AA96">
        <v>0</v>
      </c>
      <c r="AB96">
        <v>4.8658719775512199E-2</v>
      </c>
      <c r="AC96">
        <v>0</v>
      </c>
      <c r="AD96">
        <v>1.12396042207005E-2</v>
      </c>
      <c r="AE96">
        <v>6.5268484451092403E-3</v>
      </c>
      <c r="AF96">
        <v>0</v>
      </c>
      <c r="AG96">
        <v>0.18378361571500201</v>
      </c>
      <c r="AH96">
        <v>4.9905950603211499E-2</v>
      </c>
      <c r="AI96">
        <v>0.705861056523166</v>
      </c>
      <c r="AJ96" t="s">
        <v>74</v>
      </c>
      <c r="AK96">
        <v>0</v>
      </c>
      <c r="AL96" t="s">
        <v>77</v>
      </c>
      <c r="AM96">
        <v>0</v>
      </c>
      <c r="AN96">
        <v>0.99199999999999999</v>
      </c>
      <c r="AO96">
        <v>0</v>
      </c>
      <c r="AP96">
        <v>5.8245346242475203E-2</v>
      </c>
      <c r="AQ96">
        <v>0</v>
      </c>
      <c r="AR96">
        <v>1.6E-2</v>
      </c>
      <c r="AS96">
        <v>0</v>
      </c>
      <c r="AT96">
        <v>0</v>
      </c>
      <c r="AU96">
        <v>0</v>
      </c>
      <c r="AV96">
        <v>0</v>
      </c>
      <c r="AW96">
        <v>1</v>
      </c>
      <c r="AX96" t="s">
        <v>74</v>
      </c>
      <c r="AY96">
        <v>0</v>
      </c>
      <c r="AZ96" t="s">
        <v>76</v>
      </c>
      <c r="BA96">
        <v>-1.5707963267949001</v>
      </c>
      <c r="BB96">
        <v>0.99199999999999999</v>
      </c>
      <c r="BC96">
        <v>0</v>
      </c>
      <c r="BD96">
        <v>5.8245346242475203E-2</v>
      </c>
      <c r="BE96">
        <v>0</v>
      </c>
      <c r="BF96">
        <v>1.6E-2</v>
      </c>
      <c r="BG96">
        <v>0</v>
      </c>
      <c r="BH96">
        <v>0</v>
      </c>
      <c r="BI96">
        <v>0</v>
      </c>
      <c r="BJ96">
        <v>0</v>
      </c>
      <c r="BK96">
        <v>1</v>
      </c>
      <c r="BL96">
        <v>1.0715051740490201E-4</v>
      </c>
      <c r="BM96">
        <v>1.16844783159107E-4</v>
      </c>
      <c r="BN96" s="1">
        <v>3.9865190691981702E-7</v>
      </c>
      <c r="BO96" s="1">
        <v>1.8353935619147099E-6</v>
      </c>
      <c r="BP96">
        <v>0</v>
      </c>
      <c r="BQ96">
        <v>0</v>
      </c>
      <c r="BR96" s="1">
        <v>6.0856234818365701E-5</v>
      </c>
      <c r="BS96" s="1">
        <v>6.6908767802063699E-5</v>
      </c>
    </row>
    <row r="97" spans="1:71" x14ac:dyDescent="0.25">
      <c r="A97">
        <v>94</v>
      </c>
      <c r="B97" s="1">
        <v>2.70296762910993E-6</v>
      </c>
      <c r="C97">
        <v>0.132502625739603</v>
      </c>
      <c r="D97">
        <v>-4.9056107077824398E-4</v>
      </c>
      <c r="E97">
        <v>6.1312499999999995E-4</v>
      </c>
      <c r="F97">
        <v>-1.32502625739603E-3</v>
      </c>
      <c r="G97" s="1">
        <v>2.1684043449710098E-19</v>
      </c>
      <c r="H97" t="s">
        <v>74</v>
      </c>
      <c r="I97">
        <v>0</v>
      </c>
      <c r="J97" t="s">
        <v>75</v>
      </c>
      <c r="K97">
        <v>3.14159265358979</v>
      </c>
      <c r="L97">
        <v>0.835438701186897</v>
      </c>
      <c r="M97">
        <v>0</v>
      </c>
      <c r="N97">
        <v>4.9052839128018798E-2</v>
      </c>
      <c r="O97">
        <v>0</v>
      </c>
      <c r="P97">
        <v>1.6E-2</v>
      </c>
      <c r="Q97">
        <v>0</v>
      </c>
      <c r="R97">
        <v>0</v>
      </c>
      <c r="S97">
        <v>0</v>
      </c>
      <c r="T97">
        <v>0</v>
      </c>
      <c r="U97">
        <v>0.84214570779021003</v>
      </c>
      <c r="V97" t="s">
        <v>78</v>
      </c>
      <c r="W97">
        <v>3875488.9979699701</v>
      </c>
      <c r="X97" t="s">
        <v>76</v>
      </c>
      <c r="Y97">
        <v>-1.5707963267949001</v>
      </c>
      <c r="Z97">
        <v>0.83466423455305805</v>
      </c>
      <c r="AA97">
        <v>0</v>
      </c>
      <c r="AB97">
        <v>4.8560144744338903E-2</v>
      </c>
      <c r="AC97">
        <v>0</v>
      </c>
      <c r="AD97">
        <v>1.1171228165073301E-2</v>
      </c>
      <c r="AE97">
        <v>6.5972791921024504E-3</v>
      </c>
      <c r="AF97">
        <v>0</v>
      </c>
      <c r="AG97">
        <v>0.18516262650884599</v>
      </c>
      <c r="AH97">
        <v>5.1065465903555297E-2</v>
      </c>
      <c r="AI97">
        <v>0.70280429447224502</v>
      </c>
      <c r="AJ97" t="s">
        <v>74</v>
      </c>
      <c r="AK97">
        <v>0</v>
      </c>
      <c r="AL97" t="s">
        <v>77</v>
      </c>
      <c r="AM97">
        <v>0</v>
      </c>
      <c r="AN97">
        <v>0.99199999999999999</v>
      </c>
      <c r="AO97">
        <v>0</v>
      </c>
      <c r="AP97">
        <v>5.8245346242475203E-2</v>
      </c>
      <c r="AQ97">
        <v>0</v>
      </c>
      <c r="AR97">
        <v>1.6E-2</v>
      </c>
      <c r="AS97">
        <v>0</v>
      </c>
      <c r="AT97">
        <v>0</v>
      </c>
      <c r="AU97">
        <v>0</v>
      </c>
      <c r="AV97">
        <v>0</v>
      </c>
      <c r="AW97">
        <v>1</v>
      </c>
      <c r="AX97" t="s">
        <v>74</v>
      </c>
      <c r="AY97">
        <v>0</v>
      </c>
      <c r="AZ97" t="s">
        <v>76</v>
      </c>
      <c r="BA97">
        <v>-1.5707963267949001</v>
      </c>
      <c r="BB97">
        <v>0.99199999999999999</v>
      </c>
      <c r="BC97">
        <v>0</v>
      </c>
      <c r="BD97">
        <v>5.8245346242475203E-2</v>
      </c>
      <c r="BE97">
        <v>0</v>
      </c>
      <c r="BF97">
        <v>1.6E-2</v>
      </c>
      <c r="BG97">
        <v>0</v>
      </c>
      <c r="BH97">
        <v>0</v>
      </c>
      <c r="BI97">
        <v>0</v>
      </c>
      <c r="BJ97">
        <v>0</v>
      </c>
      <c r="BK97">
        <v>1</v>
      </c>
      <c r="BL97">
        <v>1.0705183817865399E-4</v>
      </c>
      <c r="BM97">
        <v>1.18114046206201E-4</v>
      </c>
      <c r="BN97" s="1">
        <v>3.9828412563688701E-7</v>
      </c>
      <c r="BO97" s="1">
        <v>1.85533109923583E-6</v>
      </c>
      <c r="BP97">
        <v>0</v>
      </c>
      <c r="BQ97">
        <v>0</v>
      </c>
      <c r="BR97" s="1">
        <v>6.07936458877912E-5</v>
      </c>
      <c r="BS97" s="1">
        <v>6.76357603522678E-5</v>
      </c>
    </row>
    <row r="98" spans="1:71" x14ac:dyDescent="0.25">
      <c r="A98">
        <v>95</v>
      </c>
      <c r="B98" s="1">
        <v>2.68321504872657E-6</v>
      </c>
      <c r="C98">
        <v>0.13250530895465101</v>
      </c>
      <c r="D98">
        <v>-4.9057309579336001E-4</v>
      </c>
      <c r="E98">
        <v>6.1312499999999995E-4</v>
      </c>
      <c r="F98">
        <v>-1.32505308954652E-3</v>
      </c>
      <c r="G98" s="1">
        <v>2.1684043449710098E-19</v>
      </c>
      <c r="H98" t="s">
        <v>74</v>
      </c>
      <c r="I98">
        <v>0</v>
      </c>
      <c r="J98" t="s">
        <v>75</v>
      </c>
      <c r="K98">
        <v>3.14159265358979</v>
      </c>
      <c r="L98">
        <v>0.83375631008933704</v>
      </c>
      <c r="M98">
        <v>0</v>
      </c>
      <c r="N98">
        <v>4.8954057422381E-2</v>
      </c>
      <c r="O98">
        <v>0</v>
      </c>
      <c r="P98">
        <v>1.6E-2</v>
      </c>
      <c r="Q98">
        <v>0</v>
      </c>
      <c r="R98">
        <v>0</v>
      </c>
      <c r="S98">
        <v>0</v>
      </c>
      <c r="T98">
        <v>0</v>
      </c>
      <c r="U98">
        <v>0.84045610949391003</v>
      </c>
      <c r="V98" t="s">
        <v>78</v>
      </c>
      <c r="W98">
        <v>3875592.7680135602</v>
      </c>
      <c r="X98" t="s">
        <v>76</v>
      </c>
      <c r="Y98">
        <v>-1.5707963267949001</v>
      </c>
      <c r="Z98">
        <v>0.83298218483910103</v>
      </c>
      <c r="AA98">
        <v>0</v>
      </c>
      <c r="AB98">
        <v>4.8461580217571E-2</v>
      </c>
      <c r="AC98">
        <v>0</v>
      </c>
      <c r="AD98">
        <v>1.1102867702617E-2</v>
      </c>
      <c r="AE98">
        <v>6.6676705917780403E-3</v>
      </c>
      <c r="AF98">
        <v>0</v>
      </c>
      <c r="AG98">
        <v>0.18652645875278401</v>
      </c>
      <c r="AH98">
        <v>5.2240115664308397E-2</v>
      </c>
      <c r="AI98">
        <v>0.69975080796081901</v>
      </c>
      <c r="AJ98" t="s">
        <v>74</v>
      </c>
      <c r="AK98">
        <v>0</v>
      </c>
      <c r="AL98" t="s">
        <v>77</v>
      </c>
      <c r="AM98">
        <v>0</v>
      </c>
      <c r="AN98">
        <v>0.99199999999999999</v>
      </c>
      <c r="AO98">
        <v>0</v>
      </c>
      <c r="AP98">
        <v>5.8245346242475203E-2</v>
      </c>
      <c r="AQ98">
        <v>0</v>
      </c>
      <c r="AR98">
        <v>1.6E-2</v>
      </c>
      <c r="AS98">
        <v>0</v>
      </c>
      <c r="AT98">
        <v>0</v>
      </c>
      <c r="AU98">
        <v>0</v>
      </c>
      <c r="AV98">
        <v>0</v>
      </c>
      <c r="AW98">
        <v>1</v>
      </c>
      <c r="AX98" t="s">
        <v>74</v>
      </c>
      <c r="AY98">
        <v>0</v>
      </c>
      <c r="AZ98" t="s">
        <v>76</v>
      </c>
      <c r="BA98">
        <v>-1.5707963267949001</v>
      </c>
      <c r="BB98">
        <v>0.99199999999999999</v>
      </c>
      <c r="BC98">
        <v>0</v>
      </c>
      <c r="BD98">
        <v>5.8245346242475203E-2</v>
      </c>
      <c r="BE98">
        <v>0</v>
      </c>
      <c r="BF98">
        <v>1.6E-2</v>
      </c>
      <c r="BG98">
        <v>0</v>
      </c>
      <c r="BH98">
        <v>0</v>
      </c>
      <c r="BI98">
        <v>0</v>
      </c>
      <c r="BJ98">
        <v>0</v>
      </c>
      <c r="BK98">
        <v>1</v>
      </c>
      <c r="BL98">
        <v>1.06953165062451E-4</v>
      </c>
      <c r="BM98">
        <v>1.19383287208546E-4</v>
      </c>
      <c r="BN98" s="1">
        <v>3.97916390307165E-7</v>
      </c>
      <c r="BO98" s="1">
        <v>1.87526829027885E-6</v>
      </c>
      <c r="BP98">
        <v>0</v>
      </c>
      <c r="BQ98">
        <v>0</v>
      </c>
      <c r="BR98" s="1">
        <v>6.0731058772739102E-5</v>
      </c>
      <c r="BS98" s="1">
        <v>6.8362742748228204E-5</v>
      </c>
    </row>
    <row r="99" spans="1:71" x14ac:dyDescent="0.25">
      <c r="A99">
        <v>96</v>
      </c>
      <c r="B99" s="1">
        <v>2.6639634541529699E-6</v>
      </c>
      <c r="C99">
        <v>0.13250797291810601</v>
      </c>
      <c r="D99">
        <v>-4.90585034370944E-4</v>
      </c>
      <c r="E99">
        <v>6.1312499999999995E-4</v>
      </c>
      <c r="F99">
        <v>-1.32507972918106E-3</v>
      </c>
      <c r="G99" s="1">
        <v>1.0842021724855E-19</v>
      </c>
      <c r="H99" t="s">
        <v>74</v>
      </c>
      <c r="I99">
        <v>0</v>
      </c>
      <c r="J99" t="s">
        <v>75</v>
      </c>
      <c r="K99">
        <v>3.14159265358979</v>
      </c>
      <c r="L99">
        <v>0.83207394854597205</v>
      </c>
      <c r="M99">
        <v>0</v>
      </c>
      <c r="N99">
        <v>4.8855277452019799E-2</v>
      </c>
      <c r="O99">
        <v>0</v>
      </c>
      <c r="P99">
        <v>1.6E-2</v>
      </c>
      <c r="Q99">
        <v>0</v>
      </c>
      <c r="R99">
        <v>0</v>
      </c>
      <c r="S99">
        <v>0</v>
      </c>
      <c r="T99">
        <v>0</v>
      </c>
      <c r="U99">
        <v>0.83876517179383003</v>
      </c>
      <c r="V99" t="s">
        <v>78</v>
      </c>
      <c r="W99">
        <v>3875695.7921432001</v>
      </c>
      <c r="X99" t="s">
        <v>76</v>
      </c>
      <c r="Y99">
        <v>-1.5707963267949001</v>
      </c>
      <c r="Z99">
        <v>0.83130017821382995</v>
      </c>
      <c r="AA99">
        <v>0</v>
      </c>
      <c r="AB99">
        <v>4.8363026036351203E-2</v>
      </c>
      <c r="AC99">
        <v>0</v>
      </c>
      <c r="AD99">
        <v>1.10345235882712E-2</v>
      </c>
      <c r="AE99">
        <v>6.7380224042439202E-3</v>
      </c>
      <c r="AF99">
        <v>0</v>
      </c>
      <c r="AG99">
        <v>0.18787503721679</v>
      </c>
      <c r="AH99">
        <v>5.3429974612038897E-2</v>
      </c>
      <c r="AI99">
        <v>0.69670061553697105</v>
      </c>
      <c r="AJ99" t="s">
        <v>74</v>
      </c>
      <c r="AK99">
        <v>0</v>
      </c>
      <c r="AL99" t="s">
        <v>77</v>
      </c>
      <c r="AM99">
        <v>0</v>
      </c>
      <c r="AN99">
        <v>0.99199999999999999</v>
      </c>
      <c r="AO99">
        <v>0</v>
      </c>
      <c r="AP99">
        <v>5.8245346242475203E-2</v>
      </c>
      <c r="AQ99">
        <v>0</v>
      </c>
      <c r="AR99">
        <v>1.6E-2</v>
      </c>
      <c r="AS99">
        <v>0</v>
      </c>
      <c r="AT99">
        <v>0</v>
      </c>
      <c r="AU99">
        <v>0</v>
      </c>
      <c r="AV99">
        <v>0</v>
      </c>
      <c r="AW99">
        <v>1</v>
      </c>
      <c r="AX99" t="s">
        <v>74</v>
      </c>
      <c r="AY99">
        <v>0</v>
      </c>
      <c r="AZ99" t="s">
        <v>76</v>
      </c>
      <c r="BA99">
        <v>-1.5707963267949001</v>
      </c>
      <c r="BB99">
        <v>0.99199999999999999</v>
      </c>
      <c r="BC99">
        <v>0</v>
      </c>
      <c r="BD99">
        <v>5.8245346242475203E-2</v>
      </c>
      <c r="BE99">
        <v>0</v>
      </c>
      <c r="BF99">
        <v>1.6E-2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1.06854497986661E-4</v>
      </c>
      <c r="BM99">
        <v>1.20652505914414E-4</v>
      </c>
      <c r="BN99" s="1">
        <v>3.9754870020075798E-7</v>
      </c>
      <c r="BO99" s="1">
        <v>1.8952051310896201E-6</v>
      </c>
      <c r="BP99">
        <v>0</v>
      </c>
      <c r="BQ99">
        <v>0</v>
      </c>
      <c r="BR99" s="1">
        <v>6.0668473471465298E-5</v>
      </c>
      <c r="BS99" s="1">
        <v>6.9089714837591601E-5</v>
      </c>
    </row>
    <row r="100" spans="1:71" x14ac:dyDescent="0.25">
      <c r="A100">
        <v>97</v>
      </c>
      <c r="B100" s="1">
        <v>2.64519854170579E-6</v>
      </c>
      <c r="C100">
        <v>0.13251061811664699</v>
      </c>
      <c r="D100">
        <v>-4.9059688869549397E-4</v>
      </c>
      <c r="E100">
        <v>6.1312499999999995E-4</v>
      </c>
      <c r="F100">
        <v>-1.32510618116647E-3</v>
      </c>
      <c r="G100" s="1">
        <v>2.1684043449710098E-19</v>
      </c>
      <c r="H100" t="s">
        <v>74</v>
      </c>
      <c r="I100">
        <v>0</v>
      </c>
      <c r="J100" t="s">
        <v>75</v>
      </c>
      <c r="K100">
        <v>3.14159265358979</v>
      </c>
      <c r="L100">
        <v>0.83039161689618601</v>
      </c>
      <c r="M100">
        <v>0</v>
      </c>
      <c r="N100">
        <v>4.8756499236862101E-2</v>
      </c>
      <c r="O100">
        <v>0</v>
      </c>
      <c r="P100">
        <v>1.6E-2</v>
      </c>
      <c r="Q100">
        <v>0</v>
      </c>
      <c r="R100">
        <v>0</v>
      </c>
      <c r="S100">
        <v>0</v>
      </c>
      <c r="T100">
        <v>0</v>
      </c>
      <c r="U100">
        <v>0.83707319678539904</v>
      </c>
      <c r="V100" t="s">
        <v>78</v>
      </c>
      <c r="W100">
        <v>3875798.08921006</v>
      </c>
      <c r="X100" t="s">
        <v>76</v>
      </c>
      <c r="Y100">
        <v>-1.5707963267949001</v>
      </c>
      <c r="Z100">
        <v>0.829618214744402</v>
      </c>
      <c r="AA100">
        <v>0</v>
      </c>
      <c r="AB100">
        <v>4.8264482047422397E-2</v>
      </c>
      <c r="AC100">
        <v>0</v>
      </c>
      <c r="AD100">
        <v>1.0966196561356899E-2</v>
      </c>
      <c r="AE100">
        <v>6.8083343894268199E-3</v>
      </c>
      <c r="AF100">
        <v>0</v>
      </c>
      <c r="AG100">
        <v>0.18920828582841401</v>
      </c>
      <c r="AH100">
        <v>5.4635118307113401E-2</v>
      </c>
      <c r="AI100">
        <v>0.69365373555660303</v>
      </c>
      <c r="AJ100" t="s">
        <v>74</v>
      </c>
      <c r="AK100">
        <v>0</v>
      </c>
      <c r="AL100" t="s">
        <v>77</v>
      </c>
      <c r="AM100">
        <v>0</v>
      </c>
      <c r="AN100">
        <v>0.99199999999999999</v>
      </c>
      <c r="AO100">
        <v>0</v>
      </c>
      <c r="AP100">
        <v>5.8245346242475203E-2</v>
      </c>
      <c r="AQ100">
        <v>0</v>
      </c>
      <c r="AR100">
        <v>1.6E-2</v>
      </c>
      <c r="AS100">
        <v>0</v>
      </c>
      <c r="AT100">
        <v>0</v>
      </c>
      <c r="AU100">
        <v>0</v>
      </c>
      <c r="AV100">
        <v>0</v>
      </c>
      <c r="AW100">
        <v>1</v>
      </c>
      <c r="AX100" t="s">
        <v>74</v>
      </c>
      <c r="AY100">
        <v>0</v>
      </c>
      <c r="AZ100" t="s">
        <v>76</v>
      </c>
      <c r="BA100">
        <v>-1.5707963267949001</v>
      </c>
      <c r="BB100">
        <v>0.99199999999999999</v>
      </c>
      <c r="BC100">
        <v>0</v>
      </c>
      <c r="BD100">
        <v>5.8245346242475203E-2</v>
      </c>
      <c r="BE100">
        <v>0</v>
      </c>
      <c r="BF100">
        <v>1.6E-2</v>
      </c>
      <c r="BG100">
        <v>0</v>
      </c>
      <c r="BH100">
        <v>0</v>
      </c>
      <c r="BI100">
        <v>0</v>
      </c>
      <c r="BJ100">
        <v>0</v>
      </c>
      <c r="BK100">
        <v>1</v>
      </c>
      <c r="BL100">
        <v>1.06755836884617E-4</v>
      </c>
      <c r="BM100">
        <v>1.21921702067763E-4</v>
      </c>
      <c r="BN100" s="1">
        <v>3.9718105461271899E-7</v>
      </c>
      <c r="BO100" s="1">
        <v>1.9151416176462499E-6</v>
      </c>
      <c r="BP100">
        <v>0</v>
      </c>
      <c r="BQ100">
        <v>0</v>
      </c>
      <c r="BR100" s="1">
        <v>6.0605889982861299E-5</v>
      </c>
      <c r="BS100" s="1">
        <v>6.9816676465974298E-5</v>
      </c>
    </row>
    <row r="101" spans="1:71" x14ac:dyDescent="0.25">
      <c r="A101">
        <v>98</v>
      </c>
      <c r="B101" s="1">
        <v>2.6269066257132301E-6</v>
      </c>
      <c r="C101">
        <v>0.132513245023273</v>
      </c>
      <c r="D101">
        <v>-4.90608660890039E-4</v>
      </c>
      <c r="E101">
        <v>6.1312499999999995E-4</v>
      </c>
      <c r="F101">
        <v>-1.3251324502327299E-3</v>
      </c>
      <c r="G101" s="1">
        <v>1.0842021724855E-19</v>
      </c>
      <c r="H101" t="s">
        <v>74</v>
      </c>
      <c r="I101">
        <v>0</v>
      </c>
      <c r="J101" t="s">
        <v>75</v>
      </c>
      <c r="K101">
        <v>3.14159265358979</v>
      </c>
      <c r="L101">
        <v>0.828709315485188</v>
      </c>
      <c r="M101">
        <v>0</v>
      </c>
      <c r="N101">
        <v>4.8657722797176797E-2</v>
      </c>
      <c r="O101">
        <v>0</v>
      </c>
      <c r="P101">
        <v>1.6E-2</v>
      </c>
      <c r="Q101">
        <v>0</v>
      </c>
      <c r="R101">
        <v>0</v>
      </c>
      <c r="S101">
        <v>0</v>
      </c>
      <c r="T101">
        <v>0</v>
      </c>
      <c r="U101">
        <v>0.83538041871722302</v>
      </c>
      <c r="V101" t="s">
        <v>78</v>
      </c>
      <c r="W101">
        <v>3875899.6775348401</v>
      </c>
      <c r="X101" t="s">
        <v>76</v>
      </c>
      <c r="Y101">
        <v>-1.5707963267949001</v>
      </c>
      <c r="Z101">
        <v>0.82793629451172801</v>
      </c>
      <c r="AA101">
        <v>0</v>
      </c>
      <c r="AB101">
        <v>4.8165948102915003E-2</v>
      </c>
      <c r="AC101">
        <v>0</v>
      </c>
      <c r="AD101">
        <v>1.0897887346283599E-2</v>
      </c>
      <c r="AE101">
        <v>6.8786063070231003E-3</v>
      </c>
      <c r="AF101">
        <v>0</v>
      </c>
      <c r="AG101">
        <v>0.19052612765822</v>
      </c>
      <c r="AH101">
        <v>5.58556231580997E-2</v>
      </c>
      <c r="AI101">
        <v>0.69061018619445602</v>
      </c>
      <c r="AJ101" t="s">
        <v>74</v>
      </c>
      <c r="AK101">
        <v>0</v>
      </c>
      <c r="AL101" t="s">
        <v>77</v>
      </c>
      <c r="AM101">
        <v>0</v>
      </c>
      <c r="AN101">
        <v>0.99199999999999999</v>
      </c>
      <c r="AO101">
        <v>0</v>
      </c>
      <c r="AP101">
        <v>5.8245346242475203E-2</v>
      </c>
      <c r="AQ101">
        <v>0</v>
      </c>
      <c r="AR101">
        <v>1.6E-2</v>
      </c>
      <c r="AS101">
        <v>0</v>
      </c>
      <c r="AT101">
        <v>0</v>
      </c>
      <c r="AU101">
        <v>0</v>
      </c>
      <c r="AV101">
        <v>0</v>
      </c>
      <c r="AW101">
        <v>1</v>
      </c>
      <c r="AX101" t="s">
        <v>74</v>
      </c>
      <c r="AY101">
        <v>0</v>
      </c>
      <c r="AZ101" t="s">
        <v>76</v>
      </c>
      <c r="BA101">
        <v>-1.5707963267949001</v>
      </c>
      <c r="BB101">
        <v>0.99199999999999999</v>
      </c>
      <c r="BC101">
        <v>0</v>
      </c>
      <c r="BD101">
        <v>5.8245346242475203E-2</v>
      </c>
      <c r="BE101">
        <v>0</v>
      </c>
      <c r="BF101">
        <v>1.6E-2</v>
      </c>
      <c r="BG101">
        <v>0</v>
      </c>
      <c r="BH101">
        <v>0</v>
      </c>
      <c r="BI101">
        <v>0</v>
      </c>
      <c r="BJ101">
        <v>0</v>
      </c>
      <c r="BK101">
        <v>1</v>
      </c>
      <c r="BL101">
        <v>1.0665718169252101E-4</v>
      </c>
      <c r="BM101">
        <v>1.2319087540815999E-4</v>
      </c>
      <c r="BN101" s="1">
        <v>3.96813452862079E-7</v>
      </c>
      <c r="BO101" s="1">
        <v>1.9350777458578499E-6</v>
      </c>
      <c r="BP101">
        <v>0</v>
      </c>
      <c r="BQ101">
        <v>0</v>
      </c>
      <c r="BR101" s="1">
        <v>6.0543308306440198E-5</v>
      </c>
      <c r="BS101" s="1">
        <v>7.0543627476907705E-5</v>
      </c>
    </row>
    <row r="102" spans="1:71" x14ac:dyDescent="0.25">
      <c r="A102">
        <v>99</v>
      </c>
      <c r="B102" s="1">
        <v>2.6090746078059299E-6</v>
      </c>
      <c r="C102">
        <v>0.132515854097881</v>
      </c>
      <c r="D102">
        <v>-4.9062035301877501E-4</v>
      </c>
      <c r="E102">
        <v>6.1312499999999995E-4</v>
      </c>
      <c r="F102">
        <v>-1.32515854097881E-3</v>
      </c>
      <c r="G102" s="1">
        <v>2.1684043449710098E-19</v>
      </c>
      <c r="H102" t="s">
        <v>74</v>
      </c>
      <c r="I102">
        <v>0</v>
      </c>
      <c r="J102" t="s">
        <v>75</v>
      </c>
      <c r="K102">
        <v>3.14159265358979</v>
      </c>
      <c r="L102">
        <v>0.82702704466410604</v>
      </c>
      <c r="M102">
        <v>0</v>
      </c>
      <c r="N102">
        <v>4.85589481535805E-2</v>
      </c>
      <c r="O102">
        <v>0</v>
      </c>
      <c r="P102">
        <v>1.6E-2</v>
      </c>
      <c r="Q102">
        <v>0</v>
      </c>
      <c r="R102">
        <v>0</v>
      </c>
      <c r="S102">
        <v>0</v>
      </c>
      <c r="T102">
        <v>0</v>
      </c>
      <c r="U102">
        <v>0.83368701967190595</v>
      </c>
      <c r="V102" t="s">
        <v>78</v>
      </c>
      <c r="W102">
        <v>3876000.5749305501</v>
      </c>
      <c r="X102" t="s">
        <v>76</v>
      </c>
      <c r="Y102">
        <v>-1.5707963267949001</v>
      </c>
      <c r="Z102">
        <v>0.82625441761024299</v>
      </c>
      <c r="AA102">
        <v>0</v>
      </c>
      <c r="AB102">
        <v>4.8067424060144498E-2</v>
      </c>
      <c r="AC102">
        <v>0</v>
      </c>
      <c r="AD102">
        <v>1.0829596653222501E-2</v>
      </c>
      <c r="AE102">
        <v>6.9488379164513196E-3</v>
      </c>
      <c r="AF102">
        <v>0</v>
      </c>
      <c r="AG102">
        <v>0.191828484904876</v>
      </c>
      <c r="AH102">
        <v>5.7091566436527803E-2</v>
      </c>
      <c r="AI102">
        <v>0.68756998545458403</v>
      </c>
      <c r="AJ102" t="s">
        <v>74</v>
      </c>
      <c r="AK102">
        <v>0</v>
      </c>
      <c r="AL102" t="s">
        <v>77</v>
      </c>
      <c r="AM102">
        <v>0</v>
      </c>
      <c r="AN102">
        <v>0.99199999999999999</v>
      </c>
      <c r="AO102">
        <v>0</v>
      </c>
      <c r="AP102">
        <v>5.8245346242475203E-2</v>
      </c>
      <c r="AQ102">
        <v>0</v>
      </c>
      <c r="AR102">
        <v>1.6E-2</v>
      </c>
      <c r="AS102">
        <v>0</v>
      </c>
      <c r="AT102">
        <v>0</v>
      </c>
      <c r="AU102">
        <v>0</v>
      </c>
      <c r="AV102">
        <v>0</v>
      </c>
      <c r="AW102">
        <v>1</v>
      </c>
      <c r="AX102" t="s">
        <v>74</v>
      </c>
      <c r="AY102">
        <v>0</v>
      </c>
      <c r="AZ102" t="s">
        <v>76</v>
      </c>
      <c r="BA102">
        <v>-1.5707963267949001</v>
      </c>
      <c r="BB102">
        <v>0.99199999999999999</v>
      </c>
      <c r="BC102">
        <v>0</v>
      </c>
      <c r="BD102">
        <v>5.8245346242475203E-2</v>
      </c>
      <c r="BE102">
        <v>0</v>
      </c>
      <c r="BF102">
        <v>1.6E-2</v>
      </c>
      <c r="BG102">
        <v>0</v>
      </c>
      <c r="BH102">
        <v>0</v>
      </c>
      <c r="BI102">
        <v>0</v>
      </c>
      <c r="BJ102">
        <v>0</v>
      </c>
      <c r="BK102">
        <v>1</v>
      </c>
      <c r="BL102">
        <v>1.06558532349338E-4</v>
      </c>
      <c r="BM102">
        <v>1.2446002567070201E-4</v>
      </c>
      <c r="BN102" s="1">
        <v>3.9644589429093699E-7</v>
      </c>
      <c r="BO102" s="1">
        <v>1.95501351156337E-6</v>
      </c>
      <c r="BP102">
        <v>0</v>
      </c>
      <c r="BQ102">
        <v>0</v>
      </c>
      <c r="BR102" s="1">
        <v>6.0480728442324198E-5</v>
      </c>
      <c r="BS102" s="1">
        <v>7.1270567711787398E-5</v>
      </c>
    </row>
    <row r="103" spans="1:71" x14ac:dyDescent="0.25">
      <c r="A103">
        <v>100</v>
      </c>
      <c r="B103" s="1">
        <v>2.59168994803292E-6</v>
      </c>
      <c r="C103">
        <v>0.13251844578782901</v>
      </c>
      <c r="D103">
        <v>-4.9063196708957297E-4</v>
      </c>
      <c r="E103">
        <v>6.1312499999999995E-4</v>
      </c>
      <c r="F103">
        <v>-1.3251844578782901E-3</v>
      </c>
      <c r="G103" s="1">
        <v>2.1684043449710098E-19</v>
      </c>
      <c r="H103" t="s">
        <v>74</v>
      </c>
      <c r="I103">
        <v>0</v>
      </c>
      <c r="J103" t="s">
        <v>75</v>
      </c>
      <c r="K103">
        <v>3.14159265358979</v>
      </c>
      <c r="L103">
        <v>0.82534480479017702</v>
      </c>
      <c r="M103">
        <v>0</v>
      </c>
      <c r="N103">
        <v>4.8460175327048403E-2</v>
      </c>
      <c r="O103">
        <v>0</v>
      </c>
      <c r="P103">
        <v>1.6E-2</v>
      </c>
      <c r="Q103">
        <v>0</v>
      </c>
      <c r="R103">
        <v>0</v>
      </c>
      <c r="S103">
        <v>0</v>
      </c>
      <c r="T103">
        <v>0</v>
      </c>
      <c r="U103">
        <v>0.83199314133258895</v>
      </c>
      <c r="V103" t="s">
        <v>78</v>
      </c>
      <c r="W103">
        <v>3876100.79872414</v>
      </c>
      <c r="X103" t="s">
        <v>76</v>
      </c>
      <c r="Y103">
        <v>-1.5707963267949001</v>
      </c>
      <c r="Z103">
        <v>0.82457258414778301</v>
      </c>
      <c r="AA103">
        <v>0</v>
      </c>
      <c r="AB103">
        <v>4.7968909781423701E-2</v>
      </c>
      <c r="AC103">
        <v>0</v>
      </c>
      <c r="AD103">
        <v>1.07613251787498E-2</v>
      </c>
      <c r="AE103">
        <v>7.0190289768025903E-3</v>
      </c>
      <c r="AF103">
        <v>0</v>
      </c>
      <c r="AG103">
        <v>0.193115278879814</v>
      </c>
      <c r="AH103">
        <v>5.8343026291948902E-2</v>
      </c>
      <c r="AI103">
        <v>0.68453315118048097</v>
      </c>
      <c r="AJ103" t="s">
        <v>74</v>
      </c>
      <c r="AK103">
        <v>0</v>
      </c>
      <c r="AL103" t="s">
        <v>77</v>
      </c>
      <c r="AM103">
        <v>0</v>
      </c>
      <c r="AN103">
        <v>0.99199999999999999</v>
      </c>
      <c r="AO103">
        <v>0</v>
      </c>
      <c r="AP103">
        <v>5.8245346242475203E-2</v>
      </c>
      <c r="AQ103">
        <v>0</v>
      </c>
      <c r="AR103">
        <v>1.6E-2</v>
      </c>
      <c r="AS103">
        <v>0</v>
      </c>
      <c r="AT103">
        <v>0</v>
      </c>
      <c r="AU103">
        <v>0</v>
      </c>
      <c r="AV103">
        <v>0</v>
      </c>
      <c r="AW103">
        <v>1</v>
      </c>
      <c r="AX103" t="s">
        <v>74</v>
      </c>
      <c r="AY103">
        <v>0</v>
      </c>
      <c r="AZ103" t="s">
        <v>76</v>
      </c>
      <c r="BA103">
        <v>-1.5707963267949001</v>
      </c>
      <c r="BB103">
        <v>0.99199999999999999</v>
      </c>
      <c r="BC103">
        <v>0</v>
      </c>
      <c r="BD103">
        <v>5.8245346242475203E-2</v>
      </c>
      <c r="BE103">
        <v>0</v>
      </c>
      <c r="BF103">
        <v>1.6E-2</v>
      </c>
      <c r="BG103">
        <v>0</v>
      </c>
      <c r="BH103">
        <v>0</v>
      </c>
      <c r="BI103">
        <v>0</v>
      </c>
      <c r="BJ103">
        <v>0</v>
      </c>
      <c r="BK103">
        <v>1</v>
      </c>
      <c r="BL103">
        <v>1.06459888796711E-4</v>
      </c>
      <c r="BM103">
        <v>1.2572915258588199E-4</v>
      </c>
      <c r="BN103" s="1">
        <v>3.9607837826360499E-7</v>
      </c>
      <c r="BO103" s="1">
        <v>1.97494891052938E-6</v>
      </c>
      <c r="BP103">
        <v>0</v>
      </c>
      <c r="BQ103">
        <v>0</v>
      </c>
      <c r="BR103" s="1">
        <v>6.04181503912351E-5</v>
      </c>
      <c r="BS103" s="1">
        <v>7.1997497009786905E-5</v>
      </c>
    </row>
    <row r="104" spans="1:71" x14ac:dyDescent="0.25">
      <c r="A104">
        <v>101</v>
      </c>
      <c r="B104" s="1">
        <v>2.5747406377671899E-6</v>
      </c>
      <c r="C104">
        <v>0.13252102052846701</v>
      </c>
      <c r="D104">
        <v>-4.9064350505636297E-4</v>
      </c>
      <c r="E104">
        <v>6.1312499999999995E-4</v>
      </c>
      <c r="F104">
        <v>-1.32521020528467E-3</v>
      </c>
      <c r="G104" s="1">
        <v>1.0842021724855E-19</v>
      </c>
      <c r="H104" t="s">
        <v>74</v>
      </c>
      <c r="I104">
        <v>0</v>
      </c>
      <c r="J104" t="s">
        <v>75</v>
      </c>
      <c r="K104">
        <v>3.14159265358979</v>
      </c>
      <c r="L104">
        <v>0.82366259622690297</v>
      </c>
      <c r="M104">
        <v>0</v>
      </c>
      <c r="N104">
        <v>4.83614043389234E-2</v>
      </c>
      <c r="O104">
        <v>0</v>
      </c>
      <c r="P104">
        <v>1.6E-2</v>
      </c>
      <c r="Q104">
        <v>0</v>
      </c>
      <c r="R104">
        <v>0</v>
      </c>
      <c r="S104">
        <v>0</v>
      </c>
      <c r="T104">
        <v>0</v>
      </c>
      <c r="U104">
        <v>0.83029889408383994</v>
      </c>
      <c r="V104" t="s">
        <v>78</v>
      </c>
      <c r="W104">
        <v>3876200.3657770902</v>
      </c>
      <c r="X104" t="s">
        <v>76</v>
      </c>
      <c r="Y104">
        <v>-1.5707963267949001</v>
      </c>
      <c r="Z104">
        <v>0.82289079424544598</v>
      </c>
      <c r="AA104">
        <v>0</v>
      </c>
      <c r="AB104">
        <v>4.7870405133884401E-2</v>
      </c>
      <c r="AC104">
        <v>0</v>
      </c>
      <c r="AD104">
        <v>1.06930736064587E-2</v>
      </c>
      <c r="AE104">
        <v>7.0891792467931303E-3</v>
      </c>
      <c r="AF104">
        <v>0</v>
      </c>
      <c r="AG104">
        <v>0.19438642999154301</v>
      </c>
      <c r="AH104">
        <v>5.9610081767382299E-2</v>
      </c>
      <c r="AI104">
        <v>0.68149970106469404</v>
      </c>
      <c r="AJ104" t="s">
        <v>74</v>
      </c>
      <c r="AK104">
        <v>0</v>
      </c>
      <c r="AL104" t="s">
        <v>77</v>
      </c>
      <c r="AM104">
        <v>0</v>
      </c>
      <c r="AN104">
        <v>0.99199999999999999</v>
      </c>
      <c r="AO104">
        <v>0</v>
      </c>
      <c r="AP104">
        <v>5.8245346242475203E-2</v>
      </c>
      <c r="AQ104">
        <v>0</v>
      </c>
      <c r="AR104">
        <v>1.6E-2</v>
      </c>
      <c r="AS104">
        <v>0</v>
      </c>
      <c r="AT104">
        <v>0</v>
      </c>
      <c r="AU104">
        <v>0</v>
      </c>
      <c r="AV104">
        <v>0</v>
      </c>
      <c r="AW104">
        <v>1</v>
      </c>
      <c r="AX104" t="s">
        <v>74</v>
      </c>
      <c r="AY104">
        <v>0</v>
      </c>
      <c r="AZ104" t="s">
        <v>76</v>
      </c>
      <c r="BA104">
        <v>-1.5707963267949001</v>
      </c>
      <c r="BB104">
        <v>0.99199999999999999</v>
      </c>
      <c r="BC104">
        <v>0</v>
      </c>
      <c r="BD104">
        <v>5.8245346242475203E-2</v>
      </c>
      <c r="BE104">
        <v>0</v>
      </c>
      <c r="BF104">
        <v>1.6E-2</v>
      </c>
      <c r="BG104">
        <v>0</v>
      </c>
      <c r="BH104">
        <v>0</v>
      </c>
      <c r="BI104">
        <v>0</v>
      </c>
      <c r="BJ104">
        <v>0</v>
      </c>
      <c r="BK104">
        <v>1</v>
      </c>
      <c r="BL104">
        <v>1.06361250978879E-4</v>
      </c>
      <c r="BM104">
        <v>1.2699825587946301E-4</v>
      </c>
      <c r="BN104" s="1">
        <v>3.95710904165797E-7</v>
      </c>
      <c r="BO104" s="1">
        <v>1.9948839384481801E-6</v>
      </c>
      <c r="BP104">
        <v>0</v>
      </c>
      <c r="BQ104">
        <v>0</v>
      </c>
      <c r="BR104" s="1">
        <v>6.0355574154485498E-5</v>
      </c>
      <c r="BS104" s="1">
        <v>7.2724415207780894E-5</v>
      </c>
    </row>
    <row r="105" spans="1:71" x14ac:dyDescent="0.25">
      <c r="A105">
        <v>102</v>
      </c>
      <c r="B105" s="1">
        <v>2.5582151743767201E-6</v>
      </c>
      <c r="C105">
        <v>0.13252357874364101</v>
      </c>
      <c r="D105">
        <v>-4.9065496882141403E-4</v>
      </c>
      <c r="E105">
        <v>6.1312499999999995E-4</v>
      </c>
      <c r="F105">
        <v>-1.32523578743641E-3</v>
      </c>
      <c r="G105" s="1">
        <v>1.0842021724855E-19</v>
      </c>
      <c r="H105" t="s">
        <v>74</v>
      </c>
      <c r="I105">
        <v>0</v>
      </c>
      <c r="J105" t="s">
        <v>75</v>
      </c>
      <c r="K105">
        <v>3.14159265358979</v>
      </c>
      <c r="L105">
        <v>0.82198041934416</v>
      </c>
      <c r="M105">
        <v>0</v>
      </c>
      <c r="N105">
        <v>4.8262635210922902E-2</v>
      </c>
      <c r="O105">
        <v>0</v>
      </c>
      <c r="P105">
        <v>1.6E-2</v>
      </c>
      <c r="Q105">
        <v>0</v>
      </c>
      <c r="R105">
        <v>0</v>
      </c>
      <c r="S105">
        <v>0</v>
      </c>
      <c r="T105">
        <v>0</v>
      </c>
      <c r="U105">
        <v>0.82860436404576199</v>
      </c>
      <c r="V105" t="s">
        <v>78</v>
      </c>
      <c r="W105">
        <v>3876299.2925050398</v>
      </c>
      <c r="X105" t="s">
        <v>76</v>
      </c>
      <c r="Y105">
        <v>-1.5707963267949001</v>
      </c>
      <c r="Z105">
        <v>0.82120904803741501</v>
      </c>
      <c r="AA105">
        <v>0</v>
      </c>
      <c r="AB105">
        <v>4.7771909989304098E-2</v>
      </c>
      <c r="AC105">
        <v>0</v>
      </c>
      <c r="AD105">
        <v>1.06248426075395E-2</v>
      </c>
      <c r="AE105">
        <v>7.1592884847203201E-3</v>
      </c>
      <c r="AF105">
        <v>0</v>
      </c>
      <c r="AG105">
        <v>0.19564185772961601</v>
      </c>
      <c r="AH105">
        <v>6.0892812815185902E-2</v>
      </c>
      <c r="AI105">
        <v>0.67846965265789605</v>
      </c>
      <c r="AJ105" t="s">
        <v>74</v>
      </c>
      <c r="AK105">
        <v>0</v>
      </c>
      <c r="AL105" t="s">
        <v>77</v>
      </c>
      <c r="AM105">
        <v>0</v>
      </c>
      <c r="AN105">
        <v>0.99199999999999999</v>
      </c>
      <c r="AO105">
        <v>0</v>
      </c>
      <c r="AP105">
        <v>5.8245346242475203E-2</v>
      </c>
      <c r="AQ105">
        <v>0</v>
      </c>
      <c r="AR105">
        <v>1.6E-2</v>
      </c>
      <c r="AS105">
        <v>0</v>
      </c>
      <c r="AT105">
        <v>0</v>
      </c>
      <c r="AU105">
        <v>0</v>
      </c>
      <c r="AV105">
        <v>0</v>
      </c>
      <c r="AW105">
        <v>1</v>
      </c>
      <c r="AX105" t="s">
        <v>74</v>
      </c>
      <c r="AY105">
        <v>0</v>
      </c>
      <c r="AZ105" t="s">
        <v>76</v>
      </c>
      <c r="BA105">
        <v>-1.5707963267949001</v>
      </c>
      <c r="BB105">
        <v>0.99199999999999999</v>
      </c>
      <c r="BC105">
        <v>0</v>
      </c>
      <c r="BD105">
        <v>5.8245346242475203E-2</v>
      </c>
      <c r="BE105">
        <v>0</v>
      </c>
      <c r="BF105">
        <v>1.6E-2</v>
      </c>
      <c r="BG105">
        <v>0</v>
      </c>
      <c r="BH105">
        <v>0</v>
      </c>
      <c r="BI105">
        <v>0</v>
      </c>
      <c r="BJ105">
        <v>0</v>
      </c>
      <c r="BK105">
        <v>1</v>
      </c>
      <c r="BL105">
        <v>1.06262618842589E-4</v>
      </c>
      <c r="BM105">
        <v>1.2826733527240101E-4</v>
      </c>
      <c r="BN105" s="1">
        <v>3.9534347140384502E-7</v>
      </c>
      <c r="BO105" s="1">
        <v>2.0148185909365699E-6</v>
      </c>
      <c r="BP105">
        <v>0</v>
      </c>
      <c r="BQ105">
        <v>0</v>
      </c>
      <c r="BR105" s="1">
        <v>6.0292999733967999E-5</v>
      </c>
      <c r="BS105" s="1">
        <v>7.3451322140293904E-5</v>
      </c>
    </row>
    <row r="106" spans="1:71" x14ac:dyDescent="0.25">
      <c r="A106">
        <v>103</v>
      </c>
      <c r="B106" s="1">
        <v>2.5421025372402702E-6</v>
      </c>
      <c r="C106">
        <v>0.13252612084617801</v>
      </c>
      <c r="D106">
        <v>-4.9066636023748997E-4</v>
      </c>
      <c r="E106">
        <v>6.1312499999999995E-4</v>
      </c>
      <c r="F106">
        <v>-1.3252612084617801E-3</v>
      </c>
      <c r="G106" s="1">
        <v>1.0842021724855E-19</v>
      </c>
      <c r="H106" t="s">
        <v>74</v>
      </c>
      <c r="I106">
        <v>0</v>
      </c>
      <c r="J106" t="s">
        <v>75</v>
      </c>
      <c r="K106">
        <v>3.14159265358979</v>
      </c>
      <c r="L106">
        <v>0.82029827451834303</v>
      </c>
      <c r="M106">
        <v>0</v>
      </c>
      <c r="N106">
        <v>4.8163867965147003E-2</v>
      </c>
      <c r="O106">
        <v>0</v>
      </c>
      <c r="P106">
        <v>1.6E-2</v>
      </c>
      <c r="Q106">
        <v>0</v>
      </c>
      <c r="R106">
        <v>0</v>
      </c>
      <c r="S106">
        <v>0</v>
      </c>
      <c r="T106">
        <v>0</v>
      </c>
      <c r="U106">
        <v>0.82690961851629496</v>
      </c>
      <c r="V106" t="s">
        <v>78</v>
      </c>
      <c r="W106">
        <v>3876397.59489646</v>
      </c>
      <c r="X106" t="s">
        <v>76</v>
      </c>
      <c r="Y106">
        <v>-1.5707963267949001</v>
      </c>
      <c r="Z106">
        <v>0.81952734567084395</v>
      </c>
      <c r="AA106">
        <v>0</v>
      </c>
      <c r="AB106">
        <v>4.7673424223944202E-2</v>
      </c>
      <c r="AC106">
        <v>0</v>
      </c>
      <c r="AD106">
        <v>1.05566328413348E-2</v>
      </c>
      <c r="AE106">
        <v>7.2293564484181803E-3</v>
      </c>
      <c r="AF106">
        <v>0</v>
      </c>
      <c r="AG106">
        <v>0.19688148064817601</v>
      </c>
      <c r="AH106">
        <v>6.2191300313290301E-2</v>
      </c>
      <c r="AI106">
        <v>0.67544302337761597</v>
      </c>
      <c r="AJ106" t="s">
        <v>74</v>
      </c>
      <c r="AK106">
        <v>0</v>
      </c>
      <c r="AL106" t="s">
        <v>77</v>
      </c>
      <c r="AM106">
        <v>0</v>
      </c>
      <c r="AN106">
        <v>0.99199999999999999</v>
      </c>
      <c r="AO106">
        <v>0</v>
      </c>
      <c r="AP106">
        <v>5.8245346242475203E-2</v>
      </c>
      <c r="AQ106">
        <v>0</v>
      </c>
      <c r="AR106">
        <v>1.6E-2</v>
      </c>
      <c r="AS106">
        <v>0</v>
      </c>
      <c r="AT106">
        <v>0</v>
      </c>
      <c r="AU106">
        <v>0</v>
      </c>
      <c r="AV106">
        <v>0</v>
      </c>
      <c r="AW106">
        <v>1</v>
      </c>
      <c r="AX106" t="s">
        <v>74</v>
      </c>
      <c r="AY106">
        <v>0</v>
      </c>
      <c r="AZ106" t="s">
        <v>76</v>
      </c>
      <c r="BA106">
        <v>-1.5707963267949001</v>
      </c>
      <c r="BB106">
        <v>0.99199999999999999</v>
      </c>
      <c r="BC106">
        <v>0</v>
      </c>
      <c r="BD106">
        <v>5.8245346242475203E-2</v>
      </c>
      <c r="BE106">
        <v>0</v>
      </c>
      <c r="BF106">
        <v>1.6E-2</v>
      </c>
      <c r="BG106">
        <v>0</v>
      </c>
      <c r="BH106">
        <v>0</v>
      </c>
      <c r="BI106">
        <v>0</v>
      </c>
      <c r="BJ106">
        <v>0</v>
      </c>
      <c r="BK106">
        <v>1</v>
      </c>
      <c r="BL106">
        <v>1.0616399233702101E-4</v>
      </c>
      <c r="BM106">
        <v>1.2953639048073301E-4</v>
      </c>
      <c r="BN106" s="1">
        <v>3.9497607940396698E-7</v>
      </c>
      <c r="BO106" s="1">
        <v>2.0347528635340498E-6</v>
      </c>
      <c r="BP106">
        <v>0</v>
      </c>
      <c r="BQ106">
        <v>0</v>
      </c>
      <c r="BR106" s="1">
        <v>6.0230427132147798E-5</v>
      </c>
      <c r="BS106" s="1">
        <v>7.4178217639430004E-5</v>
      </c>
    </row>
    <row r="107" spans="1:71" x14ac:dyDescent="0.25">
      <c r="A107">
        <v>104</v>
      </c>
      <c r="B107" s="1">
        <v>2.52639216519214E-6</v>
      </c>
      <c r="C107">
        <v>0.13252864723834301</v>
      </c>
      <c r="D107">
        <v>-4.9067768110991903E-4</v>
      </c>
      <c r="E107">
        <v>6.1312499999999995E-4</v>
      </c>
      <c r="F107">
        <v>-1.32528647238344E-3</v>
      </c>
      <c r="G107" s="1">
        <v>2.1684043449710098E-19</v>
      </c>
      <c r="H107" t="s">
        <v>74</v>
      </c>
      <c r="I107">
        <v>0</v>
      </c>
      <c r="J107" t="s">
        <v>75</v>
      </c>
      <c r="K107">
        <v>3.14159265358979</v>
      </c>
      <c r="L107">
        <v>0.81861616213259703</v>
      </c>
      <c r="M107">
        <v>0</v>
      </c>
      <c r="N107">
        <v>4.8065102624091999E-2</v>
      </c>
      <c r="O107">
        <v>0</v>
      </c>
      <c r="P107">
        <v>1.6E-2</v>
      </c>
      <c r="Q107">
        <v>0</v>
      </c>
      <c r="R107">
        <v>0</v>
      </c>
      <c r="S107">
        <v>0</v>
      </c>
      <c r="T107">
        <v>0</v>
      </c>
      <c r="U107">
        <v>0.82521471018306902</v>
      </c>
      <c r="V107" t="s">
        <v>78</v>
      </c>
      <c r="W107">
        <v>3876495.2885304498</v>
      </c>
      <c r="X107" t="s">
        <v>76</v>
      </c>
      <c r="Y107">
        <v>-1.5707963267949001</v>
      </c>
      <c r="Z107">
        <v>0.81784568730582397</v>
      </c>
      <c r="AA107">
        <v>0</v>
      </c>
      <c r="AB107">
        <v>4.7574947718400699E-2</v>
      </c>
      <c r="AC107">
        <v>0</v>
      </c>
      <c r="AD107">
        <v>1.0488444955871999E-2</v>
      </c>
      <c r="AE107">
        <v>7.2993828952104996E-3</v>
      </c>
      <c r="AF107">
        <v>0</v>
      </c>
      <c r="AG107">
        <v>0.198105216349035</v>
      </c>
      <c r="AH107">
        <v>6.3505626081775707E-2</v>
      </c>
      <c r="AI107">
        <v>0.67241983051672605</v>
      </c>
      <c r="AJ107" t="s">
        <v>74</v>
      </c>
      <c r="AK107">
        <v>0</v>
      </c>
      <c r="AL107" t="s">
        <v>77</v>
      </c>
      <c r="AM107">
        <v>0</v>
      </c>
      <c r="AN107">
        <v>0.99199999999999999</v>
      </c>
      <c r="AO107">
        <v>0</v>
      </c>
      <c r="AP107">
        <v>5.8245346242475203E-2</v>
      </c>
      <c r="AQ107">
        <v>0</v>
      </c>
      <c r="AR107">
        <v>1.6E-2</v>
      </c>
      <c r="AS107">
        <v>0</v>
      </c>
      <c r="AT107">
        <v>0</v>
      </c>
      <c r="AU107">
        <v>0</v>
      </c>
      <c r="AV107">
        <v>0</v>
      </c>
      <c r="AW107">
        <v>1</v>
      </c>
      <c r="AX107" t="s">
        <v>74</v>
      </c>
      <c r="AY107">
        <v>0</v>
      </c>
      <c r="AZ107" t="s">
        <v>76</v>
      </c>
      <c r="BA107">
        <v>-1.5707963267949001</v>
      </c>
      <c r="BB107">
        <v>0.99199999999999999</v>
      </c>
      <c r="BC107">
        <v>0</v>
      </c>
      <c r="BD107">
        <v>5.8245346242475203E-2</v>
      </c>
      <c r="BE107">
        <v>0</v>
      </c>
      <c r="BF107">
        <v>1.6E-2</v>
      </c>
      <c r="BG107">
        <v>0</v>
      </c>
      <c r="BH107">
        <v>0</v>
      </c>
      <c r="BI107">
        <v>0</v>
      </c>
      <c r="BJ107">
        <v>0</v>
      </c>
      <c r="BK107">
        <v>1</v>
      </c>
      <c r="BL107">
        <v>1.06065371413722E-4</v>
      </c>
      <c r="BM107">
        <v>1.3080542121540501E-4</v>
      </c>
      <c r="BN107" s="1">
        <v>3.9460872761158002E-7</v>
      </c>
      <c r="BO107" s="1">
        <v>2.0546867517001802E-6</v>
      </c>
      <c r="BP107">
        <v>0</v>
      </c>
      <c r="BQ107">
        <v>0</v>
      </c>
      <c r="BR107" s="1">
        <v>6.01678563520572E-5</v>
      </c>
      <c r="BS107" s="1">
        <v>7.4905101534769906E-5</v>
      </c>
    </row>
    <row r="108" spans="1:71" x14ac:dyDescent="0.25">
      <c r="A108">
        <v>105</v>
      </c>
      <c r="B108" s="1">
        <v>2.5110739354446499E-6</v>
      </c>
      <c r="C108">
        <v>0.13253115831227899</v>
      </c>
      <c r="D108">
        <v>-4.9068893319856104E-4</v>
      </c>
      <c r="E108">
        <v>6.1312499999999995E-4</v>
      </c>
      <c r="F108">
        <v>-1.3253115831227901E-3</v>
      </c>
      <c r="G108" s="1">
        <v>1.0842021724855E-19</v>
      </c>
      <c r="H108" t="s">
        <v>74</v>
      </c>
      <c r="I108">
        <v>0</v>
      </c>
      <c r="J108" t="s">
        <v>75</v>
      </c>
      <c r="K108">
        <v>3.14159265358979</v>
      </c>
      <c r="L108">
        <v>0.81693408257692202</v>
      </c>
      <c r="M108">
        <v>0</v>
      </c>
      <c r="N108">
        <v>4.7966339210656898E-2</v>
      </c>
      <c r="O108">
        <v>0</v>
      </c>
      <c r="P108">
        <v>1.6E-2</v>
      </c>
      <c r="Q108">
        <v>0</v>
      </c>
      <c r="R108">
        <v>0</v>
      </c>
      <c r="S108">
        <v>0</v>
      </c>
      <c r="T108">
        <v>0</v>
      </c>
      <c r="U108">
        <v>0.82351968038315804</v>
      </c>
      <c r="V108" t="s">
        <v>78</v>
      </c>
      <c r="W108">
        <v>3876592.3885937501</v>
      </c>
      <c r="X108" t="s">
        <v>76</v>
      </c>
      <c r="Y108">
        <v>-1.5707963267949001</v>
      </c>
      <c r="Z108">
        <v>0.81616407311524897</v>
      </c>
      <c r="AA108">
        <v>0</v>
      </c>
      <c r="AB108">
        <v>4.7476480357455803E-2</v>
      </c>
      <c r="AC108">
        <v>0</v>
      </c>
      <c r="AD108">
        <v>1.04202795883667E-2</v>
      </c>
      <c r="AE108">
        <v>7.3693675818699601E-3</v>
      </c>
      <c r="AF108">
        <v>0</v>
      </c>
      <c r="AG108">
        <v>0.199312981464423</v>
      </c>
      <c r="AH108">
        <v>6.4835872899957805E-2</v>
      </c>
      <c r="AI108">
        <v>0.66940009125133904</v>
      </c>
      <c r="AJ108" t="s">
        <v>74</v>
      </c>
      <c r="AK108">
        <v>0</v>
      </c>
      <c r="AL108" t="s">
        <v>77</v>
      </c>
      <c r="AM108">
        <v>0</v>
      </c>
      <c r="AN108">
        <v>0.99199999999999999</v>
      </c>
      <c r="AO108">
        <v>0</v>
      </c>
      <c r="AP108">
        <v>5.8245346242475203E-2</v>
      </c>
      <c r="AQ108">
        <v>0</v>
      </c>
      <c r="AR108">
        <v>1.6E-2</v>
      </c>
      <c r="AS108">
        <v>0</v>
      </c>
      <c r="AT108">
        <v>0</v>
      </c>
      <c r="AU108">
        <v>0</v>
      </c>
      <c r="AV108">
        <v>0</v>
      </c>
      <c r="AW108">
        <v>1</v>
      </c>
      <c r="AX108" t="s">
        <v>74</v>
      </c>
      <c r="AY108">
        <v>0</v>
      </c>
      <c r="AZ108" t="s">
        <v>76</v>
      </c>
      <c r="BA108">
        <v>-1.5707963267949001</v>
      </c>
      <c r="BB108">
        <v>0.99199999999999999</v>
      </c>
      <c r="BC108">
        <v>0</v>
      </c>
      <c r="BD108">
        <v>5.8245346242475203E-2</v>
      </c>
      <c r="BE108">
        <v>0</v>
      </c>
      <c r="BF108">
        <v>1.6E-2</v>
      </c>
      <c r="BG108">
        <v>0</v>
      </c>
      <c r="BH108">
        <v>0</v>
      </c>
      <c r="BI108">
        <v>0</v>
      </c>
      <c r="BJ108">
        <v>0</v>
      </c>
      <c r="BK108">
        <v>1</v>
      </c>
      <c r="BL108">
        <v>1.05966756026532E-4</v>
      </c>
      <c r="BM108">
        <v>1.3207442718218999E-4</v>
      </c>
      <c r="BN108" s="1">
        <v>3.9424141549063299E-7</v>
      </c>
      <c r="BO108" s="1">
        <v>2.0746202508132401E-6</v>
      </c>
      <c r="BP108">
        <v>0</v>
      </c>
      <c r="BQ108">
        <v>0</v>
      </c>
      <c r="BR108" s="1">
        <v>6.0105287397288003E-5</v>
      </c>
      <c r="BS108" s="1">
        <v>7.5631973653317403E-5</v>
      </c>
    </row>
    <row r="109" spans="1:71" x14ac:dyDescent="0.25">
      <c r="A109">
        <v>106</v>
      </c>
      <c r="B109" s="1">
        <v>2.4961381436872801E-6</v>
      </c>
      <c r="C109">
        <v>0.13253365445042301</v>
      </c>
      <c r="D109">
        <v>-4.9070011821968702E-4</v>
      </c>
      <c r="E109">
        <v>6.1312499999999995E-4</v>
      </c>
      <c r="F109">
        <v>-1.32533654450423E-3</v>
      </c>
      <c r="G109" s="1">
        <v>2.1684043449710098E-19</v>
      </c>
      <c r="H109" t="s">
        <v>74</v>
      </c>
      <c r="I109">
        <v>0</v>
      </c>
      <c r="J109" t="s">
        <v>75</v>
      </c>
      <c r="K109">
        <v>3.14159265358979</v>
      </c>
      <c r="L109">
        <v>0.81525203624835296</v>
      </c>
      <c r="M109">
        <v>0</v>
      </c>
      <c r="N109">
        <v>4.7867577748153499E-2</v>
      </c>
      <c r="O109">
        <v>0</v>
      </c>
      <c r="P109">
        <v>1.6E-2</v>
      </c>
      <c r="Q109">
        <v>0</v>
      </c>
      <c r="R109">
        <v>0</v>
      </c>
      <c r="S109">
        <v>0</v>
      </c>
      <c r="T109">
        <v>0</v>
      </c>
      <c r="U109">
        <v>0.82182456162650397</v>
      </c>
      <c r="V109" t="s">
        <v>78</v>
      </c>
      <c r="W109">
        <v>3876688.9098969302</v>
      </c>
      <c r="X109" t="s">
        <v>76</v>
      </c>
      <c r="Y109">
        <v>-1.5707963267949001</v>
      </c>
      <c r="Z109">
        <v>0.81448250328476102</v>
      </c>
      <c r="AA109">
        <v>0</v>
      </c>
      <c r="AB109">
        <v>4.73780220299405E-2</v>
      </c>
      <c r="AC109">
        <v>0</v>
      </c>
      <c r="AD109">
        <v>1.0352137365706201E-2</v>
      </c>
      <c r="AE109">
        <v>7.4393102645754902E-3</v>
      </c>
      <c r="AF109">
        <v>0</v>
      </c>
      <c r="AG109">
        <v>0.20050469163925599</v>
      </c>
      <c r="AH109">
        <v>6.6182124523855301E-2</v>
      </c>
      <c r="AI109">
        <v>0.66638382264848794</v>
      </c>
      <c r="AJ109" t="s">
        <v>74</v>
      </c>
      <c r="AK109">
        <v>0</v>
      </c>
      <c r="AL109" t="s">
        <v>77</v>
      </c>
      <c r="AM109">
        <v>0</v>
      </c>
      <c r="AN109">
        <v>0.99199999999999999</v>
      </c>
      <c r="AO109">
        <v>0</v>
      </c>
      <c r="AP109">
        <v>5.8245346242475203E-2</v>
      </c>
      <c r="AQ109">
        <v>0</v>
      </c>
      <c r="AR109">
        <v>1.6E-2</v>
      </c>
      <c r="AS109">
        <v>0</v>
      </c>
      <c r="AT109">
        <v>0</v>
      </c>
      <c r="AU109">
        <v>0</v>
      </c>
      <c r="AV109">
        <v>0</v>
      </c>
      <c r="AW109">
        <v>1</v>
      </c>
      <c r="AX109" t="s">
        <v>74</v>
      </c>
      <c r="AY109">
        <v>0</v>
      </c>
      <c r="AZ109" t="s">
        <v>76</v>
      </c>
      <c r="BA109">
        <v>-1.5707963267949001</v>
      </c>
      <c r="BB109">
        <v>0.99199999999999999</v>
      </c>
      <c r="BC109">
        <v>0</v>
      </c>
      <c r="BD109">
        <v>5.8245346242475203E-2</v>
      </c>
      <c r="BE109">
        <v>0</v>
      </c>
      <c r="BF109">
        <v>1.6E-2</v>
      </c>
      <c r="BG109">
        <v>0</v>
      </c>
      <c r="BH109">
        <v>0</v>
      </c>
      <c r="BI109">
        <v>0</v>
      </c>
      <c r="BJ109">
        <v>0</v>
      </c>
      <c r="BK109">
        <v>1</v>
      </c>
      <c r="BL109">
        <v>1.05868146131522E-4</v>
      </c>
      <c r="BM109">
        <v>1.33343408081555E-4</v>
      </c>
      <c r="BN109" s="1">
        <v>3.9387414252297499E-7</v>
      </c>
      <c r="BO109" s="1">
        <v>2.0945533561682E-6</v>
      </c>
      <c r="BP109">
        <v>0</v>
      </c>
      <c r="BQ109">
        <v>0</v>
      </c>
      <c r="BR109" s="1">
        <v>6.0042720271986103E-5</v>
      </c>
      <c r="BS109" s="1">
        <v>7.6358833819420996E-5</v>
      </c>
    </row>
    <row r="110" spans="1:71" x14ac:dyDescent="0.25">
      <c r="A110">
        <v>107</v>
      </c>
      <c r="B110" s="1">
        <v>2.4815754851944E-6</v>
      </c>
      <c r="C110">
        <v>0.132536136025908</v>
      </c>
      <c r="D110">
        <v>-4.9071123784777296E-4</v>
      </c>
      <c r="E110">
        <v>6.1312499999999995E-4</v>
      </c>
      <c r="F110">
        <v>-1.3253613602590801E-3</v>
      </c>
      <c r="G110" s="1">
        <v>1.0842021724855E-19</v>
      </c>
      <c r="H110" t="s">
        <v>74</v>
      </c>
      <c r="I110">
        <v>0</v>
      </c>
      <c r="J110" t="s">
        <v>75</v>
      </c>
      <c r="K110">
        <v>3.14159265358979</v>
      </c>
      <c r="L110">
        <v>0.81357002355114705</v>
      </c>
      <c r="M110">
        <v>0</v>
      </c>
      <c r="N110">
        <v>4.77688182603178E-2</v>
      </c>
      <c r="O110">
        <v>0</v>
      </c>
      <c r="P110">
        <v>1.6E-2</v>
      </c>
      <c r="Q110">
        <v>0</v>
      </c>
      <c r="R110">
        <v>0</v>
      </c>
      <c r="S110">
        <v>0</v>
      </c>
      <c r="T110">
        <v>0</v>
      </c>
      <c r="U110">
        <v>0.820129379549983</v>
      </c>
      <c r="V110" t="s">
        <v>78</v>
      </c>
      <c r="W110">
        <v>3876784.8668899098</v>
      </c>
      <c r="X110" t="s">
        <v>76</v>
      </c>
      <c r="Y110">
        <v>-1.5707963267949001</v>
      </c>
      <c r="Z110">
        <v>0.812800978012724</v>
      </c>
      <c r="AA110">
        <v>0</v>
      </c>
      <c r="AB110">
        <v>4.7279572628604702E-2</v>
      </c>
      <c r="AC110">
        <v>0</v>
      </c>
      <c r="AD110">
        <v>1.0284018904912E-2</v>
      </c>
      <c r="AE110">
        <v>7.5092106988696701E-3</v>
      </c>
      <c r="AF110">
        <v>0</v>
      </c>
      <c r="AG110">
        <v>0.20168026151295201</v>
      </c>
      <c r="AH110">
        <v>6.7544465704082401E-2</v>
      </c>
      <c r="AI110">
        <v>0.66337104167349703</v>
      </c>
      <c r="AJ110" t="s">
        <v>74</v>
      </c>
      <c r="AK110">
        <v>0</v>
      </c>
      <c r="AL110" t="s">
        <v>77</v>
      </c>
      <c r="AM110">
        <v>0</v>
      </c>
      <c r="AN110">
        <v>0.99199999999999999</v>
      </c>
      <c r="AO110">
        <v>0</v>
      </c>
      <c r="AP110">
        <v>5.8245346242475203E-2</v>
      </c>
      <c r="AQ110">
        <v>0</v>
      </c>
      <c r="AR110">
        <v>1.6E-2</v>
      </c>
      <c r="AS110">
        <v>0</v>
      </c>
      <c r="AT110">
        <v>0</v>
      </c>
      <c r="AU110">
        <v>0</v>
      </c>
      <c r="AV110">
        <v>0</v>
      </c>
      <c r="AW110">
        <v>1</v>
      </c>
      <c r="AX110" t="s">
        <v>74</v>
      </c>
      <c r="AY110">
        <v>0</v>
      </c>
      <c r="AZ110" t="s">
        <v>76</v>
      </c>
      <c r="BA110">
        <v>-1.5707963267949001</v>
      </c>
      <c r="BB110">
        <v>0.99199999999999999</v>
      </c>
      <c r="BC110">
        <v>0</v>
      </c>
      <c r="BD110">
        <v>5.8245346242475203E-2</v>
      </c>
      <c r="BE110">
        <v>0</v>
      </c>
      <c r="BF110">
        <v>1.6E-2</v>
      </c>
      <c r="BG110">
        <v>0</v>
      </c>
      <c r="BH110">
        <v>0</v>
      </c>
      <c r="BI110">
        <v>0</v>
      </c>
      <c r="BJ110">
        <v>0</v>
      </c>
      <c r="BK110">
        <v>1</v>
      </c>
      <c r="BL110">
        <v>1.05769541686936E-4</v>
      </c>
      <c r="BM110">
        <v>1.3461236360851701E-4</v>
      </c>
      <c r="BN110" s="1">
        <v>3.9350690820776499E-7</v>
      </c>
      <c r="BO110" s="1">
        <v>2.11448606297438E-6</v>
      </c>
      <c r="BP110">
        <v>0</v>
      </c>
      <c r="BQ110">
        <v>0</v>
      </c>
      <c r="BR110" s="1">
        <v>5.99801549808469E-5</v>
      </c>
      <c r="BS110" s="1">
        <v>7.7085681854683905E-5</v>
      </c>
    </row>
    <row r="111" spans="1:71" x14ac:dyDescent="0.25">
      <c r="A111">
        <v>108</v>
      </c>
      <c r="B111" s="1">
        <v>2.4673770372665798E-6</v>
      </c>
      <c r="C111">
        <v>0.13253860340294499</v>
      </c>
      <c r="D111">
        <v>-4.9072229371721404E-4</v>
      </c>
      <c r="E111">
        <v>6.1312499999999995E-4</v>
      </c>
      <c r="F111">
        <v>-1.3253860340294501E-3</v>
      </c>
      <c r="G111" s="1">
        <v>1.0842021724855E-19</v>
      </c>
      <c r="H111" t="s">
        <v>74</v>
      </c>
      <c r="I111">
        <v>0</v>
      </c>
      <c r="J111" t="s">
        <v>75</v>
      </c>
      <c r="K111">
        <v>3.14159265358979</v>
      </c>
      <c r="L111">
        <v>0.81188804489695598</v>
      </c>
      <c r="M111">
        <v>0</v>
      </c>
      <c r="N111">
        <v>4.7670060771320001E-2</v>
      </c>
      <c r="O111">
        <v>0</v>
      </c>
      <c r="P111">
        <v>1.6E-2</v>
      </c>
      <c r="Q111">
        <v>0</v>
      </c>
      <c r="R111">
        <v>0</v>
      </c>
      <c r="S111">
        <v>0</v>
      </c>
      <c r="T111">
        <v>0</v>
      </c>
      <c r="U111">
        <v>0.81843415443141998</v>
      </c>
      <c r="V111" t="s">
        <v>78</v>
      </c>
      <c r="W111">
        <v>3876880.2736767498</v>
      </c>
      <c r="X111" t="s">
        <v>76</v>
      </c>
      <c r="Y111">
        <v>-1.5707963267949001</v>
      </c>
      <c r="Z111">
        <v>0.81111949751017198</v>
      </c>
      <c r="AA111">
        <v>0</v>
      </c>
      <c r="AB111">
        <v>4.7181132049992899E-2</v>
      </c>
      <c r="AC111">
        <v>0</v>
      </c>
      <c r="AD111">
        <v>1.02159248135814E-2</v>
      </c>
      <c r="AE111">
        <v>7.5790686396182303E-3</v>
      </c>
      <c r="AF111">
        <v>0</v>
      </c>
      <c r="AG111">
        <v>0.202839604700805</v>
      </c>
      <c r="AH111">
        <v>6.8922982204224895E-2</v>
      </c>
      <c r="AI111">
        <v>0.66036176519700795</v>
      </c>
      <c r="AJ111" t="s">
        <v>74</v>
      </c>
      <c r="AK111">
        <v>0</v>
      </c>
      <c r="AL111" t="s">
        <v>77</v>
      </c>
      <c r="AM111">
        <v>0</v>
      </c>
      <c r="AN111">
        <v>0.99199999999999999</v>
      </c>
      <c r="AO111">
        <v>0</v>
      </c>
      <c r="AP111">
        <v>5.8245346242475203E-2</v>
      </c>
      <c r="AQ111">
        <v>0</v>
      </c>
      <c r="AR111">
        <v>1.6E-2</v>
      </c>
      <c r="AS111">
        <v>0</v>
      </c>
      <c r="AT111">
        <v>0</v>
      </c>
      <c r="AU111">
        <v>0</v>
      </c>
      <c r="AV111">
        <v>0</v>
      </c>
      <c r="AW111">
        <v>1</v>
      </c>
      <c r="AX111" t="s">
        <v>74</v>
      </c>
      <c r="AY111">
        <v>0</v>
      </c>
      <c r="AZ111" t="s">
        <v>76</v>
      </c>
      <c r="BA111">
        <v>-1.5707963267949001</v>
      </c>
      <c r="BB111">
        <v>0.99199999999999999</v>
      </c>
      <c r="BC111">
        <v>0</v>
      </c>
      <c r="BD111">
        <v>5.8245346242475203E-2</v>
      </c>
      <c r="BE111">
        <v>0</v>
      </c>
      <c r="BF111">
        <v>1.6E-2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1.0567094265313199E-4</v>
      </c>
      <c r="BM111">
        <v>1.35881293452515E-4</v>
      </c>
      <c r="BN111" s="1">
        <v>3.93139712060905E-7</v>
      </c>
      <c r="BO111" s="1">
        <v>2.1344183663535001E-6</v>
      </c>
      <c r="BP111">
        <v>0</v>
      </c>
      <c r="BQ111">
        <v>0</v>
      </c>
      <c r="BR111" s="1">
        <v>5.9917591529111503E-5</v>
      </c>
      <c r="BS111" s="1">
        <v>7.7812517577889598E-5</v>
      </c>
    </row>
    <row r="112" spans="1:71" x14ac:dyDescent="0.25">
      <c r="A112">
        <v>109</v>
      </c>
      <c r="B112" s="1">
        <v>2.4535342425484901E-6</v>
      </c>
      <c r="C112">
        <v>0.13254105693718801</v>
      </c>
      <c r="D112">
        <v>-4.9073328742397105E-4</v>
      </c>
      <c r="E112">
        <v>6.1312499999999995E-4</v>
      </c>
      <c r="F112">
        <v>-1.3254105693718799E-3</v>
      </c>
      <c r="G112" s="1">
        <v>2.1684043449710098E-19</v>
      </c>
      <c r="H112" t="s">
        <v>74</v>
      </c>
      <c r="I112">
        <v>0</v>
      </c>
      <c r="J112" t="s">
        <v>75</v>
      </c>
      <c r="K112">
        <v>3.14159265358979</v>
      </c>
      <c r="L112">
        <v>0.81020610070500099</v>
      </c>
      <c r="M112">
        <v>0</v>
      </c>
      <c r="N112">
        <v>4.7571305305774698E-2</v>
      </c>
      <c r="O112">
        <v>0</v>
      </c>
      <c r="P112">
        <v>1.6E-2</v>
      </c>
      <c r="Q112">
        <v>0</v>
      </c>
      <c r="R112">
        <v>0</v>
      </c>
      <c r="S112">
        <v>0</v>
      </c>
      <c r="T112">
        <v>0</v>
      </c>
      <c r="U112">
        <v>0.81673890236364999</v>
      </c>
      <c r="V112" t="s">
        <v>78</v>
      </c>
      <c r="W112">
        <v>3876975.1440297901</v>
      </c>
      <c r="X112" t="s">
        <v>76</v>
      </c>
      <c r="Y112">
        <v>-1.5707963267949001</v>
      </c>
      <c r="Z112">
        <v>0.80943806200079205</v>
      </c>
      <c r="AA112">
        <v>0</v>
      </c>
      <c r="AB112">
        <v>4.7082700194325401E-2</v>
      </c>
      <c r="AC112">
        <v>0</v>
      </c>
      <c r="AD112">
        <v>1.01478556903098E-2</v>
      </c>
      <c r="AE112">
        <v>7.6488838409697803E-3</v>
      </c>
      <c r="AF112">
        <v>0</v>
      </c>
      <c r="AG112">
        <v>0.20398263377487799</v>
      </c>
      <c r="AH112">
        <v>7.0317760819675001E-2</v>
      </c>
      <c r="AI112">
        <v>0.65735601000172394</v>
      </c>
      <c r="AJ112" t="s">
        <v>74</v>
      </c>
      <c r="AK112">
        <v>0</v>
      </c>
      <c r="AL112" t="s">
        <v>77</v>
      </c>
      <c r="AM112">
        <v>0</v>
      </c>
      <c r="AN112">
        <v>0.99199999999999999</v>
      </c>
      <c r="AO112">
        <v>0</v>
      </c>
      <c r="AP112">
        <v>5.8245346242475203E-2</v>
      </c>
      <c r="AQ112">
        <v>0</v>
      </c>
      <c r="AR112">
        <v>1.6E-2</v>
      </c>
      <c r="AS112">
        <v>0</v>
      </c>
      <c r="AT112">
        <v>0</v>
      </c>
      <c r="AU112">
        <v>0</v>
      </c>
      <c r="AV112">
        <v>0</v>
      </c>
      <c r="AW112">
        <v>1</v>
      </c>
      <c r="AX112" t="s">
        <v>74</v>
      </c>
      <c r="AY112">
        <v>0</v>
      </c>
      <c r="AZ112" t="s">
        <v>76</v>
      </c>
      <c r="BA112">
        <v>-1.5707963267949001</v>
      </c>
      <c r="BB112">
        <v>0.99199999999999999</v>
      </c>
      <c r="BC112">
        <v>0</v>
      </c>
      <c r="BD112">
        <v>5.8245346242475203E-2</v>
      </c>
      <c r="BE112">
        <v>0</v>
      </c>
      <c r="BF112">
        <v>1.6E-2</v>
      </c>
      <c r="BG112">
        <v>0</v>
      </c>
      <c r="BH112">
        <v>0</v>
      </c>
      <c r="BI112">
        <v>0</v>
      </c>
      <c r="BJ112">
        <v>0</v>
      </c>
      <c r="BK112">
        <v>1</v>
      </c>
      <c r="BL112">
        <v>1.0557234899252499E-4</v>
      </c>
      <c r="BM112">
        <v>1.3715019729727701E-4</v>
      </c>
      <c r="BN112" s="1">
        <v>3.9277255361449899E-7</v>
      </c>
      <c r="BO112" s="1">
        <v>2.1543502613375799E-6</v>
      </c>
      <c r="BP112">
        <v>0</v>
      </c>
      <c r="BQ112">
        <v>0</v>
      </c>
      <c r="BR112" s="1">
        <v>5.9855029922562599E-5</v>
      </c>
      <c r="BS112" s="1">
        <v>7.8539340804920297E-5</v>
      </c>
    </row>
    <row r="113" spans="1:71" x14ac:dyDescent="0.25">
      <c r="A113">
        <v>110</v>
      </c>
      <c r="B113" s="1">
        <v>2.4400388932352701E-6</v>
      </c>
      <c r="C113">
        <v>0.132543496976081</v>
      </c>
      <c r="D113">
        <v>-4.9074422052713398E-4</v>
      </c>
      <c r="E113">
        <v>6.1312499999999995E-4</v>
      </c>
      <c r="F113">
        <v>-1.32543496976081E-3</v>
      </c>
      <c r="G113" s="1">
        <v>2.1684043449710098E-19</v>
      </c>
      <c r="H113" t="s">
        <v>74</v>
      </c>
      <c r="I113">
        <v>0</v>
      </c>
      <c r="J113" t="s">
        <v>75</v>
      </c>
      <c r="K113">
        <v>3.14159265358979</v>
      </c>
      <c r="L113">
        <v>0.80852419140228604</v>
      </c>
      <c r="M113">
        <v>0</v>
      </c>
      <c r="N113">
        <v>4.7472551888753503E-2</v>
      </c>
      <c r="O113">
        <v>0</v>
      </c>
      <c r="P113">
        <v>1.6E-2</v>
      </c>
      <c r="Q113">
        <v>0</v>
      </c>
      <c r="R113">
        <v>0</v>
      </c>
      <c r="S113">
        <v>0</v>
      </c>
      <c r="T113">
        <v>0</v>
      </c>
      <c r="U113">
        <v>0.81504363616599196</v>
      </c>
      <c r="V113" t="s">
        <v>78</v>
      </c>
      <c r="W113">
        <v>3877069.49140323</v>
      </c>
      <c r="X113" t="s">
        <v>76</v>
      </c>
      <c r="Y113">
        <v>-1.5707963267949001</v>
      </c>
      <c r="Z113">
        <v>0.80775667172094001</v>
      </c>
      <c r="AA113">
        <v>0</v>
      </c>
      <c r="AB113">
        <v>4.6984276965388497E-2</v>
      </c>
      <c r="AC113">
        <v>0</v>
      </c>
      <c r="AD113">
        <v>1.00798121250968E-2</v>
      </c>
      <c r="AE113">
        <v>7.7186560563149596E-3</v>
      </c>
      <c r="AF113">
        <v>0</v>
      </c>
      <c r="AG113">
        <v>0.20510926024439</v>
      </c>
      <c r="AH113">
        <v>7.1728889396927495E-2</v>
      </c>
      <c r="AI113">
        <v>0.65435379278894801</v>
      </c>
      <c r="AJ113" t="s">
        <v>74</v>
      </c>
      <c r="AK113">
        <v>0</v>
      </c>
      <c r="AL113" t="s">
        <v>77</v>
      </c>
      <c r="AM113">
        <v>0</v>
      </c>
      <c r="AN113">
        <v>0.99199999999999999</v>
      </c>
      <c r="AO113">
        <v>0</v>
      </c>
      <c r="AP113">
        <v>5.8245346242475203E-2</v>
      </c>
      <c r="AQ113">
        <v>0</v>
      </c>
      <c r="AR113">
        <v>1.6E-2</v>
      </c>
      <c r="AS113">
        <v>0</v>
      </c>
      <c r="AT113">
        <v>0</v>
      </c>
      <c r="AU113">
        <v>0</v>
      </c>
      <c r="AV113">
        <v>0</v>
      </c>
      <c r="AW113">
        <v>1</v>
      </c>
      <c r="AX113" t="s">
        <v>74</v>
      </c>
      <c r="AY113">
        <v>0</v>
      </c>
      <c r="AZ113" t="s">
        <v>76</v>
      </c>
      <c r="BA113">
        <v>-1.5707963267949001</v>
      </c>
      <c r="BB113">
        <v>0.99199999999999999</v>
      </c>
      <c r="BC113">
        <v>0</v>
      </c>
      <c r="BD113">
        <v>5.8245346242475203E-2</v>
      </c>
      <c r="BE113">
        <v>0</v>
      </c>
      <c r="BF113">
        <v>1.6E-2</v>
      </c>
      <c r="BG113">
        <v>0</v>
      </c>
      <c r="BH113">
        <v>0</v>
      </c>
      <c r="BI113">
        <v>0</v>
      </c>
      <c r="BJ113">
        <v>0</v>
      </c>
      <c r="BK113">
        <v>1</v>
      </c>
      <c r="BL113">
        <v>1.05473760669546E-4</v>
      </c>
      <c r="BM113">
        <v>1.38419074820659E-4</v>
      </c>
      <c r="BN113" s="1">
        <v>3.9240543241634401E-7</v>
      </c>
      <c r="BO113" s="1">
        <v>2.1742817428663899E-6</v>
      </c>
      <c r="BP113">
        <v>0</v>
      </c>
      <c r="BQ113">
        <v>0</v>
      </c>
      <c r="BR113" s="1">
        <v>5.97924701675228E-5</v>
      </c>
      <c r="BS113" s="1">
        <v>7.9266151348662305E-5</v>
      </c>
    </row>
    <row r="114" spans="1:71" x14ac:dyDescent="0.25">
      <c r="A114">
        <v>111</v>
      </c>
      <c r="B114" s="1">
        <v>2.4268831163724702E-6</v>
      </c>
      <c r="C114">
        <v>0.132545923859197</v>
      </c>
      <c r="D114">
        <v>-4.9075509455042798E-4</v>
      </c>
      <c r="E114">
        <v>6.1312499999999995E-4</v>
      </c>
      <c r="F114">
        <v>-1.3254592385919699E-3</v>
      </c>
      <c r="G114" s="1">
        <v>1.0842021724855E-19</v>
      </c>
      <c r="H114" t="s">
        <v>74</v>
      </c>
      <c r="I114">
        <v>0</v>
      </c>
      <c r="J114" t="s">
        <v>75</v>
      </c>
      <c r="K114">
        <v>3.14159265358979</v>
      </c>
      <c r="L114">
        <v>0.806842317423763</v>
      </c>
      <c r="M114">
        <v>0</v>
      </c>
      <c r="N114">
        <v>4.7373800545794501E-2</v>
      </c>
      <c r="O114">
        <v>0</v>
      </c>
      <c r="P114">
        <v>1.6E-2</v>
      </c>
      <c r="Q114">
        <v>0</v>
      </c>
      <c r="R114">
        <v>0</v>
      </c>
      <c r="S114">
        <v>0</v>
      </c>
      <c r="T114">
        <v>0</v>
      </c>
      <c r="U114">
        <v>0.813348366092705</v>
      </c>
      <c r="V114" t="s">
        <v>78</v>
      </c>
      <c r="W114">
        <v>3877163.3289460698</v>
      </c>
      <c r="X114" t="s">
        <v>76</v>
      </c>
      <c r="Y114">
        <v>-1.5707963267949001</v>
      </c>
      <c r="Z114">
        <v>0.80607532691962003</v>
      </c>
      <c r="AA114">
        <v>0</v>
      </c>
      <c r="AB114">
        <v>4.68858622704263E-2</v>
      </c>
      <c r="AC114">
        <v>0</v>
      </c>
      <c r="AD114">
        <v>1.00117946997328E-2</v>
      </c>
      <c r="AE114">
        <v>7.7883850382483499E-3</v>
      </c>
      <c r="AF114">
        <v>0</v>
      </c>
      <c r="AG114">
        <v>0.20621939453562799</v>
      </c>
      <c r="AH114">
        <v>7.3156456853417096E-2</v>
      </c>
      <c r="AI114">
        <v>0.65135513018476299</v>
      </c>
      <c r="AJ114" t="s">
        <v>74</v>
      </c>
      <c r="AK114">
        <v>0</v>
      </c>
      <c r="AL114" t="s">
        <v>77</v>
      </c>
      <c r="AM114">
        <v>0</v>
      </c>
      <c r="AN114">
        <v>0.99199999999999999</v>
      </c>
      <c r="AO114">
        <v>0</v>
      </c>
      <c r="AP114">
        <v>5.8245346242475203E-2</v>
      </c>
      <c r="AQ114">
        <v>0</v>
      </c>
      <c r="AR114">
        <v>1.6E-2</v>
      </c>
      <c r="AS114">
        <v>0</v>
      </c>
      <c r="AT114">
        <v>0</v>
      </c>
      <c r="AU114">
        <v>0</v>
      </c>
      <c r="AV114">
        <v>0</v>
      </c>
      <c r="AW114">
        <v>1</v>
      </c>
      <c r="AX114" t="s">
        <v>74</v>
      </c>
      <c r="AY114">
        <v>0</v>
      </c>
      <c r="AZ114" t="s">
        <v>76</v>
      </c>
      <c r="BA114">
        <v>-1.5707963267949001</v>
      </c>
      <c r="BB114">
        <v>0.99199999999999999</v>
      </c>
      <c r="BC114">
        <v>0</v>
      </c>
      <c r="BD114">
        <v>5.8245346242475203E-2</v>
      </c>
      <c r="BE114">
        <v>0</v>
      </c>
      <c r="BF114">
        <v>1.6E-2</v>
      </c>
      <c r="BG114">
        <v>0</v>
      </c>
      <c r="BH114">
        <v>0</v>
      </c>
      <c r="BI114">
        <v>0</v>
      </c>
      <c r="BJ114">
        <v>0</v>
      </c>
      <c r="BK114">
        <v>1</v>
      </c>
      <c r="BL114">
        <v>1.05375177650586E-4</v>
      </c>
      <c r="BM114">
        <v>1.3968792569452301E-4</v>
      </c>
      <c r="BN114" s="1">
        <v>3.9203834802944101E-7</v>
      </c>
      <c r="BO114" s="1">
        <v>2.1942128057855501E-6</v>
      </c>
      <c r="BP114">
        <v>0</v>
      </c>
      <c r="BQ114">
        <v>0</v>
      </c>
      <c r="BR114" s="1">
        <v>5.9729912270851102E-5</v>
      </c>
      <c r="BS114" s="1">
        <v>7.9992949018932506E-5</v>
      </c>
    </row>
    <row r="115" spans="1:71" x14ac:dyDescent="0.25">
      <c r="A115">
        <v>112</v>
      </c>
      <c r="B115" s="1">
        <v>2.4140593598040498E-6</v>
      </c>
      <c r="C115">
        <v>0.132548337918557</v>
      </c>
      <c r="D115">
        <v>-4.9076591098365396E-4</v>
      </c>
      <c r="E115">
        <v>6.1312499999999995E-4</v>
      </c>
      <c r="F115">
        <v>-1.32548337918557E-3</v>
      </c>
      <c r="G115" s="1">
        <v>2.1684043449710098E-19</v>
      </c>
      <c r="H115" t="s">
        <v>74</v>
      </c>
      <c r="I115">
        <v>0</v>
      </c>
      <c r="J115" t="s">
        <v>75</v>
      </c>
      <c r="K115">
        <v>3.14159265358979</v>
      </c>
      <c r="L115">
        <v>0.80516047921255696</v>
      </c>
      <c r="M115">
        <v>0</v>
      </c>
      <c r="N115">
        <v>4.7275051302916003E-2</v>
      </c>
      <c r="O115">
        <v>0</v>
      </c>
      <c r="P115">
        <v>1.6E-2</v>
      </c>
      <c r="Q115">
        <v>0</v>
      </c>
      <c r="R115">
        <v>0</v>
      </c>
      <c r="S115">
        <v>0</v>
      </c>
      <c r="T115">
        <v>0</v>
      </c>
      <c r="U115">
        <v>0.81165310038459304</v>
      </c>
      <c r="V115" t="s">
        <v>78</v>
      </c>
      <c r="W115">
        <v>3877256.6695145899</v>
      </c>
      <c r="X115" t="s">
        <v>76</v>
      </c>
      <c r="Y115">
        <v>-1.5707963267949001</v>
      </c>
      <c r="Z115">
        <v>0.80439402785853598</v>
      </c>
      <c r="AA115">
        <v>0</v>
      </c>
      <c r="AB115">
        <v>4.6787456020041598E-2</v>
      </c>
      <c r="AC115">
        <v>0</v>
      </c>
      <c r="AD115">
        <v>9.9438039881723003E-3</v>
      </c>
      <c r="AE115">
        <v>7.8580705385283608E-3</v>
      </c>
      <c r="AF115">
        <v>0</v>
      </c>
      <c r="AG115">
        <v>0.20731294597130401</v>
      </c>
      <c r="AH115">
        <v>7.4600553197820496E-2</v>
      </c>
      <c r="AI115">
        <v>0.64836003874609205</v>
      </c>
      <c r="AJ115" t="s">
        <v>74</v>
      </c>
      <c r="AK115">
        <v>0</v>
      </c>
      <c r="AL115" t="s">
        <v>77</v>
      </c>
      <c r="AM115">
        <v>0</v>
      </c>
      <c r="AN115">
        <v>0.99199999999999999</v>
      </c>
      <c r="AO115">
        <v>0</v>
      </c>
      <c r="AP115">
        <v>5.8245346242475203E-2</v>
      </c>
      <c r="AQ115">
        <v>0</v>
      </c>
      <c r="AR115">
        <v>1.6E-2</v>
      </c>
      <c r="AS115">
        <v>0</v>
      </c>
      <c r="AT115">
        <v>0</v>
      </c>
      <c r="AU115">
        <v>0</v>
      </c>
      <c r="AV115">
        <v>0</v>
      </c>
      <c r="AW115">
        <v>1</v>
      </c>
      <c r="AX115" t="s">
        <v>74</v>
      </c>
      <c r="AY115">
        <v>0</v>
      </c>
      <c r="AZ115" t="s">
        <v>76</v>
      </c>
      <c r="BA115">
        <v>-1.5707963267949001</v>
      </c>
      <c r="BB115">
        <v>0.99199999999999999</v>
      </c>
      <c r="BC115">
        <v>0</v>
      </c>
      <c r="BD115">
        <v>5.8245346242475203E-2</v>
      </c>
      <c r="BE115">
        <v>0</v>
      </c>
      <c r="BF115">
        <v>1.6E-2</v>
      </c>
      <c r="BG115">
        <v>0</v>
      </c>
      <c r="BH115">
        <v>0</v>
      </c>
      <c r="BI115">
        <v>0</v>
      </c>
      <c r="BJ115">
        <v>0</v>
      </c>
      <c r="BK115">
        <v>1</v>
      </c>
      <c r="BL115">
        <v>1.05276599903954E-4</v>
      </c>
      <c r="BM115">
        <v>1.4095674958456201E-4</v>
      </c>
      <c r="BN115" s="1">
        <v>3.91671300031535E-7</v>
      </c>
      <c r="BO115" s="1">
        <v>2.2141434448437898E-6</v>
      </c>
      <c r="BP115">
        <v>0</v>
      </c>
      <c r="BQ115">
        <v>0</v>
      </c>
      <c r="BR115" s="1">
        <v>5.9667356239942903E-5</v>
      </c>
      <c r="BS115" s="1">
        <v>8.0719733622376495E-5</v>
      </c>
    </row>
    <row r="116" spans="1:71" x14ac:dyDescent="0.25">
      <c r="A116">
        <v>113</v>
      </c>
      <c r="B116" s="1">
        <v>2.40156037894925E-6</v>
      </c>
      <c r="C116">
        <v>0.132550739478936</v>
      </c>
      <c r="D116">
        <v>-4.9077667128407103E-4</v>
      </c>
      <c r="E116">
        <v>6.1312499999999995E-4</v>
      </c>
      <c r="F116">
        <v>-1.3255073947893599E-3</v>
      </c>
      <c r="G116" s="1">
        <v>2.1684043449710098E-19</v>
      </c>
      <c r="H116" t="s">
        <v>74</v>
      </c>
      <c r="I116">
        <v>0</v>
      </c>
      <c r="J116" t="s">
        <v>75</v>
      </c>
      <c r="K116">
        <v>3.14159265358979</v>
      </c>
      <c r="L116">
        <v>0.80347867722019395</v>
      </c>
      <c r="M116">
        <v>0</v>
      </c>
      <c r="N116">
        <v>4.71763041866292E-2</v>
      </c>
      <c r="O116">
        <v>0</v>
      </c>
      <c r="P116">
        <v>1.6E-2</v>
      </c>
      <c r="Q116">
        <v>0</v>
      </c>
      <c r="R116">
        <v>0</v>
      </c>
      <c r="S116">
        <v>0</v>
      </c>
      <c r="T116">
        <v>0</v>
      </c>
      <c r="U116">
        <v>0.80995784569916596</v>
      </c>
      <c r="V116" t="s">
        <v>78</v>
      </c>
      <c r="W116">
        <v>3877349.52568421</v>
      </c>
      <c r="X116" t="s">
        <v>76</v>
      </c>
      <c r="Y116">
        <v>-1.5707963267949001</v>
      </c>
      <c r="Z116">
        <v>0.80271277481214898</v>
      </c>
      <c r="AA116">
        <v>0</v>
      </c>
      <c r="AB116">
        <v>4.66890581281015E-2</v>
      </c>
      <c r="AC116">
        <v>0</v>
      </c>
      <c r="AD116">
        <v>9.8758405568920207E-3</v>
      </c>
      <c r="AE116">
        <v>7.9277123080379302E-3</v>
      </c>
      <c r="AF116">
        <v>0</v>
      </c>
      <c r="AG116">
        <v>0.20838982274937701</v>
      </c>
      <c r="AH116">
        <v>7.6061269550893401E-2</v>
      </c>
      <c r="AI116">
        <v>0.64536853496651003</v>
      </c>
      <c r="AJ116" t="s">
        <v>74</v>
      </c>
      <c r="AK116">
        <v>0</v>
      </c>
      <c r="AL116" t="s">
        <v>77</v>
      </c>
      <c r="AM116">
        <v>0</v>
      </c>
      <c r="AN116">
        <v>0.99199999999999999</v>
      </c>
      <c r="AO116">
        <v>0</v>
      </c>
      <c r="AP116">
        <v>5.8245346242475203E-2</v>
      </c>
      <c r="AQ116">
        <v>0</v>
      </c>
      <c r="AR116">
        <v>1.6E-2</v>
      </c>
      <c r="AS116">
        <v>0</v>
      </c>
      <c r="AT116">
        <v>0</v>
      </c>
      <c r="AU116">
        <v>0</v>
      </c>
      <c r="AV116">
        <v>0</v>
      </c>
      <c r="AW116">
        <v>1</v>
      </c>
      <c r="AX116" t="s">
        <v>74</v>
      </c>
      <c r="AY116">
        <v>0</v>
      </c>
      <c r="AZ116" t="s">
        <v>76</v>
      </c>
      <c r="BA116">
        <v>-1.5707963267949001</v>
      </c>
      <c r="BB116">
        <v>0.99199999999999999</v>
      </c>
      <c r="BC116">
        <v>0</v>
      </c>
      <c r="BD116">
        <v>5.8245346242475203E-2</v>
      </c>
      <c r="BE116">
        <v>0</v>
      </c>
      <c r="BF116">
        <v>1.6E-2</v>
      </c>
      <c r="BG116">
        <v>0</v>
      </c>
      <c r="BH116">
        <v>0</v>
      </c>
      <c r="BI116">
        <v>0</v>
      </c>
      <c r="BJ116">
        <v>0</v>
      </c>
      <c r="BK116">
        <v>1</v>
      </c>
      <c r="BL116">
        <v>1.05178027399841E-4</v>
      </c>
      <c r="BM116">
        <v>1.4222554615013499E-4</v>
      </c>
      <c r="BN116" s="1">
        <v>3.9130428801468401E-7</v>
      </c>
      <c r="BO116" s="1">
        <v>2.2340736546902999E-6</v>
      </c>
      <c r="BP116">
        <v>0</v>
      </c>
      <c r="BQ116">
        <v>0</v>
      </c>
      <c r="BR116" s="1">
        <v>5.9604802082729201E-5</v>
      </c>
      <c r="BS116" s="1">
        <v>8.1446504962369505E-5</v>
      </c>
    </row>
    <row r="117" spans="1:71" x14ac:dyDescent="0.25">
      <c r="A117">
        <v>114</v>
      </c>
      <c r="B117" s="1">
        <v>2.38937922449283E-6</v>
      </c>
      <c r="C117">
        <v>0.13255312885816001</v>
      </c>
      <c r="D117">
        <v>-4.9078737687772002E-4</v>
      </c>
      <c r="E117">
        <v>6.1312499999999995E-4</v>
      </c>
      <c r="F117">
        <v>-1.32553128858161E-3</v>
      </c>
      <c r="G117" s="1">
        <v>1.0842021724855E-19</v>
      </c>
      <c r="H117" t="s">
        <v>74</v>
      </c>
      <c r="I117">
        <v>0</v>
      </c>
      <c r="J117" t="s">
        <v>75</v>
      </c>
      <c r="K117">
        <v>3.14159265358979</v>
      </c>
      <c r="L117">
        <v>0.80179691190677305</v>
      </c>
      <c r="M117">
        <v>0</v>
      </c>
      <c r="N117">
        <v>4.7077559223949003E-2</v>
      </c>
      <c r="O117">
        <v>0</v>
      </c>
      <c r="P117">
        <v>1.6E-2</v>
      </c>
      <c r="Q117">
        <v>0</v>
      </c>
      <c r="R117">
        <v>0</v>
      </c>
      <c r="S117">
        <v>0</v>
      </c>
      <c r="T117">
        <v>0</v>
      </c>
      <c r="U117">
        <v>0.80826260744664602</v>
      </c>
      <c r="V117" t="s">
        <v>78</v>
      </c>
      <c r="W117">
        <v>3877441.9097609799</v>
      </c>
      <c r="X117" t="s">
        <v>76</v>
      </c>
      <c r="Y117">
        <v>-1.5707963267949001</v>
      </c>
      <c r="Z117">
        <v>0.80103156806768605</v>
      </c>
      <c r="AA117">
        <v>0</v>
      </c>
      <c r="AB117">
        <v>4.6590668511644603E-2</v>
      </c>
      <c r="AC117">
        <v>0</v>
      </c>
      <c r="AD117">
        <v>9.8079049652319006E-3</v>
      </c>
      <c r="AE117">
        <v>7.9973100967480008E-3</v>
      </c>
      <c r="AF117">
        <v>0</v>
      </c>
      <c r="AG117">
        <v>0.209449931921352</v>
      </c>
      <c r="AH117">
        <v>7.7538698166906506E-2</v>
      </c>
      <c r="AI117">
        <v>0.64238063528174405</v>
      </c>
      <c r="AJ117" t="s">
        <v>74</v>
      </c>
      <c r="AK117">
        <v>0</v>
      </c>
      <c r="AL117" t="s">
        <v>77</v>
      </c>
      <c r="AM117">
        <v>0</v>
      </c>
      <c r="AN117">
        <v>0.99199999999999999</v>
      </c>
      <c r="AO117">
        <v>0</v>
      </c>
      <c r="AP117">
        <v>5.8245346242475203E-2</v>
      </c>
      <c r="AQ117">
        <v>0</v>
      </c>
      <c r="AR117">
        <v>1.6E-2</v>
      </c>
      <c r="AS117">
        <v>0</v>
      </c>
      <c r="AT117">
        <v>0</v>
      </c>
      <c r="AU117">
        <v>0</v>
      </c>
      <c r="AV117">
        <v>0</v>
      </c>
      <c r="AW117">
        <v>1</v>
      </c>
      <c r="AX117" t="s">
        <v>74</v>
      </c>
      <c r="AY117">
        <v>0</v>
      </c>
      <c r="AZ117" t="s">
        <v>76</v>
      </c>
      <c r="BA117">
        <v>-1.5707963267949001</v>
      </c>
      <c r="BB117">
        <v>0.99199999999999999</v>
      </c>
      <c r="BC117">
        <v>0</v>
      </c>
      <c r="BD117">
        <v>5.8245346242475203E-2</v>
      </c>
      <c r="BE117">
        <v>0</v>
      </c>
      <c r="BF117">
        <v>1.6E-2</v>
      </c>
      <c r="BG117">
        <v>0</v>
      </c>
      <c r="BH117">
        <v>0</v>
      </c>
      <c r="BI117">
        <v>0</v>
      </c>
      <c r="BJ117">
        <v>0</v>
      </c>
      <c r="BK117">
        <v>1</v>
      </c>
      <c r="BL117">
        <v>1.05079460110272E-4</v>
      </c>
      <c r="BM117">
        <v>1.43494315044129E-4</v>
      </c>
      <c r="BN117" s="1">
        <v>3.9093731158483101E-7</v>
      </c>
      <c r="BO117" s="1">
        <v>2.2540034298726798E-6</v>
      </c>
      <c r="BP117">
        <v>0</v>
      </c>
      <c r="BQ117">
        <v>0</v>
      </c>
      <c r="BR117" s="1">
        <v>5.9542249807675298E-5</v>
      </c>
      <c r="BS117" s="1">
        <v>8.2173262838939104E-5</v>
      </c>
    </row>
    <row r="118" spans="1:71" x14ac:dyDescent="0.25">
      <c r="A118">
        <v>115</v>
      </c>
      <c r="B118" s="1">
        <v>2.3775092304829298E-6</v>
      </c>
      <c r="C118">
        <v>0.132555506367391</v>
      </c>
      <c r="D118">
        <v>-4.9079802916069597E-4</v>
      </c>
      <c r="E118">
        <v>6.1312499999999995E-4</v>
      </c>
      <c r="F118">
        <v>-1.3255550636739101E-3</v>
      </c>
      <c r="G118" s="1">
        <v>2.1684043449710098E-19</v>
      </c>
      <c r="H118" t="s">
        <v>74</v>
      </c>
      <c r="I118">
        <v>0</v>
      </c>
      <c r="J118" t="s">
        <v>75</v>
      </c>
      <c r="K118">
        <v>3.14159265358979</v>
      </c>
      <c r="L118">
        <v>0.80011518374122303</v>
      </c>
      <c r="M118">
        <v>0</v>
      </c>
      <c r="N118">
        <v>4.6978816442408498E-2</v>
      </c>
      <c r="O118">
        <v>0</v>
      </c>
      <c r="P118">
        <v>1.6E-2</v>
      </c>
      <c r="Q118">
        <v>0</v>
      </c>
      <c r="R118">
        <v>0</v>
      </c>
      <c r="S118">
        <v>0</v>
      </c>
      <c r="T118">
        <v>0</v>
      </c>
      <c r="U118">
        <v>0.80656739005308198</v>
      </c>
      <c r="V118" t="s">
        <v>78</v>
      </c>
      <c r="W118">
        <v>3877533.8337925202</v>
      </c>
      <c r="X118" t="s">
        <v>76</v>
      </c>
      <c r="Y118">
        <v>-1.5707963267949001</v>
      </c>
      <c r="Z118">
        <v>0.79935040792524203</v>
      </c>
      <c r="AA118">
        <v>0</v>
      </c>
      <c r="AB118">
        <v>4.6492287090796898E-2</v>
      </c>
      <c r="AC118">
        <v>0</v>
      </c>
      <c r="AD118">
        <v>9.7399977657261893E-3</v>
      </c>
      <c r="AE118">
        <v>8.0668636536781902E-3</v>
      </c>
      <c r="AF118">
        <v>0</v>
      </c>
      <c r="AG118">
        <v>0.210493179369968</v>
      </c>
      <c r="AH118">
        <v>7.9032932455577395E-2</v>
      </c>
      <c r="AI118">
        <v>0.63939635607511802</v>
      </c>
      <c r="AJ118" t="s">
        <v>74</v>
      </c>
      <c r="AK118">
        <v>0</v>
      </c>
      <c r="AL118" t="s">
        <v>77</v>
      </c>
      <c r="AM118">
        <v>0</v>
      </c>
      <c r="AN118">
        <v>0.99199999999999999</v>
      </c>
      <c r="AO118">
        <v>0</v>
      </c>
      <c r="AP118">
        <v>5.8245346242475203E-2</v>
      </c>
      <c r="AQ118">
        <v>0</v>
      </c>
      <c r="AR118">
        <v>1.6E-2</v>
      </c>
      <c r="AS118">
        <v>0</v>
      </c>
      <c r="AT118">
        <v>0</v>
      </c>
      <c r="AU118">
        <v>0</v>
      </c>
      <c r="AV118">
        <v>0</v>
      </c>
      <c r="AW118">
        <v>1</v>
      </c>
      <c r="AX118" t="s">
        <v>74</v>
      </c>
      <c r="AY118">
        <v>0</v>
      </c>
      <c r="AZ118" t="s">
        <v>76</v>
      </c>
      <c r="BA118">
        <v>-1.5707963267949001</v>
      </c>
      <c r="BB118">
        <v>0.99199999999999999</v>
      </c>
      <c r="BC118">
        <v>0</v>
      </c>
      <c r="BD118">
        <v>5.8245346242475203E-2</v>
      </c>
      <c r="BE118">
        <v>0</v>
      </c>
      <c r="BF118">
        <v>1.6E-2</v>
      </c>
      <c r="BG118">
        <v>0</v>
      </c>
      <c r="BH118">
        <v>0</v>
      </c>
      <c r="BI118">
        <v>0</v>
      </c>
      <c r="BJ118">
        <v>0</v>
      </c>
      <c r="BK118">
        <v>1</v>
      </c>
      <c r="BL118">
        <v>1.04980898009078E-4</v>
      </c>
      <c r="BM118">
        <v>1.4476305591277201E-4</v>
      </c>
      <c r="BN118" s="1">
        <v>3.9057037036141398E-7</v>
      </c>
      <c r="BO118" s="1">
        <v>2.2739327648338698E-6</v>
      </c>
      <c r="BP118">
        <v>0</v>
      </c>
      <c r="BQ118">
        <v>0</v>
      </c>
      <c r="BR118" s="1">
        <v>5.9479699423782398E-5</v>
      </c>
      <c r="BS118" s="1">
        <v>8.2900007048652497E-5</v>
      </c>
    </row>
    <row r="119" spans="1:71" x14ac:dyDescent="0.25">
      <c r="A119">
        <v>116</v>
      </c>
      <c r="B119" s="1">
        <v>2.36594400333039E-6</v>
      </c>
      <c r="C119">
        <v>0.13255787231139399</v>
      </c>
      <c r="D119">
        <v>-4.9080862950037503E-4</v>
      </c>
      <c r="E119">
        <v>6.1312499999999995E-4</v>
      </c>
      <c r="F119">
        <v>-1.32557872311394E-3</v>
      </c>
      <c r="G119" s="1">
        <v>1.0842021724855E-19</v>
      </c>
      <c r="H119" t="s">
        <v>74</v>
      </c>
      <c r="I119">
        <v>0</v>
      </c>
      <c r="J119" t="s">
        <v>75</v>
      </c>
      <c r="K119">
        <v>3.14159265358979</v>
      </c>
      <c r="L119">
        <v>0.79843349320151602</v>
      </c>
      <c r="M119">
        <v>0</v>
      </c>
      <c r="N119">
        <v>4.6880075870071897E-2</v>
      </c>
      <c r="O119">
        <v>0</v>
      </c>
      <c r="P119">
        <v>1.6E-2</v>
      </c>
      <c r="Q119">
        <v>0</v>
      </c>
      <c r="R119">
        <v>0</v>
      </c>
      <c r="S119">
        <v>0</v>
      </c>
      <c r="T119">
        <v>0</v>
      </c>
      <c r="U119">
        <v>0.80487219716668801</v>
      </c>
      <c r="V119" t="s">
        <v>78</v>
      </c>
      <c r="W119">
        <v>3877625.3095786101</v>
      </c>
      <c r="X119" t="s">
        <v>76</v>
      </c>
      <c r="Y119">
        <v>-1.5707963267949001</v>
      </c>
      <c r="Z119">
        <v>0.79766929469784598</v>
      </c>
      <c r="AA119">
        <v>0</v>
      </c>
      <c r="AB119">
        <v>4.6393913788689803E-2</v>
      </c>
      <c r="AC119">
        <v>0</v>
      </c>
      <c r="AD119">
        <v>9.6721195044196101E-3</v>
      </c>
      <c r="AE119">
        <v>8.1363727268597592E-3</v>
      </c>
      <c r="AF119">
        <v>0</v>
      </c>
      <c r="AG119">
        <v>0.21151946978630901</v>
      </c>
      <c r="AH119">
        <v>8.0544067004630598E-2</v>
      </c>
      <c r="AI119">
        <v>0.63641571368271199</v>
      </c>
      <c r="AJ119" t="s">
        <v>74</v>
      </c>
      <c r="AK119">
        <v>0</v>
      </c>
      <c r="AL119" t="s">
        <v>77</v>
      </c>
      <c r="AM119">
        <v>0</v>
      </c>
      <c r="AN119">
        <v>0.99199999999999999</v>
      </c>
      <c r="AO119">
        <v>0</v>
      </c>
      <c r="AP119">
        <v>5.8245346242475203E-2</v>
      </c>
      <c r="AQ119">
        <v>0</v>
      </c>
      <c r="AR119">
        <v>1.6E-2</v>
      </c>
      <c r="AS119">
        <v>0</v>
      </c>
      <c r="AT119">
        <v>0</v>
      </c>
      <c r="AU119">
        <v>0</v>
      </c>
      <c r="AV119">
        <v>0</v>
      </c>
      <c r="AW119">
        <v>1</v>
      </c>
      <c r="AX119" t="s">
        <v>74</v>
      </c>
      <c r="AY119">
        <v>0</v>
      </c>
      <c r="AZ119" t="s">
        <v>76</v>
      </c>
      <c r="BA119">
        <v>-1.5707963267949001</v>
      </c>
      <c r="BB119">
        <v>0.99199999999999999</v>
      </c>
      <c r="BC119">
        <v>0</v>
      </c>
      <c r="BD119">
        <v>5.8245346242475203E-2</v>
      </c>
      <c r="BE119">
        <v>0</v>
      </c>
      <c r="BF119">
        <v>1.6E-2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1.04882341071856E-4</v>
      </c>
      <c r="BM119">
        <v>1.4603176839547E-4</v>
      </c>
      <c r="BN119" s="1">
        <v>3.9020346397698803E-7</v>
      </c>
      <c r="BO119" s="1">
        <v>2.2938616539096701E-6</v>
      </c>
      <c r="BP119">
        <v>0</v>
      </c>
      <c r="BQ119">
        <v>0</v>
      </c>
      <c r="BR119" s="1">
        <v>5.9417150940587703E-5</v>
      </c>
      <c r="BS119" s="1">
        <v>8.3626737384523506E-5</v>
      </c>
    </row>
    <row r="120" spans="1:71" x14ac:dyDescent="0.25">
      <c r="A120">
        <v>117</v>
      </c>
      <c r="B120" s="1">
        <v>2.3546774113124099E-6</v>
      </c>
      <c r="C120">
        <v>0.13256022698880601</v>
      </c>
      <c r="D120">
        <v>-4.9081917923658302E-4</v>
      </c>
      <c r="E120">
        <v>6.1312499999999995E-4</v>
      </c>
      <c r="F120">
        <v>-1.32560226988806E-3</v>
      </c>
      <c r="G120" s="1">
        <v>2.1684043449710098E-19</v>
      </c>
      <c r="H120" t="s">
        <v>74</v>
      </c>
      <c r="I120">
        <v>0</v>
      </c>
      <c r="J120" t="s">
        <v>75</v>
      </c>
      <c r="K120">
        <v>3.14159265358979</v>
      </c>
      <c r="L120">
        <v>0.79675184077488603</v>
      </c>
      <c r="M120">
        <v>0</v>
      </c>
      <c r="N120">
        <v>4.6781337535547099E-2</v>
      </c>
      <c r="O120">
        <v>0</v>
      </c>
      <c r="P120">
        <v>1.6E-2</v>
      </c>
      <c r="Q120">
        <v>0</v>
      </c>
      <c r="R120">
        <v>0</v>
      </c>
      <c r="S120">
        <v>0</v>
      </c>
      <c r="T120">
        <v>0</v>
      </c>
      <c r="U120">
        <v>0.80317703182005096</v>
      </c>
      <c r="V120" t="s">
        <v>78</v>
      </c>
      <c r="W120">
        <v>3877716.3486813102</v>
      </c>
      <c r="X120" t="s">
        <v>76</v>
      </c>
      <c r="Y120">
        <v>-1.5707963267949001</v>
      </c>
      <c r="Z120">
        <v>0.79598822871153496</v>
      </c>
      <c r="AA120">
        <v>0</v>
      </c>
      <c r="AB120">
        <v>4.6295548531382E-2</v>
      </c>
      <c r="AC120">
        <v>0</v>
      </c>
      <c r="AD120">
        <v>9.6042707211715095E-3</v>
      </c>
      <c r="AE120">
        <v>8.2058370632990003E-3</v>
      </c>
      <c r="AF120">
        <v>0</v>
      </c>
      <c r="AG120">
        <v>0.21252870664631601</v>
      </c>
      <c r="AH120">
        <v>8.2072197602961097E-2</v>
      </c>
      <c r="AI120">
        <v>0.63343872439835303</v>
      </c>
      <c r="AJ120" t="s">
        <v>74</v>
      </c>
      <c r="AK120">
        <v>0</v>
      </c>
      <c r="AL120" t="s">
        <v>77</v>
      </c>
      <c r="AM120">
        <v>0</v>
      </c>
      <c r="AN120">
        <v>0.99199999999999999</v>
      </c>
      <c r="AO120">
        <v>0</v>
      </c>
      <c r="AP120">
        <v>5.8245346242475203E-2</v>
      </c>
      <c r="AQ120">
        <v>0</v>
      </c>
      <c r="AR120">
        <v>1.6E-2</v>
      </c>
      <c r="AS120">
        <v>0</v>
      </c>
      <c r="AT120">
        <v>0</v>
      </c>
      <c r="AU120">
        <v>0</v>
      </c>
      <c r="AV120">
        <v>0</v>
      </c>
      <c r="AW120">
        <v>1</v>
      </c>
      <c r="AX120" t="s">
        <v>74</v>
      </c>
      <c r="AY120">
        <v>0</v>
      </c>
      <c r="AZ120" t="s">
        <v>76</v>
      </c>
      <c r="BA120">
        <v>-1.5707963267949001</v>
      </c>
      <c r="BB120">
        <v>0.99199999999999999</v>
      </c>
      <c r="BC120">
        <v>0</v>
      </c>
      <c r="BD120">
        <v>5.8245346242475203E-2</v>
      </c>
      <c r="BE120">
        <v>0</v>
      </c>
      <c r="BF120">
        <v>1.6E-2</v>
      </c>
      <c r="BG120">
        <v>0</v>
      </c>
      <c r="BH120">
        <v>0</v>
      </c>
      <c r="BI120">
        <v>0</v>
      </c>
      <c r="BJ120">
        <v>0</v>
      </c>
      <c r="BK120">
        <v>1</v>
      </c>
      <c r="BL120">
        <v>1.0478378927594E-4</v>
      </c>
      <c r="BM120">
        <v>1.47300452124639E-4</v>
      </c>
      <c r="BN120" s="1">
        <v>3.8983659207686202E-7</v>
      </c>
      <c r="BO120" s="1">
        <v>2.3137900913261E-6</v>
      </c>
      <c r="BP120">
        <v>0</v>
      </c>
      <c r="BQ120">
        <v>0</v>
      </c>
      <c r="BR120" s="1">
        <v>5.93546043681659E-5</v>
      </c>
      <c r="BS120" s="1">
        <v>8.4353453635916696E-5</v>
      </c>
    </row>
    <row r="121" spans="1:71" x14ac:dyDescent="0.25">
      <c r="A121">
        <v>118</v>
      </c>
      <c r="B121" s="1">
        <v>2.3437035746165601E-6</v>
      </c>
      <c r="C121">
        <v>0.13256257069238001</v>
      </c>
      <c r="D121">
        <v>-4.9082967968273395E-4</v>
      </c>
      <c r="E121">
        <v>6.1312499999999995E-4</v>
      </c>
      <c r="F121">
        <v>-1.3256257069238001E-3</v>
      </c>
      <c r="G121" s="1">
        <v>2.1684043449710098E-19</v>
      </c>
      <c r="H121" t="s">
        <v>74</v>
      </c>
      <c r="I121">
        <v>0</v>
      </c>
      <c r="J121" t="s">
        <v>75</v>
      </c>
      <c r="K121">
        <v>3.14159265358979</v>
      </c>
      <c r="L121">
        <v>0.79507022695815599</v>
      </c>
      <c r="M121">
        <v>0</v>
      </c>
      <c r="N121">
        <v>4.6682601468005201E-2</v>
      </c>
      <c r="O121">
        <v>0</v>
      </c>
      <c r="P121">
        <v>1.6E-2</v>
      </c>
      <c r="Q121">
        <v>0</v>
      </c>
      <c r="R121">
        <v>0</v>
      </c>
      <c r="S121">
        <v>0</v>
      </c>
      <c r="T121">
        <v>0</v>
      </c>
      <c r="U121">
        <v>0.80148189655802704</v>
      </c>
      <c r="V121" t="s">
        <v>78</v>
      </c>
      <c r="W121">
        <v>3877806.9624347501</v>
      </c>
      <c r="X121" t="s">
        <v>76</v>
      </c>
      <c r="Y121">
        <v>-1.5707963267949001</v>
      </c>
      <c r="Z121">
        <v>0.79430721030554197</v>
      </c>
      <c r="AA121">
        <v>0</v>
      </c>
      <c r="AB121">
        <v>4.6197191247791203E-2</v>
      </c>
      <c r="AC121">
        <v>0</v>
      </c>
      <c r="AD121">
        <v>9.5364519499528608E-3</v>
      </c>
      <c r="AE121">
        <v>8.2752564089364801E-3</v>
      </c>
      <c r="AF121">
        <v>0</v>
      </c>
      <c r="AG121">
        <v>0.213520792186601</v>
      </c>
      <c r="AH121">
        <v>8.3617421264324199E-2</v>
      </c>
      <c r="AI121">
        <v>0.63046540447860999</v>
      </c>
      <c r="AJ121" t="s">
        <v>74</v>
      </c>
      <c r="AK121">
        <v>0</v>
      </c>
      <c r="AL121" t="s">
        <v>77</v>
      </c>
      <c r="AM121">
        <v>0</v>
      </c>
      <c r="AN121">
        <v>0.99199999999999999</v>
      </c>
      <c r="AO121">
        <v>0</v>
      </c>
      <c r="AP121">
        <v>5.8245346242475203E-2</v>
      </c>
      <c r="AQ121">
        <v>0</v>
      </c>
      <c r="AR121">
        <v>1.6E-2</v>
      </c>
      <c r="AS121">
        <v>0</v>
      </c>
      <c r="AT121">
        <v>0</v>
      </c>
      <c r="AU121">
        <v>0</v>
      </c>
      <c r="AV121">
        <v>0</v>
      </c>
      <c r="AW121">
        <v>1</v>
      </c>
      <c r="AX121" t="s">
        <v>74</v>
      </c>
      <c r="AY121">
        <v>0</v>
      </c>
      <c r="AZ121" t="s">
        <v>76</v>
      </c>
      <c r="BA121">
        <v>-1.5707963267949001</v>
      </c>
      <c r="BB121">
        <v>0.99199999999999999</v>
      </c>
      <c r="BC121">
        <v>0</v>
      </c>
      <c r="BD121">
        <v>5.8245346242475203E-2</v>
      </c>
      <c r="BE121">
        <v>0</v>
      </c>
      <c r="BF121">
        <v>1.6E-2</v>
      </c>
      <c r="BG121">
        <v>0</v>
      </c>
      <c r="BH121">
        <v>0</v>
      </c>
      <c r="BI121">
        <v>0</v>
      </c>
      <c r="BJ121">
        <v>0</v>
      </c>
      <c r="BK121">
        <v>1</v>
      </c>
      <c r="BL121">
        <v>1.04685242600373E-4</v>
      </c>
      <c r="BM121">
        <v>1.48569106725463E-4</v>
      </c>
      <c r="BN121" s="1">
        <v>3.8946975431878102E-7</v>
      </c>
      <c r="BO121" s="1">
        <v>2.3337180711955598E-6</v>
      </c>
      <c r="BP121">
        <v>0</v>
      </c>
      <c r="BQ121">
        <v>0</v>
      </c>
      <c r="BR121" s="1">
        <v>5.9292059717134003E-5</v>
      </c>
      <c r="BS121" s="1">
        <v>8.5080155588404606E-5</v>
      </c>
    </row>
    <row r="122" spans="1:71" x14ac:dyDescent="0.25">
      <c r="A122">
        <v>119</v>
      </c>
      <c r="B122" s="1">
        <v>2.3330168561301099E-6</v>
      </c>
      <c r="C122">
        <v>0.13256490370923599</v>
      </c>
      <c r="D122">
        <v>-4.9084013212691497E-4</v>
      </c>
      <c r="E122">
        <v>6.1312499999999995E-4</v>
      </c>
      <c r="F122">
        <v>-1.3256490370923599E-3</v>
      </c>
      <c r="G122" s="1">
        <v>2.1684043449710098E-19</v>
      </c>
      <c r="H122" t="s">
        <v>74</v>
      </c>
      <c r="I122">
        <v>0</v>
      </c>
      <c r="J122" t="s">
        <v>75</v>
      </c>
      <c r="K122">
        <v>3.14159265358979</v>
      </c>
      <c r="L122">
        <v>0.79338865225787003</v>
      </c>
      <c r="M122">
        <v>0</v>
      </c>
      <c r="N122">
        <v>4.6583867697187899E-2</v>
      </c>
      <c r="O122">
        <v>0</v>
      </c>
      <c r="P122">
        <v>1.6E-2</v>
      </c>
      <c r="Q122">
        <v>0</v>
      </c>
      <c r="R122">
        <v>0</v>
      </c>
      <c r="S122">
        <v>0</v>
      </c>
      <c r="T122">
        <v>0</v>
      </c>
      <c r="U122">
        <v>0.79978679353854498</v>
      </c>
      <c r="V122" t="s">
        <v>78</v>
      </c>
      <c r="W122">
        <v>3877897.1619544802</v>
      </c>
      <c r="X122" t="s">
        <v>76</v>
      </c>
      <c r="Y122">
        <v>-1.5707963267949001</v>
      </c>
      <c r="Z122">
        <v>0.79262623983230196</v>
      </c>
      <c r="AA122">
        <v>0</v>
      </c>
      <c r="AB122">
        <v>4.60988418696179E-2</v>
      </c>
      <c r="AC122">
        <v>0</v>
      </c>
      <c r="AD122">
        <v>9.4686637191240507E-3</v>
      </c>
      <c r="AE122">
        <v>8.3446305086151001E-3</v>
      </c>
      <c r="AF122">
        <v>0</v>
      </c>
      <c r="AG122">
        <v>0.21449562737972599</v>
      </c>
      <c r="AH122">
        <v>8.5179836251857599E-2</v>
      </c>
      <c r="AI122">
        <v>0.62749577014728397</v>
      </c>
      <c r="AJ122" t="s">
        <v>74</v>
      </c>
      <c r="AK122">
        <v>0</v>
      </c>
      <c r="AL122" t="s">
        <v>77</v>
      </c>
      <c r="AM122">
        <v>0</v>
      </c>
      <c r="AN122">
        <v>0.99199999999999999</v>
      </c>
      <c r="AO122">
        <v>0</v>
      </c>
      <c r="AP122">
        <v>5.8245346242475203E-2</v>
      </c>
      <c r="AQ122">
        <v>0</v>
      </c>
      <c r="AR122">
        <v>1.6E-2</v>
      </c>
      <c r="AS122">
        <v>0</v>
      </c>
      <c r="AT122">
        <v>0</v>
      </c>
      <c r="AU122">
        <v>0</v>
      </c>
      <c r="AV122">
        <v>0</v>
      </c>
      <c r="AW122">
        <v>1</v>
      </c>
      <c r="AX122" t="s">
        <v>74</v>
      </c>
      <c r="AY122">
        <v>0</v>
      </c>
      <c r="AZ122" t="s">
        <v>76</v>
      </c>
      <c r="BA122">
        <v>-1.5707963267949001</v>
      </c>
      <c r="BB122">
        <v>0.99199999999999999</v>
      </c>
      <c r="BC122">
        <v>0</v>
      </c>
      <c r="BD122">
        <v>5.8245346242475203E-2</v>
      </c>
      <c r="BE122">
        <v>0</v>
      </c>
      <c r="BF122">
        <v>1.6E-2</v>
      </c>
      <c r="BG122">
        <v>0</v>
      </c>
      <c r="BH122">
        <v>0</v>
      </c>
      <c r="BI122">
        <v>0</v>
      </c>
      <c r="BJ122">
        <v>0</v>
      </c>
      <c r="BK122">
        <v>1</v>
      </c>
      <c r="BL122">
        <v>1.04586701025878E-4</v>
      </c>
      <c r="BM122">
        <v>1.4983773181579199E-4</v>
      </c>
      <c r="BN122" s="1">
        <v>3.8910295037257402E-7</v>
      </c>
      <c r="BO122" s="1">
        <v>2.3536455875152498E-6</v>
      </c>
      <c r="BP122">
        <v>0</v>
      </c>
      <c r="BQ122">
        <v>0</v>
      </c>
      <c r="BR122" s="1">
        <v>5.9229516998649598E-5</v>
      </c>
      <c r="BS122" s="1">
        <v>8.5806843023710896E-5</v>
      </c>
    </row>
    <row r="123" spans="1:71" x14ac:dyDescent="0.25">
      <c r="A123">
        <v>120</v>
      </c>
      <c r="B123" s="1">
        <v>2.3226118524930501E-6</v>
      </c>
      <c r="C123">
        <v>0.132567226321089</v>
      </c>
      <c r="D123">
        <v>-4.9085053783293696E-4</v>
      </c>
      <c r="E123">
        <v>6.1312499999999995E-4</v>
      </c>
      <c r="F123">
        <v>-1.3256722632108899E-3</v>
      </c>
      <c r="G123" s="1">
        <v>2.1684043449710098E-19</v>
      </c>
      <c r="H123" t="s">
        <v>74</v>
      </c>
      <c r="I123">
        <v>0</v>
      </c>
      <c r="J123" t="s">
        <v>75</v>
      </c>
      <c r="K123">
        <v>3.14159265358979</v>
      </c>
      <c r="L123">
        <v>0.79170711719067499</v>
      </c>
      <c r="M123">
        <v>0</v>
      </c>
      <c r="N123">
        <v>4.6485136253430197E-2</v>
      </c>
      <c r="O123">
        <v>0</v>
      </c>
      <c r="P123">
        <v>1.6E-2</v>
      </c>
      <c r="Q123">
        <v>0</v>
      </c>
      <c r="R123">
        <v>0</v>
      </c>
      <c r="S123">
        <v>0</v>
      </c>
      <c r="T123">
        <v>0</v>
      </c>
      <c r="U123">
        <v>0.79809172461261801</v>
      </c>
      <c r="V123" t="s">
        <v>78</v>
      </c>
      <c r="W123">
        <v>3877986.9581465898</v>
      </c>
      <c r="X123" t="s">
        <v>76</v>
      </c>
      <c r="Y123">
        <v>-1.5707963267949001</v>
      </c>
      <c r="Z123">
        <v>0.79094531765770104</v>
      </c>
      <c r="AA123">
        <v>0</v>
      </c>
      <c r="AB123">
        <v>4.6000500331287698E-2</v>
      </c>
      <c r="AC123">
        <v>0</v>
      </c>
      <c r="AD123">
        <v>9.4009065517126206E-3</v>
      </c>
      <c r="AE123">
        <v>8.4139591060379808E-3</v>
      </c>
      <c r="AF123">
        <v>0</v>
      </c>
      <c r="AG123">
        <v>0.21545311190866501</v>
      </c>
      <c r="AH123">
        <v>8.6759542103039905E-2</v>
      </c>
      <c r="AI123">
        <v>0.624529837600168</v>
      </c>
      <c r="AJ123" t="s">
        <v>74</v>
      </c>
      <c r="AK123">
        <v>0</v>
      </c>
      <c r="AL123" t="s">
        <v>77</v>
      </c>
      <c r="AM123">
        <v>0</v>
      </c>
      <c r="AN123">
        <v>0.99199999999999999</v>
      </c>
      <c r="AO123">
        <v>0</v>
      </c>
      <c r="AP123">
        <v>5.8245346242475203E-2</v>
      </c>
      <c r="AQ123">
        <v>0</v>
      </c>
      <c r="AR123">
        <v>1.6E-2</v>
      </c>
      <c r="AS123">
        <v>0</v>
      </c>
      <c r="AT123">
        <v>0</v>
      </c>
      <c r="AU123">
        <v>0</v>
      </c>
      <c r="AV123">
        <v>0</v>
      </c>
      <c r="AW123">
        <v>1</v>
      </c>
      <c r="AX123" t="s">
        <v>74</v>
      </c>
      <c r="AY123">
        <v>0</v>
      </c>
      <c r="AZ123" t="s">
        <v>76</v>
      </c>
      <c r="BA123">
        <v>-1.5707963267949001</v>
      </c>
      <c r="BB123">
        <v>0.99199999999999999</v>
      </c>
      <c r="BC123">
        <v>0</v>
      </c>
      <c r="BD123">
        <v>5.8245346242475203E-2</v>
      </c>
      <c r="BE123">
        <v>0</v>
      </c>
      <c r="BF123">
        <v>1.6E-2</v>
      </c>
      <c r="BG123">
        <v>0</v>
      </c>
      <c r="BH123">
        <v>0</v>
      </c>
      <c r="BI123">
        <v>0</v>
      </c>
      <c r="BJ123">
        <v>0</v>
      </c>
      <c r="BK123">
        <v>1</v>
      </c>
      <c r="BL123">
        <v>1.0448816453483401E-4</v>
      </c>
      <c r="BM123">
        <v>1.5110632700585301E-4</v>
      </c>
      <c r="BN123" s="1">
        <v>3.8873617991987501E-7</v>
      </c>
      <c r="BO123" s="1">
        <v>2.3735726341626198E-6</v>
      </c>
      <c r="BP123">
        <v>0</v>
      </c>
      <c r="BQ123">
        <v>0</v>
      </c>
      <c r="BR123" s="1">
        <v>5.9166976224418803E-5</v>
      </c>
      <c r="BS123" s="1">
        <v>8.6533515719544306E-5</v>
      </c>
    </row>
    <row r="124" spans="1:71" x14ac:dyDescent="0.25">
      <c r="A124">
        <v>121</v>
      </c>
      <c r="B124" s="1">
        <v>2.3124833858603501E-6</v>
      </c>
      <c r="C124">
        <v>0.132569538804475</v>
      </c>
      <c r="D124">
        <v>-4.9086089804134699E-4</v>
      </c>
      <c r="E124">
        <v>6.1312499999999995E-4</v>
      </c>
      <c r="F124">
        <v>-1.32569538804475E-3</v>
      </c>
      <c r="G124" s="1">
        <v>2.1684043449710098E-19</v>
      </c>
      <c r="H124" t="s">
        <v>74</v>
      </c>
      <c r="I124">
        <v>0</v>
      </c>
      <c r="J124" t="s">
        <v>75</v>
      </c>
      <c r="K124">
        <v>3.14159265358979</v>
      </c>
      <c r="L124">
        <v>0.79002562228350703</v>
      </c>
      <c r="M124">
        <v>0</v>
      </c>
      <c r="N124">
        <v>4.6386407167671201E-2</v>
      </c>
      <c r="O124">
        <v>0</v>
      </c>
      <c r="P124">
        <v>1.6E-2</v>
      </c>
      <c r="Q124">
        <v>0</v>
      </c>
      <c r="R124">
        <v>0</v>
      </c>
      <c r="S124">
        <v>0</v>
      </c>
      <c r="T124">
        <v>0</v>
      </c>
      <c r="U124">
        <v>0.79639669138763403</v>
      </c>
      <c r="V124" t="s">
        <v>78</v>
      </c>
      <c r="W124">
        <v>3878076.3617163999</v>
      </c>
      <c r="X124" t="s">
        <v>76</v>
      </c>
      <c r="Y124">
        <v>-1.5707963267949001</v>
      </c>
      <c r="Z124">
        <v>0.78926444416114305</v>
      </c>
      <c r="AA124">
        <v>0</v>
      </c>
      <c r="AB124">
        <v>4.5902166569884002E-2</v>
      </c>
      <c r="AC124">
        <v>0</v>
      </c>
      <c r="AD124">
        <v>9.3331809656728004E-3</v>
      </c>
      <c r="AE124">
        <v>8.4832419437353007E-3</v>
      </c>
      <c r="AF124">
        <v>0</v>
      </c>
      <c r="AG124">
        <v>0.21639314414069299</v>
      </c>
      <c r="AH124">
        <v>8.8356639655529895E-2</v>
      </c>
      <c r="AI124">
        <v>0.62156762300931501</v>
      </c>
      <c r="AJ124" t="s">
        <v>74</v>
      </c>
      <c r="AK124">
        <v>0</v>
      </c>
      <c r="AL124" t="s">
        <v>77</v>
      </c>
      <c r="AM124">
        <v>0</v>
      </c>
      <c r="AN124">
        <v>0.99199999999999999</v>
      </c>
      <c r="AO124">
        <v>0</v>
      </c>
      <c r="AP124">
        <v>5.8245346242475203E-2</v>
      </c>
      <c r="AQ124">
        <v>0</v>
      </c>
      <c r="AR124">
        <v>1.6E-2</v>
      </c>
      <c r="AS124">
        <v>0</v>
      </c>
      <c r="AT124">
        <v>0</v>
      </c>
      <c r="AU124">
        <v>0</v>
      </c>
      <c r="AV124">
        <v>0</v>
      </c>
      <c r="AW124">
        <v>1</v>
      </c>
      <c r="AX124" t="s">
        <v>74</v>
      </c>
      <c r="AY124">
        <v>0</v>
      </c>
      <c r="AZ124" t="s">
        <v>76</v>
      </c>
      <c r="BA124">
        <v>-1.5707963267949001</v>
      </c>
      <c r="BB124">
        <v>0.99199999999999999</v>
      </c>
      <c r="BC124">
        <v>0</v>
      </c>
      <c r="BD124">
        <v>5.8245346242475203E-2</v>
      </c>
      <c r="BE124">
        <v>0</v>
      </c>
      <c r="BF124">
        <v>1.6E-2</v>
      </c>
      <c r="BG124">
        <v>0</v>
      </c>
      <c r="BH124">
        <v>0</v>
      </c>
      <c r="BI124">
        <v>0</v>
      </c>
      <c r="BJ124">
        <v>0</v>
      </c>
      <c r="BK124">
        <v>1</v>
      </c>
      <c r="BL124">
        <v>1.04389633111253E-4</v>
      </c>
      <c r="BM124">
        <v>1.5237489189811199E-4</v>
      </c>
      <c r="BN124" s="1">
        <v>3.8836944265381998E-7</v>
      </c>
      <c r="BO124" s="1">
        <v>2.3934992048932298E-6</v>
      </c>
      <c r="BP124">
        <v>0</v>
      </c>
      <c r="BQ124">
        <v>0</v>
      </c>
      <c r="BR124" s="1">
        <v>5.9104437406696999E-5</v>
      </c>
      <c r="BS124" s="1">
        <v>8.7260173449519506E-5</v>
      </c>
    </row>
    <row r="125" spans="1:71" x14ac:dyDescent="0.25">
      <c r="A125">
        <v>122</v>
      </c>
      <c r="B125" s="1">
        <v>2.3026264960244599E-6</v>
      </c>
      <c r="C125">
        <v>0.132571841430971</v>
      </c>
      <c r="D125">
        <v>-4.9087121397040697E-4</v>
      </c>
      <c r="E125">
        <v>6.1312499999999995E-4</v>
      </c>
      <c r="F125">
        <v>-1.3257184143097101E-3</v>
      </c>
      <c r="G125" s="1">
        <v>2.1684043449710098E-19</v>
      </c>
      <c r="H125" t="s">
        <v>74</v>
      </c>
      <c r="I125">
        <v>0</v>
      </c>
      <c r="J125" t="s">
        <v>75</v>
      </c>
      <c r="K125">
        <v>3.14159265358979</v>
      </c>
      <c r="L125">
        <v>0.78834416807388896</v>
      </c>
      <c r="M125">
        <v>0</v>
      </c>
      <c r="N125">
        <v>4.6287680471471498E-2</v>
      </c>
      <c r="O125">
        <v>0</v>
      </c>
      <c r="P125">
        <v>1.6E-2</v>
      </c>
      <c r="Q125">
        <v>0</v>
      </c>
      <c r="R125">
        <v>0</v>
      </c>
      <c r="S125">
        <v>0</v>
      </c>
      <c r="T125">
        <v>0</v>
      </c>
      <c r="U125">
        <v>0.794701695277791</v>
      </c>
      <c r="V125" t="s">
        <v>78</v>
      </c>
      <c r="W125">
        <v>3878165.3831769</v>
      </c>
      <c r="X125" t="s">
        <v>76</v>
      </c>
      <c r="Y125">
        <v>-1.5707963267949001</v>
      </c>
      <c r="Z125">
        <v>0.78758361973573199</v>
      </c>
      <c r="AA125">
        <v>0</v>
      </c>
      <c r="AB125">
        <v>4.5803840525091601E-2</v>
      </c>
      <c r="AC125">
        <v>0</v>
      </c>
      <c r="AD125">
        <v>9.2654874741405005E-3</v>
      </c>
      <c r="AE125">
        <v>8.5524787630264307E-3</v>
      </c>
      <c r="AF125">
        <v>0</v>
      </c>
      <c r="AG125">
        <v>0.217315621100481</v>
      </c>
      <c r="AH125">
        <v>8.9971231073611102E-2</v>
      </c>
      <c r="AI125">
        <v>0.61860914252736199</v>
      </c>
      <c r="AJ125" t="s">
        <v>74</v>
      </c>
      <c r="AK125">
        <v>0</v>
      </c>
      <c r="AL125" t="s">
        <v>77</v>
      </c>
      <c r="AM125">
        <v>0</v>
      </c>
      <c r="AN125">
        <v>0.99199999999999999</v>
      </c>
      <c r="AO125">
        <v>0</v>
      </c>
      <c r="AP125">
        <v>5.8245346242475203E-2</v>
      </c>
      <c r="AQ125">
        <v>0</v>
      </c>
      <c r="AR125">
        <v>1.6E-2</v>
      </c>
      <c r="AS125">
        <v>0</v>
      </c>
      <c r="AT125">
        <v>0</v>
      </c>
      <c r="AU125">
        <v>0</v>
      </c>
      <c r="AV125">
        <v>0</v>
      </c>
      <c r="AW125">
        <v>1</v>
      </c>
      <c r="AX125" t="s">
        <v>74</v>
      </c>
      <c r="AY125">
        <v>0</v>
      </c>
      <c r="AZ125" t="s">
        <v>76</v>
      </c>
      <c r="BA125">
        <v>-1.5707963267949001</v>
      </c>
      <c r="BB125">
        <v>0.99199999999999999</v>
      </c>
      <c r="BC125">
        <v>0</v>
      </c>
      <c r="BD125">
        <v>5.8245346242475203E-2</v>
      </c>
      <c r="BE125">
        <v>0</v>
      </c>
      <c r="BF125">
        <v>1.6E-2</v>
      </c>
      <c r="BG125">
        <v>0</v>
      </c>
      <c r="BH125">
        <v>0</v>
      </c>
      <c r="BI125">
        <v>0</v>
      </c>
      <c r="BJ125">
        <v>0</v>
      </c>
      <c r="BK125">
        <v>1</v>
      </c>
      <c r="BL125">
        <v>1.04291106740757E-4</v>
      </c>
      <c r="BM125">
        <v>1.5364342608704601E-4</v>
      </c>
      <c r="BN125" s="1">
        <v>3.8800273827876703E-7</v>
      </c>
      <c r="BO125" s="1">
        <v>2.4134252933371498E-6</v>
      </c>
      <c r="BP125">
        <v>0</v>
      </c>
      <c r="BQ125">
        <v>0</v>
      </c>
      <c r="BR125" s="1">
        <v>5.9041900558294298E-5</v>
      </c>
      <c r="BS125" s="1">
        <v>8.79868159830263E-5</v>
      </c>
    </row>
    <row r="126" spans="1:71" x14ac:dyDescent="0.25">
      <c r="A126">
        <v>123</v>
      </c>
      <c r="B126" s="1">
        <v>2.2930364329702499E-6</v>
      </c>
      <c r="C126">
        <v>0.13257413446740399</v>
      </c>
      <c r="D126">
        <v>-4.9088148681703404E-4</v>
      </c>
      <c r="E126">
        <v>6.1312499999999995E-4</v>
      </c>
      <c r="F126">
        <v>-1.32574134467404E-3</v>
      </c>
      <c r="G126" s="1">
        <v>1.0842021724855E-19</v>
      </c>
      <c r="H126" t="s">
        <v>74</v>
      </c>
      <c r="I126">
        <v>0</v>
      </c>
      <c r="J126" t="s">
        <v>75</v>
      </c>
      <c r="K126">
        <v>3.14159265358979</v>
      </c>
      <c r="L126">
        <v>0.78666275511025197</v>
      </c>
      <c r="M126">
        <v>0</v>
      </c>
      <c r="N126">
        <v>4.6188956197032401E-2</v>
      </c>
      <c r="O126">
        <v>0</v>
      </c>
      <c r="P126">
        <v>1.6E-2</v>
      </c>
      <c r="Q126">
        <v>0</v>
      </c>
      <c r="R126">
        <v>0</v>
      </c>
      <c r="S126">
        <v>0</v>
      </c>
      <c r="T126">
        <v>0</v>
      </c>
      <c r="U126">
        <v>0.79300673754432005</v>
      </c>
      <c r="V126" t="s">
        <v>78</v>
      </c>
      <c r="W126">
        <v>3878254.0328569198</v>
      </c>
      <c r="X126" t="s">
        <v>76</v>
      </c>
      <c r="Y126">
        <v>-1.5707963267949001</v>
      </c>
      <c r="Z126">
        <v>0.78590284478847605</v>
      </c>
      <c r="AA126">
        <v>0</v>
      </c>
      <c r="AB126">
        <v>4.5705522139143202E-2</v>
      </c>
      <c r="AC126">
        <v>0</v>
      </c>
      <c r="AD126">
        <v>9.1978265856799309E-3</v>
      </c>
      <c r="AE126">
        <v>8.6216693039820602E-3</v>
      </c>
      <c r="AF126">
        <v>0</v>
      </c>
      <c r="AG126">
        <v>0.21822043844244499</v>
      </c>
      <c r="AH126">
        <v>9.1603419875365799E-2</v>
      </c>
      <c r="AI126">
        <v>0.615654412291742</v>
      </c>
      <c r="AJ126" t="s">
        <v>74</v>
      </c>
      <c r="AK126">
        <v>0</v>
      </c>
      <c r="AL126" t="s">
        <v>77</v>
      </c>
      <c r="AM126">
        <v>0</v>
      </c>
      <c r="AN126">
        <v>0.99199999999999999</v>
      </c>
      <c r="AO126">
        <v>0</v>
      </c>
      <c r="AP126">
        <v>5.8245346242475203E-2</v>
      </c>
      <c r="AQ126">
        <v>0</v>
      </c>
      <c r="AR126">
        <v>1.6E-2</v>
      </c>
      <c r="AS126">
        <v>0</v>
      </c>
      <c r="AT126">
        <v>0</v>
      </c>
      <c r="AU126">
        <v>0</v>
      </c>
      <c r="AV126">
        <v>0</v>
      </c>
      <c r="AW126">
        <v>1</v>
      </c>
      <c r="AX126" t="s">
        <v>74</v>
      </c>
      <c r="AY126">
        <v>0</v>
      </c>
      <c r="AZ126" t="s">
        <v>76</v>
      </c>
      <c r="BA126">
        <v>-1.5707963267949001</v>
      </c>
      <c r="BB126">
        <v>0.99199999999999999</v>
      </c>
      <c r="BC126">
        <v>0</v>
      </c>
      <c r="BD126">
        <v>5.8245346242475203E-2</v>
      </c>
      <c r="BE126">
        <v>0</v>
      </c>
      <c r="BF126">
        <v>1.6E-2</v>
      </c>
      <c r="BG126">
        <v>0</v>
      </c>
      <c r="BH126">
        <v>0</v>
      </c>
      <c r="BI126">
        <v>0</v>
      </c>
      <c r="BJ126">
        <v>0</v>
      </c>
      <c r="BK126">
        <v>1</v>
      </c>
      <c r="BL126">
        <v>1.04192585410563E-4</v>
      </c>
      <c r="BM126">
        <v>1.5491192915890599E-4</v>
      </c>
      <c r="BN126" s="1">
        <v>3.8763606651005499E-7</v>
      </c>
      <c r="BO126" s="1">
        <v>2.4333508929952002E-6</v>
      </c>
      <c r="BP126">
        <v>0</v>
      </c>
      <c r="BQ126">
        <v>0</v>
      </c>
      <c r="BR126" s="1">
        <v>5.8979365692581203E-5</v>
      </c>
      <c r="BS126" s="1">
        <v>8.8713443085094307E-5</v>
      </c>
    </row>
    <row r="127" spans="1:71" x14ac:dyDescent="0.25">
      <c r="A127">
        <v>124</v>
      </c>
      <c r="B127" s="1">
        <v>2.2837086498986598E-6</v>
      </c>
      <c r="C127">
        <v>0.13257641817605401</v>
      </c>
      <c r="D127">
        <v>-4.9089171775771603E-4</v>
      </c>
      <c r="E127">
        <v>6.1312499999999995E-4</v>
      </c>
      <c r="F127">
        <v>-1.3257641817605401E-3</v>
      </c>
      <c r="G127" s="1">
        <v>2.1684043449710098E-19</v>
      </c>
      <c r="H127" t="s">
        <v>74</v>
      </c>
      <c r="I127">
        <v>0</v>
      </c>
      <c r="J127" t="s">
        <v>75</v>
      </c>
      <c r="K127">
        <v>3.14159265358979</v>
      </c>
      <c r="L127">
        <v>0.78498138395219297</v>
      </c>
      <c r="M127">
        <v>0</v>
      </c>
      <c r="N127">
        <v>4.60902343772105E-2</v>
      </c>
      <c r="O127">
        <v>0</v>
      </c>
      <c r="P127">
        <v>1.6E-2</v>
      </c>
      <c r="Q127">
        <v>0</v>
      </c>
      <c r="R127">
        <v>0</v>
      </c>
      <c r="S127">
        <v>0</v>
      </c>
      <c r="T127">
        <v>0</v>
      </c>
      <c r="U127">
        <v>0.791311819327574</v>
      </c>
      <c r="V127" t="s">
        <v>78</v>
      </c>
      <c r="W127">
        <v>3878342.3209089702</v>
      </c>
      <c r="X127" t="s">
        <v>76</v>
      </c>
      <c r="Y127">
        <v>-1.5707963267949001</v>
      </c>
      <c r="Z127">
        <v>0.78422211974044098</v>
      </c>
      <c r="AA127">
        <v>0</v>
      </c>
      <c r="AB127">
        <v>4.5607211356765202E-2</v>
      </c>
      <c r="AC127">
        <v>0</v>
      </c>
      <c r="AD127">
        <v>9.1301988045193305E-3</v>
      </c>
      <c r="AE127">
        <v>8.6908133053889194E-3</v>
      </c>
      <c r="AF127">
        <v>0</v>
      </c>
      <c r="AG127">
        <v>0.219107490422361</v>
      </c>
      <c r="AH127">
        <v>9.32533109606693E-2</v>
      </c>
      <c r="AI127">
        <v>0.61270344842866598</v>
      </c>
      <c r="AJ127" t="s">
        <v>74</v>
      </c>
      <c r="AK127">
        <v>0</v>
      </c>
      <c r="AL127" t="s">
        <v>77</v>
      </c>
      <c r="AM127">
        <v>0</v>
      </c>
      <c r="AN127">
        <v>0.99199999999999999</v>
      </c>
      <c r="AO127">
        <v>0</v>
      </c>
      <c r="AP127">
        <v>5.8245346242475203E-2</v>
      </c>
      <c r="AQ127">
        <v>0</v>
      </c>
      <c r="AR127">
        <v>1.6E-2</v>
      </c>
      <c r="AS127">
        <v>0</v>
      </c>
      <c r="AT127">
        <v>0</v>
      </c>
      <c r="AU127">
        <v>0</v>
      </c>
      <c r="AV127">
        <v>0</v>
      </c>
      <c r="AW127">
        <v>1</v>
      </c>
      <c r="AX127" t="s">
        <v>74</v>
      </c>
      <c r="AY127">
        <v>0</v>
      </c>
      <c r="AZ127" t="s">
        <v>76</v>
      </c>
      <c r="BA127">
        <v>-1.5707963267949001</v>
      </c>
      <c r="BB127">
        <v>0.99199999999999999</v>
      </c>
      <c r="BC127">
        <v>0</v>
      </c>
      <c r="BD127">
        <v>5.8245346242475203E-2</v>
      </c>
      <c r="BE127">
        <v>0</v>
      </c>
      <c r="BF127">
        <v>1.6E-2</v>
      </c>
      <c r="BG127">
        <v>0</v>
      </c>
      <c r="BH127">
        <v>0</v>
      </c>
      <c r="BI127">
        <v>0</v>
      </c>
      <c r="BJ127">
        <v>0</v>
      </c>
      <c r="BK127">
        <v>1</v>
      </c>
      <c r="BL127">
        <v>1.0409406910946299E-4</v>
      </c>
      <c r="BM127">
        <v>1.56180400691515E-4</v>
      </c>
      <c r="BN127" s="1">
        <v>3.8726942707373802E-7</v>
      </c>
      <c r="BO127" s="1">
        <v>2.4532759972358698E-6</v>
      </c>
      <c r="BP127">
        <v>0</v>
      </c>
      <c r="BQ127">
        <v>0</v>
      </c>
      <c r="BR127" s="1">
        <v>5.8916832823493399E-5</v>
      </c>
      <c r="BS127" s="1">
        <v>8.9440054516280403E-5</v>
      </c>
    </row>
    <row r="128" spans="1:71" x14ac:dyDescent="0.25">
      <c r="A128">
        <v>125</v>
      </c>
      <c r="B128" s="1">
        <v>2.2746387966227398E-6</v>
      </c>
      <c r="C128">
        <v>0.13257869281484999</v>
      </c>
      <c r="D128">
        <v>-4.9090190794939001E-4</v>
      </c>
      <c r="E128">
        <v>6.1312499999999995E-4</v>
      </c>
      <c r="F128">
        <v>-1.3257869281484999E-3</v>
      </c>
      <c r="G128" s="1">
        <v>2.1684043449710098E-19</v>
      </c>
      <c r="H128" t="s">
        <v>74</v>
      </c>
      <c r="I128">
        <v>0</v>
      </c>
      <c r="J128" t="s">
        <v>75</v>
      </c>
      <c r="K128">
        <v>3.14159265358979</v>
      </c>
      <c r="L128">
        <v>0.78330005517083701</v>
      </c>
      <c r="M128">
        <v>0</v>
      </c>
      <c r="N128">
        <v>4.5991515045539701E-2</v>
      </c>
      <c r="O128">
        <v>0</v>
      </c>
      <c r="P128">
        <v>1.6E-2</v>
      </c>
      <c r="Q128">
        <v>0</v>
      </c>
      <c r="R128">
        <v>0</v>
      </c>
      <c r="S128">
        <v>0</v>
      </c>
      <c r="T128">
        <v>0</v>
      </c>
      <c r="U128">
        <v>0.78961694167284602</v>
      </c>
      <c r="V128" t="s">
        <v>78</v>
      </c>
      <c r="W128">
        <v>3878430.2573168701</v>
      </c>
      <c r="X128" t="s">
        <v>76</v>
      </c>
      <c r="Y128">
        <v>-1.5707963267949001</v>
      </c>
      <c r="Z128">
        <v>0.78254144502700695</v>
      </c>
      <c r="AA128">
        <v>0</v>
      </c>
      <c r="AB128">
        <v>4.5508908125133099E-2</v>
      </c>
      <c r="AC128">
        <v>0</v>
      </c>
      <c r="AD128">
        <v>9.0626046307829503E-3</v>
      </c>
      <c r="AE128">
        <v>8.7599105047106596E-3</v>
      </c>
      <c r="AF128">
        <v>0</v>
      </c>
      <c r="AG128">
        <v>0.219976669868124</v>
      </c>
      <c r="AH128">
        <v>9.4921010639878706E-2</v>
      </c>
      <c r="AI128">
        <v>0.60975626705716302</v>
      </c>
      <c r="AJ128" t="s">
        <v>74</v>
      </c>
      <c r="AK128">
        <v>0</v>
      </c>
      <c r="AL128" t="s">
        <v>77</v>
      </c>
      <c r="AM128">
        <v>0</v>
      </c>
      <c r="AN128">
        <v>0.99199999999999999</v>
      </c>
      <c r="AO128">
        <v>0</v>
      </c>
      <c r="AP128">
        <v>5.8245346242475203E-2</v>
      </c>
      <c r="AQ128">
        <v>0</v>
      </c>
      <c r="AR128">
        <v>1.6E-2</v>
      </c>
      <c r="AS128">
        <v>0</v>
      </c>
      <c r="AT128">
        <v>0</v>
      </c>
      <c r="AU128">
        <v>0</v>
      </c>
      <c r="AV128">
        <v>0</v>
      </c>
      <c r="AW128">
        <v>1</v>
      </c>
      <c r="AX128" t="s">
        <v>74</v>
      </c>
      <c r="AY128">
        <v>0</v>
      </c>
      <c r="AZ128" t="s">
        <v>76</v>
      </c>
      <c r="BA128">
        <v>-1.5707963267949001</v>
      </c>
      <c r="BB128">
        <v>0.99199999999999999</v>
      </c>
      <c r="BC128">
        <v>0</v>
      </c>
      <c r="BD128">
        <v>5.8245346242475203E-2</v>
      </c>
      <c r="BE128">
        <v>0</v>
      </c>
      <c r="BF128">
        <v>1.6E-2</v>
      </c>
      <c r="BG128">
        <v>0</v>
      </c>
      <c r="BH128">
        <v>0</v>
      </c>
      <c r="BI128">
        <v>0</v>
      </c>
      <c r="BJ128">
        <v>0</v>
      </c>
      <c r="BK128">
        <v>1</v>
      </c>
      <c r="BL128">
        <v>1.03995557827812E-4</v>
      </c>
      <c r="BM128">
        <v>1.5744884025400101E-4</v>
      </c>
      <c r="BN128" s="1">
        <v>3.8690281970637102E-7</v>
      </c>
      <c r="BO128" s="1">
        <v>2.4732005992910198E-6</v>
      </c>
      <c r="BP128">
        <v>0</v>
      </c>
      <c r="BQ128">
        <v>0</v>
      </c>
      <c r="BR128" s="1">
        <v>5.8854301965539598E-5</v>
      </c>
      <c r="BS128" s="1">
        <v>9.0166650032512996E-5</v>
      </c>
    </row>
    <row r="129" spans="1:71" x14ac:dyDescent="0.25">
      <c r="A129">
        <v>126</v>
      </c>
      <c r="B129" s="1">
        <v>2.2658227133964098E-6</v>
      </c>
      <c r="C129">
        <v>0.132580958637564</v>
      </c>
      <c r="D129">
        <v>-4.9091205853030303E-4</v>
      </c>
      <c r="E129">
        <v>6.1312499999999995E-4</v>
      </c>
      <c r="F129">
        <v>-1.3258095863756399E-3</v>
      </c>
      <c r="G129" s="1">
        <v>2.1684043449710098E-19</v>
      </c>
      <c r="H129" t="s">
        <v>74</v>
      </c>
      <c r="I129">
        <v>0</v>
      </c>
      <c r="J129" t="s">
        <v>75</v>
      </c>
      <c r="K129">
        <v>3.14159265358979</v>
      </c>
      <c r="L129">
        <v>0.78161876934909602</v>
      </c>
      <c r="M129">
        <v>0</v>
      </c>
      <c r="N129">
        <v>4.5892798236245501E-2</v>
      </c>
      <c r="O129">
        <v>0</v>
      </c>
      <c r="P129">
        <v>1.6E-2</v>
      </c>
      <c r="Q129">
        <v>0</v>
      </c>
      <c r="R129">
        <v>0</v>
      </c>
      <c r="S129">
        <v>0</v>
      </c>
      <c r="T129">
        <v>0</v>
      </c>
      <c r="U129">
        <v>0.78792210555100295</v>
      </c>
      <c r="V129" t="s">
        <v>78</v>
      </c>
      <c r="W129">
        <v>3878517.8519031298</v>
      </c>
      <c r="X129" t="s">
        <v>76</v>
      </c>
      <c r="Y129">
        <v>-1.5707963267949001</v>
      </c>
      <c r="Z129">
        <v>0.78086082109802002</v>
      </c>
      <c r="AA129">
        <v>0</v>
      </c>
      <c r="AB129">
        <v>4.5410612393821402E-2</v>
      </c>
      <c r="AC129">
        <v>0</v>
      </c>
      <c r="AD129">
        <v>8.9950445607107406E-3</v>
      </c>
      <c r="AE129">
        <v>8.82896063805369E-3</v>
      </c>
      <c r="AF129">
        <v>0</v>
      </c>
      <c r="AG129">
        <v>0.220827868149751</v>
      </c>
      <c r="AH129">
        <v>9.6606626663452405E-2</v>
      </c>
      <c r="AI129">
        <v>0.606812884292804</v>
      </c>
      <c r="AJ129" t="s">
        <v>74</v>
      </c>
      <c r="AK129">
        <v>0</v>
      </c>
      <c r="AL129" t="s">
        <v>77</v>
      </c>
      <c r="AM129">
        <v>0</v>
      </c>
      <c r="AN129">
        <v>0.99199999999999999</v>
      </c>
      <c r="AO129">
        <v>0</v>
      </c>
      <c r="AP129">
        <v>5.8245346242475203E-2</v>
      </c>
      <c r="AQ129">
        <v>0</v>
      </c>
      <c r="AR129">
        <v>1.6E-2</v>
      </c>
      <c r="AS129">
        <v>0</v>
      </c>
      <c r="AT129">
        <v>0</v>
      </c>
      <c r="AU129">
        <v>0</v>
      </c>
      <c r="AV129">
        <v>0</v>
      </c>
      <c r="AW129">
        <v>1</v>
      </c>
      <c r="AX129" t="s">
        <v>74</v>
      </c>
      <c r="AY129">
        <v>0</v>
      </c>
      <c r="AZ129" t="s">
        <v>76</v>
      </c>
      <c r="BA129">
        <v>-1.5707963267949001</v>
      </c>
      <c r="BB129">
        <v>0.99199999999999999</v>
      </c>
      <c r="BC129">
        <v>0</v>
      </c>
      <c r="BD129">
        <v>5.8245346242475203E-2</v>
      </c>
      <c r="BE129">
        <v>0</v>
      </c>
      <c r="BF129">
        <v>1.6E-2</v>
      </c>
      <c r="BG129">
        <v>0</v>
      </c>
      <c r="BH129">
        <v>0</v>
      </c>
      <c r="BI129">
        <v>0</v>
      </c>
      <c r="BJ129">
        <v>0</v>
      </c>
      <c r="BK129">
        <v>1</v>
      </c>
      <c r="BL129">
        <v>1.0389705155750901E-4</v>
      </c>
      <c r="BM129">
        <v>1.5871724740660199E-4</v>
      </c>
      <c r="BN129" s="1">
        <v>3.8653624415477399E-7</v>
      </c>
      <c r="BO129" s="1">
        <v>2.4931246922528699E-6</v>
      </c>
      <c r="BP129">
        <v>0</v>
      </c>
      <c r="BQ129">
        <v>0</v>
      </c>
      <c r="BR129" s="1">
        <v>5.8791773133805999E-5</v>
      </c>
      <c r="BS129" s="1">
        <v>9.0893229384984205E-5</v>
      </c>
    </row>
    <row r="130" spans="1:71" x14ac:dyDescent="0.25">
      <c r="A130">
        <v>127</v>
      </c>
      <c r="B130" s="1">
        <v>2.2572564250314302E-6</v>
      </c>
      <c r="C130">
        <v>0.132583215893989</v>
      </c>
      <c r="D130">
        <v>-4.9092217062083395E-4</v>
      </c>
      <c r="E130">
        <v>6.1312499999999995E-4</v>
      </c>
      <c r="F130">
        <v>-1.32583215893989E-3</v>
      </c>
      <c r="G130" s="1">
        <v>1.0842021724855E-19</v>
      </c>
      <c r="H130" t="s">
        <v>74</v>
      </c>
      <c r="I130">
        <v>0</v>
      </c>
      <c r="J130" t="s">
        <v>75</v>
      </c>
      <c r="K130">
        <v>3.14159265358979</v>
      </c>
      <c r="L130">
        <v>0.77993752708204001</v>
      </c>
      <c r="M130">
        <v>0</v>
      </c>
      <c r="N130">
        <v>4.5794083984267403E-2</v>
      </c>
      <c r="O130">
        <v>0</v>
      </c>
      <c r="P130">
        <v>1.6E-2</v>
      </c>
      <c r="Q130">
        <v>0</v>
      </c>
      <c r="R130">
        <v>0</v>
      </c>
      <c r="S130">
        <v>0</v>
      </c>
      <c r="T130">
        <v>0</v>
      </c>
      <c r="U130">
        <v>0.78622731187522099</v>
      </c>
      <c r="V130" t="s">
        <v>78</v>
      </c>
      <c r="W130">
        <v>3878605.1143360701</v>
      </c>
      <c r="X130" t="s">
        <v>76</v>
      </c>
      <c r="Y130">
        <v>-1.5707963267949001</v>
      </c>
      <c r="Z130">
        <v>0.77918024841807298</v>
      </c>
      <c r="AA130">
        <v>0</v>
      </c>
      <c r="AB130">
        <v>4.5312324114763602E-2</v>
      </c>
      <c r="AC130">
        <v>0</v>
      </c>
      <c r="AD130">
        <v>8.9275190868758399E-3</v>
      </c>
      <c r="AE130">
        <v>8.8979634401281302E-3</v>
      </c>
      <c r="AF130">
        <v>0</v>
      </c>
      <c r="AG130">
        <v>0.22166097514846</v>
      </c>
      <c r="AH130">
        <v>9.8310268252299202E-2</v>
      </c>
      <c r="AI130">
        <v>0.60387331625152896</v>
      </c>
      <c r="AJ130" t="s">
        <v>74</v>
      </c>
      <c r="AK130">
        <v>0</v>
      </c>
      <c r="AL130" t="s">
        <v>77</v>
      </c>
      <c r="AM130">
        <v>0</v>
      </c>
      <c r="AN130">
        <v>0.99199999999999999</v>
      </c>
      <c r="AO130">
        <v>0</v>
      </c>
      <c r="AP130">
        <v>5.8245346242475203E-2</v>
      </c>
      <c r="AQ130">
        <v>0</v>
      </c>
      <c r="AR130">
        <v>1.6E-2</v>
      </c>
      <c r="AS130">
        <v>0</v>
      </c>
      <c r="AT130">
        <v>0</v>
      </c>
      <c r="AU130">
        <v>0</v>
      </c>
      <c r="AV130">
        <v>0</v>
      </c>
      <c r="AW130">
        <v>1</v>
      </c>
      <c r="AX130" t="s">
        <v>74</v>
      </c>
      <c r="AY130">
        <v>0</v>
      </c>
      <c r="AZ130" t="s">
        <v>76</v>
      </c>
      <c r="BA130">
        <v>-1.5707963267949001</v>
      </c>
      <c r="BB130">
        <v>0.99199999999999999</v>
      </c>
      <c r="BC130">
        <v>0</v>
      </c>
      <c r="BD130">
        <v>5.8245346242475203E-2</v>
      </c>
      <c r="BE130">
        <v>0</v>
      </c>
      <c r="BF130">
        <v>1.6E-2</v>
      </c>
      <c r="BG130">
        <v>0</v>
      </c>
      <c r="BH130">
        <v>0</v>
      </c>
      <c r="BI130">
        <v>0</v>
      </c>
      <c r="BJ130">
        <v>0</v>
      </c>
      <c r="BK130">
        <v>1</v>
      </c>
      <c r="BL130">
        <v>1.03798550291991E-4</v>
      </c>
      <c r="BM130">
        <v>1.59985621700379E-4</v>
      </c>
      <c r="BN130" s="1">
        <v>3.86169700175838E-7</v>
      </c>
      <c r="BO130" s="1">
        <v>2.5130482690695401E-6</v>
      </c>
      <c r="BP130">
        <v>0</v>
      </c>
      <c r="BQ130">
        <v>0</v>
      </c>
      <c r="BR130" s="1">
        <v>5.8729246343965598E-5</v>
      </c>
      <c r="BS130" s="1">
        <v>9.1619792319988202E-5</v>
      </c>
    </row>
    <row r="131" spans="1:71" x14ac:dyDescent="0.25">
      <c r="A131">
        <v>128</v>
      </c>
      <c r="B131" s="1">
        <v>2.2489361353387298E-6</v>
      </c>
      <c r="C131">
        <v>0.13258546483012401</v>
      </c>
      <c r="D131">
        <v>-4.9093224532430202E-4</v>
      </c>
      <c r="E131">
        <v>6.1312499999999995E-4</v>
      </c>
      <c r="F131">
        <v>-1.32585464830124E-3</v>
      </c>
      <c r="G131" s="1">
        <v>2.1684043449710098E-19</v>
      </c>
      <c r="H131" t="s">
        <v>74</v>
      </c>
      <c r="I131">
        <v>0</v>
      </c>
      <c r="J131" t="s">
        <v>75</v>
      </c>
      <c r="K131">
        <v>3.14159265358979</v>
      </c>
      <c r="L131">
        <v>0.77825632897722696</v>
      </c>
      <c r="M131">
        <v>0</v>
      </c>
      <c r="N131">
        <v>4.5695372325278497E-2</v>
      </c>
      <c r="O131">
        <v>0</v>
      </c>
      <c r="P131">
        <v>1.6E-2</v>
      </c>
      <c r="Q131">
        <v>0</v>
      </c>
      <c r="R131">
        <v>0</v>
      </c>
      <c r="S131">
        <v>0</v>
      </c>
      <c r="T131">
        <v>0</v>
      </c>
      <c r="U131">
        <v>0.78453256151448103</v>
      </c>
      <c r="V131" t="s">
        <v>78</v>
      </c>
      <c r="W131">
        <v>3878692.0541368001</v>
      </c>
      <c r="X131" t="s">
        <v>76</v>
      </c>
      <c r="Y131">
        <v>-1.5707963267949001</v>
      </c>
      <c r="Z131">
        <v>0.77749972746674001</v>
      </c>
      <c r="AA131">
        <v>0</v>
      </c>
      <c r="AB131">
        <v>4.5214043242211802E-2</v>
      </c>
      <c r="AC131">
        <v>0</v>
      </c>
      <c r="AD131">
        <v>8.8600286983930906E-3</v>
      </c>
      <c r="AE131">
        <v>8.9669186442112494E-3</v>
      </c>
      <c r="AF131">
        <v>0</v>
      </c>
      <c r="AG131">
        <v>0.22247587922489301</v>
      </c>
      <c r="AH131">
        <v>0.100032046129057</v>
      </c>
      <c r="AI131">
        <v>0.60093757905328604</v>
      </c>
      <c r="AJ131" t="s">
        <v>74</v>
      </c>
      <c r="AK131">
        <v>0</v>
      </c>
      <c r="AL131" t="s">
        <v>77</v>
      </c>
      <c r="AM131">
        <v>0</v>
      </c>
      <c r="AN131">
        <v>0.99199999999999999</v>
      </c>
      <c r="AO131">
        <v>0</v>
      </c>
      <c r="AP131">
        <v>5.8245346242475203E-2</v>
      </c>
      <c r="AQ131">
        <v>0</v>
      </c>
      <c r="AR131">
        <v>1.6E-2</v>
      </c>
      <c r="AS131">
        <v>0</v>
      </c>
      <c r="AT131">
        <v>0</v>
      </c>
      <c r="AU131">
        <v>0</v>
      </c>
      <c r="AV131">
        <v>0</v>
      </c>
      <c r="AW131">
        <v>1</v>
      </c>
      <c r="AX131" t="s">
        <v>74</v>
      </c>
      <c r="AY131">
        <v>0</v>
      </c>
      <c r="AZ131" t="s">
        <v>76</v>
      </c>
      <c r="BA131">
        <v>-1.5707963267949001</v>
      </c>
      <c r="BB131">
        <v>0.99199999999999999</v>
      </c>
      <c r="BC131">
        <v>0</v>
      </c>
      <c r="BD131">
        <v>5.8245346242475203E-2</v>
      </c>
      <c r="BE131">
        <v>0</v>
      </c>
      <c r="BF131">
        <v>1.6E-2</v>
      </c>
      <c r="BG131">
        <v>0</v>
      </c>
      <c r="BH131">
        <v>0</v>
      </c>
      <c r="BI131">
        <v>0</v>
      </c>
      <c r="BJ131">
        <v>0</v>
      </c>
      <c r="BK131">
        <v>1</v>
      </c>
      <c r="BL131">
        <v>1.0370005402621999E-4</v>
      </c>
      <c r="BM131">
        <v>1.6125396267697501E-4</v>
      </c>
      <c r="BN131" s="1">
        <v>3.8580318753631902E-7</v>
      </c>
      <c r="BO131" s="1">
        <v>2.53297132254113E-6</v>
      </c>
      <c r="BP131">
        <v>0</v>
      </c>
      <c r="BQ131">
        <v>0</v>
      </c>
      <c r="BR131" s="1">
        <v>5.8666721612285602E-5</v>
      </c>
      <c r="BS131" s="1">
        <v>9.2346338578781398E-5</v>
      </c>
    </row>
    <row r="132" spans="1:71" x14ac:dyDescent="0.25">
      <c r="A132">
        <v>129</v>
      </c>
      <c r="B132" s="1">
        <v>2.2408582220267602E-6</v>
      </c>
      <c r="C132">
        <v>0.13258770568834599</v>
      </c>
      <c r="D132">
        <v>-4.9094228372774298E-4</v>
      </c>
      <c r="E132">
        <v>6.1312499999999995E-4</v>
      </c>
      <c r="F132">
        <v>-1.32587705688346E-3</v>
      </c>
      <c r="G132" s="1">
        <v>2.1684043449710098E-19</v>
      </c>
      <c r="H132" t="s">
        <v>74</v>
      </c>
      <c r="I132">
        <v>0</v>
      </c>
      <c r="J132" t="s">
        <v>75</v>
      </c>
      <c r="K132">
        <v>3.14159265358979</v>
      </c>
      <c r="L132">
        <v>0.77657517565506196</v>
      </c>
      <c r="M132">
        <v>0</v>
      </c>
      <c r="N132">
        <v>4.5596663295705803E-2</v>
      </c>
      <c r="O132">
        <v>0</v>
      </c>
      <c r="P132">
        <v>1.6E-2</v>
      </c>
      <c r="Q132">
        <v>0</v>
      </c>
      <c r="R132">
        <v>0</v>
      </c>
      <c r="S132">
        <v>0</v>
      </c>
      <c r="T132">
        <v>0</v>
      </c>
      <c r="U132">
        <v>0.78283785530452399</v>
      </c>
      <c r="V132" t="s">
        <v>78</v>
      </c>
      <c r="W132">
        <v>3878778.68068593</v>
      </c>
      <c r="X132" t="s">
        <v>76</v>
      </c>
      <c r="Y132">
        <v>-1.5707963267949001</v>
      </c>
      <c r="Z132">
        <v>0.77581925873884106</v>
      </c>
      <c r="AA132">
        <v>0</v>
      </c>
      <c r="AB132">
        <v>4.5115769732699498E-2</v>
      </c>
      <c r="AC132">
        <v>0</v>
      </c>
      <c r="AD132">
        <v>8.7925738811221506E-3</v>
      </c>
      <c r="AE132">
        <v>9.0358259821099098E-3</v>
      </c>
      <c r="AF132">
        <v>0</v>
      </c>
      <c r="AG132">
        <v>0.22327246718641999</v>
      </c>
      <c r="AH132">
        <v>0.101772072550256</v>
      </c>
      <c r="AI132">
        <v>0.59800568882560401</v>
      </c>
      <c r="AJ132" t="s">
        <v>74</v>
      </c>
      <c r="AK132">
        <v>0</v>
      </c>
      <c r="AL132" t="s">
        <v>77</v>
      </c>
      <c r="AM132">
        <v>0</v>
      </c>
      <c r="AN132">
        <v>0.99199999999999999</v>
      </c>
      <c r="AO132">
        <v>0</v>
      </c>
      <c r="AP132">
        <v>5.8245346242475203E-2</v>
      </c>
      <c r="AQ132">
        <v>0</v>
      </c>
      <c r="AR132">
        <v>1.6E-2</v>
      </c>
      <c r="AS132">
        <v>0</v>
      </c>
      <c r="AT132">
        <v>0</v>
      </c>
      <c r="AU132">
        <v>0</v>
      </c>
      <c r="AV132">
        <v>0</v>
      </c>
      <c r="AW132">
        <v>1</v>
      </c>
      <c r="AX132" t="s">
        <v>74</v>
      </c>
      <c r="AY132">
        <v>0</v>
      </c>
      <c r="AZ132" t="s">
        <v>76</v>
      </c>
      <c r="BA132">
        <v>-1.5707963267949001</v>
      </c>
      <c r="BB132">
        <v>0.99199999999999999</v>
      </c>
      <c r="BC132">
        <v>0</v>
      </c>
      <c r="BD132">
        <v>5.8245346242475203E-2</v>
      </c>
      <c r="BE132">
        <v>0</v>
      </c>
      <c r="BF132">
        <v>1.6E-2</v>
      </c>
      <c r="BG132">
        <v>0</v>
      </c>
      <c r="BH132">
        <v>0</v>
      </c>
      <c r="BI132">
        <v>0</v>
      </c>
      <c r="BJ132">
        <v>0</v>
      </c>
      <c r="BK132">
        <v>1</v>
      </c>
      <c r="BL132">
        <v>1.0360156275667799E-4</v>
      </c>
      <c r="BM132">
        <v>1.62522269868338E-4</v>
      </c>
      <c r="BN132" s="1">
        <v>3.8543670601266601E-7</v>
      </c>
      <c r="BO132" s="1">
        <v>2.5528938453155398E-6</v>
      </c>
      <c r="BP132">
        <v>0</v>
      </c>
      <c r="BQ132">
        <v>0</v>
      </c>
      <c r="BR132" s="1">
        <v>5.8604198955635898E-5</v>
      </c>
      <c r="BS132" s="1">
        <v>9.3072867897430497E-5</v>
      </c>
    </row>
    <row r="133" spans="1:71" x14ac:dyDescent="0.25">
      <c r="A133">
        <v>130</v>
      </c>
      <c r="B133" s="1">
        <v>2.23301923181588E-6</v>
      </c>
      <c r="C133">
        <v>0.13258993870757799</v>
      </c>
      <c r="D133">
        <v>-4.9095228690267199E-4</v>
      </c>
      <c r="E133">
        <v>6.1312499999999995E-4</v>
      </c>
      <c r="F133">
        <v>-1.32589938707578E-3</v>
      </c>
      <c r="G133" s="1">
        <v>2.1684043449710098E-19</v>
      </c>
      <c r="H133" t="s">
        <v>74</v>
      </c>
      <c r="I133">
        <v>0</v>
      </c>
      <c r="J133" t="s">
        <v>75</v>
      </c>
      <c r="K133">
        <v>3.14159265358979</v>
      </c>
      <c r="L133">
        <v>0.77489406774916503</v>
      </c>
      <c r="M133">
        <v>0</v>
      </c>
      <c r="N133">
        <v>4.5497956932752201E-2</v>
      </c>
      <c r="O133">
        <v>0</v>
      </c>
      <c r="P133">
        <v>1.6E-2</v>
      </c>
      <c r="Q133">
        <v>0</v>
      </c>
      <c r="R133">
        <v>0</v>
      </c>
      <c r="S133">
        <v>0</v>
      </c>
      <c r="T133">
        <v>0</v>
      </c>
      <c r="U133">
        <v>0.78114319405678401</v>
      </c>
      <c r="V133" t="s">
        <v>78</v>
      </c>
      <c r="W133">
        <v>3878865.0032300898</v>
      </c>
      <c r="X133" t="s">
        <v>76</v>
      </c>
      <c r="Y133">
        <v>-1.5707963267949001</v>
      </c>
      <c r="Z133">
        <v>0.774138842744723</v>
      </c>
      <c r="AA133">
        <v>0</v>
      </c>
      <c r="AB133">
        <v>4.5017503545007199E-2</v>
      </c>
      <c r="AC133">
        <v>0</v>
      </c>
      <c r="AD133">
        <v>8.7251551178647094E-3</v>
      </c>
      <c r="AE133">
        <v>9.1046851841229803E-3</v>
      </c>
      <c r="AF133">
        <v>0</v>
      </c>
      <c r="AG133">
        <v>0.22405062425348399</v>
      </c>
      <c r="AH133">
        <v>0.103530461339418</v>
      </c>
      <c r="AI133">
        <v>0.59507766170710297</v>
      </c>
      <c r="AJ133" t="s">
        <v>74</v>
      </c>
      <c r="AK133">
        <v>0</v>
      </c>
      <c r="AL133" t="s">
        <v>77</v>
      </c>
      <c r="AM133">
        <v>0</v>
      </c>
      <c r="AN133">
        <v>0.99199999999999999</v>
      </c>
      <c r="AO133">
        <v>0</v>
      </c>
      <c r="AP133">
        <v>5.8245346242475203E-2</v>
      </c>
      <c r="AQ133">
        <v>0</v>
      </c>
      <c r="AR133">
        <v>1.6E-2</v>
      </c>
      <c r="AS133">
        <v>0</v>
      </c>
      <c r="AT133">
        <v>0</v>
      </c>
      <c r="AU133">
        <v>0</v>
      </c>
      <c r="AV133">
        <v>0</v>
      </c>
      <c r="AW133">
        <v>1</v>
      </c>
      <c r="AX133" t="s">
        <v>74</v>
      </c>
      <c r="AY133">
        <v>0</v>
      </c>
      <c r="AZ133" t="s">
        <v>76</v>
      </c>
      <c r="BA133">
        <v>-1.5707963267949001</v>
      </c>
      <c r="BB133">
        <v>0.99199999999999999</v>
      </c>
      <c r="BC133">
        <v>0</v>
      </c>
      <c r="BD133">
        <v>5.8245346242475203E-2</v>
      </c>
      <c r="BE133">
        <v>0</v>
      </c>
      <c r="BF133">
        <v>1.6E-2</v>
      </c>
      <c r="BG133">
        <v>0</v>
      </c>
      <c r="BH133">
        <v>0</v>
      </c>
      <c r="BI133">
        <v>0</v>
      </c>
      <c r="BJ133">
        <v>0</v>
      </c>
      <c r="BK133">
        <v>1</v>
      </c>
      <c r="BL133">
        <v>1.03503076481355E-4</v>
      </c>
      <c r="BM133">
        <v>1.6379054279645099E-4</v>
      </c>
      <c r="BN133" s="1">
        <v>3.8507025539084003E-7</v>
      </c>
      <c r="BO133" s="1">
        <v>2.5728158298840702E-6</v>
      </c>
      <c r="BP133">
        <v>0</v>
      </c>
      <c r="BQ133">
        <v>0</v>
      </c>
      <c r="BR133" s="1">
        <v>5.8541678391498698E-5</v>
      </c>
      <c r="BS133" s="1">
        <v>9.3799380006655999E-5</v>
      </c>
    </row>
    <row r="134" spans="1:71" x14ac:dyDescent="0.25">
      <c r="A134">
        <v>131</v>
      </c>
      <c r="B134" s="1">
        <v>2.2254158758292101E-6</v>
      </c>
      <c r="C134">
        <v>0.13259216412345401</v>
      </c>
      <c r="D134">
        <v>-4.9096225590581895E-4</v>
      </c>
      <c r="E134">
        <v>6.1312499999999995E-4</v>
      </c>
      <c r="F134">
        <v>-1.3259216412345399E-3</v>
      </c>
      <c r="G134" s="1">
        <v>1.0842021724855E-19</v>
      </c>
      <c r="H134" t="s">
        <v>74</v>
      </c>
      <c r="I134">
        <v>0</v>
      </c>
      <c r="J134" t="s">
        <v>75</v>
      </c>
      <c r="K134">
        <v>3.14159265358979</v>
      </c>
      <c r="L134">
        <v>0.77321300590675002</v>
      </c>
      <c r="M134">
        <v>0</v>
      </c>
      <c r="N134">
        <v>4.5399253274419002E-2</v>
      </c>
      <c r="O134">
        <v>0</v>
      </c>
      <c r="P134">
        <v>1.6E-2</v>
      </c>
      <c r="Q134">
        <v>0</v>
      </c>
      <c r="R134">
        <v>0</v>
      </c>
      <c r="S134">
        <v>0</v>
      </c>
      <c r="T134">
        <v>0</v>
      </c>
      <c r="U134">
        <v>0.77944857856569405</v>
      </c>
      <c r="V134" t="s">
        <v>78</v>
      </c>
      <c r="W134">
        <v>3878951.0308883502</v>
      </c>
      <c r="X134" t="s">
        <v>76</v>
      </c>
      <c r="Y134">
        <v>-1.5707963267949001</v>
      </c>
      <c r="Z134">
        <v>0.77245848001055395</v>
      </c>
      <c r="AA134">
        <v>0</v>
      </c>
      <c r="AB134">
        <v>4.4919244640130099E-2</v>
      </c>
      <c r="AC134">
        <v>0</v>
      </c>
      <c r="AD134">
        <v>8.6577728885564795E-3</v>
      </c>
      <c r="AE134">
        <v>9.1734959790033301E-3</v>
      </c>
      <c r="AF134">
        <v>0</v>
      </c>
      <c r="AG134">
        <v>0.22481023402495401</v>
      </c>
      <c r="AH134">
        <v>0.10530732792111699</v>
      </c>
      <c r="AI134">
        <v>0.59215351385091597</v>
      </c>
      <c r="AJ134" t="s">
        <v>74</v>
      </c>
      <c r="AK134">
        <v>0</v>
      </c>
      <c r="AL134" t="s">
        <v>77</v>
      </c>
      <c r="AM134">
        <v>0</v>
      </c>
      <c r="AN134">
        <v>0.99199999999999999</v>
      </c>
      <c r="AO134">
        <v>0</v>
      </c>
      <c r="AP134">
        <v>5.8245346242475203E-2</v>
      </c>
      <c r="AQ134">
        <v>0</v>
      </c>
      <c r="AR134">
        <v>1.6E-2</v>
      </c>
      <c r="AS134">
        <v>0</v>
      </c>
      <c r="AT134">
        <v>0</v>
      </c>
      <c r="AU134">
        <v>0</v>
      </c>
      <c r="AV134">
        <v>0</v>
      </c>
      <c r="AW134">
        <v>1</v>
      </c>
      <c r="AX134" t="s">
        <v>74</v>
      </c>
      <c r="AY134">
        <v>0</v>
      </c>
      <c r="AZ134" t="s">
        <v>76</v>
      </c>
      <c r="BA134">
        <v>-1.5707963267949001</v>
      </c>
      <c r="BB134">
        <v>0.99199999999999999</v>
      </c>
      <c r="BC134">
        <v>0</v>
      </c>
      <c r="BD134">
        <v>5.8245346242475203E-2</v>
      </c>
      <c r="BE134">
        <v>0</v>
      </c>
      <c r="BF134">
        <v>1.6E-2</v>
      </c>
      <c r="BG134">
        <v>0</v>
      </c>
      <c r="BH134">
        <v>0</v>
      </c>
      <c r="BI134">
        <v>0</v>
      </c>
      <c r="BJ134">
        <v>0</v>
      </c>
      <c r="BK134">
        <v>1</v>
      </c>
      <c r="BL134">
        <v>1.0340459519975E-4</v>
      </c>
      <c r="BM134">
        <v>1.6505878097303599E-4</v>
      </c>
      <c r="BN134" s="1">
        <v>3.84703835466157E-7</v>
      </c>
      <c r="BO134" s="1">
        <v>2.5927372685768801E-6</v>
      </c>
      <c r="BP134">
        <v>0</v>
      </c>
      <c r="BQ134">
        <v>0</v>
      </c>
      <c r="BR134" s="1">
        <v>5.8479159937978599E-5</v>
      </c>
      <c r="BS134" s="1">
        <v>9.4525874631669397E-5</v>
      </c>
    </row>
    <row r="135" spans="1:71" x14ac:dyDescent="0.25">
      <c r="A135">
        <v>132</v>
      </c>
      <c r="B135" s="1">
        <v>2.2180450253802199E-6</v>
      </c>
      <c r="C135">
        <v>0.13259438216847899</v>
      </c>
      <c r="D135">
        <v>-4.9097219177984504E-4</v>
      </c>
      <c r="E135">
        <v>6.1312499999999995E-4</v>
      </c>
      <c r="F135">
        <v>-1.3259438216847901E-3</v>
      </c>
      <c r="G135" s="1">
        <v>1.0842021724855E-19</v>
      </c>
      <c r="H135" t="s">
        <v>74</v>
      </c>
      <c r="I135">
        <v>0</v>
      </c>
      <c r="J135" t="s">
        <v>75</v>
      </c>
      <c r="K135">
        <v>3.14159265358979</v>
      </c>
      <c r="L135">
        <v>0.77153199078902002</v>
      </c>
      <c r="M135">
        <v>0</v>
      </c>
      <c r="N135">
        <v>4.5300552359528901E-2</v>
      </c>
      <c r="O135">
        <v>0</v>
      </c>
      <c r="P135">
        <v>1.6E-2</v>
      </c>
      <c r="Q135">
        <v>0</v>
      </c>
      <c r="R135">
        <v>0</v>
      </c>
      <c r="S135">
        <v>0</v>
      </c>
      <c r="T135">
        <v>0</v>
      </c>
      <c r="U135">
        <v>0.77775400961469499</v>
      </c>
      <c r="V135" t="s">
        <v>78</v>
      </c>
      <c r="W135">
        <v>3879036.77265839</v>
      </c>
      <c r="X135" t="s">
        <v>76</v>
      </c>
      <c r="Y135">
        <v>-1.5707963267949001</v>
      </c>
      <c r="Z135">
        <v>0.770778171078637</v>
      </c>
      <c r="AA135">
        <v>0</v>
      </c>
      <c r="AB135">
        <v>4.4820992981249197E-2</v>
      </c>
      <c r="AC135">
        <v>0</v>
      </c>
      <c r="AD135">
        <v>8.5904276704535792E-3</v>
      </c>
      <c r="AE135">
        <v>9.24225809391983E-3</v>
      </c>
      <c r="AF135">
        <v>0</v>
      </c>
      <c r="AG135">
        <v>0.225551178442471</v>
      </c>
      <c r="AH135">
        <v>0.10710278935605599</v>
      </c>
      <c r="AI135">
        <v>0.58923326142805499</v>
      </c>
      <c r="AJ135" t="s">
        <v>74</v>
      </c>
      <c r="AK135">
        <v>0</v>
      </c>
      <c r="AL135" t="s">
        <v>77</v>
      </c>
      <c r="AM135">
        <v>0</v>
      </c>
      <c r="AN135">
        <v>0.99199999999999999</v>
      </c>
      <c r="AO135">
        <v>0</v>
      </c>
      <c r="AP135">
        <v>5.8245346242475203E-2</v>
      </c>
      <c r="AQ135">
        <v>0</v>
      </c>
      <c r="AR135">
        <v>1.6E-2</v>
      </c>
      <c r="AS135">
        <v>0</v>
      </c>
      <c r="AT135">
        <v>0</v>
      </c>
      <c r="AU135">
        <v>0</v>
      </c>
      <c r="AV135">
        <v>0</v>
      </c>
      <c r="AW135">
        <v>1</v>
      </c>
      <c r="AX135" t="s">
        <v>74</v>
      </c>
      <c r="AY135">
        <v>0</v>
      </c>
      <c r="AZ135" t="s">
        <v>76</v>
      </c>
      <c r="BA135">
        <v>-1.5707963267949001</v>
      </c>
      <c r="BB135">
        <v>0.99199999999999999</v>
      </c>
      <c r="BC135">
        <v>0</v>
      </c>
      <c r="BD135">
        <v>5.8245346242475203E-2</v>
      </c>
      <c r="BE135">
        <v>0</v>
      </c>
      <c r="BF135">
        <v>1.6E-2</v>
      </c>
      <c r="BG135">
        <v>0</v>
      </c>
      <c r="BH135">
        <v>0</v>
      </c>
      <c r="BI135">
        <v>0</v>
      </c>
      <c r="BJ135">
        <v>0</v>
      </c>
      <c r="BK135">
        <v>1</v>
      </c>
      <c r="BL135">
        <v>1.03306118912864E-4</v>
      </c>
      <c r="BM135">
        <v>1.6632698389926399E-4</v>
      </c>
      <c r="BN135" s="1">
        <v>3.8433744604314099E-7</v>
      </c>
      <c r="BO135" s="1">
        <v>2.6126581535583702E-6</v>
      </c>
      <c r="BP135">
        <v>0</v>
      </c>
      <c r="BQ135">
        <v>0</v>
      </c>
      <c r="BR135" s="1">
        <v>5.84166436138126E-5</v>
      </c>
      <c r="BS135" s="1">
        <v>9.5252351492007296E-5</v>
      </c>
    </row>
    <row r="136" spans="1:71" x14ac:dyDescent="0.25">
      <c r="A136">
        <v>133</v>
      </c>
      <c r="B136" s="1">
        <v>2.21090370795264E-6</v>
      </c>
      <c r="C136">
        <v>0.13259659307218699</v>
      </c>
      <c r="D136">
        <v>-4.9098209555404801E-4</v>
      </c>
      <c r="E136">
        <v>6.1312499999999995E-4</v>
      </c>
      <c r="F136">
        <v>-1.3259659307218699E-3</v>
      </c>
      <c r="G136" s="1">
        <v>2.1684043449710098E-19</v>
      </c>
      <c r="H136" t="s">
        <v>74</v>
      </c>
      <c r="I136">
        <v>0</v>
      </c>
      <c r="J136" t="s">
        <v>75</v>
      </c>
      <c r="K136">
        <v>3.14159265358979</v>
      </c>
      <c r="L136">
        <v>0.76985102307157005</v>
      </c>
      <c r="M136">
        <v>0</v>
      </c>
      <c r="N136">
        <v>4.5201854227749298E-2</v>
      </c>
      <c r="O136">
        <v>0</v>
      </c>
      <c r="P136">
        <v>1.6E-2</v>
      </c>
      <c r="Q136">
        <v>0</v>
      </c>
      <c r="R136">
        <v>0</v>
      </c>
      <c r="S136">
        <v>0</v>
      </c>
      <c r="T136">
        <v>0</v>
      </c>
      <c r="U136">
        <v>0.77605948798118696</v>
      </c>
      <c r="V136" t="s">
        <v>78</v>
      </c>
      <c r="W136">
        <v>3879122.2374225399</v>
      </c>
      <c r="X136" t="s">
        <v>76</v>
      </c>
      <c r="Y136">
        <v>-1.5707963267949001</v>
      </c>
      <c r="Z136">
        <v>0.76909791650772896</v>
      </c>
      <c r="AA136">
        <v>0</v>
      </c>
      <c r="AB136">
        <v>4.4722748533703498E-2</v>
      </c>
      <c r="AC136">
        <v>0</v>
      </c>
      <c r="AD136">
        <v>8.5231199383143108E-3</v>
      </c>
      <c r="AE136">
        <v>9.3109712544191103E-3</v>
      </c>
      <c r="AF136">
        <v>0</v>
      </c>
      <c r="AG136">
        <v>0.22627333775371999</v>
      </c>
      <c r="AH136">
        <v>0.108916964377177</v>
      </c>
      <c r="AI136">
        <v>0.58631692063069196</v>
      </c>
      <c r="AJ136" t="s">
        <v>74</v>
      </c>
      <c r="AK136">
        <v>0</v>
      </c>
      <c r="AL136" t="s">
        <v>77</v>
      </c>
      <c r="AM136">
        <v>0</v>
      </c>
      <c r="AN136">
        <v>0.99199999999999999</v>
      </c>
      <c r="AO136">
        <v>0</v>
      </c>
      <c r="AP136">
        <v>5.8245346242475203E-2</v>
      </c>
      <c r="AQ136">
        <v>0</v>
      </c>
      <c r="AR136">
        <v>1.6E-2</v>
      </c>
      <c r="AS136">
        <v>0</v>
      </c>
      <c r="AT136">
        <v>0</v>
      </c>
      <c r="AU136">
        <v>0</v>
      </c>
      <c r="AV136">
        <v>0</v>
      </c>
      <c r="AW136">
        <v>1</v>
      </c>
      <c r="AX136" t="s">
        <v>74</v>
      </c>
      <c r="AY136">
        <v>0</v>
      </c>
      <c r="AZ136" t="s">
        <v>76</v>
      </c>
      <c r="BA136">
        <v>-1.5707963267949001</v>
      </c>
      <c r="BB136">
        <v>0.99199999999999999</v>
      </c>
      <c r="BC136">
        <v>0</v>
      </c>
      <c r="BD136">
        <v>5.8245346242475203E-2</v>
      </c>
      <c r="BE136">
        <v>0</v>
      </c>
      <c r="BF136">
        <v>1.6E-2</v>
      </c>
      <c r="BG136">
        <v>0</v>
      </c>
      <c r="BH136">
        <v>0</v>
      </c>
      <c r="BI136">
        <v>0</v>
      </c>
      <c r="BJ136">
        <v>0</v>
      </c>
      <c r="BK136">
        <v>1</v>
      </c>
      <c r="BL136">
        <v>1.03207647623202E-4</v>
      </c>
      <c r="BM136">
        <v>1.6759515106544901E-4</v>
      </c>
      <c r="BN136" s="1">
        <v>3.8397108693537498E-7</v>
      </c>
      <c r="BO136" s="1">
        <v>2.6325784768224299E-6</v>
      </c>
      <c r="BP136">
        <v>0</v>
      </c>
      <c r="BQ136">
        <v>0</v>
      </c>
      <c r="BR136" s="1">
        <v>5.8354129438381499E-5</v>
      </c>
      <c r="BS136" s="1">
        <v>9.5978810301360998E-5</v>
      </c>
    </row>
    <row r="137" spans="1:71" x14ac:dyDescent="0.25">
      <c r="A137">
        <v>134</v>
      </c>
      <c r="B137" s="1">
        <v>2.2039891034446499E-6</v>
      </c>
      <c r="C137">
        <v>0.13259879706128999</v>
      </c>
      <c r="D137">
        <v>-4.9099196824504401E-4</v>
      </c>
      <c r="E137">
        <v>6.1312499999999995E-4</v>
      </c>
      <c r="F137">
        <v>-1.32598797061291E-3</v>
      </c>
      <c r="G137" s="1">
        <v>1.0842021724855E-19</v>
      </c>
      <c r="H137" t="s">
        <v>74</v>
      </c>
      <c r="I137">
        <v>0</v>
      </c>
      <c r="J137" t="s">
        <v>75</v>
      </c>
      <c r="K137">
        <v>3.14159265358979</v>
      </c>
      <c r="L137">
        <v>0.76817010344484105</v>
      </c>
      <c r="M137">
        <v>0</v>
      </c>
      <c r="N137">
        <v>4.5103158919619697E-2</v>
      </c>
      <c r="O137">
        <v>0</v>
      </c>
      <c r="P137">
        <v>1.6E-2</v>
      </c>
      <c r="Q137">
        <v>0</v>
      </c>
      <c r="R137">
        <v>0</v>
      </c>
      <c r="S137">
        <v>0</v>
      </c>
      <c r="T137">
        <v>0</v>
      </c>
      <c r="U137">
        <v>0.77436501444070405</v>
      </c>
      <c r="V137" t="s">
        <v>78</v>
      </c>
      <c r="W137">
        <v>3879207.4339537001</v>
      </c>
      <c r="X137" t="s">
        <v>76</v>
      </c>
      <c r="Y137">
        <v>-1.5707963267949001</v>
      </c>
      <c r="Z137">
        <v>0.76741771687342097</v>
      </c>
      <c r="AA137">
        <v>0</v>
      </c>
      <c r="AB137">
        <v>4.4624511264967401E-2</v>
      </c>
      <c r="AC137">
        <v>0</v>
      </c>
      <c r="AD137">
        <v>8.4558501645777308E-3</v>
      </c>
      <c r="AE137">
        <v>9.3796351843853393E-3</v>
      </c>
      <c r="AF137">
        <v>0</v>
      </c>
      <c r="AG137">
        <v>0.22697659047459601</v>
      </c>
      <c r="AH137">
        <v>0.11074997342680799</v>
      </c>
      <c r="AI137">
        <v>0.58340450767546803</v>
      </c>
      <c r="AJ137" t="s">
        <v>74</v>
      </c>
      <c r="AK137">
        <v>0</v>
      </c>
      <c r="AL137" t="s">
        <v>77</v>
      </c>
      <c r="AM137">
        <v>0</v>
      </c>
      <c r="AN137">
        <v>0.99199999999999999</v>
      </c>
      <c r="AO137">
        <v>0</v>
      </c>
      <c r="AP137">
        <v>5.8245346242475203E-2</v>
      </c>
      <c r="AQ137">
        <v>0</v>
      </c>
      <c r="AR137">
        <v>1.6E-2</v>
      </c>
      <c r="AS137">
        <v>0</v>
      </c>
      <c r="AT137">
        <v>0</v>
      </c>
      <c r="AU137">
        <v>0</v>
      </c>
      <c r="AV137">
        <v>0</v>
      </c>
      <c r="AW137">
        <v>1</v>
      </c>
      <c r="AX137" t="s">
        <v>74</v>
      </c>
      <c r="AY137">
        <v>0</v>
      </c>
      <c r="AZ137" t="s">
        <v>76</v>
      </c>
      <c r="BA137">
        <v>-1.5707963267949001</v>
      </c>
      <c r="BB137">
        <v>0.99199999999999999</v>
      </c>
      <c r="BC137">
        <v>0</v>
      </c>
      <c r="BD137">
        <v>5.8245346242475203E-2</v>
      </c>
      <c r="BE137">
        <v>0</v>
      </c>
      <c r="BF137">
        <v>1.6E-2</v>
      </c>
      <c r="BG137">
        <v>0</v>
      </c>
      <c r="BH137">
        <v>0</v>
      </c>
      <c r="BI137">
        <v>0</v>
      </c>
      <c r="BJ137">
        <v>0</v>
      </c>
      <c r="BK137">
        <v>1</v>
      </c>
      <c r="BL137">
        <v>1.03109181334769E-4</v>
      </c>
      <c r="BM137">
        <v>1.6886328195070199E-4</v>
      </c>
      <c r="BN137" s="1">
        <v>3.8360475796538501E-7</v>
      </c>
      <c r="BO137" s="1">
        <v>2.6524982301869399E-6</v>
      </c>
      <c r="BP137">
        <v>0</v>
      </c>
      <c r="BQ137">
        <v>0</v>
      </c>
      <c r="BR137" s="1">
        <v>5.8291617431722701E-5</v>
      </c>
      <c r="BS137" s="1">
        <v>9.6705250767381906E-5</v>
      </c>
    </row>
    <row r="138" spans="1:71" x14ac:dyDescent="0.25">
      <c r="A138">
        <v>135</v>
      </c>
      <c r="B138" s="1">
        <v>2.1972985407499599E-6</v>
      </c>
      <c r="C138">
        <v>0.132600994359831</v>
      </c>
      <c r="D138">
        <v>-4.9100181085743602E-4</v>
      </c>
      <c r="E138">
        <v>6.1312499999999995E-4</v>
      </c>
      <c r="F138">
        <v>-1.3260099435983099E-3</v>
      </c>
      <c r="G138" s="1">
        <v>2.1684043449710098E-19</v>
      </c>
      <c r="H138" t="s">
        <v>74</v>
      </c>
      <c r="I138">
        <v>0</v>
      </c>
      <c r="J138" t="s">
        <v>75</v>
      </c>
      <c r="K138">
        <v>3.14159265358979</v>
      </c>
      <c r="L138">
        <v>0.76648923261453605</v>
      </c>
      <c r="M138">
        <v>0</v>
      </c>
      <c r="N138">
        <v>4.50044664765753E-2</v>
      </c>
      <c r="O138">
        <v>0</v>
      </c>
      <c r="P138">
        <v>1.6E-2</v>
      </c>
      <c r="Q138">
        <v>0</v>
      </c>
      <c r="R138">
        <v>0</v>
      </c>
      <c r="S138">
        <v>0</v>
      </c>
      <c r="T138">
        <v>0</v>
      </c>
      <c r="U138">
        <v>0.77267058977033198</v>
      </c>
      <c r="V138" t="s">
        <v>78</v>
      </c>
      <c r="W138">
        <v>3879292.3709211098</v>
      </c>
      <c r="X138" t="s">
        <v>76</v>
      </c>
      <c r="Y138">
        <v>-1.5707963267949001</v>
      </c>
      <c r="Z138">
        <v>0.76573757276847398</v>
      </c>
      <c r="AA138">
        <v>0</v>
      </c>
      <c r="AB138">
        <v>4.4526281144626798E-2</v>
      </c>
      <c r="AC138">
        <v>0</v>
      </c>
      <c r="AD138">
        <v>8.3886188195355007E-3</v>
      </c>
      <c r="AE138">
        <v>9.4482496060022507E-3</v>
      </c>
      <c r="AF138">
        <v>0</v>
      </c>
      <c r="AG138">
        <v>0.22766081335024899</v>
      </c>
      <c r="AH138">
        <v>0.112601938695001</v>
      </c>
      <c r="AI138">
        <v>0.58049603880663003</v>
      </c>
      <c r="AJ138" t="s">
        <v>74</v>
      </c>
      <c r="AK138">
        <v>0</v>
      </c>
      <c r="AL138" t="s">
        <v>77</v>
      </c>
      <c r="AM138">
        <v>0</v>
      </c>
      <c r="AN138">
        <v>0.99199999999999999</v>
      </c>
      <c r="AO138">
        <v>0</v>
      </c>
      <c r="AP138">
        <v>5.8245346242475203E-2</v>
      </c>
      <c r="AQ138">
        <v>0</v>
      </c>
      <c r="AR138">
        <v>1.6E-2</v>
      </c>
      <c r="AS138">
        <v>0</v>
      </c>
      <c r="AT138">
        <v>0</v>
      </c>
      <c r="AU138">
        <v>0</v>
      </c>
      <c r="AV138">
        <v>0</v>
      </c>
      <c r="AW138">
        <v>1</v>
      </c>
      <c r="AX138" t="s">
        <v>74</v>
      </c>
      <c r="AY138">
        <v>0</v>
      </c>
      <c r="AZ138" t="s">
        <v>76</v>
      </c>
      <c r="BA138">
        <v>-1.5707963267949001</v>
      </c>
      <c r="BB138">
        <v>0.99199999999999999</v>
      </c>
      <c r="BC138">
        <v>0</v>
      </c>
      <c r="BD138">
        <v>5.8245346242475203E-2</v>
      </c>
      <c r="BE138">
        <v>0</v>
      </c>
      <c r="BF138">
        <v>1.6E-2</v>
      </c>
      <c r="BG138">
        <v>0</v>
      </c>
      <c r="BH138">
        <v>0</v>
      </c>
      <c r="BI138">
        <v>0</v>
      </c>
      <c r="BJ138">
        <v>0</v>
      </c>
      <c r="BK138">
        <v>1</v>
      </c>
      <c r="BL138">
        <v>1.0301072005307599E-4</v>
      </c>
      <c r="BM138">
        <v>1.70131376022625E-4</v>
      </c>
      <c r="BN138" s="1">
        <v>3.8323845896450901E-7</v>
      </c>
      <c r="BO138" s="1">
        <v>2.672417405289E-6</v>
      </c>
      <c r="BP138">
        <v>0</v>
      </c>
      <c r="BQ138">
        <v>0</v>
      </c>
      <c r="BR138" s="1">
        <v>5.8229107614542299E-5</v>
      </c>
      <c r="BS138" s="1">
        <v>9.7431672591508702E-5</v>
      </c>
    </row>
    <row r="139" spans="1:71" x14ac:dyDescent="0.25">
      <c r="A139">
        <v>136</v>
      </c>
      <c r="B139" s="1">
        <v>2.1908294945311302E-6</v>
      </c>
      <c r="C139">
        <v>0.13260318518932601</v>
      </c>
      <c r="D139">
        <v>-4.9101162438446695E-4</v>
      </c>
      <c r="E139">
        <v>6.1312499999999995E-4</v>
      </c>
      <c r="F139">
        <v>-1.32603185189326E-3</v>
      </c>
      <c r="G139" s="1">
        <v>1.0842021724855E-19</v>
      </c>
      <c r="H139" t="s">
        <v>74</v>
      </c>
      <c r="I139">
        <v>0</v>
      </c>
      <c r="J139" t="s">
        <v>75</v>
      </c>
      <c r="K139">
        <v>3.14159265358979</v>
      </c>
      <c r="L139">
        <v>0.76480841130202304</v>
      </c>
      <c r="M139">
        <v>0</v>
      </c>
      <c r="N139">
        <v>4.4905776940971497E-2</v>
      </c>
      <c r="O139">
        <v>0</v>
      </c>
      <c r="P139">
        <v>1.6E-2</v>
      </c>
      <c r="Q139">
        <v>0</v>
      </c>
      <c r="R139">
        <v>0</v>
      </c>
      <c r="S139">
        <v>0</v>
      </c>
      <c r="T139">
        <v>0</v>
      </c>
      <c r="U139">
        <v>0.77097621475159095</v>
      </c>
      <c r="V139" t="s">
        <v>78</v>
      </c>
      <c r="W139">
        <v>3879377.0568959601</v>
      </c>
      <c r="X139" t="s">
        <v>76</v>
      </c>
      <c r="Y139">
        <v>-1.5707963267949001</v>
      </c>
      <c r="Z139">
        <v>0.76405748480315605</v>
      </c>
      <c r="AA139">
        <v>0</v>
      </c>
      <c r="AB139">
        <v>4.44280581443567E-2</v>
      </c>
      <c r="AC139">
        <v>0</v>
      </c>
      <c r="AD139">
        <v>8.3214263714992201E-3</v>
      </c>
      <c r="AE139">
        <v>9.5168142397153103E-3</v>
      </c>
      <c r="AF139">
        <v>0</v>
      </c>
      <c r="AG139">
        <v>0.22832588131495199</v>
      </c>
      <c r="AH139">
        <v>0.114472984159038</v>
      </c>
      <c r="AI139">
        <v>0.57759153029909405</v>
      </c>
      <c r="AJ139" t="s">
        <v>74</v>
      </c>
      <c r="AK139">
        <v>0</v>
      </c>
      <c r="AL139" t="s">
        <v>77</v>
      </c>
      <c r="AM139">
        <v>0</v>
      </c>
      <c r="AN139">
        <v>0.99199999999999999</v>
      </c>
      <c r="AO139">
        <v>0</v>
      </c>
      <c r="AP139">
        <v>5.8245346242475203E-2</v>
      </c>
      <c r="AQ139">
        <v>0</v>
      </c>
      <c r="AR139">
        <v>1.6E-2</v>
      </c>
      <c r="AS139">
        <v>0</v>
      </c>
      <c r="AT139">
        <v>0</v>
      </c>
      <c r="AU139">
        <v>0</v>
      </c>
      <c r="AV139">
        <v>0</v>
      </c>
      <c r="AW139">
        <v>1</v>
      </c>
      <c r="AX139" t="s">
        <v>74</v>
      </c>
      <c r="AY139">
        <v>0</v>
      </c>
      <c r="AZ139" t="s">
        <v>76</v>
      </c>
      <c r="BA139">
        <v>-1.5707963267949001</v>
      </c>
      <c r="BB139">
        <v>0.99199999999999999</v>
      </c>
      <c r="BC139">
        <v>0</v>
      </c>
      <c r="BD139">
        <v>5.8245346242475203E-2</v>
      </c>
      <c r="BE139">
        <v>0</v>
      </c>
      <c r="BF139">
        <v>1.6E-2</v>
      </c>
      <c r="BG139">
        <v>0</v>
      </c>
      <c r="BH139">
        <v>0</v>
      </c>
      <c r="BI139">
        <v>0</v>
      </c>
      <c r="BJ139">
        <v>0</v>
      </c>
      <c r="BK139">
        <v>1</v>
      </c>
      <c r="BL139">
        <v>1.02912263785139E-4</v>
      </c>
      <c r="BM139">
        <v>1.71399432736995E-4</v>
      </c>
      <c r="BN139" s="1">
        <v>3.8287218977278203E-7</v>
      </c>
      <c r="BO139" s="1">
        <v>2.6923359935799999E-6</v>
      </c>
      <c r="BP139">
        <v>0</v>
      </c>
      <c r="BQ139">
        <v>0</v>
      </c>
      <c r="BR139" s="1">
        <v>5.8166600008226099E-5</v>
      </c>
      <c r="BS139" s="1">
        <v>9.8158075468794196E-5</v>
      </c>
    </row>
    <row r="140" spans="1:71" x14ac:dyDescent="0.25">
      <c r="A140">
        <v>137</v>
      </c>
      <c r="B140" s="1">
        <v>2.1845795821489902E-6</v>
      </c>
      <c r="C140">
        <v>0.13260536976890799</v>
      </c>
      <c r="D140">
        <v>-4.9102140980866098E-4</v>
      </c>
      <c r="E140">
        <v>6.1312499999999995E-4</v>
      </c>
      <c r="F140">
        <v>-1.3260536976890799E-3</v>
      </c>
      <c r="G140" s="1">
        <v>2.1684043449710098E-19</v>
      </c>
      <c r="H140" t="s">
        <v>74</v>
      </c>
      <c r="I140">
        <v>0</v>
      </c>
      <c r="J140" t="s">
        <v>75</v>
      </c>
      <c r="K140">
        <v>3.14159265358979</v>
      </c>
      <c r="L140">
        <v>0.76312764024492996</v>
      </c>
      <c r="M140">
        <v>0</v>
      </c>
      <c r="N140">
        <v>4.4807090356117997E-2</v>
      </c>
      <c r="O140">
        <v>0</v>
      </c>
      <c r="P140">
        <v>1.6E-2</v>
      </c>
      <c r="Q140">
        <v>0</v>
      </c>
      <c r="R140">
        <v>0</v>
      </c>
      <c r="S140">
        <v>0</v>
      </c>
      <c r="T140">
        <v>0</v>
      </c>
      <c r="U140">
        <v>0.76928189017303195</v>
      </c>
      <c r="V140" t="s">
        <v>78</v>
      </c>
      <c r="W140">
        <v>3879461.5003569699</v>
      </c>
      <c r="X140" t="s">
        <v>76</v>
      </c>
      <c r="Y140">
        <v>-1.5707963267949001</v>
      </c>
      <c r="Z140">
        <v>0.76237745360575604</v>
      </c>
      <c r="AA140">
        <v>0</v>
      </c>
      <c r="AB140">
        <v>4.4329842237909999E-2</v>
      </c>
      <c r="AC140">
        <v>0</v>
      </c>
      <c r="AD140">
        <v>8.2542732869702092E-3</v>
      </c>
      <c r="AE140">
        <v>9.5853288041869694E-3</v>
      </c>
      <c r="AF140">
        <v>0</v>
      </c>
      <c r="AG140">
        <v>0.22897166745068201</v>
      </c>
      <c r="AH140">
        <v>0.11636323562397299</v>
      </c>
      <c r="AI140">
        <v>0.57469099846174598</v>
      </c>
      <c r="AJ140" t="s">
        <v>74</v>
      </c>
      <c r="AK140">
        <v>0</v>
      </c>
      <c r="AL140" t="s">
        <v>77</v>
      </c>
      <c r="AM140">
        <v>0</v>
      </c>
      <c r="AN140">
        <v>0.99199999999999999</v>
      </c>
      <c r="AO140">
        <v>0</v>
      </c>
      <c r="AP140">
        <v>5.8245346242475203E-2</v>
      </c>
      <c r="AQ140">
        <v>0</v>
      </c>
      <c r="AR140">
        <v>1.6E-2</v>
      </c>
      <c r="AS140">
        <v>0</v>
      </c>
      <c r="AT140">
        <v>0</v>
      </c>
      <c r="AU140">
        <v>0</v>
      </c>
      <c r="AV140">
        <v>0</v>
      </c>
      <c r="AW140">
        <v>1</v>
      </c>
      <c r="AX140" t="s">
        <v>74</v>
      </c>
      <c r="AY140">
        <v>0</v>
      </c>
      <c r="AZ140" t="s">
        <v>76</v>
      </c>
      <c r="BA140">
        <v>-1.5707963267949001</v>
      </c>
      <c r="BB140">
        <v>0.99199999999999999</v>
      </c>
      <c r="BC140">
        <v>0</v>
      </c>
      <c r="BD140">
        <v>5.8245346242475203E-2</v>
      </c>
      <c r="BE140">
        <v>0</v>
      </c>
      <c r="BF140">
        <v>1.6E-2</v>
      </c>
      <c r="BG140">
        <v>0</v>
      </c>
      <c r="BH140">
        <v>0</v>
      </c>
      <c r="BI140">
        <v>0</v>
      </c>
      <c r="BJ140">
        <v>0</v>
      </c>
      <c r="BK140">
        <v>1</v>
      </c>
      <c r="BL140">
        <v>1.02813812539489E-4</v>
      </c>
      <c r="BM140">
        <v>1.72667451537327E-4</v>
      </c>
      <c r="BN140" s="1">
        <v>3.8250595023885501E-7</v>
      </c>
      <c r="BO140" s="1">
        <v>2.7122539863187E-6</v>
      </c>
      <c r="BP140">
        <v>0</v>
      </c>
      <c r="BQ140">
        <v>0</v>
      </c>
      <c r="BR140" s="1">
        <v>5.8104094634858399E-5</v>
      </c>
      <c r="BS140" s="1">
        <v>9.8884459087656302E-5</v>
      </c>
    </row>
    <row r="141" spans="1:71" x14ac:dyDescent="0.25">
      <c r="A141">
        <v>138</v>
      </c>
      <c r="B141" s="1">
        <v>2.1785465610253701E-6</v>
      </c>
      <c r="C141">
        <v>0.132607548315469</v>
      </c>
      <c r="D141">
        <v>-4.9103116810245097E-4</v>
      </c>
      <c r="E141">
        <v>6.1312499999999995E-4</v>
      </c>
      <c r="F141">
        <v>-1.32607548315469E-3</v>
      </c>
      <c r="G141" s="1">
        <v>2.1684043449710098E-19</v>
      </c>
      <c r="H141" t="s">
        <v>74</v>
      </c>
      <c r="I141">
        <v>0</v>
      </c>
      <c r="J141" t="s">
        <v>75</v>
      </c>
      <c r="K141">
        <v>3.14159265358979</v>
      </c>
      <c r="L141">
        <v>0.761446920197556</v>
      </c>
      <c r="M141">
        <v>0</v>
      </c>
      <c r="N141">
        <v>4.4708406766303499E-2</v>
      </c>
      <c r="O141">
        <v>0</v>
      </c>
      <c r="P141">
        <v>1.6E-2</v>
      </c>
      <c r="Q141">
        <v>0</v>
      </c>
      <c r="R141">
        <v>0</v>
      </c>
      <c r="S141">
        <v>0</v>
      </c>
      <c r="T141">
        <v>0</v>
      </c>
      <c r="U141">
        <v>0.76758761683230403</v>
      </c>
      <c r="V141" t="s">
        <v>78</v>
      </c>
      <c r="W141">
        <v>3879545.7096957699</v>
      </c>
      <c r="X141" t="s">
        <v>76</v>
      </c>
      <c r="Y141">
        <v>-1.5707963267949001</v>
      </c>
      <c r="Z141">
        <v>0.76069747982293501</v>
      </c>
      <c r="AA141">
        <v>0</v>
      </c>
      <c r="AB141">
        <v>4.42316334010978E-2</v>
      </c>
      <c r="AC141">
        <v>0</v>
      </c>
      <c r="AD141">
        <v>8.1871600307983697E-3</v>
      </c>
      <c r="AE141">
        <v>9.6537930162591806E-3</v>
      </c>
      <c r="AF141">
        <v>0</v>
      </c>
      <c r="AG141">
        <v>0.22959804294449099</v>
      </c>
      <c r="AH141">
        <v>0.118272820764627</v>
      </c>
      <c r="AI141">
        <v>0.57179445964036701</v>
      </c>
      <c r="AJ141" t="s">
        <v>74</v>
      </c>
      <c r="AK141">
        <v>0</v>
      </c>
      <c r="AL141" t="s">
        <v>77</v>
      </c>
      <c r="AM141">
        <v>0</v>
      </c>
      <c r="AN141">
        <v>0.99199999999999999</v>
      </c>
      <c r="AO141">
        <v>0</v>
      </c>
      <c r="AP141">
        <v>5.8245346242475203E-2</v>
      </c>
      <c r="AQ141">
        <v>0</v>
      </c>
      <c r="AR141">
        <v>1.6E-2</v>
      </c>
      <c r="AS141">
        <v>0</v>
      </c>
      <c r="AT141">
        <v>0</v>
      </c>
      <c r="AU141">
        <v>0</v>
      </c>
      <c r="AV141">
        <v>0</v>
      </c>
      <c r="AW141">
        <v>1</v>
      </c>
      <c r="AX141" t="s">
        <v>74</v>
      </c>
      <c r="AY141">
        <v>0</v>
      </c>
      <c r="AZ141" t="s">
        <v>76</v>
      </c>
      <c r="BA141">
        <v>-1.5707963267949001</v>
      </c>
      <c r="BB141">
        <v>0.99199999999999999</v>
      </c>
      <c r="BC141">
        <v>0</v>
      </c>
      <c r="BD141">
        <v>5.8245346242475203E-2</v>
      </c>
      <c r="BE141">
        <v>0</v>
      </c>
      <c r="BF141">
        <v>1.6E-2</v>
      </c>
      <c r="BG141">
        <v>0</v>
      </c>
      <c r="BH141">
        <v>0</v>
      </c>
      <c r="BI141">
        <v>0</v>
      </c>
      <c r="BJ141">
        <v>0</v>
      </c>
      <c r="BK141">
        <v>1</v>
      </c>
      <c r="BL141">
        <v>1.02715366326176E-4</v>
      </c>
      <c r="BM141">
        <v>1.7393543185455901E-4</v>
      </c>
      <c r="BN141" s="1">
        <v>3.82139740219893E-7</v>
      </c>
      <c r="BO141" s="1">
        <v>2.7321713745662602E-6</v>
      </c>
      <c r="BP141">
        <v>0</v>
      </c>
      <c r="BQ141">
        <v>0</v>
      </c>
      <c r="BR141" s="1">
        <v>5.8041591517233899E-5</v>
      </c>
      <c r="BS141" s="1">
        <v>9.9610823129703195E-5</v>
      </c>
    </row>
    <row r="142" spans="1:71" x14ac:dyDescent="0.25">
      <c r="A142">
        <v>139</v>
      </c>
      <c r="B142" s="1">
        <v>2.1727283260415601E-6</v>
      </c>
      <c r="C142">
        <v>0.13260972104379501</v>
      </c>
      <c r="D142">
        <v>-4.9104090022879699E-4</v>
      </c>
      <c r="E142">
        <v>6.1312499999999995E-4</v>
      </c>
      <c r="F142">
        <v>-1.3260972104379501E-3</v>
      </c>
      <c r="G142" s="1">
        <v>2.1684043449710098E-19</v>
      </c>
      <c r="H142" t="s">
        <v>74</v>
      </c>
      <c r="I142">
        <v>0</v>
      </c>
      <c r="J142" t="s">
        <v>75</v>
      </c>
      <c r="K142">
        <v>3.14159265358979</v>
      </c>
      <c r="L142">
        <v>0.75976625193140102</v>
      </c>
      <c r="M142">
        <v>0</v>
      </c>
      <c r="N142">
        <v>4.4609726216826698E-2</v>
      </c>
      <c r="O142">
        <v>0</v>
      </c>
      <c r="P142">
        <v>1.6E-2</v>
      </c>
      <c r="Q142">
        <v>0</v>
      </c>
      <c r="R142">
        <v>0</v>
      </c>
      <c r="S142">
        <v>0</v>
      </c>
      <c r="T142">
        <v>0</v>
      </c>
      <c r="U142">
        <v>0.76589339553803404</v>
      </c>
      <c r="V142" t="s">
        <v>78</v>
      </c>
      <c r="W142">
        <v>3879629.6932222298</v>
      </c>
      <c r="X142" t="s">
        <v>76</v>
      </c>
      <c r="Y142">
        <v>-1.5707963267949001</v>
      </c>
      <c r="Z142">
        <v>0.75901756412018195</v>
      </c>
      <c r="AA142">
        <v>0</v>
      </c>
      <c r="AB142">
        <v>4.4133431611777699E-2</v>
      </c>
      <c r="AC142">
        <v>0</v>
      </c>
      <c r="AD142">
        <v>8.1200870663415692E-3</v>
      </c>
      <c r="AE142">
        <v>9.7222065909113291E-3</v>
      </c>
      <c r="AF142">
        <v>0</v>
      </c>
      <c r="AG142">
        <v>0.23020487704452799</v>
      </c>
      <c r="AH142">
        <v>0.12020186916877</v>
      </c>
      <c r="AI142">
        <v>0.56890193022070101</v>
      </c>
      <c r="AJ142" t="s">
        <v>74</v>
      </c>
      <c r="AK142">
        <v>0</v>
      </c>
      <c r="AL142" t="s">
        <v>77</v>
      </c>
      <c r="AM142">
        <v>0</v>
      </c>
      <c r="AN142">
        <v>0.99199999999999999</v>
      </c>
      <c r="AO142">
        <v>0</v>
      </c>
      <c r="AP142">
        <v>5.8245346242475203E-2</v>
      </c>
      <c r="AQ142">
        <v>0</v>
      </c>
      <c r="AR142">
        <v>1.6E-2</v>
      </c>
      <c r="AS142">
        <v>0</v>
      </c>
      <c r="AT142">
        <v>0</v>
      </c>
      <c r="AU142">
        <v>0</v>
      </c>
      <c r="AV142">
        <v>0</v>
      </c>
      <c r="AW142">
        <v>1</v>
      </c>
      <c r="AX142" t="s">
        <v>74</v>
      </c>
      <c r="AY142">
        <v>0</v>
      </c>
      <c r="AZ142" t="s">
        <v>76</v>
      </c>
      <c r="BA142">
        <v>-1.5707963267949001</v>
      </c>
      <c r="BB142">
        <v>0.99199999999999999</v>
      </c>
      <c r="BC142">
        <v>0</v>
      </c>
      <c r="BD142">
        <v>5.8245346242475203E-2</v>
      </c>
      <c r="BE142">
        <v>0</v>
      </c>
      <c r="BF142">
        <v>1.6E-2</v>
      </c>
      <c r="BG142">
        <v>0</v>
      </c>
      <c r="BH142">
        <v>0</v>
      </c>
      <c r="BI142">
        <v>0</v>
      </c>
      <c r="BJ142">
        <v>0</v>
      </c>
      <c r="BK142">
        <v>1</v>
      </c>
      <c r="BL142">
        <v>1.02616925156777E-4</v>
      </c>
      <c r="BM142">
        <v>1.7520337310664901E-4</v>
      </c>
      <c r="BN142" s="1">
        <v>3.8177355958149098E-7</v>
      </c>
      <c r="BO142" s="1">
        <v>2.75208814918E-6</v>
      </c>
      <c r="BP142">
        <v>0</v>
      </c>
      <c r="BQ142">
        <v>0</v>
      </c>
      <c r="BR142" s="1">
        <v>5.7979090678873903E-5</v>
      </c>
      <c r="BS142">
        <v>1.0033716726951E-4</v>
      </c>
    </row>
    <row r="143" spans="1:71" x14ac:dyDescent="0.25">
      <c r="A143">
        <v>140</v>
      </c>
      <c r="B143" s="1">
        <v>2.1671229073821598E-6</v>
      </c>
      <c r="C143">
        <v>0.132611888166702</v>
      </c>
      <c r="D143">
        <v>-4.9105060714179196E-4</v>
      </c>
      <c r="E143">
        <v>6.1312499999999995E-4</v>
      </c>
      <c r="F143">
        <v>-1.32611888166702E-3</v>
      </c>
      <c r="G143" s="1">
        <v>2.1684043449710098E-19</v>
      </c>
      <c r="H143" t="s">
        <v>74</v>
      </c>
      <c r="I143">
        <v>0</v>
      </c>
      <c r="J143" t="s">
        <v>75</v>
      </c>
      <c r="K143">
        <v>3.14159265358979</v>
      </c>
      <c r="L143">
        <v>0.75808563623566405</v>
      </c>
      <c r="M143">
        <v>0</v>
      </c>
      <c r="N143">
        <v>4.4511048754025499E-2</v>
      </c>
      <c r="O143">
        <v>0</v>
      </c>
      <c r="P143">
        <v>1.6E-2</v>
      </c>
      <c r="Q143">
        <v>0</v>
      </c>
      <c r="R143">
        <v>0</v>
      </c>
      <c r="S143">
        <v>0</v>
      </c>
      <c r="T143">
        <v>0</v>
      </c>
      <c r="U143">
        <v>0.76419922711143395</v>
      </c>
      <c r="V143" t="s">
        <v>78</v>
      </c>
      <c r="W143">
        <v>3879713.4591696998</v>
      </c>
      <c r="X143" t="s">
        <v>76</v>
      </c>
      <c r="Y143">
        <v>-1.5707963267949001</v>
      </c>
      <c r="Z143">
        <v>0.75733770718224602</v>
      </c>
      <c r="AA143">
        <v>0</v>
      </c>
      <c r="AB143">
        <v>4.4035236849840301E-2</v>
      </c>
      <c r="AC143">
        <v>0</v>
      </c>
      <c r="AD143">
        <v>8.0530548556196797E-3</v>
      </c>
      <c r="AE143">
        <v>9.7905692412201106E-3</v>
      </c>
      <c r="AF143">
        <v>0</v>
      </c>
      <c r="AG143">
        <v>0.23079203701468901</v>
      </c>
      <c r="AH143">
        <v>0.122150512381721</v>
      </c>
      <c r="AI143">
        <v>0.56601342663137899</v>
      </c>
      <c r="AJ143" t="s">
        <v>74</v>
      </c>
      <c r="AK143">
        <v>0</v>
      </c>
      <c r="AL143" t="s">
        <v>77</v>
      </c>
      <c r="AM143">
        <v>0</v>
      </c>
      <c r="AN143">
        <v>0.99199999999999999</v>
      </c>
      <c r="AO143">
        <v>0</v>
      </c>
      <c r="AP143">
        <v>5.8245346242475203E-2</v>
      </c>
      <c r="AQ143">
        <v>0</v>
      </c>
      <c r="AR143">
        <v>1.6E-2</v>
      </c>
      <c r="AS143">
        <v>0</v>
      </c>
      <c r="AT143">
        <v>0</v>
      </c>
      <c r="AU143">
        <v>0</v>
      </c>
      <c r="AV143">
        <v>0</v>
      </c>
      <c r="AW143">
        <v>1</v>
      </c>
      <c r="AX143" t="s">
        <v>74</v>
      </c>
      <c r="AY143">
        <v>0</v>
      </c>
      <c r="AZ143" t="s">
        <v>76</v>
      </c>
      <c r="BA143">
        <v>-1.5707963267949001</v>
      </c>
      <c r="BB143">
        <v>0.99199999999999999</v>
      </c>
      <c r="BC143">
        <v>0</v>
      </c>
      <c r="BD143">
        <v>5.8245346242475203E-2</v>
      </c>
      <c r="BE143">
        <v>0</v>
      </c>
      <c r="BF143">
        <v>1.6E-2</v>
      </c>
      <c r="BG143">
        <v>0</v>
      </c>
      <c r="BH143">
        <v>0</v>
      </c>
      <c r="BI143">
        <v>0</v>
      </c>
      <c r="BJ143">
        <v>0</v>
      </c>
      <c r="BK143">
        <v>1</v>
      </c>
      <c r="BL143">
        <v>1.0251848904440799E-4</v>
      </c>
      <c r="BM143">
        <v>1.76471274698205E-4</v>
      </c>
      <c r="BN143" s="1">
        <v>3.81407408197597E-7</v>
      </c>
      <c r="BO143" s="1">
        <v>2.7720043008075399E-6</v>
      </c>
      <c r="BP143">
        <v>0</v>
      </c>
      <c r="BQ143">
        <v>0</v>
      </c>
      <c r="BR143" s="1">
        <v>5.7916592144041698E-5</v>
      </c>
      <c r="BS143">
        <v>1.0106349117441E-4</v>
      </c>
    </row>
    <row r="144" spans="1:71" x14ac:dyDescent="0.25">
      <c r="A144">
        <v>141</v>
      </c>
      <c r="B144" s="1">
        <v>2.16172846822192E-6</v>
      </c>
      <c r="C144">
        <v>0.13261404989517001</v>
      </c>
      <c r="D144">
        <v>-4.9106028978725396E-4</v>
      </c>
      <c r="E144">
        <v>6.1312499999999995E-4</v>
      </c>
      <c r="F144">
        <v>-1.32614049895171E-3</v>
      </c>
      <c r="G144" s="1">
        <v>1.0842021724855E-19</v>
      </c>
      <c r="H144" t="s">
        <v>74</v>
      </c>
      <c r="I144">
        <v>0</v>
      </c>
      <c r="J144" t="s">
        <v>75</v>
      </c>
      <c r="K144">
        <v>3.14159265358979</v>
      </c>
      <c r="L144">
        <v>0.75640507391784095</v>
      </c>
      <c r="M144">
        <v>0</v>
      </c>
      <c r="N144">
        <v>4.44123744253122E-2</v>
      </c>
      <c r="O144">
        <v>0</v>
      </c>
      <c r="P144">
        <v>1.6E-2</v>
      </c>
      <c r="Q144">
        <v>0</v>
      </c>
      <c r="R144">
        <v>0</v>
      </c>
      <c r="S144">
        <v>0</v>
      </c>
      <c r="T144">
        <v>0</v>
      </c>
      <c r="U144">
        <v>0.76250511238781704</v>
      </c>
      <c r="V144" t="s">
        <v>78</v>
      </c>
      <c r="W144">
        <v>3879797.0157001498</v>
      </c>
      <c r="X144" t="s">
        <v>76</v>
      </c>
      <c r="Y144">
        <v>-1.5707963267949001</v>
      </c>
      <c r="Z144">
        <v>0.75565790971367597</v>
      </c>
      <c r="AA144">
        <v>0</v>
      </c>
      <c r="AB144">
        <v>4.3937049097204098E-2</v>
      </c>
      <c r="AC144">
        <v>0</v>
      </c>
      <c r="AD144">
        <v>7.9860638594695995E-3</v>
      </c>
      <c r="AE144">
        <v>9.8588806783148197E-3</v>
      </c>
      <c r="AF144">
        <v>0</v>
      </c>
      <c r="AG144">
        <v>0.231359388087822</v>
      </c>
      <c r="AH144">
        <v>0.124118883952236</v>
      </c>
      <c r="AI144">
        <v>0.56312896534698698</v>
      </c>
      <c r="AJ144" t="s">
        <v>74</v>
      </c>
      <c r="AK144">
        <v>0</v>
      </c>
      <c r="AL144" t="s">
        <v>77</v>
      </c>
      <c r="AM144">
        <v>0</v>
      </c>
      <c r="AN144">
        <v>0.99199999999999999</v>
      </c>
      <c r="AO144">
        <v>0</v>
      </c>
      <c r="AP144">
        <v>5.8245346242475203E-2</v>
      </c>
      <c r="AQ144">
        <v>0</v>
      </c>
      <c r="AR144">
        <v>1.6E-2</v>
      </c>
      <c r="AS144">
        <v>0</v>
      </c>
      <c r="AT144">
        <v>0</v>
      </c>
      <c r="AU144">
        <v>0</v>
      </c>
      <c r="AV144">
        <v>0</v>
      </c>
      <c r="AW144">
        <v>1</v>
      </c>
      <c r="AX144" t="s">
        <v>74</v>
      </c>
      <c r="AY144">
        <v>0</v>
      </c>
      <c r="AZ144" t="s">
        <v>76</v>
      </c>
      <c r="BA144">
        <v>-1.5707963267949001</v>
      </c>
      <c r="BB144">
        <v>0.99199999999999999</v>
      </c>
      <c r="BC144">
        <v>0</v>
      </c>
      <c r="BD144">
        <v>5.8245346242475203E-2</v>
      </c>
      <c r="BE144">
        <v>0</v>
      </c>
      <c r="BF144">
        <v>1.6E-2</v>
      </c>
      <c r="BG144">
        <v>0</v>
      </c>
      <c r="BH144">
        <v>0</v>
      </c>
      <c r="BI144">
        <v>0</v>
      </c>
      <c r="BJ144">
        <v>0</v>
      </c>
      <c r="BK144">
        <v>1</v>
      </c>
      <c r="BL144">
        <v>1.02420058003733E-4</v>
      </c>
      <c r="BM144">
        <v>1.7773913602002901E-4</v>
      </c>
      <c r="BN144" s="1">
        <v>3.81041285950461E-7</v>
      </c>
      <c r="BO144" s="1">
        <v>2.7919198198796102E-6</v>
      </c>
      <c r="BP144">
        <v>0</v>
      </c>
      <c r="BQ144">
        <v>0</v>
      </c>
      <c r="BR144" s="1">
        <v>5.7854095937761999E-5</v>
      </c>
      <c r="BS144">
        <v>1.0178979450424E-4</v>
      </c>
    </row>
    <row r="145" spans="1:71" x14ac:dyDescent="0.25">
      <c r="A145">
        <v>142</v>
      </c>
      <c r="B145" s="1">
        <v>2.1565433030629198E-6</v>
      </c>
      <c r="C145">
        <v>0.13261620643847399</v>
      </c>
      <c r="D145">
        <v>-4.9106994910332502E-4</v>
      </c>
      <c r="E145">
        <v>6.1312499999999995E-4</v>
      </c>
      <c r="F145">
        <v>-1.32616206438474E-3</v>
      </c>
      <c r="G145" s="1">
        <v>2.1684043449710098E-19</v>
      </c>
      <c r="H145" t="s">
        <v>74</v>
      </c>
      <c r="I145">
        <v>0</v>
      </c>
      <c r="J145" t="s">
        <v>75</v>
      </c>
      <c r="K145">
        <v>3.14159265358979</v>
      </c>
      <c r="L145">
        <v>0.75472456580428404</v>
      </c>
      <c r="M145">
        <v>0</v>
      </c>
      <c r="N145">
        <v>4.4313703279205897E-2</v>
      </c>
      <c r="O145">
        <v>0</v>
      </c>
      <c r="P145">
        <v>1.6E-2</v>
      </c>
      <c r="Q145">
        <v>0</v>
      </c>
      <c r="R145">
        <v>0</v>
      </c>
      <c r="S145">
        <v>0</v>
      </c>
      <c r="T145">
        <v>0</v>
      </c>
      <c r="U145">
        <v>0.76081105221790202</v>
      </c>
      <c r="V145" t="s">
        <v>78</v>
      </c>
      <c r="W145">
        <v>3879880.3709092699</v>
      </c>
      <c r="X145" t="s">
        <v>76</v>
      </c>
      <c r="Y145">
        <v>-1.5707963267949001</v>
      </c>
      <c r="Z145">
        <v>0.75397817243930698</v>
      </c>
      <c r="AA145">
        <v>0</v>
      </c>
      <c r="AB145">
        <v>4.38388683378075E-2</v>
      </c>
      <c r="AC145">
        <v>0</v>
      </c>
      <c r="AD145">
        <v>7.9191145376945101E-3</v>
      </c>
      <c r="AE145">
        <v>9.9271406113352906E-3</v>
      </c>
      <c r="AF145">
        <v>0</v>
      </c>
      <c r="AG145">
        <v>0.23190679341746101</v>
      </c>
      <c r="AH145">
        <v>0.12610711947993999</v>
      </c>
      <c r="AI145">
        <v>0.56024856289096903</v>
      </c>
      <c r="AJ145" t="s">
        <v>74</v>
      </c>
      <c r="AK145">
        <v>0</v>
      </c>
      <c r="AL145" t="s">
        <v>77</v>
      </c>
      <c r="AM145">
        <v>0</v>
      </c>
      <c r="AN145">
        <v>0.99199999999999999</v>
      </c>
      <c r="AO145">
        <v>0</v>
      </c>
      <c r="AP145">
        <v>5.8245346242475203E-2</v>
      </c>
      <c r="AQ145">
        <v>0</v>
      </c>
      <c r="AR145">
        <v>1.6E-2</v>
      </c>
      <c r="AS145">
        <v>0</v>
      </c>
      <c r="AT145">
        <v>0</v>
      </c>
      <c r="AU145">
        <v>0</v>
      </c>
      <c r="AV145">
        <v>0</v>
      </c>
      <c r="AW145">
        <v>1</v>
      </c>
      <c r="AX145" t="s">
        <v>74</v>
      </c>
      <c r="AY145">
        <v>0</v>
      </c>
      <c r="AZ145" t="s">
        <v>76</v>
      </c>
      <c r="BA145">
        <v>-1.5707963267949001</v>
      </c>
      <c r="BB145">
        <v>0.99199999999999999</v>
      </c>
      <c r="BC145">
        <v>0</v>
      </c>
      <c r="BD145">
        <v>5.8245346242475203E-2</v>
      </c>
      <c r="BE145">
        <v>0</v>
      </c>
      <c r="BF145">
        <v>1.6E-2</v>
      </c>
      <c r="BG145">
        <v>0</v>
      </c>
      <c r="BH145">
        <v>0</v>
      </c>
      <c r="BI145">
        <v>0</v>
      </c>
      <c r="BJ145">
        <v>0</v>
      </c>
      <c r="BK145">
        <v>1</v>
      </c>
      <c r="BL145">
        <v>1.02321632050982E-4</v>
      </c>
      <c r="BM145">
        <v>1.79006956448701E-4</v>
      </c>
      <c r="BN145" s="1">
        <v>3.8067519273057203E-7</v>
      </c>
      <c r="BO145" s="1">
        <v>2.81183469660353E-6</v>
      </c>
      <c r="BP145">
        <v>0</v>
      </c>
      <c r="BQ145">
        <v>0</v>
      </c>
      <c r="BR145" s="1">
        <v>5.7791602085838098E-5</v>
      </c>
      <c r="BS145">
        <v>1.02516076911111E-4</v>
      </c>
    </row>
    <row r="146" spans="1:71" x14ac:dyDescent="0.25">
      <c r="A146">
        <v>143</v>
      </c>
      <c r="B146" s="1">
        <v>2.1515658359389002E-6</v>
      </c>
      <c r="C146">
        <v>0.13261835800430899</v>
      </c>
      <c r="D146">
        <v>-4.91079586021041E-4</v>
      </c>
      <c r="E146">
        <v>6.1312499999999995E-4</v>
      </c>
      <c r="F146">
        <v>-1.3261835800431E-3</v>
      </c>
      <c r="G146" s="1">
        <v>1.0842021724855E-19</v>
      </c>
      <c r="H146" t="s">
        <v>74</v>
      </c>
      <c r="I146">
        <v>0</v>
      </c>
      <c r="J146" t="s">
        <v>75</v>
      </c>
      <c r="K146">
        <v>3.14159265358979</v>
      </c>
      <c r="L146">
        <v>0.75304411274077998</v>
      </c>
      <c r="M146">
        <v>0</v>
      </c>
      <c r="N146">
        <v>4.4215035365367202E-2</v>
      </c>
      <c r="O146">
        <v>0</v>
      </c>
      <c r="P146">
        <v>1.6E-2</v>
      </c>
      <c r="Q146">
        <v>0</v>
      </c>
      <c r="R146">
        <v>0</v>
      </c>
      <c r="S146">
        <v>0</v>
      </c>
      <c r="T146">
        <v>0</v>
      </c>
      <c r="U146">
        <v>0.75911704746901998</v>
      </c>
      <c r="V146" t="s">
        <v>78</v>
      </c>
      <c r="W146">
        <v>3879963.5328314598</v>
      </c>
      <c r="X146" t="s">
        <v>76</v>
      </c>
      <c r="Y146">
        <v>-1.5707963267949001</v>
      </c>
      <c r="Z146">
        <v>0.75229849610478605</v>
      </c>
      <c r="AA146">
        <v>0</v>
      </c>
      <c r="AB146">
        <v>4.3740694557604202E-2</v>
      </c>
      <c r="AC146">
        <v>0</v>
      </c>
      <c r="AD146">
        <v>7.8522073492113108E-3</v>
      </c>
      <c r="AE146">
        <v>9.9953487473885393E-3</v>
      </c>
      <c r="AF146">
        <v>0</v>
      </c>
      <c r="AG146">
        <v>0.232434114028015</v>
      </c>
      <c r="AH146">
        <v>0.128115356664254</v>
      </c>
      <c r="AI146">
        <v>0.55737223583853901</v>
      </c>
      <c r="AJ146" t="s">
        <v>74</v>
      </c>
      <c r="AK146">
        <v>0</v>
      </c>
      <c r="AL146" t="s">
        <v>77</v>
      </c>
      <c r="AM146">
        <v>0</v>
      </c>
      <c r="AN146">
        <v>0.99199999999999999</v>
      </c>
      <c r="AO146">
        <v>0</v>
      </c>
      <c r="AP146">
        <v>5.8245346242475203E-2</v>
      </c>
      <c r="AQ146">
        <v>0</v>
      </c>
      <c r="AR146">
        <v>1.6E-2</v>
      </c>
      <c r="AS146">
        <v>0</v>
      </c>
      <c r="AT146">
        <v>0</v>
      </c>
      <c r="AU146">
        <v>0</v>
      </c>
      <c r="AV146">
        <v>0</v>
      </c>
      <c r="AW146">
        <v>1</v>
      </c>
      <c r="AX146" t="s">
        <v>74</v>
      </c>
      <c r="AY146">
        <v>0</v>
      </c>
      <c r="AZ146" t="s">
        <v>76</v>
      </c>
      <c r="BA146">
        <v>-1.5707963267949001</v>
      </c>
      <c r="BB146">
        <v>0.99199999999999999</v>
      </c>
      <c r="BC146">
        <v>0</v>
      </c>
      <c r="BD146">
        <v>5.8245346242475203E-2</v>
      </c>
      <c r="BE146">
        <v>0</v>
      </c>
      <c r="BF146">
        <v>1.6E-2</v>
      </c>
      <c r="BG146">
        <v>0</v>
      </c>
      <c r="BH146">
        <v>0</v>
      </c>
      <c r="BI146">
        <v>0</v>
      </c>
      <c r="BJ146">
        <v>0</v>
      </c>
      <c r="BK146">
        <v>1</v>
      </c>
      <c r="BL146">
        <v>1.02223211203961E-4</v>
      </c>
      <c r="BM146">
        <v>1.8027473534613499E-4</v>
      </c>
      <c r="BN146" s="1">
        <v>3.8030912843661198E-7</v>
      </c>
      <c r="BO146" s="1">
        <v>2.8317489209563001E-6</v>
      </c>
      <c r="BP146">
        <v>0</v>
      </c>
      <c r="BQ146">
        <v>0</v>
      </c>
      <c r="BR146" s="1">
        <v>5.7729110614870598E-5</v>
      </c>
      <c r="BS146">
        <v>1.0324233803915699E-4</v>
      </c>
    </row>
    <row r="147" spans="1:71" x14ac:dyDescent="0.25">
      <c r="A147">
        <v>144</v>
      </c>
      <c r="B147" s="1">
        <v>2.1467946190409202E-6</v>
      </c>
      <c r="C147">
        <v>0.13262050479892901</v>
      </c>
      <c r="D147">
        <v>-4.91089201464913E-4</v>
      </c>
      <c r="E147">
        <v>6.1312499999999995E-4</v>
      </c>
      <c r="F147">
        <v>-1.3262050479892901E-3</v>
      </c>
      <c r="G147" s="1">
        <v>2.1684043449710098E-19</v>
      </c>
      <c r="H147" t="s">
        <v>74</v>
      </c>
      <c r="I147">
        <v>0</v>
      </c>
      <c r="J147" t="s">
        <v>75</v>
      </c>
      <c r="K147">
        <v>3.14159265358979</v>
      </c>
      <c r="L147">
        <v>0.75136371559319404</v>
      </c>
      <c r="M147">
        <v>0</v>
      </c>
      <c r="N147">
        <v>4.4116370734635403E-2</v>
      </c>
      <c r="O147">
        <v>0</v>
      </c>
      <c r="P147">
        <v>1.6E-2</v>
      </c>
      <c r="Q147">
        <v>0</v>
      </c>
      <c r="R147">
        <v>0</v>
      </c>
      <c r="S147">
        <v>0</v>
      </c>
      <c r="T147">
        <v>0</v>
      </c>
      <c r="U147">
        <v>0.75742309902627203</v>
      </c>
      <c r="V147" t="s">
        <v>78</v>
      </c>
      <c r="W147">
        <v>3880046.50944481</v>
      </c>
      <c r="X147" t="s">
        <v>76</v>
      </c>
      <c r="Y147">
        <v>-1.5707963267949001</v>
      </c>
      <c r="Z147">
        <v>0.75061888147715095</v>
      </c>
      <c r="AA147">
        <v>0</v>
      </c>
      <c r="AB147">
        <v>4.3642527744562301E-2</v>
      </c>
      <c r="AC147">
        <v>0</v>
      </c>
      <c r="AD147">
        <v>7.7853427521972097E-3</v>
      </c>
      <c r="AE147">
        <v>1.00635047915033E-2</v>
      </c>
      <c r="AF147">
        <v>0</v>
      </c>
      <c r="AG147">
        <v>0.23294120876334501</v>
      </c>
      <c r="AH147">
        <v>0.13014373535485099</v>
      </c>
      <c r="AI147">
        <v>0.55450000081962803</v>
      </c>
      <c r="AJ147" t="s">
        <v>74</v>
      </c>
      <c r="AK147">
        <v>0</v>
      </c>
      <c r="AL147" t="s">
        <v>77</v>
      </c>
      <c r="AM147">
        <v>0</v>
      </c>
      <c r="AN147">
        <v>0.99199999999999999</v>
      </c>
      <c r="AO147">
        <v>0</v>
      </c>
      <c r="AP147">
        <v>5.8245346242475203E-2</v>
      </c>
      <c r="AQ147">
        <v>0</v>
      </c>
      <c r="AR147">
        <v>1.6E-2</v>
      </c>
      <c r="AS147">
        <v>0</v>
      </c>
      <c r="AT147">
        <v>0</v>
      </c>
      <c r="AU147">
        <v>0</v>
      </c>
      <c r="AV147">
        <v>0</v>
      </c>
      <c r="AW147">
        <v>1</v>
      </c>
      <c r="AX147" t="s">
        <v>74</v>
      </c>
      <c r="AY147">
        <v>0</v>
      </c>
      <c r="AZ147" t="s">
        <v>76</v>
      </c>
      <c r="BA147">
        <v>-1.5707963267949001</v>
      </c>
      <c r="BB147">
        <v>0.99199999999999999</v>
      </c>
      <c r="BC147">
        <v>0</v>
      </c>
      <c r="BD147">
        <v>5.8245346242475203E-2</v>
      </c>
      <c r="BE147">
        <v>0</v>
      </c>
      <c r="BF147">
        <v>1.6E-2</v>
      </c>
      <c r="BG147">
        <v>0</v>
      </c>
      <c r="BH147">
        <v>0</v>
      </c>
      <c r="BI147">
        <v>0</v>
      </c>
      <c r="BJ147">
        <v>0</v>
      </c>
      <c r="BK147">
        <v>1</v>
      </c>
      <c r="BL147">
        <v>1.02124795482074E-4</v>
      </c>
      <c r="BM147">
        <v>1.8154247205909801E-4</v>
      </c>
      <c r="BN147" s="1">
        <v>3.7994309297542402E-7</v>
      </c>
      <c r="BO147" s="1">
        <v>2.8516624826769701E-6</v>
      </c>
      <c r="BP147">
        <v>0</v>
      </c>
      <c r="BQ147">
        <v>0</v>
      </c>
      <c r="BR147" s="1">
        <v>5.7666621552278802E-5</v>
      </c>
      <c r="BS147">
        <v>1.03968577524269E-4</v>
      </c>
    </row>
    <row r="148" spans="1:71" x14ac:dyDescent="0.25">
      <c r="A148">
        <v>145</v>
      </c>
      <c r="B148" s="1">
        <v>2.1422283314513999E-6</v>
      </c>
      <c r="C148">
        <v>0.13262264702726001</v>
      </c>
      <c r="D148">
        <v>-4.9109879635349598E-4</v>
      </c>
      <c r="E148">
        <v>6.1312499999999995E-4</v>
      </c>
      <c r="F148">
        <v>-1.3262264702726E-3</v>
      </c>
      <c r="G148" s="1">
        <v>2.1684043449710098E-19</v>
      </c>
      <c r="H148" t="s">
        <v>74</v>
      </c>
      <c r="I148">
        <v>0</v>
      </c>
      <c r="J148" t="s">
        <v>75</v>
      </c>
      <c r="K148">
        <v>3.14159265358979</v>
      </c>
      <c r="L148">
        <v>0.74968337524805495</v>
      </c>
      <c r="M148">
        <v>0</v>
      </c>
      <c r="N148">
        <v>4.4017709439063003E-2</v>
      </c>
      <c r="O148">
        <v>0</v>
      </c>
      <c r="P148">
        <v>1.6E-2</v>
      </c>
      <c r="Q148">
        <v>0</v>
      </c>
      <c r="R148">
        <v>0</v>
      </c>
      <c r="S148">
        <v>0</v>
      </c>
      <c r="T148">
        <v>0</v>
      </c>
      <c r="U148">
        <v>0.75572920779353003</v>
      </c>
      <c r="V148" t="s">
        <v>78</v>
      </c>
      <c r="W148">
        <v>3880129.30867599</v>
      </c>
      <c r="X148" t="s">
        <v>76</v>
      </c>
      <c r="Y148">
        <v>-1.5707963267949001</v>
      </c>
      <c r="Z148">
        <v>0.74893932934535701</v>
      </c>
      <c r="AA148">
        <v>0</v>
      </c>
      <c r="AB148">
        <v>4.3544367888660902E-2</v>
      </c>
      <c r="AC148">
        <v>0</v>
      </c>
      <c r="AD148">
        <v>7.7185212042309298E-3</v>
      </c>
      <c r="AE148">
        <v>1.01316084465873E-2</v>
      </c>
      <c r="AF148">
        <v>0</v>
      </c>
      <c r="AG148">
        <v>0.23342793423368799</v>
      </c>
      <c r="AH148">
        <v>0.13219239760385601</v>
      </c>
      <c r="AI148">
        <v>0.55163187452167595</v>
      </c>
      <c r="AJ148" t="s">
        <v>74</v>
      </c>
      <c r="AK148">
        <v>0</v>
      </c>
      <c r="AL148" t="s">
        <v>77</v>
      </c>
      <c r="AM148">
        <v>0</v>
      </c>
      <c r="AN148">
        <v>0.99199999999999999</v>
      </c>
      <c r="AO148">
        <v>0</v>
      </c>
      <c r="AP148">
        <v>5.8245346242475203E-2</v>
      </c>
      <c r="AQ148">
        <v>0</v>
      </c>
      <c r="AR148">
        <v>1.6E-2</v>
      </c>
      <c r="AS148">
        <v>0</v>
      </c>
      <c r="AT148">
        <v>0</v>
      </c>
      <c r="AU148">
        <v>0</v>
      </c>
      <c r="AV148">
        <v>0</v>
      </c>
      <c r="AW148">
        <v>1</v>
      </c>
      <c r="AX148" t="s">
        <v>74</v>
      </c>
      <c r="AY148">
        <v>0</v>
      </c>
      <c r="AZ148" t="s">
        <v>76</v>
      </c>
      <c r="BA148">
        <v>-1.5707963267949001</v>
      </c>
      <c r="BB148">
        <v>0.99199999999999999</v>
      </c>
      <c r="BC148">
        <v>0</v>
      </c>
      <c r="BD148">
        <v>5.8245346242475203E-2</v>
      </c>
      <c r="BE148">
        <v>0</v>
      </c>
      <c r="BF148">
        <v>1.6E-2</v>
      </c>
      <c r="BG148">
        <v>0</v>
      </c>
      <c r="BH148">
        <v>0</v>
      </c>
      <c r="BI148">
        <v>0</v>
      </c>
      <c r="BJ148">
        <v>0</v>
      </c>
      <c r="BK148">
        <v>1</v>
      </c>
      <c r="BL148">
        <v>1.02026384906337E-4</v>
      </c>
      <c r="BM148">
        <v>1.8281016591877199E-4</v>
      </c>
      <c r="BN148" s="1">
        <v>3.79577086261968E-7</v>
      </c>
      <c r="BO148" s="1">
        <v>2.8715753712597201E-6</v>
      </c>
      <c r="BP148">
        <v>0</v>
      </c>
      <c r="BQ148">
        <v>0</v>
      </c>
      <c r="BR148" s="1">
        <v>5.7604134926318903E-5</v>
      </c>
      <c r="BS148">
        <v>1.0469479499385E-4</v>
      </c>
    </row>
    <row r="149" spans="1:71" x14ac:dyDescent="0.25">
      <c r="A149">
        <v>146</v>
      </c>
      <c r="B149" s="1">
        <v>2.1378657779741101E-6</v>
      </c>
      <c r="C149">
        <v>0.132624784893038</v>
      </c>
      <c r="D149">
        <v>-4.9110837159994805E-4</v>
      </c>
      <c r="E149">
        <v>6.1312499999999995E-4</v>
      </c>
      <c r="F149">
        <v>-1.32624784893038E-3</v>
      </c>
      <c r="G149" s="1">
        <v>2.1684043449710098E-19</v>
      </c>
      <c r="H149" t="s">
        <v>74</v>
      </c>
      <c r="I149">
        <v>0</v>
      </c>
      <c r="J149" t="s">
        <v>75</v>
      </c>
      <c r="K149">
        <v>3.14159265358979</v>
      </c>
      <c r="L149">
        <v>0.74800309261332099</v>
      </c>
      <c r="M149">
        <v>0</v>
      </c>
      <c r="N149">
        <v>4.3919051531960802E-2</v>
      </c>
      <c r="O149">
        <v>0</v>
      </c>
      <c r="P149">
        <v>1.6E-2</v>
      </c>
      <c r="Q149">
        <v>0</v>
      </c>
      <c r="R149">
        <v>0</v>
      </c>
      <c r="S149">
        <v>0</v>
      </c>
      <c r="T149">
        <v>0</v>
      </c>
      <c r="U149">
        <v>0.75403537469456705</v>
      </c>
      <c r="V149" t="s">
        <v>78</v>
      </c>
      <c r="W149">
        <v>3880211.93840511</v>
      </c>
      <c r="X149" t="s">
        <v>76</v>
      </c>
      <c r="Y149">
        <v>-1.5707963267949001</v>
      </c>
      <c r="Z149">
        <v>0.74725984052098504</v>
      </c>
      <c r="AA149">
        <v>0</v>
      </c>
      <c r="AB149">
        <v>4.3446214981898199E-2</v>
      </c>
      <c r="AC149">
        <v>0</v>
      </c>
      <c r="AD149">
        <v>7.6517431624386302E-3</v>
      </c>
      <c r="AE149">
        <v>1.0199659413377001E-2</v>
      </c>
      <c r="AF149">
        <v>0</v>
      </c>
      <c r="AG149">
        <v>0.23389414476079801</v>
      </c>
      <c r="AH149">
        <v>0.134261487719537</v>
      </c>
      <c r="AI149">
        <v>0.54876787369269198</v>
      </c>
      <c r="AJ149" t="s">
        <v>74</v>
      </c>
      <c r="AK149">
        <v>0</v>
      </c>
      <c r="AL149" t="s">
        <v>77</v>
      </c>
      <c r="AM149">
        <v>0</v>
      </c>
      <c r="AN149">
        <v>0.99199999999999999</v>
      </c>
      <c r="AO149">
        <v>0</v>
      </c>
      <c r="AP149">
        <v>5.8245346242475203E-2</v>
      </c>
      <c r="AQ149">
        <v>0</v>
      </c>
      <c r="AR149">
        <v>1.6E-2</v>
      </c>
      <c r="AS149">
        <v>0</v>
      </c>
      <c r="AT149">
        <v>0</v>
      </c>
      <c r="AU149">
        <v>0</v>
      </c>
      <c r="AV149">
        <v>0</v>
      </c>
      <c r="AW149">
        <v>1</v>
      </c>
      <c r="AX149" t="s">
        <v>74</v>
      </c>
      <c r="AY149">
        <v>0</v>
      </c>
      <c r="AZ149" t="s">
        <v>76</v>
      </c>
      <c r="BA149">
        <v>-1.5707963267949001</v>
      </c>
      <c r="BB149">
        <v>0.99199999999999999</v>
      </c>
      <c r="BC149">
        <v>0</v>
      </c>
      <c r="BD149">
        <v>5.8245346242475203E-2</v>
      </c>
      <c r="BE149">
        <v>0</v>
      </c>
      <c r="BF149">
        <v>1.6E-2</v>
      </c>
      <c r="BG149">
        <v>0</v>
      </c>
      <c r="BH149">
        <v>0</v>
      </c>
      <c r="BI149">
        <v>0</v>
      </c>
      <c r="BJ149">
        <v>0</v>
      </c>
      <c r="BK149">
        <v>1</v>
      </c>
      <c r="BL149">
        <v>1.0192797949940499E-4</v>
      </c>
      <c r="BM149">
        <v>1.84077816240167E-4</v>
      </c>
      <c r="BN149" s="1">
        <v>3.7921110821932501E-7</v>
      </c>
      <c r="BO149" s="1">
        <v>2.8914875759448099E-6</v>
      </c>
      <c r="BP149">
        <v>0</v>
      </c>
      <c r="BQ149">
        <v>0</v>
      </c>
      <c r="BR149" s="1">
        <v>5.7541650766110403E-5</v>
      </c>
      <c r="BS149">
        <v>1.0542099006649099E-4</v>
      </c>
    </row>
    <row r="150" spans="1:71" x14ac:dyDescent="0.25">
      <c r="A150">
        <v>147</v>
      </c>
      <c r="B150" s="1">
        <v>2.13370588843403E-6</v>
      </c>
      <c r="C150">
        <v>0.132626918598926</v>
      </c>
      <c r="D150">
        <v>-4.9111792811259698E-4</v>
      </c>
      <c r="E150">
        <v>6.1312499999999995E-4</v>
      </c>
      <c r="F150">
        <v>-1.3262691859892699E-3</v>
      </c>
      <c r="G150" s="1">
        <v>1.0842021724855E-19</v>
      </c>
      <c r="H150" t="s">
        <v>74</v>
      </c>
      <c r="I150">
        <v>0</v>
      </c>
      <c r="J150" t="s">
        <v>75</v>
      </c>
      <c r="K150">
        <v>3.14159265358979</v>
      </c>
      <c r="L150">
        <v>0.74632286861899599</v>
      </c>
      <c r="M150">
        <v>0</v>
      </c>
      <c r="N150">
        <v>4.3820397067934301E-2</v>
      </c>
      <c r="O150">
        <v>0</v>
      </c>
      <c r="P150">
        <v>1.6E-2</v>
      </c>
      <c r="Q150">
        <v>0</v>
      </c>
      <c r="R150">
        <v>0</v>
      </c>
      <c r="S150">
        <v>0</v>
      </c>
      <c r="T150">
        <v>0</v>
      </c>
      <c r="U150">
        <v>0.75234160067396105</v>
      </c>
      <c r="V150" t="s">
        <v>78</v>
      </c>
      <c r="W150">
        <v>3880294.4064706</v>
      </c>
      <c r="X150" t="s">
        <v>76</v>
      </c>
      <c r="Y150">
        <v>-1.5707963267949001</v>
      </c>
      <c r="Z150">
        <v>0.74558041583880097</v>
      </c>
      <c r="AA150">
        <v>0</v>
      </c>
      <c r="AB150">
        <v>4.3348069018291503E-2</v>
      </c>
      <c r="AC150">
        <v>0</v>
      </c>
      <c r="AD150">
        <v>7.5850090836310103E-3</v>
      </c>
      <c r="AE150">
        <v>1.0267657390393901E-2</v>
      </c>
      <c r="AF150">
        <v>0</v>
      </c>
      <c r="AG150">
        <v>0.234339692321332</v>
      </c>
      <c r="AH150">
        <v>0.13635115232199499</v>
      </c>
      <c r="AI150">
        <v>0.545908015144002</v>
      </c>
      <c r="AJ150" t="s">
        <v>74</v>
      </c>
      <c r="AK150">
        <v>0</v>
      </c>
      <c r="AL150" t="s">
        <v>77</v>
      </c>
      <c r="AM150">
        <v>0</v>
      </c>
      <c r="AN150">
        <v>0.99199999999999999</v>
      </c>
      <c r="AO150">
        <v>0</v>
      </c>
      <c r="AP150">
        <v>5.8245346242475203E-2</v>
      </c>
      <c r="AQ150">
        <v>0</v>
      </c>
      <c r="AR150">
        <v>1.6E-2</v>
      </c>
      <c r="AS150">
        <v>0</v>
      </c>
      <c r="AT150">
        <v>0</v>
      </c>
      <c r="AU150">
        <v>0</v>
      </c>
      <c r="AV150">
        <v>0</v>
      </c>
      <c r="AW150">
        <v>1</v>
      </c>
      <c r="AX150" t="s">
        <v>74</v>
      </c>
      <c r="AY150">
        <v>0</v>
      </c>
      <c r="AZ150" t="s">
        <v>76</v>
      </c>
      <c r="BA150">
        <v>-1.5707963267949001</v>
      </c>
      <c r="BB150">
        <v>0.99199999999999999</v>
      </c>
      <c r="BC150">
        <v>0</v>
      </c>
      <c r="BD150">
        <v>5.8245346242475203E-2</v>
      </c>
      <c r="BE150">
        <v>0</v>
      </c>
      <c r="BF150">
        <v>1.6E-2</v>
      </c>
      <c r="BG150">
        <v>0</v>
      </c>
      <c r="BH150">
        <v>0</v>
      </c>
      <c r="BI150">
        <v>0</v>
      </c>
      <c r="BJ150">
        <v>0</v>
      </c>
      <c r="BK150">
        <v>1</v>
      </c>
      <c r="BL150">
        <v>1.0182957928558799E-4</v>
      </c>
      <c r="BM150">
        <v>1.85345422321663E-4</v>
      </c>
      <c r="BN150" s="1">
        <v>3.7884515877867002E-7</v>
      </c>
      <c r="BO150" s="1">
        <v>2.91139908571118E-6</v>
      </c>
      <c r="BP150">
        <v>0</v>
      </c>
      <c r="BQ150">
        <v>0</v>
      </c>
      <c r="BR150" s="1">
        <v>5.7479169101655797E-5</v>
      </c>
      <c r="BS150">
        <v>1.0614716235170901E-4</v>
      </c>
    </row>
    <row r="151" spans="1:71" x14ac:dyDescent="0.25">
      <c r="A151">
        <v>148</v>
      </c>
      <c r="B151" s="1">
        <v>2.1297477169407902E-6</v>
      </c>
      <c r="C151">
        <v>0.13262904834664299</v>
      </c>
      <c r="D151">
        <v>-4.9112746679549099E-4</v>
      </c>
      <c r="E151">
        <v>6.1312499999999995E-4</v>
      </c>
      <c r="F151">
        <v>-1.32629048346643E-3</v>
      </c>
      <c r="G151" s="1">
        <v>1.0842021724855E-19</v>
      </c>
      <c r="H151" t="s">
        <v>74</v>
      </c>
      <c r="I151">
        <v>0</v>
      </c>
      <c r="J151" t="s">
        <v>75</v>
      </c>
      <c r="K151">
        <v>3.14159265358979</v>
      </c>
      <c r="L151">
        <v>0.74464270421787604</v>
      </c>
      <c r="M151">
        <v>0</v>
      </c>
      <c r="N151">
        <v>4.3721746102926597E-2</v>
      </c>
      <c r="O151">
        <v>0</v>
      </c>
      <c r="P151">
        <v>1.6E-2</v>
      </c>
      <c r="Q151">
        <v>0</v>
      </c>
      <c r="R151">
        <v>0</v>
      </c>
      <c r="S151">
        <v>0</v>
      </c>
      <c r="T151">
        <v>0</v>
      </c>
      <c r="U151">
        <v>0.75064788669808402</v>
      </c>
      <c r="V151" t="s">
        <v>78</v>
      </c>
      <c r="W151">
        <v>3880376.7206739602</v>
      </c>
      <c r="X151" t="s">
        <v>76</v>
      </c>
      <c r="Y151">
        <v>-1.5707963267949001</v>
      </c>
      <c r="Z151">
        <v>0.74390105615744395</v>
      </c>
      <c r="AA151">
        <v>0</v>
      </c>
      <c r="AB151">
        <v>4.32499299938848E-2</v>
      </c>
      <c r="AC151">
        <v>0</v>
      </c>
      <c r="AD151">
        <v>7.5183194244429902E-3</v>
      </c>
      <c r="AE151">
        <v>1.03356020738958E-2</v>
      </c>
      <c r="AF151">
        <v>0</v>
      </c>
      <c r="AG151">
        <v>0.23476442648832499</v>
      </c>
      <c r="AH151">
        <v>0.13846154040056899</v>
      </c>
      <c r="AI151">
        <v>0.54305231575315704</v>
      </c>
      <c r="AJ151" t="s">
        <v>74</v>
      </c>
      <c r="AK151">
        <v>0</v>
      </c>
      <c r="AL151" t="s">
        <v>77</v>
      </c>
      <c r="AM151">
        <v>0</v>
      </c>
      <c r="AN151">
        <v>0.99199999999999999</v>
      </c>
      <c r="AO151">
        <v>0</v>
      </c>
      <c r="AP151">
        <v>5.8245346242475203E-2</v>
      </c>
      <c r="AQ151">
        <v>0</v>
      </c>
      <c r="AR151">
        <v>1.6E-2</v>
      </c>
      <c r="AS151">
        <v>0</v>
      </c>
      <c r="AT151">
        <v>0</v>
      </c>
      <c r="AU151">
        <v>0</v>
      </c>
      <c r="AV151">
        <v>0</v>
      </c>
      <c r="AW151">
        <v>1</v>
      </c>
      <c r="AX151" t="s">
        <v>74</v>
      </c>
      <c r="AY151">
        <v>0</v>
      </c>
      <c r="AZ151" t="s">
        <v>76</v>
      </c>
      <c r="BA151">
        <v>-1.5707963267949001</v>
      </c>
      <c r="BB151">
        <v>0.99199999999999999</v>
      </c>
      <c r="BC151">
        <v>0</v>
      </c>
      <c r="BD151">
        <v>5.8245346242475203E-2</v>
      </c>
      <c r="BE151">
        <v>0</v>
      </c>
      <c r="BF151">
        <v>1.6E-2</v>
      </c>
      <c r="BG151">
        <v>0</v>
      </c>
      <c r="BH151">
        <v>0</v>
      </c>
      <c r="BI151">
        <v>0</v>
      </c>
      <c r="BJ151">
        <v>0</v>
      </c>
      <c r="BK151">
        <v>1</v>
      </c>
      <c r="BL151">
        <v>1.01731184290881E-4</v>
      </c>
      <c r="BM151">
        <v>1.8661298344444701E-4</v>
      </c>
      <c r="BN151" s="1">
        <v>3.7847923787926898E-7</v>
      </c>
      <c r="BO151" s="1">
        <v>2.9313098892677399E-6</v>
      </c>
      <c r="BP151">
        <v>0</v>
      </c>
      <c r="BQ151">
        <v>0</v>
      </c>
      <c r="BR151" s="1">
        <v>5.7416689963865799E-5</v>
      </c>
      <c r="BS151">
        <v>1.06873311449642E-4</v>
      </c>
    </row>
    <row r="152" spans="1:71" x14ac:dyDescent="0.25">
      <c r="A152">
        <v>149</v>
      </c>
      <c r="B152" s="1">
        <v>2.1259904413809501E-6</v>
      </c>
      <c r="C152">
        <v>0.13263117433708499</v>
      </c>
      <c r="D152">
        <v>-4.9113698854895795E-4</v>
      </c>
      <c r="E152">
        <v>6.1312499999999995E-4</v>
      </c>
      <c r="F152">
        <v>-1.3263117433708501E-3</v>
      </c>
      <c r="G152" s="1">
        <v>1.0842021724855E-19</v>
      </c>
      <c r="H152" t="s">
        <v>74</v>
      </c>
      <c r="I152">
        <v>0</v>
      </c>
      <c r="J152" t="s">
        <v>75</v>
      </c>
      <c r="K152">
        <v>3.14159265358979</v>
      </c>
      <c r="L152">
        <v>0.742962600386323</v>
      </c>
      <c r="M152">
        <v>0</v>
      </c>
      <c r="N152">
        <v>4.36230986942652E-2</v>
      </c>
      <c r="O152">
        <v>0</v>
      </c>
      <c r="P152">
        <v>1.6E-2</v>
      </c>
      <c r="Q152">
        <v>0</v>
      </c>
      <c r="R152">
        <v>0</v>
      </c>
      <c r="S152">
        <v>0</v>
      </c>
      <c r="T152">
        <v>0</v>
      </c>
      <c r="U152">
        <v>0.74895423375608505</v>
      </c>
      <c r="V152" t="s">
        <v>78</v>
      </c>
      <c r="W152">
        <v>3880458.8887845902</v>
      </c>
      <c r="X152" t="s">
        <v>76</v>
      </c>
      <c r="Y152">
        <v>-1.5707963267949001</v>
      </c>
      <c r="Z152">
        <v>0.74222176236014903</v>
      </c>
      <c r="AA152">
        <v>0</v>
      </c>
      <c r="AB152">
        <v>4.3151797906759701E-2</v>
      </c>
      <c r="AC152">
        <v>0</v>
      </c>
      <c r="AD152">
        <v>7.4516746414723797E-3</v>
      </c>
      <c r="AE152">
        <v>1.0403493157826901E-2</v>
      </c>
      <c r="AF152">
        <v>0</v>
      </c>
      <c r="AG152">
        <v>0.235168194370692</v>
      </c>
      <c r="AH152">
        <v>0.140592803373154</v>
      </c>
      <c r="AI152">
        <v>0.54020079246686603</v>
      </c>
      <c r="AJ152" t="s">
        <v>74</v>
      </c>
      <c r="AK152">
        <v>0</v>
      </c>
      <c r="AL152" t="s">
        <v>77</v>
      </c>
      <c r="AM152">
        <v>0</v>
      </c>
      <c r="AN152">
        <v>0.99199999999999999</v>
      </c>
      <c r="AO152">
        <v>0</v>
      </c>
      <c r="AP152">
        <v>5.8245346242475203E-2</v>
      </c>
      <c r="AQ152">
        <v>0</v>
      </c>
      <c r="AR152">
        <v>1.6E-2</v>
      </c>
      <c r="AS152">
        <v>0</v>
      </c>
      <c r="AT152">
        <v>0</v>
      </c>
      <c r="AU152">
        <v>0</v>
      </c>
      <c r="AV152">
        <v>0</v>
      </c>
      <c r="AW152">
        <v>1</v>
      </c>
      <c r="AX152" t="s">
        <v>74</v>
      </c>
      <c r="AY152">
        <v>0</v>
      </c>
      <c r="AZ152" t="s">
        <v>76</v>
      </c>
      <c r="BA152">
        <v>-1.5707963267949001</v>
      </c>
      <c r="BB152">
        <v>0.99199999999999999</v>
      </c>
      <c r="BC152">
        <v>0</v>
      </c>
      <c r="BD152">
        <v>5.8245346242475203E-2</v>
      </c>
      <c r="BE152">
        <v>0</v>
      </c>
      <c r="BF152">
        <v>1.6E-2</v>
      </c>
      <c r="BG152">
        <v>0</v>
      </c>
      <c r="BH152">
        <v>0</v>
      </c>
      <c r="BI152">
        <v>0</v>
      </c>
      <c r="BJ152">
        <v>0</v>
      </c>
      <c r="BK152">
        <v>1</v>
      </c>
      <c r="BL152">
        <v>1.0163279454298799E-4</v>
      </c>
      <c r="BM152">
        <v>1.8788049887192299E-4</v>
      </c>
      <c r="BN152" s="1">
        <v>3.7811334546849699E-7</v>
      </c>
      <c r="BO152" s="1">
        <v>2.9512199750440901E-6</v>
      </c>
      <c r="BP152">
        <v>0</v>
      </c>
      <c r="BQ152">
        <v>0</v>
      </c>
      <c r="BR152" s="1">
        <v>5.7354213384585602E-5</v>
      </c>
      <c r="BS152">
        <v>1.0759943695071699E-4</v>
      </c>
    </row>
    <row r="153" spans="1:71" x14ac:dyDescent="0.25">
      <c r="A153">
        <v>150</v>
      </c>
      <c r="B153" s="1">
        <v>2.12243336324746E-6</v>
      </c>
      <c r="C153">
        <v>0.13263329677044799</v>
      </c>
      <c r="D153">
        <v>-4.9114649427015901E-4</v>
      </c>
      <c r="E153">
        <v>6.1312499999999995E-4</v>
      </c>
      <c r="F153">
        <v>-1.3263329677044801E-3</v>
      </c>
      <c r="G153" s="1">
        <v>2.1684043449710098E-19</v>
      </c>
      <c r="H153" t="s">
        <v>74</v>
      </c>
      <c r="I153">
        <v>0</v>
      </c>
      <c r="J153" t="s">
        <v>75</v>
      </c>
      <c r="K153">
        <v>3.14159265358979</v>
      </c>
      <c r="L153">
        <v>0.74128255812503097</v>
      </c>
      <c r="M153">
        <v>0</v>
      </c>
      <c r="N153">
        <v>4.3524454900705799E-2</v>
      </c>
      <c r="O153">
        <v>0</v>
      </c>
      <c r="P153">
        <v>1.6E-2</v>
      </c>
      <c r="Q153">
        <v>0</v>
      </c>
      <c r="R153">
        <v>0</v>
      </c>
      <c r="S153">
        <v>0</v>
      </c>
      <c r="T153">
        <v>0</v>
      </c>
      <c r="U153">
        <v>0.74726064286081795</v>
      </c>
      <c r="V153" t="s">
        <v>78</v>
      </c>
      <c r="W153">
        <v>3880540.9185445402</v>
      </c>
      <c r="X153" t="s">
        <v>76</v>
      </c>
      <c r="Y153">
        <v>-1.5707963267949001</v>
      </c>
      <c r="Z153">
        <v>0.740542535355454</v>
      </c>
      <c r="AA153">
        <v>0</v>
      </c>
      <c r="AB153">
        <v>4.3053672757044803E-2</v>
      </c>
      <c r="AC153">
        <v>0</v>
      </c>
      <c r="AD153">
        <v>7.3850751914156304E-3</v>
      </c>
      <c r="AE153">
        <v>1.0471330333768901E-2</v>
      </c>
      <c r="AF153">
        <v>0</v>
      </c>
      <c r="AG153">
        <v>0.23555084055071099</v>
      </c>
      <c r="AH153">
        <v>0.142745095147571</v>
      </c>
      <c r="AI153">
        <v>0.53735346230383296</v>
      </c>
      <c r="AJ153" t="s">
        <v>74</v>
      </c>
      <c r="AK153">
        <v>0</v>
      </c>
      <c r="AL153" t="s">
        <v>77</v>
      </c>
      <c r="AM153">
        <v>0</v>
      </c>
      <c r="AN153">
        <v>0.99199999999999999</v>
      </c>
      <c r="AO153">
        <v>0</v>
      </c>
      <c r="AP153">
        <v>5.8245346242475203E-2</v>
      </c>
      <c r="AQ153">
        <v>0</v>
      </c>
      <c r="AR153">
        <v>1.6E-2</v>
      </c>
      <c r="AS153">
        <v>0</v>
      </c>
      <c r="AT153">
        <v>0</v>
      </c>
      <c r="AU153">
        <v>0</v>
      </c>
      <c r="AV153">
        <v>0</v>
      </c>
      <c r="AW153">
        <v>1</v>
      </c>
      <c r="AX153" t="s">
        <v>74</v>
      </c>
      <c r="AY153">
        <v>0</v>
      </c>
      <c r="AZ153" t="s">
        <v>76</v>
      </c>
      <c r="BA153">
        <v>-1.5707963267949001</v>
      </c>
      <c r="BB153">
        <v>0.99199999999999999</v>
      </c>
      <c r="BC153">
        <v>0</v>
      </c>
      <c r="BD153">
        <v>5.8245346242475203E-2</v>
      </c>
      <c r="BE153">
        <v>0</v>
      </c>
      <c r="BF153">
        <v>1.6E-2</v>
      </c>
      <c r="BG153">
        <v>0</v>
      </c>
      <c r="BH153">
        <v>0</v>
      </c>
      <c r="BI153">
        <v>0</v>
      </c>
      <c r="BJ153">
        <v>0</v>
      </c>
      <c r="BK153">
        <v>1</v>
      </c>
      <c r="BL153">
        <v>1.01534410071351E-4</v>
      </c>
      <c r="BM153">
        <v>1.89147967849141E-4</v>
      </c>
      <c r="BN153" s="1">
        <v>3.7774748150184201E-7</v>
      </c>
      <c r="BO153" s="1">
        <v>2.9711293311815001E-6</v>
      </c>
      <c r="BP153">
        <v>0</v>
      </c>
      <c r="BQ153">
        <v>0</v>
      </c>
      <c r="BR153" s="1">
        <v>5.7291739396620602E-5</v>
      </c>
      <c r="BS153">
        <v>1.08325538435332E-4</v>
      </c>
    </row>
    <row r="154" spans="1:71" x14ac:dyDescent="0.25">
      <c r="A154">
        <v>151</v>
      </c>
      <c r="B154" s="1">
        <v>2.1190759074931402E-6</v>
      </c>
      <c r="C154">
        <v>0.13263541584635499</v>
      </c>
      <c r="D154">
        <v>-4.9115598485364E-4</v>
      </c>
      <c r="E154">
        <v>6.1312499999999995E-4</v>
      </c>
      <c r="F154">
        <v>-1.3263541584635601E-3</v>
      </c>
      <c r="G154" s="1">
        <v>2.1684043449710098E-19</v>
      </c>
      <c r="H154" t="s">
        <v>74</v>
      </c>
      <c r="I154">
        <v>0</v>
      </c>
      <c r="J154" t="s">
        <v>75</v>
      </c>
      <c r="K154">
        <v>3.14159265358979</v>
      </c>
      <c r="L154">
        <v>0.739602578459852</v>
      </c>
      <c r="M154">
        <v>0</v>
      </c>
      <c r="N154">
        <v>4.3425814782481302E-2</v>
      </c>
      <c r="O154">
        <v>0</v>
      </c>
      <c r="P154">
        <v>1.6E-2</v>
      </c>
      <c r="Q154">
        <v>0</v>
      </c>
      <c r="R154">
        <v>0</v>
      </c>
      <c r="S154">
        <v>0</v>
      </c>
      <c r="T154">
        <v>0</v>
      </c>
      <c r="U154">
        <v>0.74556711504982198</v>
      </c>
      <c r="V154" t="s">
        <v>78</v>
      </c>
      <c r="W154">
        <v>3880622.8176733102</v>
      </c>
      <c r="X154" t="s">
        <v>76</v>
      </c>
      <c r="Y154">
        <v>-1.5707963267949001</v>
      </c>
      <c r="Z154">
        <v>0.73886337607797303</v>
      </c>
      <c r="AA154">
        <v>0</v>
      </c>
      <c r="AB154">
        <v>4.2955554546930501E-2</v>
      </c>
      <c r="AC154">
        <v>0</v>
      </c>
      <c r="AD154">
        <v>7.3185215312041403E-3</v>
      </c>
      <c r="AE154">
        <v>1.0539113290889199E-2</v>
      </c>
      <c r="AF154">
        <v>0</v>
      </c>
      <c r="AG154">
        <v>0.235912207019362</v>
      </c>
      <c r="AH154">
        <v>0.144918572184981</v>
      </c>
      <c r="AI154">
        <v>0.53451034235768202</v>
      </c>
      <c r="AJ154" t="s">
        <v>74</v>
      </c>
      <c r="AK154">
        <v>0</v>
      </c>
      <c r="AL154" t="s">
        <v>77</v>
      </c>
      <c r="AM154">
        <v>0</v>
      </c>
      <c r="AN154">
        <v>0.99199999999999999</v>
      </c>
      <c r="AO154">
        <v>0</v>
      </c>
      <c r="AP154">
        <v>5.8245346242475203E-2</v>
      </c>
      <c r="AQ154">
        <v>0</v>
      </c>
      <c r="AR154">
        <v>1.6E-2</v>
      </c>
      <c r="AS154">
        <v>0</v>
      </c>
      <c r="AT154">
        <v>0</v>
      </c>
      <c r="AU154">
        <v>0</v>
      </c>
      <c r="AV154">
        <v>0</v>
      </c>
      <c r="AW154">
        <v>1</v>
      </c>
      <c r="AX154" t="s">
        <v>74</v>
      </c>
      <c r="AY154">
        <v>0</v>
      </c>
      <c r="AZ154" t="s">
        <v>76</v>
      </c>
      <c r="BA154">
        <v>-1.5707963267949001</v>
      </c>
      <c r="BB154">
        <v>0.99199999999999999</v>
      </c>
      <c r="BC154">
        <v>0</v>
      </c>
      <c r="BD154">
        <v>5.8245346242475203E-2</v>
      </c>
      <c r="BE154">
        <v>0</v>
      </c>
      <c r="BF154">
        <v>1.6E-2</v>
      </c>
      <c r="BG154">
        <v>0</v>
      </c>
      <c r="BH154">
        <v>0</v>
      </c>
      <c r="BI154">
        <v>0</v>
      </c>
      <c r="BJ154">
        <v>0</v>
      </c>
      <c r="BK154">
        <v>1</v>
      </c>
      <c r="BL154">
        <v>1.01436030907181E-4</v>
      </c>
      <c r="BM154">
        <v>1.9041538960217199E-4</v>
      </c>
      <c r="BN154" s="1">
        <v>3.77381645942941E-7</v>
      </c>
      <c r="BO154" s="1">
        <v>2.9910379455231002E-6</v>
      </c>
      <c r="BP154">
        <v>0</v>
      </c>
      <c r="BQ154">
        <v>0</v>
      </c>
      <c r="BR154" s="1">
        <v>5.7229268033764499E-5</v>
      </c>
      <c r="BS154">
        <v>1.09051615473507E-4</v>
      </c>
    </row>
    <row r="155" spans="1:71" x14ac:dyDescent="0.25">
      <c r="A155">
        <v>152</v>
      </c>
      <c r="B155" s="1">
        <v>2.1159176226974E-6</v>
      </c>
      <c r="C155">
        <v>0.13263753176397799</v>
      </c>
      <c r="D155">
        <v>-4.9116546119188601E-4</v>
      </c>
      <c r="E155">
        <v>6.1312499999999995E-4</v>
      </c>
      <c r="F155">
        <v>-1.32637531763978E-3</v>
      </c>
      <c r="G155" s="1">
        <v>1.0842021724855E-19</v>
      </c>
      <c r="H155" t="s">
        <v>74</v>
      </c>
      <c r="I155">
        <v>0</v>
      </c>
      <c r="J155" t="s">
        <v>75</v>
      </c>
      <c r="K155">
        <v>3.14159265358979</v>
      </c>
      <c r="L155">
        <v>0.73792266244266802</v>
      </c>
      <c r="M155">
        <v>0</v>
      </c>
      <c r="N155">
        <v>4.3327178401353202E-2</v>
      </c>
      <c r="O155">
        <v>0</v>
      </c>
      <c r="P155">
        <v>1.6E-2</v>
      </c>
      <c r="Q155">
        <v>0</v>
      </c>
      <c r="R155">
        <v>0</v>
      </c>
      <c r="S155">
        <v>0</v>
      </c>
      <c r="T155">
        <v>0</v>
      </c>
      <c r="U155">
        <v>0.74387365138630301</v>
      </c>
      <c r="V155" t="s">
        <v>78</v>
      </c>
      <c r="W155">
        <v>3880704.5938726198</v>
      </c>
      <c r="X155" t="s">
        <v>76</v>
      </c>
      <c r="Y155">
        <v>-1.5707963267949001</v>
      </c>
      <c r="Z155">
        <v>0.73718428548921699</v>
      </c>
      <c r="AA155">
        <v>0</v>
      </c>
      <c r="AB155">
        <v>4.2857443280685997E-2</v>
      </c>
      <c r="AC155">
        <v>0</v>
      </c>
      <c r="AD155">
        <v>7.25201411814024E-3</v>
      </c>
      <c r="AE155">
        <v>1.0606841715888301E-2</v>
      </c>
      <c r="AF155">
        <v>0</v>
      </c>
      <c r="AG155">
        <v>0.23625213310943999</v>
      </c>
      <c r="AH155">
        <v>0.147113393565451</v>
      </c>
      <c r="AI155">
        <v>0.531671449799896</v>
      </c>
      <c r="AJ155" t="s">
        <v>74</v>
      </c>
      <c r="AK155">
        <v>0</v>
      </c>
      <c r="AL155" t="s">
        <v>77</v>
      </c>
      <c r="AM155">
        <v>0</v>
      </c>
      <c r="AN155">
        <v>0.99199999999999999</v>
      </c>
      <c r="AO155">
        <v>0</v>
      </c>
      <c r="AP155">
        <v>5.8245346242475203E-2</v>
      </c>
      <c r="AQ155">
        <v>0</v>
      </c>
      <c r="AR155">
        <v>1.6E-2</v>
      </c>
      <c r="AS155">
        <v>0</v>
      </c>
      <c r="AT155">
        <v>0</v>
      </c>
      <c r="AU155">
        <v>0</v>
      </c>
      <c r="AV155">
        <v>0</v>
      </c>
      <c r="AW155">
        <v>1</v>
      </c>
      <c r="AX155" t="s">
        <v>74</v>
      </c>
      <c r="AY155">
        <v>0</v>
      </c>
      <c r="AZ155" t="s">
        <v>76</v>
      </c>
      <c r="BA155">
        <v>-1.5707963267949001</v>
      </c>
      <c r="BB155">
        <v>0.99199999999999999</v>
      </c>
      <c r="BC155">
        <v>0</v>
      </c>
      <c r="BD155">
        <v>5.8245346242475203E-2</v>
      </c>
      <c r="BE155">
        <v>0</v>
      </c>
      <c r="BF155">
        <v>1.6E-2</v>
      </c>
      <c r="BG155">
        <v>0</v>
      </c>
      <c r="BH155">
        <v>0</v>
      </c>
      <c r="BI155">
        <v>0</v>
      </c>
      <c r="BJ155">
        <v>0</v>
      </c>
      <c r="BK155">
        <v>1</v>
      </c>
      <c r="BL155">
        <v>1.0133765708349501E-4</v>
      </c>
      <c r="BM155">
        <v>1.91682763337446E-4</v>
      </c>
      <c r="BN155" s="1">
        <v>3.7701583876360699E-7</v>
      </c>
      <c r="BO155" s="1">
        <v>3.0109458056035498E-6</v>
      </c>
      <c r="BP155">
        <v>0</v>
      </c>
      <c r="BQ155">
        <v>0</v>
      </c>
      <c r="BR155" s="1">
        <v>5.7166799330829501E-5</v>
      </c>
      <c r="BS155">
        <v>1.09777667624521E-4</v>
      </c>
    </row>
    <row r="156" spans="1:71" x14ac:dyDescent="0.25">
      <c r="A156">
        <v>153</v>
      </c>
      <c r="B156" s="1">
        <v>2.11295818138946E-6</v>
      </c>
      <c r="C156">
        <v>0.13263964472216</v>
      </c>
      <c r="D156">
        <v>-4.9117492417587595E-4</v>
      </c>
      <c r="E156">
        <v>6.1312499999999995E-4</v>
      </c>
      <c r="F156">
        <v>-1.3263964472215999E-3</v>
      </c>
      <c r="G156" s="1">
        <v>1.0842021724855E-19</v>
      </c>
      <c r="H156" t="s">
        <v>74</v>
      </c>
      <c r="I156">
        <v>0</v>
      </c>
      <c r="J156" t="s">
        <v>75</v>
      </c>
      <c r="K156">
        <v>3.14159265358979</v>
      </c>
      <c r="L156">
        <v>0.736242811152238</v>
      </c>
      <c r="M156">
        <v>0</v>
      </c>
      <c r="N156">
        <v>4.3228545820660699E-2</v>
      </c>
      <c r="O156">
        <v>0</v>
      </c>
      <c r="P156">
        <v>1.6E-2</v>
      </c>
      <c r="Q156">
        <v>0</v>
      </c>
      <c r="R156">
        <v>0</v>
      </c>
      <c r="S156">
        <v>0</v>
      </c>
      <c r="T156">
        <v>0</v>
      </c>
      <c r="U156">
        <v>0.74218025296008605</v>
      </c>
      <c r="V156" t="s">
        <v>78</v>
      </c>
      <c r="W156">
        <v>3880786.2548311902</v>
      </c>
      <c r="X156" t="s">
        <v>76</v>
      </c>
      <c r="Y156">
        <v>-1.5707963267949001</v>
      </c>
      <c r="Z156">
        <v>0.73550526457838405</v>
      </c>
      <c r="AA156">
        <v>0</v>
      </c>
      <c r="AB156">
        <v>4.2759338964675001E-2</v>
      </c>
      <c r="AC156">
        <v>0</v>
      </c>
      <c r="AD156">
        <v>7.18555341003012E-3</v>
      </c>
      <c r="AE156">
        <v>1.0674515292947899E-2</v>
      </c>
      <c r="AF156">
        <v>0</v>
      </c>
      <c r="AG156">
        <v>0.23657045542636901</v>
      </c>
      <c r="AH156">
        <v>0.14932972105587</v>
      </c>
      <c r="AI156">
        <v>0.52883680188266802</v>
      </c>
      <c r="AJ156" t="s">
        <v>74</v>
      </c>
      <c r="AK156">
        <v>0</v>
      </c>
      <c r="AL156" t="s">
        <v>77</v>
      </c>
      <c r="AM156">
        <v>0</v>
      </c>
      <c r="AN156">
        <v>0.99199999999999999</v>
      </c>
      <c r="AO156">
        <v>0</v>
      </c>
      <c r="AP156">
        <v>5.8245346242475203E-2</v>
      </c>
      <c r="AQ156">
        <v>0</v>
      </c>
      <c r="AR156">
        <v>1.6E-2</v>
      </c>
      <c r="AS156">
        <v>0</v>
      </c>
      <c r="AT156">
        <v>0</v>
      </c>
      <c r="AU156">
        <v>0</v>
      </c>
      <c r="AV156">
        <v>0</v>
      </c>
      <c r="AW156">
        <v>1</v>
      </c>
      <c r="AX156" t="s">
        <v>74</v>
      </c>
      <c r="AY156">
        <v>0</v>
      </c>
      <c r="AZ156" t="s">
        <v>76</v>
      </c>
      <c r="BA156">
        <v>-1.5707963267949001</v>
      </c>
      <c r="BB156">
        <v>0.99199999999999999</v>
      </c>
      <c r="BC156">
        <v>0</v>
      </c>
      <c r="BD156">
        <v>5.8245346242475203E-2</v>
      </c>
      <c r="BE156">
        <v>0</v>
      </c>
      <c r="BF156">
        <v>1.6E-2</v>
      </c>
      <c r="BG156">
        <v>0</v>
      </c>
      <c r="BH156">
        <v>0</v>
      </c>
      <c r="BI156">
        <v>0</v>
      </c>
      <c r="BJ156">
        <v>0</v>
      </c>
      <c r="BK156">
        <v>1</v>
      </c>
      <c r="BL156">
        <v>1.0123928863514301E-4</v>
      </c>
      <c r="BM156">
        <v>1.9295008824112001E-4</v>
      </c>
      <c r="BN156" s="1">
        <v>3.7665005994387102E-7</v>
      </c>
      <c r="BO156" s="1">
        <v>3.03085289863902E-6</v>
      </c>
      <c r="BP156">
        <v>0</v>
      </c>
      <c r="BQ156">
        <v>0</v>
      </c>
      <c r="BR156" s="1">
        <v>5.7104333323674903E-5</v>
      </c>
      <c r="BS156">
        <v>1.10503694436557E-4</v>
      </c>
    </row>
    <row r="157" spans="1:71" x14ac:dyDescent="0.25">
      <c r="A157">
        <v>154</v>
      </c>
      <c r="B157" s="1">
        <v>2.1101973806005201E-6</v>
      </c>
      <c r="C157">
        <v>0.13264175491954</v>
      </c>
      <c r="D157">
        <v>-4.9118437469564602E-4</v>
      </c>
      <c r="E157">
        <v>6.1312499999999995E-4</v>
      </c>
      <c r="F157">
        <v>-1.3264175491954E-3</v>
      </c>
      <c r="G157" s="1">
        <v>1.0842021724855E-19</v>
      </c>
      <c r="H157" t="s">
        <v>74</v>
      </c>
      <c r="I157">
        <v>0</v>
      </c>
      <c r="J157" t="s">
        <v>75</v>
      </c>
      <c r="K157">
        <v>3.14159265358979</v>
      </c>
      <c r="L157">
        <v>0.73456302569516096</v>
      </c>
      <c r="M157">
        <v>0</v>
      </c>
      <c r="N157">
        <v>4.3129917105377898E-2</v>
      </c>
      <c r="O157">
        <v>0</v>
      </c>
      <c r="P157">
        <v>1.6E-2</v>
      </c>
      <c r="Q157">
        <v>0</v>
      </c>
      <c r="R157">
        <v>0</v>
      </c>
      <c r="S157">
        <v>0</v>
      </c>
      <c r="T157">
        <v>0</v>
      </c>
      <c r="U157">
        <v>0.74048692088866697</v>
      </c>
      <c r="V157" t="s">
        <v>78</v>
      </c>
      <c r="W157">
        <v>3880867.8082295801</v>
      </c>
      <c r="X157" t="s">
        <v>76</v>
      </c>
      <c r="Y157">
        <v>-1.5707963267949001</v>
      </c>
      <c r="Z157">
        <v>0.73382631436327195</v>
      </c>
      <c r="AA157">
        <v>0</v>
      </c>
      <c r="AB157">
        <v>4.2661241607379198E-2</v>
      </c>
      <c r="AC157">
        <v>0</v>
      </c>
      <c r="AD157">
        <v>7.1191398653199997E-3</v>
      </c>
      <c r="AE157">
        <v>1.0742133703674399E-2</v>
      </c>
      <c r="AF157">
        <v>0</v>
      </c>
      <c r="AG157">
        <v>0.23686700777658401</v>
      </c>
      <c r="AH157">
        <v>0.151567719180107</v>
      </c>
      <c r="AI157">
        <v>0.52600641594192299</v>
      </c>
      <c r="AJ157" t="s">
        <v>74</v>
      </c>
      <c r="AK157">
        <v>0</v>
      </c>
      <c r="AL157" t="s">
        <v>77</v>
      </c>
      <c r="AM157">
        <v>0</v>
      </c>
      <c r="AN157">
        <v>0.99199999999999999</v>
      </c>
      <c r="AO157">
        <v>0</v>
      </c>
      <c r="AP157">
        <v>5.8245346242475203E-2</v>
      </c>
      <c r="AQ157">
        <v>0</v>
      </c>
      <c r="AR157">
        <v>1.6E-2</v>
      </c>
      <c r="AS157">
        <v>0</v>
      </c>
      <c r="AT157">
        <v>0</v>
      </c>
      <c r="AU157">
        <v>0</v>
      </c>
      <c r="AV157">
        <v>0</v>
      </c>
      <c r="AW157">
        <v>1</v>
      </c>
      <c r="AX157" t="s">
        <v>74</v>
      </c>
      <c r="AY157">
        <v>0</v>
      </c>
      <c r="AZ157" t="s">
        <v>76</v>
      </c>
      <c r="BA157">
        <v>-1.5707963267949001</v>
      </c>
      <c r="BB157">
        <v>0.99199999999999999</v>
      </c>
      <c r="BC157">
        <v>0</v>
      </c>
      <c r="BD157">
        <v>5.8245346242475203E-2</v>
      </c>
      <c r="BE157">
        <v>0</v>
      </c>
      <c r="BF157">
        <v>1.6E-2</v>
      </c>
      <c r="BG157">
        <v>0</v>
      </c>
      <c r="BH157">
        <v>0</v>
      </c>
      <c r="BI157">
        <v>0</v>
      </c>
      <c r="BJ157">
        <v>0</v>
      </c>
      <c r="BK157">
        <v>1</v>
      </c>
      <c r="BL157">
        <v>1.01140925598854E-4</v>
      </c>
      <c r="BM157">
        <v>1.94217363478346E-4</v>
      </c>
      <c r="BN157" s="1">
        <v>3.7628430947204002E-7</v>
      </c>
      <c r="BO157" s="1">
        <v>3.0507592115157499E-6</v>
      </c>
      <c r="BP157">
        <v>0</v>
      </c>
      <c r="BQ157">
        <v>0</v>
      </c>
      <c r="BR157" s="1">
        <v>5.70418700492411E-5</v>
      </c>
      <c r="BS157">
        <v>1.1122969544629401E-4</v>
      </c>
    </row>
    <row r="158" spans="1:71" x14ac:dyDescent="0.25">
      <c r="A158">
        <v>155</v>
      </c>
      <c r="B158" s="1">
        <v>2.1076351425966002E-6</v>
      </c>
      <c r="C158">
        <v>0.132643862554683</v>
      </c>
      <c r="D158">
        <v>-4.9119381364084004E-4</v>
      </c>
      <c r="E158">
        <v>6.1312499999999995E-4</v>
      </c>
      <c r="F158">
        <v>-1.3264386255468299E-3</v>
      </c>
      <c r="G158" s="1">
        <v>2.1684043449710098E-19</v>
      </c>
      <c r="H158" t="s">
        <v>74</v>
      </c>
      <c r="I158">
        <v>0</v>
      </c>
      <c r="J158" t="s">
        <v>75</v>
      </c>
      <c r="K158">
        <v>3.14159265358979</v>
      </c>
      <c r="L158">
        <v>0.73288330720684303</v>
      </c>
      <c r="M158">
        <v>0</v>
      </c>
      <c r="N158">
        <v>4.3031292322170303E-2</v>
      </c>
      <c r="O158">
        <v>0</v>
      </c>
      <c r="P158">
        <v>1.6E-2</v>
      </c>
      <c r="Q158">
        <v>0</v>
      </c>
      <c r="R158">
        <v>0</v>
      </c>
      <c r="S158">
        <v>0</v>
      </c>
      <c r="T158">
        <v>0</v>
      </c>
      <c r="U158">
        <v>0.738793656318252</v>
      </c>
      <c r="V158" t="s">
        <v>78</v>
      </c>
      <c r="W158">
        <v>3880949.2617449998</v>
      </c>
      <c r="X158" t="s">
        <v>76</v>
      </c>
      <c r="Y158">
        <v>-1.5707963267949001</v>
      </c>
      <c r="Z158">
        <v>0.73214743589119702</v>
      </c>
      <c r="AA158">
        <v>0</v>
      </c>
      <c r="AB158">
        <v>4.2563151219422002E-2</v>
      </c>
      <c r="AC158">
        <v>0</v>
      </c>
      <c r="AD158">
        <v>7.0527739432304504E-3</v>
      </c>
      <c r="AE158">
        <v>1.0809696627043E-2</v>
      </c>
      <c r="AF158">
        <v>0</v>
      </c>
      <c r="AG158">
        <v>0.23714162109339601</v>
      </c>
      <c r="AH158">
        <v>0.15382755529168701</v>
      </c>
      <c r="AI158">
        <v>0.52318030940028204</v>
      </c>
      <c r="AJ158" t="s">
        <v>74</v>
      </c>
      <c r="AK158">
        <v>0</v>
      </c>
      <c r="AL158" t="s">
        <v>77</v>
      </c>
      <c r="AM158">
        <v>0</v>
      </c>
      <c r="AN158">
        <v>0.99199999999999999</v>
      </c>
      <c r="AO158">
        <v>0</v>
      </c>
      <c r="AP158">
        <v>5.8245346242475203E-2</v>
      </c>
      <c r="AQ158">
        <v>0</v>
      </c>
      <c r="AR158">
        <v>1.6E-2</v>
      </c>
      <c r="AS158">
        <v>0</v>
      </c>
      <c r="AT158">
        <v>0</v>
      </c>
      <c r="AU158">
        <v>0</v>
      </c>
      <c r="AV158">
        <v>0</v>
      </c>
      <c r="AW158">
        <v>1</v>
      </c>
      <c r="AX158" t="s">
        <v>74</v>
      </c>
      <c r="AY158">
        <v>0</v>
      </c>
      <c r="AZ158" t="s">
        <v>76</v>
      </c>
      <c r="BA158">
        <v>-1.5707963267949001</v>
      </c>
      <c r="BB158">
        <v>0.99199999999999999</v>
      </c>
      <c r="BC158">
        <v>0</v>
      </c>
      <c r="BD158">
        <v>5.8245346242475203E-2</v>
      </c>
      <c r="BE158">
        <v>0</v>
      </c>
      <c r="BF158">
        <v>1.6E-2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1.0104256801327099E-4</v>
      </c>
      <c r="BM158">
        <v>1.9548458819254101E-4</v>
      </c>
      <c r="BN158" s="1">
        <v>3.7591858734475999E-7</v>
      </c>
      <c r="BO158" s="1">
        <v>3.0706647307785701E-6</v>
      </c>
      <c r="BP158">
        <v>0</v>
      </c>
      <c r="BQ158">
        <v>0</v>
      </c>
      <c r="BR158" s="1">
        <v>5.6979409545582198E-5</v>
      </c>
      <c r="BS158">
        <v>1.11955670178507E-4</v>
      </c>
    </row>
    <row r="159" spans="1:71" x14ac:dyDescent="0.25">
      <c r="A159">
        <v>156</v>
      </c>
      <c r="B159" s="1">
        <v>2.1052715157802102E-6</v>
      </c>
      <c r="C159">
        <v>0.132645967826199</v>
      </c>
      <c r="D159">
        <v>-4.91203241901284E-4</v>
      </c>
      <c r="E159">
        <v>6.1312499999999995E-4</v>
      </c>
      <c r="F159">
        <v>-1.3264596782619901E-3</v>
      </c>
      <c r="G159" s="1">
        <v>1.0842021724855E-19</v>
      </c>
      <c r="H159" t="s">
        <v>74</v>
      </c>
      <c r="I159">
        <v>0</v>
      </c>
      <c r="J159" t="s">
        <v>75</v>
      </c>
      <c r="K159">
        <v>3.14159265358979</v>
      </c>
      <c r="L159">
        <v>0.73120365685251898</v>
      </c>
      <c r="M159">
        <v>0</v>
      </c>
      <c r="N159">
        <v>4.2932671539454598E-2</v>
      </c>
      <c r="O159">
        <v>0</v>
      </c>
      <c r="P159">
        <v>1.6E-2</v>
      </c>
      <c r="Q159">
        <v>0</v>
      </c>
      <c r="R159">
        <v>0</v>
      </c>
      <c r="S159">
        <v>0</v>
      </c>
      <c r="T159">
        <v>0</v>
      </c>
      <c r="U159">
        <v>0.73710046042483801</v>
      </c>
      <c r="V159" t="s">
        <v>78</v>
      </c>
      <c r="W159">
        <v>3881030.6230562301</v>
      </c>
      <c r="X159" t="s">
        <v>76</v>
      </c>
      <c r="Y159">
        <v>-1.5707963267949001</v>
      </c>
      <c r="Z159">
        <v>0.73046863023995301</v>
      </c>
      <c r="AA159">
        <v>0</v>
      </c>
      <c r="AB159">
        <v>4.2465067813594902E-2</v>
      </c>
      <c r="AC159">
        <v>0</v>
      </c>
      <c r="AD159">
        <v>6.9864561038912596E-3</v>
      </c>
      <c r="AE159">
        <v>1.0877203739339701E-2</v>
      </c>
      <c r="AF159">
        <v>0</v>
      </c>
      <c r="AG159">
        <v>0.237394123360224</v>
      </c>
      <c r="AH159">
        <v>0.15610939964902301</v>
      </c>
      <c r="AI159">
        <v>0.52035849977008397</v>
      </c>
      <c r="AJ159" t="s">
        <v>74</v>
      </c>
      <c r="AK159">
        <v>0</v>
      </c>
      <c r="AL159" t="s">
        <v>77</v>
      </c>
      <c r="AM159">
        <v>0</v>
      </c>
      <c r="AN159">
        <v>0.99199999999999999</v>
      </c>
      <c r="AO159">
        <v>0</v>
      </c>
      <c r="AP159">
        <v>5.8245346242475203E-2</v>
      </c>
      <c r="AQ159">
        <v>0</v>
      </c>
      <c r="AR159">
        <v>1.6E-2</v>
      </c>
      <c r="AS159">
        <v>0</v>
      </c>
      <c r="AT159">
        <v>0</v>
      </c>
      <c r="AU159">
        <v>0</v>
      </c>
      <c r="AV159">
        <v>0</v>
      </c>
      <c r="AW159">
        <v>1</v>
      </c>
      <c r="AX159" t="s">
        <v>74</v>
      </c>
      <c r="AY159">
        <v>0</v>
      </c>
      <c r="AZ159" t="s">
        <v>76</v>
      </c>
      <c r="BA159">
        <v>-1.5707963267949001</v>
      </c>
      <c r="BB159">
        <v>0.99199999999999999</v>
      </c>
      <c r="BC159">
        <v>0</v>
      </c>
      <c r="BD159">
        <v>5.8245346242475203E-2</v>
      </c>
      <c r="BE159">
        <v>0</v>
      </c>
      <c r="BF159">
        <v>1.6E-2</v>
      </c>
      <c r="BG159">
        <v>0</v>
      </c>
      <c r="BH159">
        <v>0</v>
      </c>
      <c r="BI159">
        <v>0</v>
      </c>
      <c r="BJ159">
        <v>0</v>
      </c>
      <c r="BK159">
        <v>1</v>
      </c>
      <c r="BL159">
        <v>1.0094421591900001E-4</v>
      </c>
      <c r="BM159">
        <v>1.9675176150462401E-4</v>
      </c>
      <c r="BN159" s="1">
        <v>3.7555289356708899E-7</v>
      </c>
      <c r="BO159" s="1">
        <v>3.09056944261888E-6</v>
      </c>
      <c r="BP159">
        <v>0</v>
      </c>
      <c r="BQ159">
        <v>0</v>
      </c>
      <c r="BR159" s="1">
        <v>5.6916951851902502E-5</v>
      </c>
      <c r="BS159">
        <v>1.12681618145636E-4</v>
      </c>
    </row>
    <row r="160" spans="1:71" x14ac:dyDescent="0.25">
      <c r="A160">
        <v>157</v>
      </c>
      <c r="B160" s="1">
        <v>2.1031066760376802E-6</v>
      </c>
      <c r="C160">
        <v>0.13264807093287501</v>
      </c>
      <c r="D160">
        <v>-4.9121266036755403E-4</v>
      </c>
      <c r="E160">
        <v>6.1312499999999995E-4</v>
      </c>
      <c r="F160">
        <v>-1.3264807093287499E-3</v>
      </c>
      <c r="G160" s="1">
        <v>2.1684043449710098E-19</v>
      </c>
      <c r="H160" t="s">
        <v>74</v>
      </c>
      <c r="I160">
        <v>0</v>
      </c>
      <c r="J160" t="s">
        <v>75</v>
      </c>
      <c r="K160">
        <v>3.14159265358979</v>
      </c>
      <c r="L160">
        <v>0.72952407582827306</v>
      </c>
      <c r="M160">
        <v>0</v>
      </c>
      <c r="N160">
        <v>4.2834054827459098E-2</v>
      </c>
      <c r="O160">
        <v>0</v>
      </c>
      <c r="P160">
        <v>1.6E-2</v>
      </c>
      <c r="Q160">
        <v>0</v>
      </c>
      <c r="R160">
        <v>0</v>
      </c>
      <c r="S160">
        <v>0</v>
      </c>
      <c r="T160">
        <v>0</v>
      </c>
      <c r="U160">
        <v>0.73540733441529205</v>
      </c>
      <c r="V160" t="s">
        <v>78</v>
      </c>
      <c r="W160">
        <v>3881111.89984847</v>
      </c>
      <c r="X160" t="s">
        <v>76</v>
      </c>
      <c r="Y160">
        <v>-1.5707963267949001</v>
      </c>
      <c r="Z160">
        <v>0.72878989851879195</v>
      </c>
      <c r="AA160">
        <v>0</v>
      </c>
      <c r="AB160">
        <v>4.2366991404884598E-2</v>
      </c>
      <c r="AC160">
        <v>0</v>
      </c>
      <c r="AD160">
        <v>6.9201868084750803E-3</v>
      </c>
      <c r="AE160">
        <v>1.09446547141032E-2</v>
      </c>
      <c r="AF160">
        <v>0</v>
      </c>
      <c r="AG160">
        <v>0.23762433953109099</v>
      </c>
      <c r="AH160">
        <v>0.158413425493377</v>
      </c>
      <c r="AI160">
        <v>0.51754100465636799</v>
      </c>
      <c r="AJ160" t="s">
        <v>74</v>
      </c>
      <c r="AK160">
        <v>0</v>
      </c>
      <c r="AL160" t="s">
        <v>77</v>
      </c>
      <c r="AM160">
        <v>0</v>
      </c>
      <c r="AN160">
        <v>0.99199999999999999</v>
      </c>
      <c r="AO160">
        <v>0</v>
      </c>
      <c r="AP160">
        <v>5.8245346242475203E-2</v>
      </c>
      <c r="AQ160">
        <v>0</v>
      </c>
      <c r="AR160">
        <v>1.6E-2</v>
      </c>
      <c r="AS160">
        <v>0</v>
      </c>
      <c r="AT160">
        <v>0</v>
      </c>
      <c r="AU160">
        <v>0</v>
      </c>
      <c r="AV160">
        <v>0</v>
      </c>
      <c r="AW160">
        <v>1</v>
      </c>
      <c r="AX160" t="s">
        <v>74</v>
      </c>
      <c r="AY160">
        <v>0</v>
      </c>
      <c r="AZ160" t="s">
        <v>76</v>
      </c>
      <c r="BA160">
        <v>-1.5707963267949001</v>
      </c>
      <c r="BB160">
        <v>0.99199999999999999</v>
      </c>
      <c r="BC160">
        <v>0</v>
      </c>
      <c r="BD160">
        <v>5.8245346242475203E-2</v>
      </c>
      <c r="BE160">
        <v>0</v>
      </c>
      <c r="BF160">
        <v>1.6E-2</v>
      </c>
      <c r="BG160">
        <v>0</v>
      </c>
      <c r="BH160">
        <v>0</v>
      </c>
      <c r="BI160">
        <v>0</v>
      </c>
      <c r="BJ160">
        <v>0</v>
      </c>
      <c r="BK160">
        <v>1</v>
      </c>
      <c r="BL160">
        <v>1.00845869358647E-4</v>
      </c>
      <c r="BM160">
        <v>1.98018882512234E-4</v>
      </c>
      <c r="BN160" s="1">
        <v>3.75187228152575E-7</v>
      </c>
      <c r="BO160" s="1">
        <v>3.1104733328624798E-6</v>
      </c>
      <c r="BP160">
        <v>0</v>
      </c>
      <c r="BQ160">
        <v>0</v>
      </c>
      <c r="BR160" s="1">
        <v>5.6854497008591402E-5</v>
      </c>
      <c r="BS160">
        <v>1.1340753884735901E-4</v>
      </c>
    </row>
    <row r="161" spans="1:71" x14ac:dyDescent="0.25">
      <c r="A161">
        <v>158</v>
      </c>
      <c r="B161" s="1">
        <v>2.1011409279421501E-6</v>
      </c>
      <c r="C161">
        <v>0.132650172073802</v>
      </c>
      <c r="D161">
        <v>-4.9122206993155104E-4</v>
      </c>
      <c r="E161">
        <v>6.1312499999999995E-4</v>
      </c>
      <c r="F161">
        <v>-1.3265017207380299E-3</v>
      </c>
      <c r="G161" s="1">
        <v>1.0842021724855E-19</v>
      </c>
      <c r="H161" t="s">
        <v>74</v>
      </c>
      <c r="I161">
        <v>0</v>
      </c>
      <c r="J161" t="s">
        <v>75</v>
      </c>
      <c r="K161">
        <v>3.14159265358979</v>
      </c>
      <c r="L161">
        <v>0.72784456536216902</v>
      </c>
      <c r="M161">
        <v>0</v>
      </c>
      <c r="N161">
        <v>4.2735442258289701E-2</v>
      </c>
      <c r="O161">
        <v>0</v>
      </c>
      <c r="P161">
        <v>1.6E-2</v>
      </c>
      <c r="Q161">
        <v>0</v>
      </c>
      <c r="R161">
        <v>0</v>
      </c>
      <c r="S161">
        <v>0</v>
      </c>
      <c r="T161">
        <v>0</v>
      </c>
      <c r="U161">
        <v>0.73371427952852597</v>
      </c>
      <c r="V161" t="s">
        <v>78</v>
      </c>
      <c r="W161">
        <v>3881193.0998184299</v>
      </c>
      <c r="X161" t="s">
        <v>76</v>
      </c>
      <c r="Y161">
        <v>-1.5707963267949001</v>
      </c>
      <c r="Z161">
        <v>0.72711124186949705</v>
      </c>
      <c r="AA161">
        <v>0</v>
      </c>
      <c r="AB161">
        <v>4.22689220105067E-2</v>
      </c>
      <c r="AC161">
        <v>0</v>
      </c>
      <c r="AD161">
        <v>6.8539665193339096E-3</v>
      </c>
      <c r="AE161">
        <v>1.10120492220631E-2</v>
      </c>
      <c r="AF161">
        <v>0</v>
      </c>
      <c r="AG161">
        <v>0.23783209144822601</v>
      </c>
      <c r="AH161">
        <v>0.16073980912955099</v>
      </c>
      <c r="AI161">
        <v>0.51472784175999398</v>
      </c>
      <c r="AJ161" t="s">
        <v>74</v>
      </c>
      <c r="AK161">
        <v>0</v>
      </c>
      <c r="AL161" t="s">
        <v>77</v>
      </c>
      <c r="AM161">
        <v>0</v>
      </c>
      <c r="AN161">
        <v>0.99199999999999999</v>
      </c>
      <c r="AO161">
        <v>0</v>
      </c>
      <c r="AP161">
        <v>5.8245346242475203E-2</v>
      </c>
      <c r="AQ161">
        <v>0</v>
      </c>
      <c r="AR161">
        <v>1.6E-2</v>
      </c>
      <c r="AS161">
        <v>0</v>
      </c>
      <c r="AT161">
        <v>0</v>
      </c>
      <c r="AU161">
        <v>0</v>
      </c>
      <c r="AV161">
        <v>0</v>
      </c>
      <c r="AW161">
        <v>1</v>
      </c>
      <c r="AX161" t="s">
        <v>74</v>
      </c>
      <c r="AY161">
        <v>0</v>
      </c>
      <c r="AZ161" t="s">
        <v>76</v>
      </c>
      <c r="BA161">
        <v>-1.5707963267949001</v>
      </c>
      <c r="BB161">
        <v>0.99199999999999999</v>
      </c>
      <c r="BC161">
        <v>0</v>
      </c>
      <c r="BD161">
        <v>5.8245346242475203E-2</v>
      </c>
      <c r="BE161">
        <v>0</v>
      </c>
      <c r="BF161">
        <v>1.6E-2</v>
      </c>
      <c r="BG161">
        <v>0</v>
      </c>
      <c r="BH161">
        <v>0</v>
      </c>
      <c r="BI161">
        <v>0</v>
      </c>
      <c r="BJ161">
        <v>0</v>
      </c>
      <c r="BK161">
        <v>1</v>
      </c>
      <c r="BL161">
        <v>1.0074752837687301E-4</v>
      </c>
      <c r="BM161">
        <v>1.99285950288888E-4</v>
      </c>
      <c r="BN161" s="1">
        <v>3.7482159112335401E-7</v>
      </c>
      <c r="BO161" s="1">
        <v>3.1303763869561598E-6</v>
      </c>
      <c r="BP161">
        <v>0</v>
      </c>
      <c r="BQ161">
        <v>0</v>
      </c>
      <c r="BR161" s="1">
        <v>5.6792045057263599E-5</v>
      </c>
      <c r="BS161">
        <v>1.14133431770118E-4</v>
      </c>
    </row>
    <row r="162" spans="1:71" x14ac:dyDescent="0.25">
      <c r="A162">
        <v>159</v>
      </c>
      <c r="B162" s="1">
        <v>2.0993747064866701E-6</v>
      </c>
      <c r="C162">
        <v>0.132652271448509</v>
      </c>
      <c r="D162">
        <v>-4.9123147148708696E-4</v>
      </c>
      <c r="E162">
        <v>6.1312499999999995E-4</v>
      </c>
      <c r="F162">
        <v>-1.3265227144850899E-3</v>
      </c>
      <c r="G162" s="1">
        <v>2.1684043449710098E-19</v>
      </c>
      <c r="H162" t="s">
        <v>74</v>
      </c>
      <c r="I162">
        <v>0</v>
      </c>
      <c r="J162" t="s">
        <v>75</v>
      </c>
      <c r="K162">
        <v>3.14159265358979</v>
      </c>
      <c r="L162">
        <v>0.726165126715414</v>
      </c>
      <c r="M162">
        <v>0</v>
      </c>
      <c r="N162">
        <v>4.2636833905998102E-2</v>
      </c>
      <c r="O162">
        <v>0</v>
      </c>
      <c r="P162">
        <v>1.6E-2</v>
      </c>
      <c r="Q162">
        <v>0</v>
      </c>
      <c r="R162">
        <v>0</v>
      </c>
      <c r="S162">
        <v>0</v>
      </c>
      <c r="T162">
        <v>0</v>
      </c>
      <c r="U162">
        <v>0.73202129703670105</v>
      </c>
      <c r="V162" t="s">
        <v>78</v>
      </c>
      <c r="W162">
        <v>3881274.2306792499</v>
      </c>
      <c r="X162" t="s">
        <v>76</v>
      </c>
      <c r="Y162">
        <v>-1.5707963267949001</v>
      </c>
      <c r="Z162">
        <v>0.72543266146749097</v>
      </c>
      <c r="AA162">
        <v>0</v>
      </c>
      <c r="AB162">
        <v>4.2170859649941002E-2</v>
      </c>
      <c r="AC162">
        <v>0</v>
      </c>
      <c r="AD162">
        <v>6.7877957001354497E-3</v>
      </c>
      <c r="AE162">
        <v>1.1079386931077099E-2</v>
      </c>
      <c r="AF162">
        <v>0</v>
      </c>
      <c r="AG162">
        <v>0.23801719775667801</v>
      </c>
      <c r="AH162">
        <v>0.16308873000951801</v>
      </c>
      <c r="AI162">
        <v>0.51191902888077601</v>
      </c>
      <c r="AJ162" t="s">
        <v>74</v>
      </c>
      <c r="AK162">
        <v>0</v>
      </c>
      <c r="AL162" t="s">
        <v>77</v>
      </c>
      <c r="AM162">
        <v>0</v>
      </c>
      <c r="AN162">
        <v>0.99199999999999999</v>
      </c>
      <c r="AO162">
        <v>0</v>
      </c>
      <c r="AP162">
        <v>5.8245346242475203E-2</v>
      </c>
      <c r="AQ162">
        <v>0</v>
      </c>
      <c r="AR162">
        <v>1.6E-2</v>
      </c>
      <c r="AS162">
        <v>0</v>
      </c>
      <c r="AT162">
        <v>0</v>
      </c>
      <c r="AU162">
        <v>0</v>
      </c>
      <c r="AV162">
        <v>0</v>
      </c>
      <c r="AW162">
        <v>1</v>
      </c>
      <c r="AX162" t="s">
        <v>74</v>
      </c>
      <c r="AY162">
        <v>0</v>
      </c>
      <c r="AZ162" t="s">
        <v>76</v>
      </c>
      <c r="BA162">
        <v>-1.5707963267949001</v>
      </c>
      <c r="BB162">
        <v>0.99199999999999999</v>
      </c>
      <c r="BC162">
        <v>0</v>
      </c>
      <c r="BD162">
        <v>5.8245346242475203E-2</v>
      </c>
      <c r="BE162">
        <v>0</v>
      </c>
      <c r="BF162">
        <v>1.6E-2</v>
      </c>
      <c r="BG162">
        <v>0</v>
      </c>
      <c r="BH162">
        <v>0</v>
      </c>
      <c r="BI162">
        <v>0</v>
      </c>
      <c r="BJ162">
        <v>0</v>
      </c>
      <c r="BK162">
        <v>1</v>
      </c>
      <c r="BL162">
        <v>1.00649193020445E-4</v>
      </c>
      <c r="BM162">
        <v>2.0055296388309801E-4</v>
      </c>
      <c r="BN162" s="1">
        <v>3.74455982510257E-7</v>
      </c>
      <c r="BO162" s="1">
        <v>3.150278589954E-6</v>
      </c>
      <c r="BP162">
        <v>0</v>
      </c>
      <c r="BQ162">
        <v>0</v>
      </c>
      <c r="BR162" s="1">
        <v>5.6729596040799201E-5</v>
      </c>
      <c r="BS162">
        <v>1.14859296386632E-4</v>
      </c>
    </row>
    <row r="163" spans="1:71" x14ac:dyDescent="0.25">
      <c r="A163">
        <v>160</v>
      </c>
      <c r="B163" s="1">
        <v>2.0978085789259502E-6</v>
      </c>
      <c r="C163">
        <v>0.13265436925708801</v>
      </c>
      <c r="D163">
        <v>-4.9124086593047597E-4</v>
      </c>
      <c r="E163">
        <v>6.1312499999999995E-4</v>
      </c>
      <c r="F163">
        <v>-1.3265436925708799E-3</v>
      </c>
      <c r="G163" s="1">
        <v>2.1684043449710098E-19</v>
      </c>
      <c r="H163" t="s">
        <v>74</v>
      </c>
      <c r="I163">
        <v>0</v>
      </c>
      <c r="J163" t="s">
        <v>75</v>
      </c>
      <c r="K163">
        <v>3.14159265358979</v>
      </c>
      <c r="L163">
        <v>0.724485761183564</v>
      </c>
      <c r="M163">
        <v>0</v>
      </c>
      <c r="N163">
        <v>4.2538229846653099E-2</v>
      </c>
      <c r="O163">
        <v>0</v>
      </c>
      <c r="P163">
        <v>1.6E-2</v>
      </c>
      <c r="Q163">
        <v>0</v>
      </c>
      <c r="R163">
        <v>0</v>
      </c>
      <c r="S163">
        <v>0</v>
      </c>
      <c r="T163">
        <v>0</v>
      </c>
      <c r="U163">
        <v>0.73032838824647195</v>
      </c>
      <c r="V163" t="s">
        <v>78</v>
      </c>
      <c r="W163">
        <v>3881355.3001656998</v>
      </c>
      <c r="X163" t="s">
        <v>76</v>
      </c>
      <c r="Y163">
        <v>-1.5707963267949001</v>
      </c>
      <c r="Z163">
        <v>0.72375415852299696</v>
      </c>
      <c r="AA163">
        <v>0</v>
      </c>
      <c r="AB163">
        <v>4.2072804344969003E-2</v>
      </c>
      <c r="AC163">
        <v>0</v>
      </c>
      <c r="AD163">
        <v>6.7216748160003198E-3</v>
      </c>
      <c r="AE163">
        <v>1.11466675060665E-2</v>
      </c>
      <c r="AF163">
        <v>0</v>
      </c>
      <c r="AG163">
        <v>0.23817947381579599</v>
      </c>
      <c r="AH163">
        <v>0.16546037081912501</v>
      </c>
      <c r="AI163">
        <v>0.50911458392064901</v>
      </c>
      <c r="AJ163" t="s">
        <v>74</v>
      </c>
      <c r="AK163">
        <v>0</v>
      </c>
      <c r="AL163" t="s">
        <v>77</v>
      </c>
      <c r="AM163">
        <v>0</v>
      </c>
      <c r="AN163">
        <v>0.99199999999999999</v>
      </c>
      <c r="AO163">
        <v>0</v>
      </c>
      <c r="AP163">
        <v>5.8245346242475203E-2</v>
      </c>
      <c r="AQ163">
        <v>0</v>
      </c>
      <c r="AR163">
        <v>1.6E-2</v>
      </c>
      <c r="AS163">
        <v>0</v>
      </c>
      <c r="AT163">
        <v>0</v>
      </c>
      <c r="AU163">
        <v>0</v>
      </c>
      <c r="AV163">
        <v>0</v>
      </c>
      <c r="AW163">
        <v>1</v>
      </c>
      <c r="AX163" t="s">
        <v>74</v>
      </c>
      <c r="AY163">
        <v>0</v>
      </c>
      <c r="AZ163" t="s">
        <v>76</v>
      </c>
      <c r="BA163">
        <v>-1.5707963267949001</v>
      </c>
      <c r="BB163">
        <v>0.99199999999999999</v>
      </c>
      <c r="BC163">
        <v>0</v>
      </c>
      <c r="BD163">
        <v>5.8245346242475203E-2</v>
      </c>
      <c r="BE163">
        <v>0</v>
      </c>
      <c r="BF163">
        <v>1.6E-2</v>
      </c>
      <c r="BG163">
        <v>0</v>
      </c>
      <c r="BH163">
        <v>0</v>
      </c>
      <c r="BI163">
        <v>0</v>
      </c>
      <c r="BJ163">
        <v>0</v>
      </c>
      <c r="BK163">
        <v>1</v>
      </c>
      <c r="BL163">
        <v>1.00550863338286E-4</v>
      </c>
      <c r="BM163">
        <v>2.0181992231746001E-4</v>
      </c>
      <c r="BN163" s="1">
        <v>3.7409040235292698E-7</v>
      </c>
      <c r="BO163" s="1">
        <v>3.17017992650298E-6</v>
      </c>
      <c r="BP163">
        <v>0</v>
      </c>
      <c r="BQ163">
        <v>0</v>
      </c>
      <c r="BR163" s="1">
        <v>5.66671500033873E-5</v>
      </c>
      <c r="BS163">
        <v>1.15585132155392E-4</v>
      </c>
    </row>
    <row r="164" spans="1:71" x14ac:dyDescent="0.25">
      <c r="A164">
        <v>161</v>
      </c>
      <c r="B164" s="1">
        <v>2.0964432469435501E-6</v>
      </c>
      <c r="C164">
        <v>0.13265646570033501</v>
      </c>
      <c r="D164">
        <v>-4.9125025416113597E-4</v>
      </c>
      <c r="E164">
        <v>6.1312499999999995E-4</v>
      </c>
      <c r="F164">
        <v>-1.3265646570033501E-3</v>
      </c>
      <c r="G164" s="1">
        <v>2.1684043449710098E-19</v>
      </c>
      <c r="H164" t="s">
        <v>74</v>
      </c>
      <c r="I164">
        <v>0</v>
      </c>
      <c r="J164" t="s">
        <v>75</v>
      </c>
      <c r="K164">
        <v>3.14159265358979</v>
      </c>
      <c r="L164">
        <v>0.72280647009774202</v>
      </c>
      <c r="M164">
        <v>0</v>
      </c>
      <c r="N164">
        <v>4.2439630158411602E-2</v>
      </c>
      <c r="O164">
        <v>0</v>
      </c>
      <c r="P164">
        <v>1.6E-2</v>
      </c>
      <c r="Q164">
        <v>0</v>
      </c>
      <c r="R164">
        <v>0</v>
      </c>
      <c r="S164">
        <v>0</v>
      </c>
      <c r="T164">
        <v>0</v>
      </c>
      <c r="U164">
        <v>0.72863555450023598</v>
      </c>
      <c r="V164" t="s">
        <v>78</v>
      </c>
      <c r="W164">
        <v>3881436.3160393098</v>
      </c>
      <c r="X164" t="s">
        <v>76</v>
      </c>
      <c r="Y164">
        <v>-1.5707963267949001</v>
      </c>
      <c r="Z164">
        <v>0.72207573428219995</v>
      </c>
      <c r="AA164">
        <v>0</v>
      </c>
      <c r="AB164">
        <v>4.1974756119712298E-2</v>
      </c>
      <c r="AC164">
        <v>0</v>
      </c>
      <c r="AD164">
        <v>6.6556043336383399E-3</v>
      </c>
      <c r="AE164">
        <v>1.1213890608951499E-2</v>
      </c>
      <c r="AF164">
        <v>0</v>
      </c>
      <c r="AG164">
        <v>0.23831873160741901</v>
      </c>
      <c r="AH164">
        <v>0.167854917568064</v>
      </c>
      <c r="AI164">
        <v>0.50631452488680895</v>
      </c>
      <c r="AJ164" t="s">
        <v>74</v>
      </c>
      <c r="AK164">
        <v>0</v>
      </c>
      <c r="AL164" t="s">
        <v>77</v>
      </c>
      <c r="AM164">
        <v>0</v>
      </c>
      <c r="AN164">
        <v>0.99199999999999999</v>
      </c>
      <c r="AO164">
        <v>0</v>
      </c>
      <c r="AP164">
        <v>5.8245346242475203E-2</v>
      </c>
      <c r="AQ164">
        <v>0</v>
      </c>
      <c r="AR164">
        <v>1.6E-2</v>
      </c>
      <c r="AS164">
        <v>0</v>
      </c>
      <c r="AT164">
        <v>0</v>
      </c>
      <c r="AU164">
        <v>0</v>
      </c>
      <c r="AV164">
        <v>0</v>
      </c>
      <c r="AW164">
        <v>1</v>
      </c>
      <c r="AX164" t="s">
        <v>74</v>
      </c>
      <c r="AY164">
        <v>0</v>
      </c>
      <c r="AZ164" t="s">
        <v>76</v>
      </c>
      <c r="BA164">
        <v>-1.5707963267949001</v>
      </c>
      <c r="BB164">
        <v>0.99199999999999999</v>
      </c>
      <c r="BC164">
        <v>0</v>
      </c>
      <c r="BD164">
        <v>5.8245346242475203E-2</v>
      </c>
      <c r="BE164">
        <v>0</v>
      </c>
      <c r="BF164">
        <v>1.6E-2</v>
      </c>
      <c r="BG164">
        <v>0</v>
      </c>
      <c r="BH164">
        <v>0</v>
      </c>
      <c r="BI164">
        <v>0</v>
      </c>
      <c r="BJ164">
        <v>0</v>
      </c>
      <c r="BK164">
        <v>1</v>
      </c>
      <c r="BL164">
        <v>1.00452539381537E-4</v>
      </c>
      <c r="BM164">
        <v>2.03086824587741E-4</v>
      </c>
      <c r="BN164" s="1">
        <v>3.7372485069993298E-7</v>
      </c>
      <c r="BO164" s="1">
        <v>3.1900803808286402E-6</v>
      </c>
      <c r="BP164">
        <v>0</v>
      </c>
      <c r="BQ164">
        <v>0</v>
      </c>
      <c r="BR164" s="1">
        <v>5.6604706990567701E-5</v>
      </c>
      <c r="BS164">
        <v>1.16310938520152E-4</v>
      </c>
    </row>
    <row r="165" spans="1:71" x14ac:dyDescent="0.25">
      <c r="A165">
        <v>162</v>
      </c>
      <c r="B165" s="1">
        <v>2.0952795488915001E-6</v>
      </c>
      <c r="C165">
        <v>0.13265856097988399</v>
      </c>
      <c r="D165">
        <v>-4.9125963708220304E-4</v>
      </c>
      <c r="E165">
        <v>6.1312499999999995E-4</v>
      </c>
      <c r="F165">
        <v>-1.32658560979884E-3</v>
      </c>
      <c r="G165" s="1">
        <v>1.0842021724855E-19</v>
      </c>
      <c r="H165" t="s">
        <v>74</v>
      </c>
      <c r="I165">
        <v>0</v>
      </c>
      <c r="J165" t="s">
        <v>75</v>
      </c>
      <c r="K165">
        <v>3.14159265358979</v>
      </c>
      <c r="L165">
        <v>0.72112725482602402</v>
      </c>
      <c r="M165">
        <v>0</v>
      </c>
      <c r="N165">
        <v>4.2341034921600303E-2</v>
      </c>
      <c r="O165">
        <v>0</v>
      </c>
      <c r="P165">
        <v>1.6E-2</v>
      </c>
      <c r="Q165">
        <v>0</v>
      </c>
      <c r="R165">
        <v>0</v>
      </c>
      <c r="S165">
        <v>0</v>
      </c>
      <c r="T165">
        <v>0</v>
      </c>
      <c r="U165">
        <v>0.72694279717754695</v>
      </c>
      <c r="V165" t="s">
        <v>78</v>
      </c>
      <c r="W165">
        <v>3881517.28609371</v>
      </c>
      <c r="X165" t="s">
        <v>76</v>
      </c>
      <c r="Y165">
        <v>-1.5707963267949001</v>
      </c>
      <c r="Z165">
        <v>0.72039739002858205</v>
      </c>
      <c r="AA165">
        <v>0</v>
      </c>
      <c r="AB165">
        <v>4.18767150006812E-2</v>
      </c>
      <c r="AC165">
        <v>0</v>
      </c>
      <c r="AD165">
        <v>6.5895847214908496E-3</v>
      </c>
      <c r="AE165">
        <v>1.12810558985803E-2</v>
      </c>
      <c r="AF165">
        <v>0</v>
      </c>
      <c r="AG165">
        <v>0.238434779640638</v>
      </c>
      <c r="AH165">
        <v>0.170272559683015</v>
      </c>
      <c r="AI165">
        <v>0.50351886989510597</v>
      </c>
      <c r="AJ165" t="s">
        <v>74</v>
      </c>
      <c r="AK165">
        <v>0</v>
      </c>
      <c r="AL165" t="s">
        <v>77</v>
      </c>
      <c r="AM165">
        <v>0</v>
      </c>
      <c r="AN165">
        <v>0.99199999999999999</v>
      </c>
      <c r="AO165">
        <v>0</v>
      </c>
      <c r="AP165">
        <v>5.8245346242475203E-2</v>
      </c>
      <c r="AQ165">
        <v>0</v>
      </c>
      <c r="AR165">
        <v>1.6E-2</v>
      </c>
      <c r="AS165">
        <v>0</v>
      </c>
      <c r="AT165">
        <v>0</v>
      </c>
      <c r="AU165">
        <v>0</v>
      </c>
      <c r="AV165">
        <v>0</v>
      </c>
      <c r="AW165">
        <v>1</v>
      </c>
      <c r="AX165" t="s">
        <v>74</v>
      </c>
      <c r="AY165">
        <v>0</v>
      </c>
      <c r="AZ165" t="s">
        <v>76</v>
      </c>
      <c r="BA165">
        <v>-1.5707963267949001</v>
      </c>
      <c r="BB165">
        <v>0.99199999999999999</v>
      </c>
      <c r="BC165">
        <v>0</v>
      </c>
      <c r="BD165">
        <v>5.8245346242475203E-2</v>
      </c>
      <c r="BE165">
        <v>0</v>
      </c>
      <c r="BF165">
        <v>1.6E-2</v>
      </c>
      <c r="BG165">
        <v>0</v>
      </c>
      <c r="BH165">
        <v>0</v>
      </c>
      <c r="BI165">
        <v>0</v>
      </c>
      <c r="BJ165">
        <v>0</v>
      </c>
      <c r="BK165">
        <v>1</v>
      </c>
      <c r="BL165">
        <v>1.0035422120361599E-4</v>
      </c>
      <c r="BM165">
        <v>2.0435366966182699E-4</v>
      </c>
      <c r="BN165" s="1">
        <v>3.7335932760892801E-7</v>
      </c>
      <c r="BO165" s="1">
        <v>3.2099799367185502E-6</v>
      </c>
      <c r="BP165">
        <v>0</v>
      </c>
      <c r="BQ165">
        <v>0</v>
      </c>
      <c r="BR165" s="1">
        <v>5.6542267049281101E-5</v>
      </c>
      <c r="BS165">
        <v>1.17036714909344E-4</v>
      </c>
    </row>
    <row r="166" spans="1:71" x14ac:dyDescent="0.25">
      <c r="A166">
        <v>163</v>
      </c>
      <c r="B166" s="1">
        <v>2.09431846256031E-6</v>
      </c>
      <c r="C166">
        <v>0.132660655298346</v>
      </c>
      <c r="D166">
        <v>-4.9126901560115298E-4</v>
      </c>
      <c r="E166">
        <v>6.1312499999999995E-4</v>
      </c>
      <c r="F166">
        <v>-1.3266065529834599E-3</v>
      </c>
      <c r="G166" s="1">
        <v>2.1684043449710098E-19</v>
      </c>
      <c r="H166" t="s">
        <v>74</v>
      </c>
      <c r="I166">
        <v>0</v>
      </c>
      <c r="J166" t="s">
        <v>75</v>
      </c>
      <c r="K166">
        <v>3.14159265358979</v>
      </c>
      <c r="L166">
        <v>0.71944811677477905</v>
      </c>
      <c r="M166">
        <v>0</v>
      </c>
      <c r="N166">
        <v>4.2242444218794098E-2</v>
      </c>
      <c r="O166">
        <v>0</v>
      </c>
      <c r="P166">
        <v>1.6E-2</v>
      </c>
      <c r="Q166">
        <v>0</v>
      </c>
      <c r="R166">
        <v>0</v>
      </c>
      <c r="S166">
        <v>0</v>
      </c>
      <c r="T166">
        <v>0</v>
      </c>
      <c r="U166">
        <v>0.72525011769648295</v>
      </c>
      <c r="V166" t="s">
        <v>78</v>
      </c>
      <c r="W166">
        <v>3881598.2181599801</v>
      </c>
      <c r="X166" t="s">
        <v>76</v>
      </c>
      <c r="Y166">
        <v>-1.5707963267949001</v>
      </c>
      <c r="Z166">
        <v>0.71871912708420704</v>
      </c>
      <c r="AA166">
        <v>0</v>
      </c>
      <c r="AB166">
        <v>4.17786810168191E-2</v>
      </c>
      <c r="AC166">
        <v>0</v>
      </c>
      <c r="AD166">
        <v>6.5236164498697702E-3</v>
      </c>
      <c r="AE166">
        <v>1.1348163030660399E-2</v>
      </c>
      <c r="AF166">
        <v>0</v>
      </c>
      <c r="AG166">
        <v>0.238527422852959</v>
      </c>
      <c r="AH166">
        <v>0.17271349010447101</v>
      </c>
      <c r="AI166">
        <v>0.50072763717329305</v>
      </c>
      <c r="AJ166" t="s">
        <v>74</v>
      </c>
      <c r="AK166">
        <v>0</v>
      </c>
      <c r="AL166" t="s">
        <v>77</v>
      </c>
      <c r="AM166">
        <v>0</v>
      </c>
      <c r="AN166">
        <v>0.99199999999999999</v>
      </c>
      <c r="AO166">
        <v>0</v>
      </c>
      <c r="AP166">
        <v>5.8245346242475203E-2</v>
      </c>
      <c r="AQ166">
        <v>0</v>
      </c>
      <c r="AR166">
        <v>1.6E-2</v>
      </c>
      <c r="AS166">
        <v>0</v>
      </c>
      <c r="AT166">
        <v>0</v>
      </c>
      <c r="AU166">
        <v>0</v>
      </c>
      <c r="AV166">
        <v>0</v>
      </c>
      <c r="AW166">
        <v>1</v>
      </c>
      <c r="AX166" t="s">
        <v>74</v>
      </c>
      <c r="AY166">
        <v>0</v>
      </c>
      <c r="AZ166" t="s">
        <v>76</v>
      </c>
      <c r="BA166">
        <v>-1.5707963267949001</v>
      </c>
      <c r="BB166">
        <v>0.99199999999999999</v>
      </c>
      <c r="BC166">
        <v>0</v>
      </c>
      <c r="BD166">
        <v>5.8245346242475203E-2</v>
      </c>
      <c r="BE166">
        <v>0</v>
      </c>
      <c r="BF166">
        <v>1.6E-2</v>
      </c>
      <c r="BG166">
        <v>0</v>
      </c>
      <c r="BH166">
        <v>0</v>
      </c>
      <c r="BI166">
        <v>0</v>
      </c>
      <c r="BJ166">
        <v>0</v>
      </c>
      <c r="BK166">
        <v>1</v>
      </c>
      <c r="BL166">
        <v>1.00255908860282E-4</v>
      </c>
      <c r="BM166">
        <v>2.0562045647871499E-4</v>
      </c>
      <c r="BN166" s="1">
        <v>3.7299383314679E-7</v>
      </c>
      <c r="BO166" s="1">
        <v>3.2298785775065599E-6</v>
      </c>
      <c r="BP166">
        <v>0</v>
      </c>
      <c r="BQ166">
        <v>0</v>
      </c>
      <c r="BR166" s="1">
        <v>5.64798302279158E-5</v>
      </c>
      <c r="BS166">
        <v>1.17762460735525E-4</v>
      </c>
    </row>
    <row r="167" spans="1:71" x14ac:dyDescent="0.25">
      <c r="A167">
        <v>164</v>
      </c>
      <c r="B167" s="1">
        <v>2.09356110794924E-6</v>
      </c>
      <c r="C167">
        <v>0.132662748859454</v>
      </c>
      <c r="D167">
        <v>-4.9127839063043798E-4</v>
      </c>
      <c r="E167">
        <v>6.1312499999999995E-4</v>
      </c>
      <c r="F167">
        <v>-1.32662748859454E-3</v>
      </c>
      <c r="G167" s="1">
        <v>1.0842021724855E-19</v>
      </c>
      <c r="H167" t="s">
        <v>74</v>
      </c>
      <c r="I167">
        <v>0</v>
      </c>
      <c r="J167" t="s">
        <v>75</v>
      </c>
      <c r="K167">
        <v>3.14159265358979</v>
      </c>
      <c r="L167">
        <v>0.71776905739013996</v>
      </c>
      <c r="M167">
        <v>0</v>
      </c>
      <c r="N167">
        <v>4.2143858134902998E-2</v>
      </c>
      <c r="O167">
        <v>0</v>
      </c>
      <c r="P167">
        <v>1.6E-2</v>
      </c>
      <c r="Q167">
        <v>0</v>
      </c>
      <c r="R167">
        <v>0</v>
      </c>
      <c r="S167">
        <v>0</v>
      </c>
      <c r="T167">
        <v>0</v>
      </c>
      <c r="U167">
        <v>0.72355751751514397</v>
      </c>
      <c r="V167" t="s">
        <v>78</v>
      </c>
      <c r="W167">
        <v>3881679.12011213</v>
      </c>
      <c r="X167" t="s">
        <v>76</v>
      </c>
      <c r="Y167">
        <v>-1.5707963267949001</v>
      </c>
      <c r="Z167">
        <v>0.71704094681114305</v>
      </c>
      <c r="AA167">
        <v>0</v>
      </c>
      <c r="AB167">
        <v>4.16806541995553E-2</v>
      </c>
      <c r="AC167">
        <v>0</v>
      </c>
      <c r="AD167">
        <v>6.4576999911017197E-3</v>
      </c>
      <c r="AE167">
        <v>1.14152116576848E-2</v>
      </c>
      <c r="AF167">
        <v>0</v>
      </c>
      <c r="AG167">
        <v>0.23859646250771199</v>
      </c>
      <c r="AH167">
        <v>0.17517790538709699</v>
      </c>
      <c r="AI167">
        <v>0.497940845064483</v>
      </c>
      <c r="AJ167" t="s">
        <v>74</v>
      </c>
      <c r="AK167">
        <v>0</v>
      </c>
      <c r="AL167" t="s">
        <v>77</v>
      </c>
      <c r="AM167">
        <v>0</v>
      </c>
      <c r="AN167">
        <v>0.99199999999999999</v>
      </c>
      <c r="AO167">
        <v>0</v>
      </c>
      <c r="AP167">
        <v>5.8245346242475203E-2</v>
      </c>
      <c r="AQ167">
        <v>0</v>
      </c>
      <c r="AR167">
        <v>1.6E-2</v>
      </c>
      <c r="AS167">
        <v>0</v>
      </c>
      <c r="AT167">
        <v>0</v>
      </c>
      <c r="AU167">
        <v>0</v>
      </c>
      <c r="AV167">
        <v>0</v>
      </c>
      <c r="AW167">
        <v>1</v>
      </c>
      <c r="AX167" t="s">
        <v>74</v>
      </c>
      <c r="AY167">
        <v>0</v>
      </c>
      <c r="AZ167" t="s">
        <v>76</v>
      </c>
      <c r="BA167">
        <v>-1.5707963267949001</v>
      </c>
      <c r="BB167">
        <v>0.99199999999999999</v>
      </c>
      <c r="BC167">
        <v>0</v>
      </c>
      <c r="BD167">
        <v>5.8245346242475203E-2</v>
      </c>
      <c r="BE167">
        <v>0</v>
      </c>
      <c r="BF167">
        <v>1.6E-2</v>
      </c>
      <c r="BG167">
        <v>0</v>
      </c>
      <c r="BH167">
        <v>0</v>
      </c>
      <c r="BI167">
        <v>0</v>
      </c>
      <c r="BJ167">
        <v>0</v>
      </c>
      <c r="BK167">
        <v>1</v>
      </c>
      <c r="BL167">
        <v>1.00157602409704E-4</v>
      </c>
      <c r="BM167">
        <v>2.06887183947405E-4</v>
      </c>
      <c r="BN167" s="1">
        <v>3.7262836738979098E-7</v>
      </c>
      <c r="BO167" s="1">
        <v>3.2497762860552299E-6</v>
      </c>
      <c r="BP167">
        <v>0</v>
      </c>
      <c r="BQ167">
        <v>0</v>
      </c>
      <c r="BR167" s="1">
        <v>5.6417396576360603E-5</v>
      </c>
      <c r="BS167">
        <v>1.18488175394751E-4</v>
      </c>
    </row>
    <row r="168" spans="1:71" x14ac:dyDescent="0.25">
      <c r="A168">
        <v>165</v>
      </c>
      <c r="B168" s="1">
        <v>2.0930087506030899E-6</v>
      </c>
      <c r="C168">
        <v>0.13266484186820501</v>
      </c>
      <c r="D168">
        <v>-4.9128776308813996E-4</v>
      </c>
      <c r="E168">
        <v>6.1312499999999995E-4</v>
      </c>
      <c r="F168">
        <v>-1.3266484186820499E-3</v>
      </c>
      <c r="G168" s="1">
        <v>1.0842021724855E-19</v>
      </c>
      <c r="H168" t="s">
        <v>74</v>
      </c>
      <c r="I168">
        <v>0</v>
      </c>
      <c r="J168" t="s">
        <v>75</v>
      </c>
      <c r="K168">
        <v>3.14159265358979</v>
      </c>
      <c r="L168">
        <v>0.71609007815949699</v>
      </c>
      <c r="M168">
        <v>0</v>
      </c>
      <c r="N168">
        <v>4.2045276757259102E-2</v>
      </c>
      <c r="O168">
        <v>0</v>
      </c>
      <c r="P168">
        <v>1.6E-2</v>
      </c>
      <c r="Q168">
        <v>0</v>
      </c>
      <c r="R168">
        <v>0</v>
      </c>
      <c r="S168">
        <v>0</v>
      </c>
      <c r="T168">
        <v>0</v>
      </c>
      <c r="U168">
        <v>0.72186499813316496</v>
      </c>
      <c r="V168" t="s">
        <v>78</v>
      </c>
      <c r="W168">
        <v>3881759.9998727702</v>
      </c>
      <c r="X168" t="s">
        <v>76</v>
      </c>
      <c r="Y168">
        <v>-1.5707963267949001</v>
      </c>
      <c r="Z168">
        <v>0.71536285061289895</v>
      </c>
      <c r="AA168">
        <v>0</v>
      </c>
      <c r="AB168">
        <v>4.15826345828589E-2</v>
      </c>
      <c r="AC168">
        <v>0</v>
      </c>
      <c r="AD168">
        <v>6.3918358196718202E-3</v>
      </c>
      <c r="AE168">
        <v>1.1482201428858E-2</v>
      </c>
      <c r="AF168">
        <v>0</v>
      </c>
      <c r="AG168">
        <v>0.23864169608751201</v>
      </c>
      <c r="AH168">
        <v>0.177666005804022</v>
      </c>
      <c r="AI168">
        <v>0.49515851203057698</v>
      </c>
      <c r="AJ168" t="s">
        <v>74</v>
      </c>
      <c r="AK168">
        <v>0</v>
      </c>
      <c r="AL168" t="s">
        <v>77</v>
      </c>
      <c r="AM168">
        <v>0</v>
      </c>
      <c r="AN168">
        <v>0.99199999999999999</v>
      </c>
      <c r="AO168">
        <v>0</v>
      </c>
      <c r="AP168">
        <v>5.8245346242475203E-2</v>
      </c>
      <c r="AQ168">
        <v>0</v>
      </c>
      <c r="AR168">
        <v>1.6E-2</v>
      </c>
      <c r="AS168">
        <v>0</v>
      </c>
      <c r="AT168">
        <v>0</v>
      </c>
      <c r="AU168">
        <v>0</v>
      </c>
      <c r="AV168">
        <v>0</v>
      </c>
      <c r="AW168">
        <v>1</v>
      </c>
      <c r="AX168" t="s">
        <v>74</v>
      </c>
      <c r="AY168">
        <v>0</v>
      </c>
      <c r="AZ168" t="s">
        <v>76</v>
      </c>
      <c r="BA168">
        <v>-1.5707963267949001</v>
      </c>
      <c r="BB168">
        <v>0.99199999999999999</v>
      </c>
      <c r="BC168">
        <v>0</v>
      </c>
      <c r="BD168">
        <v>5.8245346242475203E-2</v>
      </c>
      <c r="BE168">
        <v>0</v>
      </c>
      <c r="BF168">
        <v>1.6E-2</v>
      </c>
      <c r="BG168">
        <v>0</v>
      </c>
      <c r="BH168">
        <v>0</v>
      </c>
      <c r="BI168">
        <v>0</v>
      </c>
      <c r="BJ168">
        <v>0</v>
      </c>
      <c r="BK168">
        <v>1</v>
      </c>
      <c r="BL168">
        <v>1.0005930191253399E-4</v>
      </c>
      <c r="BM168">
        <v>2.0815385094576701E-4</v>
      </c>
      <c r="BN168" s="1">
        <v>3.7226293042377298E-7</v>
      </c>
      <c r="BO168" s="1">
        <v>3.2696730447382399E-6</v>
      </c>
      <c r="BP168">
        <v>0</v>
      </c>
      <c r="BQ168">
        <v>0</v>
      </c>
      <c r="BR168" s="1">
        <v>5.63549661460574E-5</v>
      </c>
      <c r="BS168">
        <v>1.19213858265962E-4</v>
      </c>
    </row>
    <row r="169" spans="1:71" x14ac:dyDescent="0.25">
      <c r="A169">
        <v>166</v>
      </c>
      <c r="B169" s="1">
        <v>2.0926628050095702E-6</v>
      </c>
      <c r="C169">
        <v>0.13266693453101</v>
      </c>
      <c r="D169">
        <v>-4.9129713389863699E-4</v>
      </c>
      <c r="E169">
        <v>6.1312499999999995E-4</v>
      </c>
      <c r="F169">
        <v>-1.3266693453100999E-3</v>
      </c>
      <c r="G169" s="1">
        <v>2.1684043449710098E-19</v>
      </c>
      <c r="H169" t="s">
        <v>74</v>
      </c>
      <c r="I169">
        <v>0</v>
      </c>
      <c r="J169" t="s">
        <v>75</v>
      </c>
      <c r="K169">
        <v>3.14159265358979</v>
      </c>
      <c r="L169">
        <v>0.71441118061309705</v>
      </c>
      <c r="M169">
        <v>0</v>
      </c>
      <c r="N169">
        <v>4.1946700175710998E-2</v>
      </c>
      <c r="O169">
        <v>0</v>
      </c>
      <c r="P169">
        <v>1.6E-2</v>
      </c>
      <c r="Q169">
        <v>0</v>
      </c>
      <c r="R169">
        <v>0</v>
      </c>
      <c r="S169">
        <v>0</v>
      </c>
      <c r="T169">
        <v>0</v>
      </c>
      <c r="U169">
        <v>0.72017256109333805</v>
      </c>
      <c r="V169" t="s">
        <v>78</v>
      </c>
      <c r="W169">
        <v>3881840.86541883</v>
      </c>
      <c r="X169" t="s">
        <v>76</v>
      </c>
      <c r="Y169">
        <v>-1.5707963267949001</v>
      </c>
      <c r="Z169">
        <v>0.71368483993596799</v>
      </c>
      <c r="AA169">
        <v>0</v>
      </c>
      <c r="AB169">
        <v>4.14846222032971E-2</v>
      </c>
      <c r="AC169">
        <v>0</v>
      </c>
      <c r="AD169">
        <v>6.3260244123711602E-3</v>
      </c>
      <c r="AE169">
        <v>1.1549131990017799E-2</v>
      </c>
      <c r="AF169">
        <v>0</v>
      </c>
      <c r="AG169">
        <v>0.238662917183593</v>
      </c>
      <c r="AH169">
        <v>0.18017799545509799</v>
      </c>
      <c r="AI169">
        <v>0.49238065665582897</v>
      </c>
      <c r="AJ169" t="s">
        <v>74</v>
      </c>
      <c r="AK169">
        <v>0</v>
      </c>
      <c r="AL169" t="s">
        <v>77</v>
      </c>
      <c r="AM169">
        <v>0</v>
      </c>
      <c r="AN169">
        <v>0.99199999999999999</v>
      </c>
      <c r="AO169">
        <v>0</v>
      </c>
      <c r="AP169">
        <v>5.8245346242475203E-2</v>
      </c>
      <c r="AQ169">
        <v>0</v>
      </c>
      <c r="AR169">
        <v>1.6E-2</v>
      </c>
      <c r="AS169">
        <v>0</v>
      </c>
      <c r="AT169">
        <v>0</v>
      </c>
      <c r="AU169">
        <v>0</v>
      </c>
      <c r="AV169">
        <v>0</v>
      </c>
      <c r="AW169">
        <v>1</v>
      </c>
      <c r="AX169" t="s">
        <v>74</v>
      </c>
      <c r="AY169">
        <v>0</v>
      </c>
      <c r="AZ169" t="s">
        <v>76</v>
      </c>
      <c r="BA169">
        <v>-1.5707963267949001</v>
      </c>
      <c r="BB169">
        <v>0.99199999999999999</v>
      </c>
      <c r="BC169">
        <v>0</v>
      </c>
      <c r="BD169">
        <v>5.8245346242475203E-2</v>
      </c>
      <c r="BE169">
        <v>0</v>
      </c>
      <c r="BF169">
        <v>1.6E-2</v>
      </c>
      <c r="BG169">
        <v>0</v>
      </c>
      <c r="BH169">
        <v>0</v>
      </c>
      <c r="BI169">
        <v>0</v>
      </c>
      <c r="BJ169">
        <v>0</v>
      </c>
      <c r="BK169">
        <v>1</v>
      </c>
      <c r="BL169" s="1">
        <v>9.99610074319792E-5</v>
      </c>
      <c r="BM169">
        <v>2.0942045631934501E-4</v>
      </c>
      <c r="BN169" s="1">
        <v>3.7189752234434002E-7</v>
      </c>
      <c r="BO169" s="1">
        <v>3.2895688354213899E-6</v>
      </c>
      <c r="BP169">
        <v>0</v>
      </c>
      <c r="BQ169">
        <v>0</v>
      </c>
      <c r="BR169" s="1">
        <v>5.6292538990058703E-5</v>
      </c>
      <c r="BS169">
        <v>1.19939508710304E-4</v>
      </c>
    </row>
    <row r="170" spans="1:71" x14ac:dyDescent="0.25">
      <c r="A170">
        <v>167</v>
      </c>
      <c r="B170" s="1">
        <v>2.0925248383825201E-6</v>
      </c>
      <c r="C170">
        <v>0.13266902705584799</v>
      </c>
      <c r="D170">
        <v>-4.9130650399328401E-4</v>
      </c>
      <c r="E170">
        <v>6.1312499999999995E-4</v>
      </c>
      <c r="F170">
        <v>-1.3266902705584801E-3</v>
      </c>
      <c r="G170" s="1">
        <v>2.1684043449710098E-19</v>
      </c>
      <c r="H170" t="s">
        <v>74</v>
      </c>
      <c r="I170">
        <v>0</v>
      </c>
      <c r="J170" t="s">
        <v>75</v>
      </c>
      <c r="K170">
        <v>3.14159265358979</v>
      </c>
      <c r="L170">
        <v>0.71273236632570602</v>
      </c>
      <c r="M170">
        <v>0</v>
      </c>
      <c r="N170">
        <v>4.1848128482721202E-2</v>
      </c>
      <c r="O170">
        <v>0</v>
      </c>
      <c r="P170">
        <v>1.6E-2</v>
      </c>
      <c r="Q170">
        <v>0</v>
      </c>
      <c r="R170">
        <v>0</v>
      </c>
      <c r="S170">
        <v>0</v>
      </c>
      <c r="T170">
        <v>0</v>
      </c>
      <c r="U170">
        <v>0.71848020798329704</v>
      </c>
      <c r="V170" t="s">
        <v>78</v>
      </c>
      <c r="W170">
        <v>3881921.7247874602</v>
      </c>
      <c r="X170" t="s">
        <v>76</v>
      </c>
      <c r="Y170">
        <v>-1.5707963267949001</v>
      </c>
      <c r="Z170">
        <v>0.71200691627143897</v>
      </c>
      <c r="AA170">
        <v>0</v>
      </c>
      <c r="AB170">
        <v>4.1386617100098597E-2</v>
      </c>
      <c r="AC170">
        <v>0</v>
      </c>
      <c r="AD170">
        <v>6.2602662484465398E-3</v>
      </c>
      <c r="AE170">
        <v>1.16160029835551E-2</v>
      </c>
      <c r="AF170">
        <v>0</v>
      </c>
      <c r="AG170">
        <v>0.238659915380808</v>
      </c>
      <c r="AH170">
        <v>0.182714082379375</v>
      </c>
      <c r="AI170">
        <v>0.48960729765048999</v>
      </c>
      <c r="AJ170" t="s">
        <v>74</v>
      </c>
      <c r="AK170">
        <v>0</v>
      </c>
      <c r="AL170" t="s">
        <v>77</v>
      </c>
      <c r="AM170">
        <v>0</v>
      </c>
      <c r="AN170">
        <v>0.99199999999999999</v>
      </c>
      <c r="AO170">
        <v>0</v>
      </c>
      <c r="AP170">
        <v>5.8245346242475203E-2</v>
      </c>
      <c r="AQ170">
        <v>0</v>
      </c>
      <c r="AR170">
        <v>1.6E-2</v>
      </c>
      <c r="AS170">
        <v>0</v>
      </c>
      <c r="AT170">
        <v>0</v>
      </c>
      <c r="AU170">
        <v>0</v>
      </c>
      <c r="AV170">
        <v>0</v>
      </c>
      <c r="AW170">
        <v>1</v>
      </c>
      <c r="AX170" t="s">
        <v>74</v>
      </c>
      <c r="AY170">
        <v>0</v>
      </c>
      <c r="AZ170" t="s">
        <v>76</v>
      </c>
      <c r="BA170">
        <v>-1.5707963267949001</v>
      </c>
      <c r="BB170">
        <v>0.99199999999999999</v>
      </c>
      <c r="BC170">
        <v>0</v>
      </c>
      <c r="BD170">
        <v>5.8245346242475203E-2</v>
      </c>
      <c r="BE170">
        <v>0</v>
      </c>
      <c r="BF170">
        <v>1.6E-2</v>
      </c>
      <c r="BG170">
        <v>0</v>
      </c>
      <c r="BH170">
        <v>0</v>
      </c>
      <c r="BI170">
        <v>0</v>
      </c>
      <c r="BJ170">
        <v>0</v>
      </c>
      <c r="BK170">
        <v>1</v>
      </c>
      <c r="BL170" s="1">
        <v>9.98627190338851E-5</v>
      </c>
      <c r="BM170">
        <v>2.1068699888009099E-4</v>
      </c>
      <c r="BN170" s="1">
        <v>3.71532143257063E-7</v>
      </c>
      <c r="BO170" s="1">
        <v>3.3094636394428798E-6</v>
      </c>
      <c r="BP170">
        <v>0</v>
      </c>
      <c r="BQ170">
        <v>0</v>
      </c>
      <c r="BR170" s="1">
        <v>5.62301151630869E-5</v>
      </c>
      <c r="BS170">
        <v>1.2066512607043701E-4</v>
      </c>
    </row>
    <row r="171" spans="1:71" x14ac:dyDescent="0.25">
      <c r="A171">
        <v>168</v>
      </c>
      <c r="B171" s="1">
        <v>2.0925965748431702E-6</v>
      </c>
      <c r="C171">
        <v>0.13267111965242301</v>
      </c>
      <c r="D171">
        <v>-4.9131587431112099E-4</v>
      </c>
      <c r="E171">
        <v>6.1312499999999995E-4</v>
      </c>
      <c r="F171">
        <v>-1.32671119652423E-3</v>
      </c>
      <c r="G171" s="1">
        <v>2.1684043449710098E-19</v>
      </c>
      <c r="H171" t="s">
        <v>74</v>
      </c>
      <c r="I171">
        <v>0</v>
      </c>
      <c r="J171" t="s">
        <v>75</v>
      </c>
      <c r="K171">
        <v>3.14159265358979</v>
      </c>
      <c r="L171">
        <v>0.71105363691842605</v>
      </c>
      <c r="M171">
        <v>0</v>
      </c>
      <c r="N171">
        <v>4.1749561773472797E-2</v>
      </c>
      <c r="O171">
        <v>0</v>
      </c>
      <c r="P171">
        <v>1.6E-2</v>
      </c>
      <c r="Q171">
        <v>0</v>
      </c>
      <c r="R171">
        <v>0</v>
      </c>
      <c r="S171">
        <v>0</v>
      </c>
      <c r="T171">
        <v>0</v>
      </c>
      <c r="U171">
        <v>0.71678794043735505</v>
      </c>
      <c r="V171" t="s">
        <v>78</v>
      </c>
      <c r="W171">
        <v>3882002.5860820999</v>
      </c>
      <c r="X171" t="s">
        <v>76</v>
      </c>
      <c r="Y171">
        <v>-1.5707963267949001</v>
      </c>
      <c r="Z171">
        <v>0.71032908115675197</v>
      </c>
      <c r="AA171">
        <v>0</v>
      </c>
      <c r="AB171">
        <v>4.1288619315223901E-2</v>
      </c>
      <c r="AC171">
        <v>0</v>
      </c>
      <c r="AD171">
        <v>6.1945618097552901E-3</v>
      </c>
      <c r="AE171">
        <v>1.16828140483286E-2</v>
      </c>
      <c r="AF171">
        <v>0</v>
      </c>
      <c r="AG171">
        <v>0.238632476138088</v>
      </c>
      <c r="AH171">
        <v>0.18527447867191901</v>
      </c>
      <c r="AI171">
        <v>0.48683845385463298</v>
      </c>
      <c r="AJ171" t="s">
        <v>74</v>
      </c>
      <c r="AK171">
        <v>0</v>
      </c>
      <c r="AL171" t="s">
        <v>77</v>
      </c>
      <c r="AM171">
        <v>0</v>
      </c>
      <c r="AN171">
        <v>0.99199999999999999</v>
      </c>
      <c r="AO171">
        <v>0</v>
      </c>
      <c r="AP171">
        <v>5.8245346242475203E-2</v>
      </c>
      <c r="AQ171">
        <v>0</v>
      </c>
      <c r="AR171">
        <v>1.6E-2</v>
      </c>
      <c r="AS171">
        <v>0</v>
      </c>
      <c r="AT171">
        <v>0</v>
      </c>
      <c r="AU171">
        <v>0</v>
      </c>
      <c r="AV171">
        <v>0</v>
      </c>
      <c r="AW171">
        <v>1</v>
      </c>
      <c r="AX171" t="s">
        <v>74</v>
      </c>
      <c r="AY171">
        <v>0</v>
      </c>
      <c r="AZ171" t="s">
        <v>76</v>
      </c>
      <c r="BA171">
        <v>-1.5707963267949001</v>
      </c>
      <c r="BB171">
        <v>0.99199999999999999</v>
      </c>
      <c r="BC171">
        <v>0</v>
      </c>
      <c r="BD171">
        <v>5.8245346242475203E-2</v>
      </c>
      <c r="BE171">
        <v>0</v>
      </c>
      <c r="BF171">
        <v>1.6E-2</v>
      </c>
      <c r="BG171">
        <v>0</v>
      </c>
      <c r="BH171">
        <v>0</v>
      </c>
      <c r="BI171">
        <v>0</v>
      </c>
      <c r="BJ171">
        <v>0</v>
      </c>
      <c r="BK171">
        <v>1</v>
      </c>
      <c r="BL171" s="1">
        <v>9.9764436786823604E-5</v>
      </c>
      <c r="BM171">
        <v>2.1195347740500401E-4</v>
      </c>
      <c r="BN171" s="1">
        <v>3.7116679327772301E-7</v>
      </c>
      <c r="BO171" s="1">
        <v>3.3293574375918498E-6</v>
      </c>
      <c r="BP171">
        <v>0</v>
      </c>
      <c r="BQ171">
        <v>0</v>
      </c>
      <c r="BR171" s="1">
        <v>5.6167694721598899E-5</v>
      </c>
      <c r="BS171">
        <v>1.2139070966977299E-4</v>
      </c>
    </row>
    <row r="172" spans="1:71" x14ac:dyDescent="0.25">
      <c r="A172">
        <v>169</v>
      </c>
      <c r="B172" s="1">
        <v>2.09287989998741E-6</v>
      </c>
      <c r="C172">
        <v>0.132673212532323</v>
      </c>
      <c r="D172">
        <v>-4.9132524579958796E-4</v>
      </c>
      <c r="E172">
        <v>6.1312499999999995E-4</v>
      </c>
      <c r="F172">
        <v>-1.32673212532323E-3</v>
      </c>
      <c r="G172" s="1">
        <v>2.1684043449710098E-19</v>
      </c>
      <c r="H172" t="s">
        <v>74</v>
      </c>
      <c r="I172">
        <v>0</v>
      </c>
      <c r="J172" t="s">
        <v>75</v>
      </c>
      <c r="K172">
        <v>3.14159265358979</v>
      </c>
      <c r="L172">
        <v>0.70937499406041904</v>
      </c>
      <c r="M172">
        <v>0</v>
      </c>
      <c r="N172">
        <v>4.1651000145970701E-2</v>
      </c>
      <c r="O172">
        <v>0</v>
      </c>
      <c r="P172">
        <v>1.6E-2</v>
      </c>
      <c r="Q172">
        <v>0</v>
      </c>
      <c r="R172">
        <v>0</v>
      </c>
      <c r="S172">
        <v>0</v>
      </c>
      <c r="T172">
        <v>0</v>
      </c>
      <c r="U172">
        <v>0.71509576013824505</v>
      </c>
      <c r="V172" t="s">
        <v>78</v>
      </c>
      <c r="W172">
        <v>3882083.45747871</v>
      </c>
      <c r="X172" t="s">
        <v>76</v>
      </c>
      <c r="Y172">
        <v>-1.5707963267949001</v>
      </c>
      <c r="Z172">
        <v>0.70865133617736997</v>
      </c>
      <c r="AA172">
        <v>0</v>
      </c>
      <c r="AB172">
        <v>4.1190628893430503E-2</v>
      </c>
      <c r="AC172">
        <v>0</v>
      </c>
      <c r="AD172">
        <v>6.1289115809167703E-3</v>
      </c>
      <c r="AE172">
        <v>1.17495648195823E-2</v>
      </c>
      <c r="AF172">
        <v>0</v>
      </c>
      <c r="AG172">
        <v>0.238580380664144</v>
      </c>
      <c r="AH172">
        <v>0.18785940060549899</v>
      </c>
      <c r="AI172">
        <v>0.484074144241808</v>
      </c>
      <c r="AJ172" t="s">
        <v>74</v>
      </c>
      <c r="AK172">
        <v>0</v>
      </c>
      <c r="AL172" t="s">
        <v>77</v>
      </c>
      <c r="AM172">
        <v>0</v>
      </c>
      <c r="AN172">
        <v>0.99199999999999999</v>
      </c>
      <c r="AO172">
        <v>0</v>
      </c>
      <c r="AP172">
        <v>5.8245346242475203E-2</v>
      </c>
      <c r="AQ172">
        <v>0</v>
      </c>
      <c r="AR172">
        <v>1.6E-2</v>
      </c>
      <c r="AS172">
        <v>0</v>
      </c>
      <c r="AT172">
        <v>0</v>
      </c>
      <c r="AU172">
        <v>0</v>
      </c>
      <c r="AV172">
        <v>0</v>
      </c>
      <c r="AW172">
        <v>1</v>
      </c>
      <c r="AX172" t="s">
        <v>74</v>
      </c>
      <c r="AY172">
        <v>0</v>
      </c>
      <c r="AZ172" t="s">
        <v>76</v>
      </c>
      <c r="BA172">
        <v>-1.5707963267949001</v>
      </c>
      <c r="BB172">
        <v>0.99199999999999999</v>
      </c>
      <c r="BC172">
        <v>0</v>
      </c>
      <c r="BD172">
        <v>5.8245346242475203E-2</v>
      </c>
      <c r="BE172">
        <v>0</v>
      </c>
      <c r="BF172">
        <v>1.6E-2</v>
      </c>
      <c r="BG172">
        <v>0</v>
      </c>
      <c r="BH172">
        <v>0</v>
      </c>
      <c r="BI172">
        <v>0</v>
      </c>
      <c r="BJ172">
        <v>0</v>
      </c>
      <c r="BK172">
        <v>1</v>
      </c>
      <c r="BL172" s="1">
        <v>9.9666160762175806E-5</v>
      </c>
      <c r="BM172">
        <v>2.13219890634821E-4</v>
      </c>
      <c r="BN172" s="1">
        <v>3.7080147253251802E-7</v>
      </c>
      <c r="BO172" s="1">
        <v>3.3492502100878698E-6</v>
      </c>
      <c r="BP172">
        <v>0</v>
      </c>
      <c r="BQ172">
        <v>0</v>
      </c>
      <c r="BR172" s="1">
        <v>5.61052777238484E-5</v>
      </c>
      <c r="BS172">
        <v>1.2211625881175501E-4</v>
      </c>
    </row>
    <row r="173" spans="1:71" x14ac:dyDescent="0.25">
      <c r="A173">
        <v>170</v>
      </c>
      <c r="B173" s="1">
        <v>2.0933768655979701E-6</v>
      </c>
      <c r="C173">
        <v>0.132675305909189</v>
      </c>
      <c r="D173">
        <v>-4.9133461941527499E-4</v>
      </c>
      <c r="E173">
        <v>6.1312499999999995E-4</v>
      </c>
      <c r="F173">
        <v>-1.32675305909189E-3</v>
      </c>
      <c r="G173" s="1">
        <v>2.1684043449710098E-19</v>
      </c>
      <c r="H173" t="s">
        <v>74</v>
      </c>
      <c r="I173">
        <v>0</v>
      </c>
      <c r="J173" t="s">
        <v>75</v>
      </c>
      <c r="K173">
        <v>3.14159265358979</v>
      </c>
      <c r="L173">
        <v>0.707696439470892</v>
      </c>
      <c r="M173">
        <v>0</v>
      </c>
      <c r="N173">
        <v>4.1552443701158299E-2</v>
      </c>
      <c r="O173">
        <v>0</v>
      </c>
      <c r="P173">
        <v>1.6E-2</v>
      </c>
      <c r="Q173">
        <v>0</v>
      </c>
      <c r="R173">
        <v>0</v>
      </c>
      <c r="S173">
        <v>0</v>
      </c>
      <c r="T173">
        <v>0</v>
      </c>
      <c r="U173">
        <v>0.71340366881912998</v>
      </c>
      <c r="V173" t="s">
        <v>78</v>
      </c>
      <c r="W173">
        <v>3882164.3472322002</v>
      </c>
      <c r="X173" t="s">
        <v>76</v>
      </c>
      <c r="Y173">
        <v>-1.5707963267949001</v>
      </c>
      <c r="Z173">
        <v>0.706973682968702</v>
      </c>
      <c r="AA173">
        <v>0</v>
      </c>
      <c r="AB173">
        <v>4.1092645882352397E-2</v>
      </c>
      <c r="AC173">
        <v>0</v>
      </c>
      <c r="AD173">
        <v>6.0633160494733803E-3</v>
      </c>
      <c r="AE173">
        <v>1.18162549288547E-2</v>
      </c>
      <c r="AF173">
        <v>0</v>
      </c>
      <c r="AG173">
        <v>0.23850340578815099</v>
      </c>
      <c r="AH173">
        <v>0.190469068756906</v>
      </c>
      <c r="AI173">
        <v>0.48131438792306303</v>
      </c>
      <c r="AJ173" t="s">
        <v>74</v>
      </c>
      <c r="AK173">
        <v>0</v>
      </c>
      <c r="AL173" t="s">
        <v>77</v>
      </c>
      <c r="AM173">
        <v>0</v>
      </c>
      <c r="AN173">
        <v>0.99199999999999999</v>
      </c>
      <c r="AO173">
        <v>0</v>
      </c>
      <c r="AP173">
        <v>5.8245346242475203E-2</v>
      </c>
      <c r="AQ173">
        <v>0</v>
      </c>
      <c r="AR173">
        <v>1.6E-2</v>
      </c>
      <c r="AS173">
        <v>0</v>
      </c>
      <c r="AT173">
        <v>0</v>
      </c>
      <c r="AU173">
        <v>0</v>
      </c>
      <c r="AV173">
        <v>0</v>
      </c>
      <c r="AW173">
        <v>1</v>
      </c>
      <c r="AX173" t="s">
        <v>74</v>
      </c>
      <c r="AY173">
        <v>0</v>
      </c>
      <c r="AZ173" t="s">
        <v>76</v>
      </c>
      <c r="BA173">
        <v>-1.5707963267949001</v>
      </c>
      <c r="BB173">
        <v>0.99199999999999999</v>
      </c>
      <c r="BC173">
        <v>0</v>
      </c>
      <c r="BD173">
        <v>5.8245346242475203E-2</v>
      </c>
      <c r="BE173">
        <v>0</v>
      </c>
      <c r="BF173">
        <v>1.6E-2</v>
      </c>
      <c r="BG173">
        <v>0</v>
      </c>
      <c r="BH173">
        <v>0</v>
      </c>
      <c r="BI173">
        <v>0</v>
      </c>
      <c r="BJ173">
        <v>0</v>
      </c>
      <c r="BK173">
        <v>1</v>
      </c>
      <c r="BL173" s="1">
        <v>9.9567891034230493E-5</v>
      </c>
      <c r="BM173">
        <v>2.14486237272529E-4</v>
      </c>
      <c r="BN173" s="1">
        <v>3.7043618115833898E-7</v>
      </c>
      <c r="BO173" s="1">
        <v>3.3691419365574698E-6</v>
      </c>
      <c r="BP173">
        <v>0</v>
      </c>
      <c r="BQ173">
        <v>0</v>
      </c>
      <c r="BR173" s="1">
        <v>5.6042864229956597E-5</v>
      </c>
      <c r="BS173">
        <v>1.2284177277902699E-4</v>
      </c>
    </row>
    <row r="174" spans="1:71" x14ac:dyDescent="0.25">
      <c r="A174">
        <v>171</v>
      </c>
      <c r="B174" s="1">
        <v>2.09408969497174E-6</v>
      </c>
      <c r="C174">
        <v>0.132677399998884</v>
      </c>
      <c r="D174">
        <v>-4.9134399612468696E-4</v>
      </c>
      <c r="E174">
        <v>6.1312499999999995E-4</v>
      </c>
      <c r="F174">
        <v>-1.3267739999888401E-3</v>
      </c>
      <c r="G174" s="1">
        <v>2.1684043449710098E-19</v>
      </c>
      <c r="H174" t="s">
        <v>74</v>
      </c>
      <c r="I174">
        <v>0</v>
      </c>
      <c r="J174" t="s">
        <v>75</v>
      </c>
      <c r="K174">
        <v>3.14159265358979</v>
      </c>
      <c r="L174">
        <v>0.70601797492112806</v>
      </c>
      <c r="M174">
        <v>0</v>
      </c>
      <c r="N174">
        <v>4.1453892543036601E-2</v>
      </c>
      <c r="O174">
        <v>0</v>
      </c>
      <c r="P174">
        <v>1.6E-2</v>
      </c>
      <c r="Q174">
        <v>0</v>
      </c>
      <c r="R174">
        <v>0</v>
      </c>
      <c r="S174">
        <v>0</v>
      </c>
      <c r="T174">
        <v>0</v>
      </c>
      <c r="U174">
        <v>0.71171166826565002</v>
      </c>
      <c r="V174" t="s">
        <v>78</v>
      </c>
      <c r="W174">
        <v>3882245.2636830299</v>
      </c>
      <c r="X174" t="s">
        <v>76</v>
      </c>
      <c r="Y174">
        <v>-1.5707963267949001</v>
      </c>
      <c r="Z174">
        <v>0.705296123218079</v>
      </c>
      <c r="AA174">
        <v>0</v>
      </c>
      <c r="AB174">
        <v>4.0994670332581098E-2</v>
      </c>
      <c r="AC174">
        <v>0</v>
      </c>
      <c r="AD174">
        <v>5.9977757060535901E-3</v>
      </c>
      <c r="AE174">
        <v>1.1882884003885701E-2</v>
      </c>
      <c r="AF174">
        <v>0</v>
      </c>
      <c r="AG174">
        <v>0.238401323825191</v>
      </c>
      <c r="AH174">
        <v>0.19310370813845201</v>
      </c>
      <c r="AI174">
        <v>0.478559204151005</v>
      </c>
      <c r="AJ174" t="s">
        <v>74</v>
      </c>
      <c r="AK174">
        <v>0</v>
      </c>
      <c r="AL174" t="s">
        <v>77</v>
      </c>
      <c r="AM174">
        <v>0</v>
      </c>
      <c r="AN174">
        <v>0.99199999999999999</v>
      </c>
      <c r="AO174">
        <v>0</v>
      </c>
      <c r="AP174">
        <v>5.8245346242475203E-2</v>
      </c>
      <c r="AQ174">
        <v>0</v>
      </c>
      <c r="AR174">
        <v>1.6E-2</v>
      </c>
      <c r="AS174">
        <v>0</v>
      </c>
      <c r="AT174">
        <v>0</v>
      </c>
      <c r="AU174">
        <v>0</v>
      </c>
      <c r="AV174">
        <v>0</v>
      </c>
      <c r="AW174">
        <v>1</v>
      </c>
      <c r="AX174" t="s">
        <v>74</v>
      </c>
      <c r="AY174">
        <v>0</v>
      </c>
      <c r="AZ174" t="s">
        <v>76</v>
      </c>
      <c r="BA174">
        <v>-1.5707963267949001</v>
      </c>
      <c r="BB174">
        <v>0.99199999999999999</v>
      </c>
      <c r="BC174">
        <v>0</v>
      </c>
      <c r="BD174">
        <v>5.8245346242475203E-2</v>
      </c>
      <c r="BE174">
        <v>0</v>
      </c>
      <c r="BF174">
        <v>1.6E-2</v>
      </c>
      <c r="BG174">
        <v>0</v>
      </c>
      <c r="BH174">
        <v>0</v>
      </c>
      <c r="BI174">
        <v>0</v>
      </c>
      <c r="BJ174">
        <v>0</v>
      </c>
      <c r="BK174">
        <v>1</v>
      </c>
      <c r="BL174" s="1">
        <v>9.9469627680284098E-5</v>
      </c>
      <c r="BM174">
        <v>2.1575251598182201E-4</v>
      </c>
      <c r="BN174" s="1">
        <v>3.7007091930303602E-7</v>
      </c>
      <c r="BO174" s="1">
        <v>3.3890325960100299E-6</v>
      </c>
      <c r="BP174">
        <v>0</v>
      </c>
      <c r="BQ174">
        <v>0</v>
      </c>
      <c r="BR174" s="1">
        <v>5.5980454301985601E-5</v>
      </c>
      <c r="BS174">
        <v>1.2356725083257901E-4</v>
      </c>
    </row>
    <row r="175" spans="1:71" x14ac:dyDescent="0.25">
      <c r="A175">
        <v>172</v>
      </c>
      <c r="B175" s="1">
        <v>2.09502078857288E-6</v>
      </c>
      <c r="C175">
        <v>0.13267949501967199</v>
      </c>
      <c r="D175">
        <v>-4.9135337690503597E-4</v>
      </c>
      <c r="E175">
        <v>6.1312499999999995E-4</v>
      </c>
      <c r="F175">
        <v>-1.32679495019672E-3</v>
      </c>
      <c r="G175" s="1">
        <v>2.1684043449710098E-19</v>
      </c>
      <c r="H175" t="s">
        <v>74</v>
      </c>
      <c r="I175">
        <v>0</v>
      </c>
      <c r="J175" t="s">
        <v>75</v>
      </c>
      <c r="K175">
        <v>3.14159265358979</v>
      </c>
      <c r="L175">
        <v>0.70433960223661196</v>
      </c>
      <c r="M175">
        <v>0</v>
      </c>
      <c r="N175">
        <v>4.1355346778789E-2</v>
      </c>
      <c r="O175">
        <v>0</v>
      </c>
      <c r="P175">
        <v>1.6E-2</v>
      </c>
      <c r="Q175">
        <v>0</v>
      </c>
      <c r="R175">
        <v>0</v>
      </c>
      <c r="S175">
        <v>0</v>
      </c>
      <c r="T175">
        <v>0</v>
      </c>
      <c r="U175">
        <v>0.71001976031807101</v>
      </c>
      <c r="V175" t="s">
        <v>78</v>
      </c>
      <c r="W175">
        <v>3882326.2152640801</v>
      </c>
      <c r="X175" t="s">
        <v>76</v>
      </c>
      <c r="Y175">
        <v>-1.5707963267949001</v>
      </c>
      <c r="Z175">
        <v>0.70361865866681095</v>
      </c>
      <c r="AA175">
        <v>0</v>
      </c>
      <c r="AB175">
        <v>4.0896702297752101E-2</v>
      </c>
      <c r="AC175">
        <v>0</v>
      </c>
      <c r="AD175">
        <v>5.9322910445383003E-3</v>
      </c>
      <c r="AE175">
        <v>1.19494516685203E-2</v>
      </c>
      <c r="AF175">
        <v>0</v>
      </c>
      <c r="AG175">
        <v>0.238273902436168</v>
      </c>
      <c r="AH175">
        <v>0.195763548334844</v>
      </c>
      <c r="AI175">
        <v>0.47580861232395599</v>
      </c>
      <c r="AJ175" t="s">
        <v>74</v>
      </c>
      <c r="AK175">
        <v>0</v>
      </c>
      <c r="AL175" t="s">
        <v>77</v>
      </c>
      <c r="AM175">
        <v>0</v>
      </c>
      <c r="AN175">
        <v>0.99199999999999999</v>
      </c>
      <c r="AO175">
        <v>0</v>
      </c>
      <c r="AP175">
        <v>5.8245346242475203E-2</v>
      </c>
      <c r="AQ175">
        <v>0</v>
      </c>
      <c r="AR175">
        <v>1.6E-2</v>
      </c>
      <c r="AS175">
        <v>0</v>
      </c>
      <c r="AT175">
        <v>0</v>
      </c>
      <c r="AU175">
        <v>0</v>
      </c>
      <c r="AV175">
        <v>0</v>
      </c>
      <c r="AW175">
        <v>1</v>
      </c>
      <c r="AX175" t="s">
        <v>74</v>
      </c>
      <c r="AY175">
        <v>0</v>
      </c>
      <c r="AZ175" t="s">
        <v>76</v>
      </c>
      <c r="BA175">
        <v>-1.5707963267949001</v>
      </c>
      <c r="BB175">
        <v>0.99199999999999999</v>
      </c>
      <c r="BC175">
        <v>0</v>
      </c>
      <c r="BD175">
        <v>5.8245346242475203E-2</v>
      </c>
      <c r="BE175">
        <v>0</v>
      </c>
      <c r="BF175">
        <v>1.6E-2</v>
      </c>
      <c r="BG175">
        <v>0</v>
      </c>
      <c r="BH175">
        <v>0</v>
      </c>
      <c r="BI175">
        <v>0</v>
      </c>
      <c r="BJ175">
        <v>0</v>
      </c>
      <c r="BK175">
        <v>1</v>
      </c>
      <c r="BL175" s="1">
        <v>9.9371370780745795E-5</v>
      </c>
      <c r="BM175">
        <v>2.17018725385506E-4</v>
      </c>
      <c r="BN175" s="1">
        <v>3.6970568712571601E-7</v>
      </c>
      <c r="BO175" s="1">
        <v>3.4089221668126301E-6</v>
      </c>
      <c r="BP175">
        <v>0</v>
      </c>
      <c r="BQ175">
        <v>0</v>
      </c>
      <c r="BR175" s="1">
        <v>5.5918048004014401E-5</v>
      </c>
      <c r="BS175">
        <v>1.2429269221086301E-4</v>
      </c>
    </row>
    <row r="176" spans="1:71" x14ac:dyDescent="0.25">
      <c r="A176">
        <v>173</v>
      </c>
      <c r="B176" s="1">
        <v>2.0961727300962199E-6</v>
      </c>
      <c r="C176">
        <v>0.132681591192402</v>
      </c>
      <c r="D176">
        <v>-4.9136276274506401E-4</v>
      </c>
      <c r="E176">
        <v>6.1312499999999995E-4</v>
      </c>
      <c r="F176">
        <v>-1.3268159119240201E-3</v>
      </c>
      <c r="G176" s="1">
        <v>2.1684043449710098E-19</v>
      </c>
      <c r="H176" t="s">
        <v>74</v>
      </c>
      <c r="I176">
        <v>0</v>
      </c>
      <c r="J176" t="s">
        <v>75</v>
      </c>
      <c r="K176">
        <v>3.14159265358979</v>
      </c>
      <c r="L176">
        <v>0.70266132329926401</v>
      </c>
      <c r="M176">
        <v>0</v>
      </c>
      <c r="N176">
        <v>4.1256806518912698E-2</v>
      </c>
      <c r="O176">
        <v>0</v>
      </c>
      <c r="P176">
        <v>1.6E-2</v>
      </c>
      <c r="Q176">
        <v>0</v>
      </c>
      <c r="R176">
        <v>0</v>
      </c>
      <c r="S176">
        <v>0</v>
      </c>
      <c r="T176">
        <v>0</v>
      </c>
      <c r="U176">
        <v>0.70832794687353695</v>
      </c>
      <c r="V176" t="s">
        <v>78</v>
      </c>
      <c r="W176">
        <v>3882407.21050769</v>
      </c>
      <c r="X176" t="s">
        <v>76</v>
      </c>
      <c r="Y176">
        <v>-1.5707963267949001</v>
      </c>
      <c r="Z176">
        <v>0.70194129111236703</v>
      </c>
      <c r="AA176">
        <v>0</v>
      </c>
      <c r="AB176">
        <v>4.0798741834636103E-2</v>
      </c>
      <c r="AC176">
        <v>0</v>
      </c>
      <c r="AD176">
        <v>5.86686256223189E-3</v>
      </c>
      <c r="AE176">
        <v>1.20159575426096E-2</v>
      </c>
      <c r="AF176">
        <v>0</v>
      </c>
      <c r="AG176">
        <v>0.23812090448192</v>
      </c>
      <c r="AH176">
        <v>0.19844882364569999</v>
      </c>
      <c r="AI176">
        <v>0.47306263199024901</v>
      </c>
      <c r="AJ176" t="s">
        <v>74</v>
      </c>
      <c r="AK176">
        <v>0</v>
      </c>
      <c r="AL176" t="s">
        <v>77</v>
      </c>
      <c r="AM176">
        <v>0</v>
      </c>
      <c r="AN176">
        <v>0.99199999999999999</v>
      </c>
      <c r="AO176">
        <v>0</v>
      </c>
      <c r="AP176">
        <v>5.8245346242475203E-2</v>
      </c>
      <c r="AQ176">
        <v>0</v>
      </c>
      <c r="AR176">
        <v>1.6E-2</v>
      </c>
      <c r="AS176">
        <v>0</v>
      </c>
      <c r="AT176">
        <v>0</v>
      </c>
      <c r="AU176">
        <v>0</v>
      </c>
      <c r="AV176">
        <v>0</v>
      </c>
      <c r="AW176">
        <v>1</v>
      </c>
      <c r="AX176" t="s">
        <v>74</v>
      </c>
      <c r="AY176">
        <v>0</v>
      </c>
      <c r="AZ176" t="s">
        <v>76</v>
      </c>
      <c r="BA176">
        <v>-1.5707963267949001</v>
      </c>
      <c r="BB176">
        <v>0.99199999999999999</v>
      </c>
      <c r="BC176">
        <v>0</v>
      </c>
      <c r="BD176">
        <v>5.8245346242475203E-2</v>
      </c>
      <c r="BE176">
        <v>0</v>
      </c>
      <c r="BF176">
        <v>1.6E-2</v>
      </c>
      <c r="BG176">
        <v>0</v>
      </c>
      <c r="BH176">
        <v>0</v>
      </c>
      <c r="BI176">
        <v>0</v>
      </c>
      <c r="BJ176">
        <v>0</v>
      </c>
      <c r="BK176">
        <v>1</v>
      </c>
      <c r="BL176" s="1">
        <v>9.9273120419249601E-5</v>
      </c>
      <c r="BM176">
        <v>2.1828486406380999E-4</v>
      </c>
      <c r="BN176" s="1">
        <v>3.6934048479705298E-7</v>
      </c>
      <c r="BO176" s="1">
        <v>3.42881062666356E-6</v>
      </c>
      <c r="BP176">
        <v>0</v>
      </c>
      <c r="BQ176">
        <v>0</v>
      </c>
      <c r="BR176" s="1">
        <v>5.5855645402219698E-5</v>
      </c>
      <c r="BS176">
        <v>1.2501809612885299E-4</v>
      </c>
    </row>
    <row r="177" spans="1:71" x14ac:dyDescent="0.25">
      <c r="A177">
        <v>174</v>
      </c>
      <c r="B177" s="1">
        <v>2.0975482930373402E-6</v>
      </c>
      <c r="C177">
        <v>0.132683688740695</v>
      </c>
      <c r="D177">
        <v>-4.9137215464588704E-4</v>
      </c>
      <c r="E177">
        <v>6.1312499999999995E-4</v>
      </c>
      <c r="F177">
        <v>-1.3268368874069501E-3</v>
      </c>
      <c r="G177" s="1">
        <v>2.1684043449710098E-19</v>
      </c>
      <c r="H177" t="s">
        <v>74</v>
      </c>
      <c r="I177">
        <v>0</v>
      </c>
      <c r="J177" t="s">
        <v>75</v>
      </c>
      <c r="K177">
        <v>3.14159265358979</v>
      </c>
      <c r="L177">
        <v>0.70098314004981199</v>
      </c>
      <c r="M177">
        <v>0</v>
      </c>
      <c r="N177">
        <v>4.11582718773576E-2</v>
      </c>
      <c r="O177">
        <v>0</v>
      </c>
      <c r="P177">
        <v>1.6E-2</v>
      </c>
      <c r="Q177">
        <v>0</v>
      </c>
      <c r="R177">
        <v>0</v>
      </c>
      <c r="S177">
        <v>0</v>
      </c>
      <c r="T177">
        <v>0</v>
      </c>
      <c r="U177">
        <v>0.70663622988846297</v>
      </c>
      <c r="V177" t="s">
        <v>78</v>
      </c>
      <c r="W177">
        <v>3882488.2580530299</v>
      </c>
      <c r="X177" t="s">
        <v>76</v>
      </c>
      <c r="Y177">
        <v>-1.5707963267949001</v>
      </c>
      <c r="Z177">
        <v>0.70026402241067798</v>
      </c>
      <c r="AA177">
        <v>0</v>
      </c>
      <c r="AB177">
        <v>4.0700789003237203E-2</v>
      </c>
      <c r="AC177">
        <v>0</v>
      </c>
      <c r="AD177">
        <v>5.8014907600384804E-3</v>
      </c>
      <c r="AE177">
        <v>1.2082401241905299E-2</v>
      </c>
      <c r="AF177">
        <v>0</v>
      </c>
      <c r="AG177">
        <v>0.237942087871235</v>
      </c>
      <c r="AH177">
        <v>0.20115977323395901</v>
      </c>
      <c r="AI177">
        <v>0.47032128285268798</v>
      </c>
      <c r="AJ177" t="s">
        <v>74</v>
      </c>
      <c r="AK177">
        <v>0</v>
      </c>
      <c r="AL177" t="s">
        <v>77</v>
      </c>
      <c r="AM177">
        <v>0</v>
      </c>
      <c r="AN177">
        <v>0.99199999999999999</v>
      </c>
      <c r="AO177">
        <v>0</v>
      </c>
      <c r="AP177">
        <v>5.8245346242475203E-2</v>
      </c>
      <c r="AQ177">
        <v>0</v>
      </c>
      <c r="AR177">
        <v>1.6E-2</v>
      </c>
      <c r="AS177">
        <v>0</v>
      </c>
      <c r="AT177">
        <v>0</v>
      </c>
      <c r="AU177">
        <v>0</v>
      </c>
      <c r="AV177">
        <v>0</v>
      </c>
      <c r="AW177">
        <v>1</v>
      </c>
      <c r="AX177" t="s">
        <v>74</v>
      </c>
      <c r="AY177">
        <v>0</v>
      </c>
      <c r="AZ177" t="s">
        <v>76</v>
      </c>
      <c r="BA177">
        <v>-1.5707963267949001</v>
      </c>
      <c r="BB177">
        <v>0.99199999999999999</v>
      </c>
      <c r="BC177">
        <v>0</v>
      </c>
      <c r="BD177">
        <v>5.8245346242475203E-2</v>
      </c>
      <c r="BE177">
        <v>0</v>
      </c>
      <c r="BF177">
        <v>1.6E-2</v>
      </c>
      <c r="BG177">
        <v>0</v>
      </c>
      <c r="BH177">
        <v>0</v>
      </c>
      <c r="BI177">
        <v>0</v>
      </c>
      <c r="BJ177">
        <v>0</v>
      </c>
      <c r="BK177">
        <v>1</v>
      </c>
      <c r="BL177" s="1">
        <v>9.9174876682772597E-5</v>
      </c>
      <c r="BM177">
        <v>2.19550930552597E-4</v>
      </c>
      <c r="BN177" s="1">
        <v>3.68975312499619E-7</v>
      </c>
      <c r="BO177" s="1">
        <v>3.4486979525642098E-6</v>
      </c>
      <c r="BP177">
        <v>0</v>
      </c>
      <c r="BQ177">
        <v>0</v>
      </c>
      <c r="BR177" s="1">
        <v>5.5793246564960702E-5</v>
      </c>
      <c r="BS177">
        <v>1.2574346177705401E-4</v>
      </c>
    </row>
    <row r="178" spans="1:71" x14ac:dyDescent="0.25">
      <c r="A178">
        <v>175</v>
      </c>
      <c r="B178" s="1">
        <v>2.0991504478176901E-6</v>
      </c>
      <c r="C178">
        <v>0.13268578789114299</v>
      </c>
      <c r="D178">
        <v>-4.91381553621882E-4</v>
      </c>
      <c r="E178">
        <v>6.1312499999999995E-4</v>
      </c>
      <c r="F178">
        <v>-1.32685787891143E-3</v>
      </c>
      <c r="G178" s="1">
        <v>2.1684043449710098E-19</v>
      </c>
      <c r="H178" t="s">
        <v>74</v>
      </c>
      <c r="I178">
        <v>0</v>
      </c>
      <c r="J178" t="s">
        <v>75</v>
      </c>
      <c r="K178">
        <v>3.14159265358979</v>
      </c>
      <c r="L178">
        <v>0.69930505449020597</v>
      </c>
      <c r="M178">
        <v>0</v>
      </c>
      <c r="N178">
        <v>4.1059742971668402E-2</v>
      </c>
      <c r="O178">
        <v>0</v>
      </c>
      <c r="P178">
        <v>1.6E-2</v>
      </c>
      <c r="Q178">
        <v>0</v>
      </c>
      <c r="R178">
        <v>0</v>
      </c>
      <c r="S178">
        <v>0</v>
      </c>
      <c r="T178">
        <v>0</v>
      </c>
      <c r="U178">
        <v>0.70494461138097297</v>
      </c>
      <c r="V178" t="s">
        <v>78</v>
      </c>
      <c r="W178">
        <v>3882569.3666536598</v>
      </c>
      <c r="X178" t="s">
        <v>76</v>
      </c>
      <c r="Y178">
        <v>-1.5707963267949001</v>
      </c>
      <c r="Z178">
        <v>0.69858685447848501</v>
      </c>
      <c r="AA178">
        <v>0</v>
      </c>
      <c r="AB178">
        <v>4.06028438668933E-2</v>
      </c>
      <c r="AC178">
        <v>0</v>
      </c>
      <c r="AD178">
        <v>5.7361761426404298E-3</v>
      </c>
      <c r="AE178">
        <v>1.2148782377954999E-2</v>
      </c>
      <c r="AF178">
        <v>0</v>
      </c>
      <c r="AG178">
        <v>0.23773720540242799</v>
      </c>
      <c r="AH178">
        <v>0.20389664128065699</v>
      </c>
      <c r="AI178">
        <v>0.467584584773028</v>
      </c>
      <c r="AJ178" t="s">
        <v>74</v>
      </c>
      <c r="AK178">
        <v>0</v>
      </c>
      <c r="AL178" t="s">
        <v>77</v>
      </c>
      <c r="AM178">
        <v>0</v>
      </c>
      <c r="AN178">
        <v>0.99199999999999999</v>
      </c>
      <c r="AO178">
        <v>0</v>
      </c>
      <c r="AP178">
        <v>5.8245346242475203E-2</v>
      </c>
      <c r="AQ178">
        <v>0</v>
      </c>
      <c r="AR178">
        <v>1.6E-2</v>
      </c>
      <c r="AS178">
        <v>0</v>
      </c>
      <c r="AT178">
        <v>0</v>
      </c>
      <c r="AU178">
        <v>0</v>
      </c>
      <c r="AV178">
        <v>0</v>
      </c>
      <c r="AW178">
        <v>1</v>
      </c>
      <c r="AX178" t="s">
        <v>74</v>
      </c>
      <c r="AY178">
        <v>0</v>
      </c>
      <c r="AZ178" t="s">
        <v>76</v>
      </c>
      <c r="BA178">
        <v>-1.5707963267949001</v>
      </c>
      <c r="BB178">
        <v>0.99199999999999999</v>
      </c>
      <c r="BC178">
        <v>0</v>
      </c>
      <c r="BD178">
        <v>5.8245346242475203E-2</v>
      </c>
      <c r="BE178">
        <v>0</v>
      </c>
      <c r="BF178">
        <v>1.6E-2</v>
      </c>
      <c r="BG178">
        <v>0</v>
      </c>
      <c r="BH178">
        <v>0</v>
      </c>
      <c r="BI178">
        <v>0</v>
      </c>
      <c r="BJ178">
        <v>0</v>
      </c>
      <c r="BK178">
        <v>1</v>
      </c>
      <c r="BL178" s="1">
        <v>9.9076639661756002E-5</v>
      </c>
      <c r="BM178">
        <v>2.2081692334154199E-4</v>
      </c>
      <c r="BN178" s="1">
        <v>3.6861017042823201E-7</v>
      </c>
      <c r="BO178" s="1">
        <v>3.46858412079045E-6</v>
      </c>
      <c r="BP178">
        <v>0</v>
      </c>
      <c r="BQ178">
        <v>0</v>
      </c>
      <c r="BR178" s="1">
        <v>5.5730851562866802E-5</v>
      </c>
      <c r="BS178">
        <v>1.2646878832048999E-4</v>
      </c>
    </row>
    <row r="179" spans="1:71" x14ac:dyDescent="0.25">
      <c r="A179">
        <v>176</v>
      </c>
      <c r="B179" s="1">
        <v>2.1009823691754E-6</v>
      </c>
      <c r="C179">
        <v>0.13268788887351199</v>
      </c>
      <c r="D179">
        <v>-4.9139096070159398E-4</v>
      </c>
      <c r="E179">
        <v>6.1312499999999995E-4</v>
      </c>
      <c r="F179">
        <v>-1.3268788887351201E-3</v>
      </c>
      <c r="G179" s="1">
        <v>1.0842021724855E-19</v>
      </c>
      <c r="H179" t="s">
        <v>74</v>
      </c>
      <c r="I179">
        <v>0</v>
      </c>
      <c r="J179" t="s">
        <v>75</v>
      </c>
      <c r="K179">
        <v>3.14159265358979</v>
      </c>
      <c r="L179">
        <v>0.69762706868633995</v>
      </c>
      <c r="M179">
        <v>0</v>
      </c>
      <c r="N179">
        <v>4.0961219923144103E-2</v>
      </c>
      <c r="O179">
        <v>0</v>
      </c>
      <c r="P179">
        <v>1.6E-2</v>
      </c>
      <c r="Q179">
        <v>0</v>
      </c>
      <c r="R179">
        <v>0</v>
      </c>
      <c r="S179">
        <v>0</v>
      </c>
      <c r="T179">
        <v>0</v>
      </c>
      <c r="U179">
        <v>0.70325309343364395</v>
      </c>
      <c r="V179" t="s">
        <v>78</v>
      </c>
      <c r="W179">
        <v>3882650.54518545</v>
      </c>
      <c r="X179" t="s">
        <v>76</v>
      </c>
      <c r="Y179">
        <v>-1.5707963267949001</v>
      </c>
      <c r="Z179">
        <v>0.69690978929599701</v>
      </c>
      <c r="AA179">
        <v>0</v>
      </c>
      <c r="AB179">
        <v>4.0504906492392197E-2</v>
      </c>
      <c r="AC179">
        <v>0</v>
      </c>
      <c r="AD179">
        <v>5.6709192186890902E-3</v>
      </c>
      <c r="AE179">
        <v>1.22151005579848E-2</v>
      </c>
      <c r="AF179">
        <v>0</v>
      </c>
      <c r="AG179">
        <v>0.237506004598177</v>
      </c>
      <c r="AH179">
        <v>0.20665967714598199</v>
      </c>
      <c r="AI179">
        <v>0.46485255777690798</v>
      </c>
      <c r="AJ179" t="s">
        <v>74</v>
      </c>
      <c r="AK179">
        <v>0</v>
      </c>
      <c r="AL179" t="s">
        <v>77</v>
      </c>
      <c r="AM179">
        <v>0</v>
      </c>
      <c r="AN179">
        <v>0.99199999999999999</v>
      </c>
      <c r="AO179">
        <v>0</v>
      </c>
      <c r="AP179">
        <v>5.8245346242475203E-2</v>
      </c>
      <c r="AQ179">
        <v>0</v>
      </c>
      <c r="AR179">
        <v>1.6E-2</v>
      </c>
      <c r="AS179">
        <v>0</v>
      </c>
      <c r="AT179">
        <v>0</v>
      </c>
      <c r="AU179">
        <v>0</v>
      </c>
      <c r="AV179">
        <v>0</v>
      </c>
      <c r="AW179">
        <v>1</v>
      </c>
      <c r="AX179" t="s">
        <v>74</v>
      </c>
      <c r="AY179">
        <v>0</v>
      </c>
      <c r="AZ179" t="s">
        <v>76</v>
      </c>
      <c r="BA179">
        <v>-1.5707963267949001</v>
      </c>
      <c r="BB179">
        <v>0.99199999999999999</v>
      </c>
      <c r="BC179">
        <v>0</v>
      </c>
      <c r="BD179">
        <v>5.8245346242475203E-2</v>
      </c>
      <c r="BE179">
        <v>0</v>
      </c>
      <c r="BF179">
        <v>1.6E-2</v>
      </c>
      <c r="BG179">
        <v>0</v>
      </c>
      <c r="BH179">
        <v>0</v>
      </c>
      <c r="BI179">
        <v>0</v>
      </c>
      <c r="BJ179">
        <v>0</v>
      </c>
      <c r="BK179">
        <v>1</v>
      </c>
      <c r="BL179" s="1">
        <v>9.8978409450243296E-5</v>
      </c>
      <c r="BM179">
        <v>2.2208284087207899E-4</v>
      </c>
      <c r="BN179" s="1">
        <v>3.6824505879035199E-7</v>
      </c>
      <c r="BO179" s="1">
        <v>3.48846910686037E-6</v>
      </c>
      <c r="BP179">
        <v>0</v>
      </c>
      <c r="BQ179">
        <v>0</v>
      </c>
      <c r="BR179" s="1">
        <v>5.5668460468935303E-5</v>
      </c>
      <c r="BS179">
        <v>1.27194074897566E-4</v>
      </c>
    </row>
    <row r="180" spans="1:71" x14ac:dyDescent="0.25">
      <c r="A180">
        <v>177</v>
      </c>
      <c r="B180" s="1">
        <v>2.1030474445331299E-6</v>
      </c>
      <c r="C180">
        <v>0.13268999192095701</v>
      </c>
      <c r="D180">
        <v>-4.9140037692869704E-4</v>
      </c>
      <c r="E180">
        <v>6.1312499999999995E-4</v>
      </c>
      <c r="F180">
        <v>-1.3268999192095701E-3</v>
      </c>
      <c r="G180" s="1">
        <v>1.0842021724855E-19</v>
      </c>
      <c r="H180" t="s">
        <v>74</v>
      </c>
      <c r="I180">
        <v>0</v>
      </c>
      <c r="J180" t="s">
        <v>75</v>
      </c>
      <c r="K180">
        <v>3.14159265358979</v>
      </c>
      <c r="L180">
        <v>0.69594918477069401</v>
      </c>
      <c r="M180">
        <v>0</v>
      </c>
      <c r="N180">
        <v>4.0862702856993401E-2</v>
      </c>
      <c r="O180">
        <v>0</v>
      </c>
      <c r="P180">
        <v>1.6E-2</v>
      </c>
      <c r="Q180">
        <v>0</v>
      </c>
      <c r="R180">
        <v>0</v>
      </c>
      <c r="S180">
        <v>0</v>
      </c>
      <c r="T180">
        <v>0</v>
      </c>
      <c r="U180">
        <v>0.70156167819617299</v>
      </c>
      <c r="V180" t="s">
        <v>78</v>
      </c>
      <c r="W180">
        <v>3882731.8026547702</v>
      </c>
      <c r="X180" t="s">
        <v>76</v>
      </c>
      <c r="Y180">
        <v>-1.5707963267949001</v>
      </c>
      <c r="Z180">
        <v>0.69523282890945803</v>
      </c>
      <c r="AA180">
        <v>0</v>
      </c>
      <c r="AB180">
        <v>4.04069769500821E-2</v>
      </c>
      <c r="AC180">
        <v>0</v>
      </c>
      <c r="AD180">
        <v>5.6057205009928199E-3</v>
      </c>
      <c r="AE180">
        <v>1.22813553847861E-2</v>
      </c>
      <c r="AF180">
        <v>0</v>
      </c>
      <c r="AG180">
        <v>0.23724822753321501</v>
      </c>
      <c r="AH180">
        <v>0.209449135537601</v>
      </c>
      <c r="AI180">
        <v>0.46212522205857998</v>
      </c>
      <c r="AJ180" t="s">
        <v>74</v>
      </c>
      <c r="AK180">
        <v>0</v>
      </c>
      <c r="AL180" t="s">
        <v>77</v>
      </c>
      <c r="AM180">
        <v>0</v>
      </c>
      <c r="AN180">
        <v>0.99199999999999999</v>
      </c>
      <c r="AO180">
        <v>0</v>
      </c>
      <c r="AP180">
        <v>5.8245346242475203E-2</v>
      </c>
      <c r="AQ180">
        <v>0</v>
      </c>
      <c r="AR180">
        <v>1.6E-2</v>
      </c>
      <c r="AS180">
        <v>0</v>
      </c>
      <c r="AT180">
        <v>0</v>
      </c>
      <c r="AU180">
        <v>0</v>
      </c>
      <c r="AV180">
        <v>0</v>
      </c>
      <c r="AW180">
        <v>1</v>
      </c>
      <c r="AX180" t="s">
        <v>74</v>
      </c>
      <c r="AY180">
        <v>0</v>
      </c>
      <c r="AZ180" t="s">
        <v>76</v>
      </c>
      <c r="BA180">
        <v>-1.5707963267949001</v>
      </c>
      <c r="BB180">
        <v>0.99199999999999999</v>
      </c>
      <c r="BC180">
        <v>0</v>
      </c>
      <c r="BD180">
        <v>5.8245346242475203E-2</v>
      </c>
      <c r="BE180">
        <v>0</v>
      </c>
      <c r="BF180">
        <v>1.6E-2</v>
      </c>
      <c r="BG180">
        <v>0</v>
      </c>
      <c r="BH180">
        <v>0</v>
      </c>
      <c r="BI180">
        <v>0</v>
      </c>
      <c r="BJ180">
        <v>0</v>
      </c>
      <c r="BK180">
        <v>1</v>
      </c>
      <c r="BL180" s="1">
        <v>9.8880186146012994E-5</v>
      </c>
      <c r="BM180">
        <v>2.23348681535408E-4</v>
      </c>
      <c r="BN180" s="1">
        <v>3.6787997780646097E-7</v>
      </c>
      <c r="BO180" s="1">
        <v>3.5083528855030201E-6</v>
      </c>
      <c r="BP180">
        <v>0</v>
      </c>
      <c r="BQ180">
        <v>0</v>
      </c>
      <c r="BR180" s="1">
        <v>5.5606073358627199E-5</v>
      </c>
      <c r="BS180">
        <v>1.27919320618958E-4</v>
      </c>
    </row>
    <row r="181" spans="1:71" x14ac:dyDescent="0.25">
      <c r="A181">
        <v>178</v>
      </c>
      <c r="B181" s="1">
        <v>2.10534928252324E-6</v>
      </c>
      <c r="C181">
        <v>0.13269209727023901</v>
      </c>
      <c r="D181">
        <v>-4.9140980336297299E-4</v>
      </c>
      <c r="E181">
        <v>6.1312499999999995E-4</v>
      </c>
      <c r="F181">
        <v>-1.3269209727024001E-3</v>
      </c>
      <c r="G181" s="1">
        <v>2.1684043449710098E-19</v>
      </c>
      <c r="H181" t="s">
        <v>74</v>
      </c>
      <c r="I181">
        <v>0</v>
      </c>
      <c r="J181" t="s">
        <v>75</v>
      </c>
      <c r="K181">
        <v>3.14159265358979</v>
      </c>
      <c r="L181">
        <v>0.69427140494532003</v>
      </c>
      <c r="M181">
        <v>0</v>
      </c>
      <c r="N181">
        <v>4.0764191902510002E-2</v>
      </c>
      <c r="O181">
        <v>0</v>
      </c>
      <c r="P181">
        <v>1.6E-2</v>
      </c>
      <c r="Q181">
        <v>0</v>
      </c>
      <c r="R181">
        <v>0</v>
      </c>
      <c r="S181">
        <v>0</v>
      </c>
      <c r="T181">
        <v>0</v>
      </c>
      <c r="U181">
        <v>0.69987036788837997</v>
      </c>
      <c r="V181" t="s">
        <v>78</v>
      </c>
      <c r="W181">
        <v>3882813.14820704</v>
      </c>
      <c r="X181" t="s">
        <v>76</v>
      </c>
      <c r="Y181">
        <v>-1.5707963267949001</v>
      </c>
      <c r="Z181">
        <v>0.693555975434063</v>
      </c>
      <c r="AA181">
        <v>0</v>
      </c>
      <c r="AB181">
        <v>4.0309055314001099E-2</v>
      </c>
      <c r="AC181">
        <v>0</v>
      </c>
      <c r="AD181">
        <v>5.5405805067192697E-3</v>
      </c>
      <c r="AE181">
        <v>1.2347546456590201E-2</v>
      </c>
      <c r="AF181">
        <v>0</v>
      </c>
      <c r="AG181">
        <v>0.236963610654542</v>
      </c>
      <c r="AH181">
        <v>0.212265276685943</v>
      </c>
      <c r="AI181">
        <v>0.45940259798615402</v>
      </c>
      <c r="AJ181" t="s">
        <v>74</v>
      </c>
      <c r="AK181">
        <v>0</v>
      </c>
      <c r="AL181" t="s">
        <v>77</v>
      </c>
      <c r="AM181">
        <v>0</v>
      </c>
      <c r="AN181">
        <v>0.99199999999999999</v>
      </c>
      <c r="AO181">
        <v>0</v>
      </c>
      <c r="AP181">
        <v>5.8245346242475203E-2</v>
      </c>
      <c r="AQ181">
        <v>0</v>
      </c>
      <c r="AR181">
        <v>1.6E-2</v>
      </c>
      <c r="AS181">
        <v>0</v>
      </c>
      <c r="AT181">
        <v>0</v>
      </c>
      <c r="AU181">
        <v>0</v>
      </c>
      <c r="AV181">
        <v>0</v>
      </c>
      <c r="AW181">
        <v>1</v>
      </c>
      <c r="AX181" t="s">
        <v>74</v>
      </c>
      <c r="AY181">
        <v>0</v>
      </c>
      <c r="AZ181" t="s">
        <v>76</v>
      </c>
      <c r="BA181">
        <v>-1.5707963267949001</v>
      </c>
      <c r="BB181">
        <v>0.99199999999999999</v>
      </c>
      <c r="BC181">
        <v>0</v>
      </c>
      <c r="BD181">
        <v>5.8245346242475203E-2</v>
      </c>
      <c r="BE181">
        <v>0</v>
      </c>
      <c r="BF181">
        <v>1.6E-2</v>
      </c>
      <c r="BG181">
        <v>0</v>
      </c>
      <c r="BH181">
        <v>0</v>
      </c>
      <c r="BI181">
        <v>0</v>
      </c>
      <c r="BJ181">
        <v>0</v>
      </c>
      <c r="BK181">
        <v>1</v>
      </c>
      <c r="BL181" s="1">
        <v>9.8781969850730706E-5</v>
      </c>
      <c r="BM181">
        <v>2.24614443670242E-4</v>
      </c>
      <c r="BN181" s="1">
        <v>3.6751492771050899E-7</v>
      </c>
      <c r="BO181" s="1">
        <v>3.5282354306229601E-6</v>
      </c>
      <c r="BP181">
        <v>0</v>
      </c>
      <c r="BQ181">
        <v>0</v>
      </c>
      <c r="BR181" s="1">
        <v>5.5543690309974398E-5</v>
      </c>
      <c r="BS181">
        <v>1.2864452456636701E-4</v>
      </c>
    </row>
    <row r="182" spans="1:71" x14ac:dyDescent="0.25">
      <c r="A182">
        <v>179</v>
      </c>
      <c r="B182" s="1">
        <v>2.10789172250213E-6</v>
      </c>
      <c r="C182">
        <v>0.13269420516196201</v>
      </c>
      <c r="D182">
        <v>-4.9141924108135203E-4</v>
      </c>
      <c r="E182">
        <v>6.1312499999999995E-4</v>
      </c>
      <c r="F182">
        <v>-1.32694205161962E-3</v>
      </c>
      <c r="G182" s="1">
        <v>2.1684043449710098E-19</v>
      </c>
      <c r="H182" t="s">
        <v>74</v>
      </c>
      <c r="I182">
        <v>0</v>
      </c>
      <c r="J182" t="s">
        <v>75</v>
      </c>
      <c r="K182">
        <v>3.14159265358979</v>
      </c>
      <c r="L182">
        <v>0.69259373148485004</v>
      </c>
      <c r="M182">
        <v>0</v>
      </c>
      <c r="N182">
        <v>4.0665687193248999E-2</v>
      </c>
      <c r="O182">
        <v>0</v>
      </c>
      <c r="P182">
        <v>1.6E-2</v>
      </c>
      <c r="Q182">
        <v>0</v>
      </c>
      <c r="R182">
        <v>0</v>
      </c>
      <c r="S182">
        <v>0</v>
      </c>
      <c r="T182">
        <v>0</v>
      </c>
      <c r="U182">
        <v>0.69817916480325404</v>
      </c>
      <c r="V182" t="s">
        <v>78</v>
      </c>
      <c r="W182">
        <v>3882894.5911356499</v>
      </c>
      <c r="X182" t="s">
        <v>76</v>
      </c>
      <c r="Y182">
        <v>-1.5707963267949001</v>
      </c>
      <c r="Z182">
        <v>0.69187923105689197</v>
      </c>
      <c r="AA182">
        <v>0</v>
      </c>
      <c r="AB182">
        <v>4.0211141662005602E-2</v>
      </c>
      <c r="AC182">
        <v>0</v>
      </c>
      <c r="AD182">
        <v>5.4754997575992299E-3</v>
      </c>
      <c r="AE182">
        <v>1.24136733669423E-2</v>
      </c>
      <c r="AF182">
        <v>0</v>
      </c>
      <c r="AG182">
        <v>0.23665188459369599</v>
      </c>
      <c r="AH182">
        <v>0.21510836652738</v>
      </c>
      <c r="AI182">
        <v>0.45668470610680401</v>
      </c>
      <c r="AJ182" t="s">
        <v>74</v>
      </c>
      <c r="AK182">
        <v>0</v>
      </c>
      <c r="AL182" t="s">
        <v>77</v>
      </c>
      <c r="AM182">
        <v>0</v>
      </c>
      <c r="AN182">
        <v>0.99199999999999999</v>
      </c>
      <c r="AO182">
        <v>0</v>
      </c>
      <c r="AP182">
        <v>5.8245346242475203E-2</v>
      </c>
      <c r="AQ182">
        <v>0</v>
      </c>
      <c r="AR182">
        <v>1.6E-2</v>
      </c>
      <c r="AS182">
        <v>0</v>
      </c>
      <c r="AT182">
        <v>0</v>
      </c>
      <c r="AU182">
        <v>0</v>
      </c>
      <c r="AV182">
        <v>0</v>
      </c>
      <c r="AW182">
        <v>1</v>
      </c>
      <c r="AX182" t="s">
        <v>74</v>
      </c>
      <c r="AY182">
        <v>0</v>
      </c>
      <c r="AZ182" t="s">
        <v>76</v>
      </c>
      <c r="BA182">
        <v>-1.5707963267949001</v>
      </c>
      <c r="BB182">
        <v>0.99199999999999999</v>
      </c>
      <c r="BC182">
        <v>0</v>
      </c>
      <c r="BD182">
        <v>5.8245346242475203E-2</v>
      </c>
      <c r="BE182">
        <v>0</v>
      </c>
      <c r="BF182">
        <v>1.6E-2</v>
      </c>
      <c r="BG182">
        <v>0</v>
      </c>
      <c r="BH182">
        <v>0</v>
      </c>
      <c r="BI182">
        <v>0</v>
      </c>
      <c r="BJ182">
        <v>0</v>
      </c>
      <c r="BK182">
        <v>1</v>
      </c>
      <c r="BL182" s="1">
        <v>9.8683760670102499E-5</v>
      </c>
      <c r="BM182">
        <v>2.2588012556053801E-4</v>
      </c>
      <c r="BN182" s="1">
        <v>3.6714990875036202E-7</v>
      </c>
      <c r="BO182" s="1">
        <v>3.5481167152646302E-6</v>
      </c>
      <c r="BP182">
        <v>0</v>
      </c>
      <c r="BQ182">
        <v>0</v>
      </c>
      <c r="BR182" s="1">
        <v>5.5481311403689401E-5</v>
      </c>
      <c r="BS182">
        <v>1.29369685791255E-4</v>
      </c>
    </row>
    <row r="183" spans="1:71" x14ac:dyDescent="0.25">
      <c r="A183">
        <v>180</v>
      </c>
      <c r="B183" s="1">
        <v>2.11067884448732E-6</v>
      </c>
      <c r="C183">
        <v>0.13269631584080599</v>
      </c>
      <c r="D183">
        <v>-4.9142869117898397E-4</v>
      </c>
      <c r="E183">
        <v>6.1312499999999995E-4</v>
      </c>
      <c r="F183">
        <v>-1.3269631584080599E-3</v>
      </c>
      <c r="G183" s="1">
        <v>1.0842021724855E-19</v>
      </c>
      <c r="H183" t="s">
        <v>74</v>
      </c>
      <c r="I183">
        <v>0</v>
      </c>
      <c r="J183" t="s">
        <v>75</v>
      </c>
      <c r="K183">
        <v>3.14159265358979</v>
      </c>
      <c r="L183">
        <v>0.69091616673978395</v>
      </c>
      <c r="M183">
        <v>0</v>
      </c>
      <c r="N183">
        <v>4.0567188867220202E-2</v>
      </c>
      <c r="O183">
        <v>0</v>
      </c>
      <c r="P183">
        <v>1.6E-2</v>
      </c>
      <c r="Q183">
        <v>0</v>
      </c>
      <c r="R183">
        <v>0</v>
      </c>
      <c r="S183">
        <v>0</v>
      </c>
      <c r="T183">
        <v>0</v>
      </c>
      <c r="U183">
        <v>0.69648807131025803</v>
      </c>
      <c r="V183" t="s">
        <v>78</v>
      </c>
      <c r="W183">
        <v>3882976.1408911999</v>
      </c>
      <c r="X183" t="s">
        <v>76</v>
      </c>
      <c r="Y183">
        <v>-1.5707963267949001</v>
      </c>
      <c r="Z183">
        <v>0.69020259804011896</v>
      </c>
      <c r="AA183">
        <v>0</v>
      </c>
      <c r="AB183">
        <v>4.0113236075914299E-2</v>
      </c>
      <c r="AC183">
        <v>0</v>
      </c>
      <c r="AD183">
        <v>5.4104787801420697E-3</v>
      </c>
      <c r="AE183">
        <v>1.24797357045652E-2</v>
      </c>
      <c r="AF183">
        <v>0</v>
      </c>
      <c r="AG183">
        <v>0.23631277397070199</v>
      </c>
      <c r="AH183">
        <v>0.21797867689532599</v>
      </c>
      <c r="AI183">
        <v>0.45397156715237003</v>
      </c>
      <c r="AJ183" t="s">
        <v>74</v>
      </c>
      <c r="AK183">
        <v>0</v>
      </c>
      <c r="AL183" t="s">
        <v>77</v>
      </c>
      <c r="AM183">
        <v>0</v>
      </c>
      <c r="AN183">
        <v>0.99199999999999999</v>
      </c>
      <c r="AO183">
        <v>0</v>
      </c>
      <c r="AP183">
        <v>5.8245346242475203E-2</v>
      </c>
      <c r="AQ183">
        <v>0</v>
      </c>
      <c r="AR183">
        <v>1.6E-2</v>
      </c>
      <c r="AS183">
        <v>0</v>
      </c>
      <c r="AT183">
        <v>0</v>
      </c>
      <c r="AU183">
        <v>0</v>
      </c>
      <c r="AV183">
        <v>0</v>
      </c>
      <c r="AW183">
        <v>1</v>
      </c>
      <c r="AX183" t="s">
        <v>74</v>
      </c>
      <c r="AY183">
        <v>0</v>
      </c>
      <c r="AZ183" t="s">
        <v>76</v>
      </c>
      <c r="BA183">
        <v>-1.5707963267949001</v>
      </c>
      <c r="BB183">
        <v>0.99199999999999999</v>
      </c>
      <c r="BC183">
        <v>0</v>
      </c>
      <c r="BD183">
        <v>5.8245346242475203E-2</v>
      </c>
      <c r="BE183">
        <v>0</v>
      </c>
      <c r="BF183">
        <v>1.6E-2</v>
      </c>
      <c r="BG183">
        <v>0</v>
      </c>
      <c r="BH183">
        <v>0</v>
      </c>
      <c r="BI183">
        <v>0</v>
      </c>
      <c r="BJ183">
        <v>0</v>
      </c>
      <c r="BK183">
        <v>1</v>
      </c>
      <c r="BL183" s="1">
        <v>9.8585558714042498E-5</v>
      </c>
      <c r="BM183">
        <v>2.27145725433014E-4</v>
      </c>
      <c r="BN183" s="1">
        <v>3.6678492118829301E-7</v>
      </c>
      <c r="BO183" s="1">
        <v>3.56799671157341E-6</v>
      </c>
      <c r="BP183">
        <v>0</v>
      </c>
      <c r="BQ183">
        <v>0</v>
      </c>
      <c r="BR183" s="1">
        <v>5.5418936723283301E-5</v>
      </c>
      <c r="BS183">
        <v>1.3009480331347201E-4</v>
      </c>
    </row>
    <row r="184" spans="1:71" x14ac:dyDescent="0.25">
      <c r="A184">
        <v>181</v>
      </c>
      <c r="B184" s="1">
        <v>2.11371498010777E-6</v>
      </c>
      <c r="C184">
        <v>0.13269842955578601</v>
      </c>
      <c r="D184">
        <v>-4.9143815477036804E-4</v>
      </c>
      <c r="E184">
        <v>6.1312499999999995E-4</v>
      </c>
      <c r="F184">
        <v>-1.3269842955578701E-3</v>
      </c>
      <c r="G184" s="1">
        <v>2.1684043449710098E-19</v>
      </c>
      <c r="H184" t="s">
        <v>74</v>
      </c>
      <c r="I184">
        <v>0</v>
      </c>
      <c r="J184" t="s">
        <v>75</v>
      </c>
      <c r="K184">
        <v>3.14159265358979</v>
      </c>
      <c r="L184">
        <v>0.68923871313982898</v>
      </c>
      <c r="M184">
        <v>0</v>
      </c>
      <c r="N184">
        <v>4.04686970670841E-2</v>
      </c>
      <c r="O184">
        <v>0</v>
      </c>
      <c r="P184">
        <v>1.6E-2</v>
      </c>
      <c r="Q184">
        <v>0</v>
      </c>
      <c r="R184">
        <v>0</v>
      </c>
      <c r="S184">
        <v>0</v>
      </c>
      <c r="T184">
        <v>0</v>
      </c>
      <c r="U184">
        <v>0.69479708985869604</v>
      </c>
      <c r="V184" t="s">
        <v>78</v>
      </c>
      <c r="W184">
        <v>3883057.8070912799</v>
      </c>
      <c r="X184" t="s">
        <v>76</v>
      </c>
      <c r="Y184">
        <v>-1.5707963267949001</v>
      </c>
      <c r="Z184">
        <v>0.68852607872426697</v>
      </c>
      <c r="AA184">
        <v>0</v>
      </c>
      <c r="AB184">
        <v>4.0015338641652298E-2</v>
      </c>
      <c r="AC184">
        <v>0</v>
      </c>
      <c r="AD184">
        <v>5.3455181058542304E-3</v>
      </c>
      <c r="AE184">
        <v>1.25457330532234E-2</v>
      </c>
      <c r="AF184">
        <v>0</v>
      </c>
      <c r="AG184">
        <v>0.23594599718918</v>
      </c>
      <c r="AH184">
        <v>0.22087648572009</v>
      </c>
      <c r="AI184">
        <v>0.45126320204496501</v>
      </c>
      <c r="AJ184" t="s">
        <v>74</v>
      </c>
      <c r="AK184">
        <v>0</v>
      </c>
      <c r="AL184" t="s">
        <v>77</v>
      </c>
      <c r="AM184">
        <v>0</v>
      </c>
      <c r="AN184">
        <v>0.99199999999999999</v>
      </c>
      <c r="AO184">
        <v>0</v>
      </c>
      <c r="AP184">
        <v>5.8245346242475203E-2</v>
      </c>
      <c r="AQ184">
        <v>0</v>
      </c>
      <c r="AR184">
        <v>1.6E-2</v>
      </c>
      <c r="AS184">
        <v>0</v>
      </c>
      <c r="AT184">
        <v>0</v>
      </c>
      <c r="AU184">
        <v>0</v>
      </c>
      <c r="AV184">
        <v>0</v>
      </c>
      <c r="AW184">
        <v>1</v>
      </c>
      <c r="AX184" t="s">
        <v>74</v>
      </c>
      <c r="AY184">
        <v>0</v>
      </c>
      <c r="AZ184" t="s">
        <v>76</v>
      </c>
      <c r="BA184">
        <v>-1.5707963267949001</v>
      </c>
      <c r="BB184">
        <v>0.99199999999999999</v>
      </c>
      <c r="BC184">
        <v>0</v>
      </c>
      <c r="BD184">
        <v>5.8245346242475203E-2</v>
      </c>
      <c r="BE184">
        <v>0</v>
      </c>
      <c r="BF184">
        <v>1.6E-2</v>
      </c>
      <c r="BG184">
        <v>0</v>
      </c>
      <c r="BH184">
        <v>0</v>
      </c>
      <c r="BI184">
        <v>0</v>
      </c>
      <c r="BJ184">
        <v>0</v>
      </c>
      <c r="BK184">
        <v>1</v>
      </c>
      <c r="BL184" s="1">
        <v>9.8487364096843394E-5</v>
      </c>
      <c r="BM184">
        <v>2.2841124145463499E-4</v>
      </c>
      <c r="BN184" s="1">
        <v>3.6641996530148899E-7</v>
      </c>
      <c r="BO184" s="1">
        <v>3.5878753907560301E-6</v>
      </c>
      <c r="BP184">
        <v>0</v>
      </c>
      <c r="BQ184">
        <v>0</v>
      </c>
      <c r="BR184" s="1">
        <v>5.5356566355187103E-5</v>
      </c>
      <c r="BS184">
        <v>1.30819876119852E-4</v>
      </c>
    </row>
    <row r="185" spans="1:71" x14ac:dyDescent="0.25">
      <c r="A185">
        <v>182</v>
      </c>
      <c r="B185" s="1">
        <v>2.1170047240375299E-6</v>
      </c>
      <c r="C185">
        <v>0.132700546560511</v>
      </c>
      <c r="D185">
        <v>-4.9144763299052599E-4</v>
      </c>
      <c r="E185">
        <v>6.1312499999999995E-4</v>
      </c>
      <c r="F185">
        <v>-1.32700546560511E-3</v>
      </c>
      <c r="G185" s="1">
        <v>2.1684043449710098E-19</v>
      </c>
      <c r="H185" t="s">
        <v>74</v>
      </c>
      <c r="I185">
        <v>0</v>
      </c>
      <c r="J185" t="s">
        <v>75</v>
      </c>
      <c r="K185">
        <v>3.14159265358979</v>
      </c>
      <c r="L185">
        <v>0.68756137319756006</v>
      </c>
      <c r="M185">
        <v>0</v>
      </c>
      <c r="N185">
        <v>4.0370211940366503E-2</v>
      </c>
      <c r="O185">
        <v>0</v>
      </c>
      <c r="P185">
        <v>1.6E-2</v>
      </c>
      <c r="Q185">
        <v>0</v>
      </c>
      <c r="R185">
        <v>0</v>
      </c>
      <c r="S185">
        <v>0</v>
      </c>
      <c r="T185">
        <v>0</v>
      </c>
      <c r="U185">
        <v>0.693106222981411</v>
      </c>
      <c r="V185" t="s">
        <v>78</v>
      </c>
      <c r="W185">
        <v>3883139.59953058</v>
      </c>
      <c r="X185" t="s">
        <v>76</v>
      </c>
      <c r="Y185">
        <v>-1.5707963267949001</v>
      </c>
      <c r="Z185">
        <v>0.68684967553178999</v>
      </c>
      <c r="AA185">
        <v>0</v>
      </c>
      <c r="AB185">
        <v>3.9917449449412598E-2</v>
      </c>
      <c r="AC185">
        <v>0</v>
      </c>
      <c r="AD185">
        <v>5.2806182714715301E-3</v>
      </c>
      <c r="AE185">
        <v>1.26116649915734E-2</v>
      </c>
      <c r="AF185">
        <v>0</v>
      </c>
      <c r="AG185">
        <v>0.23555126622216799</v>
      </c>
      <c r="AH185">
        <v>0.22380207723752801</v>
      </c>
      <c r="AI185">
        <v>0.44855963190303799</v>
      </c>
      <c r="AJ185" t="s">
        <v>74</v>
      </c>
      <c r="AK185">
        <v>0</v>
      </c>
      <c r="AL185" t="s">
        <v>77</v>
      </c>
      <c r="AM185">
        <v>0</v>
      </c>
      <c r="AN185">
        <v>0.99199999999999999</v>
      </c>
      <c r="AO185">
        <v>0</v>
      </c>
      <c r="AP185">
        <v>5.8245346242475203E-2</v>
      </c>
      <c r="AQ185">
        <v>0</v>
      </c>
      <c r="AR185">
        <v>1.6E-2</v>
      </c>
      <c r="AS185">
        <v>0</v>
      </c>
      <c r="AT185">
        <v>0</v>
      </c>
      <c r="AU185">
        <v>0</v>
      </c>
      <c r="AV185">
        <v>0</v>
      </c>
      <c r="AW185">
        <v>1</v>
      </c>
      <c r="AX185" t="s">
        <v>74</v>
      </c>
      <c r="AY185">
        <v>0</v>
      </c>
      <c r="AZ185" t="s">
        <v>76</v>
      </c>
      <c r="BA185">
        <v>-1.5707963267949001</v>
      </c>
      <c r="BB185">
        <v>0.99199999999999999</v>
      </c>
      <c r="BC185">
        <v>0</v>
      </c>
      <c r="BD185">
        <v>5.8245346242475203E-2</v>
      </c>
      <c r="BE185">
        <v>0</v>
      </c>
      <c r="BF185">
        <v>1.6E-2</v>
      </c>
      <c r="BG185">
        <v>0</v>
      </c>
      <c r="BH185">
        <v>0</v>
      </c>
      <c r="BI185">
        <v>0</v>
      </c>
      <c r="BJ185">
        <v>0</v>
      </c>
      <c r="BK185">
        <v>1</v>
      </c>
      <c r="BL185" s="1">
        <v>9.8389176937364794E-5</v>
      </c>
      <c r="BM185">
        <v>2.2967667172984799E-4</v>
      </c>
      <c r="BN185" s="1">
        <v>3.66055041382607E-7</v>
      </c>
      <c r="BO185" s="1">
        <v>3.60775272303722E-6</v>
      </c>
      <c r="BP185">
        <v>0</v>
      </c>
      <c r="BQ185">
        <v>0</v>
      </c>
      <c r="BR185" s="1">
        <v>5.5294200388884302E-5</v>
      </c>
      <c r="BS185">
        <v>1.3154490316268701E-4</v>
      </c>
    </row>
    <row r="186" spans="1:71" x14ac:dyDescent="0.25">
      <c r="A186">
        <v>183</v>
      </c>
      <c r="B186" s="1">
        <v>2.12055294641867E-6</v>
      </c>
      <c r="C186">
        <v>0.13270266711345699</v>
      </c>
      <c r="D186">
        <v>-4.9145712699623302E-4</v>
      </c>
      <c r="E186">
        <v>6.1312499999999995E-4</v>
      </c>
      <c r="F186">
        <v>-1.32702667113457E-3</v>
      </c>
      <c r="G186" s="1">
        <v>1.0842021724855E-19</v>
      </c>
      <c r="H186" t="s">
        <v>74</v>
      </c>
      <c r="I186">
        <v>0</v>
      </c>
      <c r="J186" t="s">
        <v>75</v>
      </c>
      <c r="K186">
        <v>3.14159265358979</v>
      </c>
      <c r="L186">
        <v>0.68588414951226995</v>
      </c>
      <c r="M186">
        <v>0</v>
      </c>
      <c r="N186">
        <v>4.0271733639685302E-2</v>
      </c>
      <c r="O186">
        <v>0</v>
      </c>
      <c r="P186">
        <v>1.6E-2</v>
      </c>
      <c r="Q186">
        <v>0</v>
      </c>
      <c r="R186">
        <v>0</v>
      </c>
      <c r="S186">
        <v>0</v>
      </c>
      <c r="T186">
        <v>0</v>
      </c>
      <c r="U186">
        <v>0.69141547329865904</v>
      </c>
      <c r="V186" t="s">
        <v>78</v>
      </c>
      <c r="W186">
        <v>3883221.5281914999</v>
      </c>
      <c r="X186" t="s">
        <v>76</v>
      </c>
      <c r="Y186">
        <v>-1.5707963267949001</v>
      </c>
      <c r="Z186">
        <v>0.68517339097083296</v>
      </c>
      <c r="AA186">
        <v>0</v>
      </c>
      <c r="AB186">
        <v>3.98195685938268E-2</v>
      </c>
      <c r="AC186">
        <v>0</v>
      </c>
      <c r="AD186">
        <v>5.21577981920009E-3</v>
      </c>
      <c r="AE186">
        <v>1.267753109301E-2</v>
      </c>
      <c r="AF186">
        <v>0</v>
      </c>
      <c r="AG186">
        <v>0.235128286388115</v>
      </c>
      <c r="AH186">
        <v>0.22675574220723499</v>
      </c>
      <c r="AI186">
        <v>0.445860878047664</v>
      </c>
      <c r="AJ186" t="s">
        <v>74</v>
      </c>
      <c r="AK186">
        <v>0</v>
      </c>
      <c r="AL186" t="s">
        <v>77</v>
      </c>
      <c r="AM186">
        <v>0</v>
      </c>
      <c r="AN186">
        <v>0.99199999999999999</v>
      </c>
      <c r="AO186">
        <v>0</v>
      </c>
      <c r="AP186">
        <v>5.8245346242475203E-2</v>
      </c>
      <c r="AQ186">
        <v>0</v>
      </c>
      <c r="AR186">
        <v>1.6E-2</v>
      </c>
      <c r="AS186">
        <v>0</v>
      </c>
      <c r="AT186">
        <v>0</v>
      </c>
      <c r="AU186">
        <v>0</v>
      </c>
      <c r="AV186">
        <v>0</v>
      </c>
      <c r="AW186">
        <v>1</v>
      </c>
      <c r="AX186" t="s">
        <v>74</v>
      </c>
      <c r="AY186">
        <v>0</v>
      </c>
      <c r="AZ186" t="s">
        <v>76</v>
      </c>
      <c r="BA186">
        <v>-1.5707963267949001</v>
      </c>
      <c r="BB186">
        <v>0.99199999999999999</v>
      </c>
      <c r="BC186">
        <v>0</v>
      </c>
      <c r="BD186">
        <v>5.8245346242475203E-2</v>
      </c>
      <c r="BE186">
        <v>0</v>
      </c>
      <c r="BF186">
        <v>1.6E-2</v>
      </c>
      <c r="BG186">
        <v>0</v>
      </c>
      <c r="BH186">
        <v>0</v>
      </c>
      <c r="BI186">
        <v>0</v>
      </c>
      <c r="BJ186">
        <v>0</v>
      </c>
      <c r="BK186">
        <v>1</v>
      </c>
      <c r="BL186" s="1">
        <v>9.8290997359231196E-5</v>
      </c>
      <c r="BM186">
        <v>2.3094201429767501E-4</v>
      </c>
      <c r="BN186" s="1">
        <v>3.6569014974037E-7</v>
      </c>
      <c r="BO186" s="1">
        <v>3.6276286776140201E-6</v>
      </c>
      <c r="BP186">
        <v>0</v>
      </c>
      <c r="BQ186">
        <v>0</v>
      </c>
      <c r="BR186" s="1">
        <v>5.5231838917050099E-5</v>
      </c>
      <c r="BS186">
        <v>1.32269883358106E-4</v>
      </c>
    </row>
    <row r="187" spans="1:71" x14ac:dyDescent="0.25">
      <c r="A187">
        <v>184</v>
      </c>
      <c r="B187" s="1">
        <v>2.12436480637028E-6</v>
      </c>
      <c r="C187">
        <v>0.132704791478263</v>
      </c>
      <c r="D187">
        <v>-4.9146663796731502E-4</v>
      </c>
      <c r="E187">
        <v>6.1312499999999995E-4</v>
      </c>
      <c r="F187">
        <v>-1.3270479147826301E-3</v>
      </c>
      <c r="G187" s="1">
        <v>1.0842021724855E-19</v>
      </c>
      <c r="H187" t="s">
        <v>74</v>
      </c>
      <c r="I187">
        <v>0</v>
      </c>
      <c r="J187" t="s">
        <v>75</v>
      </c>
      <c r="K187">
        <v>3.14159265358979</v>
      </c>
      <c r="L187">
        <v>0.68420704477388306</v>
      </c>
      <c r="M187">
        <v>0</v>
      </c>
      <c r="N187">
        <v>4.0173262322979401E-2</v>
      </c>
      <c r="O187">
        <v>0</v>
      </c>
      <c r="P187">
        <v>1.6E-2</v>
      </c>
      <c r="Q187">
        <v>0</v>
      </c>
      <c r="R187">
        <v>0</v>
      </c>
      <c r="S187">
        <v>0</v>
      </c>
      <c r="T187">
        <v>0</v>
      </c>
      <c r="U187">
        <v>0.68972484352205998</v>
      </c>
      <c r="V187" t="s">
        <v>78</v>
      </c>
      <c r="W187">
        <v>3883303.6032553799</v>
      </c>
      <c r="X187" t="s">
        <v>76</v>
      </c>
      <c r="Y187">
        <v>-1.5707963267949001</v>
      </c>
      <c r="Z187">
        <v>0.68349722763905196</v>
      </c>
      <c r="AA187">
        <v>0</v>
      </c>
      <c r="AB187">
        <v>3.9721696174136199E-2</v>
      </c>
      <c r="AC187">
        <v>0</v>
      </c>
      <c r="AD187">
        <v>5.1510032969609397E-3</v>
      </c>
      <c r="AE187">
        <v>1.27433309255095E-2</v>
      </c>
      <c r="AF187">
        <v>0</v>
      </c>
      <c r="AG187">
        <v>0.23467675611642699</v>
      </c>
      <c r="AH187">
        <v>0.22973777814110399</v>
      </c>
      <c r="AI187">
        <v>0.44316696200885097</v>
      </c>
      <c r="AJ187" t="s">
        <v>74</v>
      </c>
      <c r="AK187">
        <v>0</v>
      </c>
      <c r="AL187" t="s">
        <v>77</v>
      </c>
      <c r="AM187">
        <v>0</v>
      </c>
      <c r="AN187">
        <v>0.99199999999999999</v>
      </c>
      <c r="AO187">
        <v>0</v>
      </c>
      <c r="AP187">
        <v>5.8245346242475203E-2</v>
      </c>
      <c r="AQ187">
        <v>0</v>
      </c>
      <c r="AR187">
        <v>1.6E-2</v>
      </c>
      <c r="AS187">
        <v>0</v>
      </c>
      <c r="AT187">
        <v>0</v>
      </c>
      <c r="AU187">
        <v>0</v>
      </c>
      <c r="AV187">
        <v>0</v>
      </c>
      <c r="AW187">
        <v>1</v>
      </c>
      <c r="AX187" t="s">
        <v>74</v>
      </c>
      <c r="AY187">
        <v>0</v>
      </c>
      <c r="AZ187" t="s">
        <v>76</v>
      </c>
      <c r="BA187">
        <v>-1.5707963267949001</v>
      </c>
      <c r="BB187">
        <v>0.99199999999999999</v>
      </c>
      <c r="BC187">
        <v>0</v>
      </c>
      <c r="BD187">
        <v>5.8245346242475203E-2</v>
      </c>
      <c r="BE187">
        <v>0</v>
      </c>
      <c r="BF187">
        <v>1.6E-2</v>
      </c>
      <c r="BG187">
        <v>0</v>
      </c>
      <c r="BH187">
        <v>0</v>
      </c>
      <c r="BI187">
        <v>0</v>
      </c>
      <c r="BJ187">
        <v>0</v>
      </c>
      <c r="BK187">
        <v>1</v>
      </c>
      <c r="BL187" s="1">
        <v>9.8192825491033004E-5</v>
      </c>
      <c r="BM187">
        <v>2.32207267128765E-4</v>
      </c>
      <c r="BN187" s="1">
        <v>3.65325290700162E-7</v>
      </c>
      <c r="BO187" s="1">
        <v>3.64750322260946E-6</v>
      </c>
      <c r="BP187">
        <v>0</v>
      </c>
      <c r="BQ187">
        <v>0</v>
      </c>
      <c r="BR187" s="1">
        <v>5.5169482035693303E-5</v>
      </c>
      <c r="BS187">
        <v>1.3299481558444099E-4</v>
      </c>
    </row>
    <row r="188" spans="1:71" x14ac:dyDescent="0.25">
      <c r="A188">
        <v>185</v>
      </c>
      <c r="B188" s="1">
        <v>2.1284457660290198E-6</v>
      </c>
      <c r="C188">
        <v>0.132706919924029</v>
      </c>
      <c r="D188">
        <v>-4.9147616710799999E-4</v>
      </c>
      <c r="E188">
        <v>6.1312499999999995E-4</v>
      </c>
      <c r="F188">
        <v>-1.32706919924029E-3</v>
      </c>
      <c r="G188" s="1">
        <v>1.0842021724855E-19</v>
      </c>
      <c r="H188" t="s">
        <v>74</v>
      </c>
      <c r="I188">
        <v>0</v>
      </c>
      <c r="J188" t="s">
        <v>75</v>
      </c>
      <c r="K188">
        <v>3.14159265358979</v>
      </c>
      <c r="L188">
        <v>0.68253006176739095</v>
      </c>
      <c r="M188">
        <v>0</v>
      </c>
      <c r="N188">
        <v>4.0074798153769797E-2</v>
      </c>
      <c r="O188">
        <v>0</v>
      </c>
      <c r="P188">
        <v>1.6E-2</v>
      </c>
      <c r="Q188">
        <v>0</v>
      </c>
      <c r="R188">
        <v>0</v>
      </c>
      <c r="S188">
        <v>0</v>
      </c>
      <c r="T188">
        <v>0</v>
      </c>
      <c r="U188">
        <v>0.68803433645906298</v>
      </c>
      <c r="V188" t="s">
        <v>78</v>
      </c>
      <c r="W188">
        <v>3883385.8351141098</v>
      </c>
      <c r="X188" t="s">
        <v>76</v>
      </c>
      <c r="Y188">
        <v>-1.5707963267949001</v>
      </c>
      <c r="Z188">
        <v>0.68182118822795901</v>
      </c>
      <c r="AA188">
        <v>0</v>
      </c>
      <c r="AB188">
        <v>3.9623832294391599E-2</v>
      </c>
      <c r="AC188">
        <v>0</v>
      </c>
      <c r="AD188">
        <v>5.0862892586567903E-3</v>
      </c>
      <c r="AE188">
        <v>1.28090640514547E-2</v>
      </c>
      <c r="AF188">
        <v>0</v>
      </c>
      <c r="AG188">
        <v>0.23419636670208299</v>
      </c>
      <c r="AH188">
        <v>0.23274848954201</v>
      </c>
      <c r="AI188">
        <v>0.44047790553260702</v>
      </c>
      <c r="AJ188" t="s">
        <v>74</v>
      </c>
      <c r="AK188">
        <v>0</v>
      </c>
      <c r="AL188" t="s">
        <v>77</v>
      </c>
      <c r="AM188">
        <v>0</v>
      </c>
      <c r="AN188">
        <v>0.99199999999999999</v>
      </c>
      <c r="AO188">
        <v>0</v>
      </c>
      <c r="AP188">
        <v>5.8245346242475203E-2</v>
      </c>
      <c r="AQ188">
        <v>0</v>
      </c>
      <c r="AR188">
        <v>1.6E-2</v>
      </c>
      <c r="AS188">
        <v>0</v>
      </c>
      <c r="AT188">
        <v>0</v>
      </c>
      <c r="AU188">
        <v>0</v>
      </c>
      <c r="AV188">
        <v>0</v>
      </c>
      <c r="AW188">
        <v>1</v>
      </c>
      <c r="AX188" t="s">
        <v>74</v>
      </c>
      <c r="AY188">
        <v>0</v>
      </c>
      <c r="AZ188" t="s">
        <v>76</v>
      </c>
      <c r="BA188">
        <v>-1.5707963267949001</v>
      </c>
      <c r="BB188">
        <v>0.99199999999999999</v>
      </c>
      <c r="BC188">
        <v>0</v>
      </c>
      <c r="BD188">
        <v>5.8245346242475203E-2</v>
      </c>
      <c r="BE188">
        <v>0</v>
      </c>
      <c r="BF188">
        <v>1.6E-2</v>
      </c>
      <c r="BG188">
        <v>0</v>
      </c>
      <c r="BH188">
        <v>0</v>
      </c>
      <c r="BI188">
        <v>0</v>
      </c>
      <c r="BJ188">
        <v>0</v>
      </c>
      <c r="BK188">
        <v>1</v>
      </c>
      <c r="BL188" s="1">
        <v>9.8094661466555994E-5</v>
      </c>
      <c r="BM188">
        <v>2.3347242812204701E-4</v>
      </c>
      <c r="BN188" s="1">
        <v>3.6496046460472599E-7</v>
      </c>
      <c r="BO188" s="1">
        <v>3.6673763250199699E-6</v>
      </c>
      <c r="BP188">
        <v>0</v>
      </c>
      <c r="BQ188">
        <v>0</v>
      </c>
      <c r="BR188" s="1">
        <v>5.5107129844317399E-5</v>
      </c>
      <c r="BS188">
        <v>1.3371969868036801E-4</v>
      </c>
    </row>
    <row r="189" spans="1:71" x14ac:dyDescent="0.25">
      <c r="A189">
        <v>186</v>
      </c>
      <c r="B189" s="1">
        <v>2.1328016062183302E-6</v>
      </c>
      <c r="C189">
        <v>0.13270905272563599</v>
      </c>
      <c r="D189">
        <v>-4.91485715648345E-4</v>
      </c>
      <c r="E189">
        <v>6.1312499999999995E-4</v>
      </c>
      <c r="F189">
        <v>-1.3270905272563601E-3</v>
      </c>
      <c r="G189" s="1">
        <v>2.1684043449710098E-19</v>
      </c>
      <c r="H189" t="s">
        <v>74</v>
      </c>
      <c r="I189">
        <v>0</v>
      </c>
      <c r="J189" t="s">
        <v>75</v>
      </c>
      <c r="K189">
        <v>3.14159265358979</v>
      </c>
      <c r="L189">
        <v>0.68085320337722599</v>
      </c>
      <c r="M189">
        <v>0</v>
      </c>
      <c r="N189">
        <v>3.9976341301416203E-2</v>
      </c>
      <c r="O189">
        <v>0</v>
      </c>
      <c r="P189">
        <v>1.6E-2</v>
      </c>
      <c r="Q189">
        <v>0</v>
      </c>
      <c r="R189">
        <v>0</v>
      </c>
      <c r="S189">
        <v>0</v>
      </c>
      <c r="T189">
        <v>0</v>
      </c>
      <c r="U189">
        <v>0.686343955017365</v>
      </c>
      <c r="V189" t="s">
        <v>78</v>
      </c>
      <c r="W189">
        <v>3883468.2343824902</v>
      </c>
      <c r="X189" t="s">
        <v>76</v>
      </c>
      <c r="Y189">
        <v>-1.5707963267949001</v>
      </c>
      <c r="Z189">
        <v>0.68014527552719095</v>
      </c>
      <c r="AA189">
        <v>0</v>
      </c>
      <c r="AB189">
        <v>3.9525977063646703E-2</v>
      </c>
      <c r="AC189">
        <v>0</v>
      </c>
      <c r="AD189">
        <v>5.0216382644380801E-3</v>
      </c>
      <c r="AE189">
        <v>1.28747300274639E-2</v>
      </c>
      <c r="AF189">
        <v>0</v>
      </c>
      <c r="AG189">
        <v>0.23368680204852699</v>
      </c>
      <c r="AH189">
        <v>0.23578818815432501</v>
      </c>
      <c r="AI189">
        <v>0.43779373058781401</v>
      </c>
      <c r="AJ189" t="s">
        <v>74</v>
      </c>
      <c r="AK189">
        <v>0</v>
      </c>
      <c r="AL189" t="s">
        <v>77</v>
      </c>
      <c r="AM189">
        <v>0</v>
      </c>
      <c r="AN189">
        <v>0.99199999999999999</v>
      </c>
      <c r="AO189">
        <v>0</v>
      </c>
      <c r="AP189">
        <v>5.8245346242475203E-2</v>
      </c>
      <c r="AQ189">
        <v>0</v>
      </c>
      <c r="AR189">
        <v>1.6E-2</v>
      </c>
      <c r="AS189">
        <v>0</v>
      </c>
      <c r="AT189">
        <v>0</v>
      </c>
      <c r="AU189">
        <v>0</v>
      </c>
      <c r="AV189">
        <v>0</v>
      </c>
      <c r="AW189">
        <v>1</v>
      </c>
      <c r="AX189" t="s">
        <v>74</v>
      </c>
      <c r="AY189">
        <v>0</v>
      </c>
      <c r="AZ189" t="s">
        <v>76</v>
      </c>
      <c r="BA189">
        <v>-1.5707963267949001</v>
      </c>
      <c r="BB189">
        <v>0.99199999999999999</v>
      </c>
      <c r="BC189">
        <v>0</v>
      </c>
      <c r="BD189">
        <v>5.8245346242475203E-2</v>
      </c>
      <c r="BE189">
        <v>0</v>
      </c>
      <c r="BF189">
        <v>1.6E-2</v>
      </c>
      <c r="BG189">
        <v>0</v>
      </c>
      <c r="BH189">
        <v>0</v>
      </c>
      <c r="BI189">
        <v>0</v>
      </c>
      <c r="BJ189">
        <v>0</v>
      </c>
      <c r="BK189">
        <v>1</v>
      </c>
      <c r="BL189" s="1">
        <v>9.7996505425006699E-5</v>
      </c>
      <c r="BM189">
        <v>2.34737495101426E-4</v>
      </c>
      <c r="BN189" s="1">
        <v>3.6459567181483499E-7</v>
      </c>
      <c r="BO189" s="1">
        <v>3.6872479506635501E-6</v>
      </c>
      <c r="BP189">
        <v>0</v>
      </c>
      <c r="BQ189">
        <v>0</v>
      </c>
      <c r="BR189" s="1">
        <v>5.50447824460785E-5</v>
      </c>
      <c r="BS189">
        <v>1.34444531443071E-4</v>
      </c>
    </row>
    <row r="190" spans="1:71" x14ac:dyDescent="0.25">
      <c r="A190">
        <v>187</v>
      </c>
      <c r="B190" s="1">
        <v>2.13743844267358E-6</v>
      </c>
      <c r="C190">
        <v>0.13271119016407801</v>
      </c>
      <c r="D190">
        <v>-4.9149528484573196E-4</v>
      </c>
      <c r="E190">
        <v>6.1312499999999995E-4</v>
      </c>
      <c r="F190">
        <v>-1.32711190164078E-3</v>
      </c>
      <c r="G190" s="1">
        <v>1.0842021724855E-19</v>
      </c>
      <c r="H190" t="s">
        <v>74</v>
      </c>
      <c r="I190">
        <v>0</v>
      </c>
      <c r="J190" t="s">
        <v>75</v>
      </c>
      <c r="K190">
        <v>3.14159265358979</v>
      </c>
      <c r="L190">
        <v>0.67917647259221703</v>
      </c>
      <c r="M190">
        <v>0</v>
      </c>
      <c r="N190">
        <v>3.9877891941407902E-2</v>
      </c>
      <c r="O190">
        <v>0</v>
      </c>
      <c r="P190">
        <v>1.6E-2</v>
      </c>
      <c r="Q190">
        <v>0</v>
      </c>
      <c r="R190">
        <v>0</v>
      </c>
      <c r="S190">
        <v>0</v>
      </c>
      <c r="T190">
        <v>0</v>
      </c>
      <c r="U190">
        <v>0.68465370220989497</v>
      </c>
      <c r="V190" t="s">
        <v>78</v>
      </c>
      <c r="W190">
        <v>3883550.8119111201</v>
      </c>
      <c r="X190" t="s">
        <v>76</v>
      </c>
      <c r="Y190">
        <v>-1.5707963267949001</v>
      </c>
      <c r="Z190">
        <v>0.67846949242936105</v>
      </c>
      <c r="AA190">
        <v>0</v>
      </c>
      <c r="AB190">
        <v>3.9428130596181998E-2</v>
      </c>
      <c r="AC190">
        <v>0</v>
      </c>
      <c r="AD190">
        <v>4.9570508809936003E-3</v>
      </c>
      <c r="AE190">
        <v>1.29403284041976E-2</v>
      </c>
      <c r="AF190">
        <v>0</v>
      </c>
      <c r="AG190">
        <v>0.233147738398293</v>
      </c>
      <c r="AH190">
        <v>0.23885719322580801</v>
      </c>
      <c r="AI190">
        <v>0.435114459373944</v>
      </c>
      <c r="AJ190" t="s">
        <v>74</v>
      </c>
      <c r="AK190">
        <v>0</v>
      </c>
      <c r="AL190" t="s">
        <v>77</v>
      </c>
      <c r="AM190">
        <v>0</v>
      </c>
      <c r="AN190">
        <v>0.99199999999999999</v>
      </c>
      <c r="AO190">
        <v>0</v>
      </c>
      <c r="AP190">
        <v>5.8245346242475203E-2</v>
      </c>
      <c r="AQ190">
        <v>0</v>
      </c>
      <c r="AR190">
        <v>1.6E-2</v>
      </c>
      <c r="AS190">
        <v>0</v>
      </c>
      <c r="AT190">
        <v>0</v>
      </c>
      <c r="AU190">
        <v>0</v>
      </c>
      <c r="AV190">
        <v>0</v>
      </c>
      <c r="AW190">
        <v>1</v>
      </c>
      <c r="AX190" t="s">
        <v>74</v>
      </c>
      <c r="AY190">
        <v>0</v>
      </c>
      <c r="AZ190" t="s">
        <v>76</v>
      </c>
      <c r="BA190">
        <v>-1.5707963267949001</v>
      </c>
      <c r="BB190">
        <v>0.99199999999999999</v>
      </c>
      <c r="BC190">
        <v>0</v>
      </c>
      <c r="BD190">
        <v>5.8245346242475203E-2</v>
      </c>
      <c r="BE190">
        <v>0</v>
      </c>
      <c r="BF190">
        <v>1.6E-2</v>
      </c>
      <c r="BG190">
        <v>0</v>
      </c>
      <c r="BH190">
        <v>0</v>
      </c>
      <c r="BI190">
        <v>0</v>
      </c>
      <c r="BJ190">
        <v>0</v>
      </c>
      <c r="BK190">
        <v>1</v>
      </c>
      <c r="BL190" s="1">
        <v>9.7898357511270103E-5</v>
      </c>
      <c r="BM190">
        <v>2.3600246581205101E-4</v>
      </c>
      <c r="BN190" s="1">
        <v>3.6423091271008302E-7</v>
      </c>
      <c r="BO190" s="1">
        <v>3.7071180641210799E-6</v>
      </c>
      <c r="BP190">
        <v>0</v>
      </c>
      <c r="BQ190">
        <v>0</v>
      </c>
      <c r="BR190" s="1">
        <v>5.4982439947966102E-5</v>
      </c>
      <c r="BS190">
        <v>1.3516931262616899E-4</v>
      </c>
    </row>
    <row r="191" spans="1:71" x14ac:dyDescent="0.25">
      <c r="A191">
        <v>188</v>
      </c>
      <c r="B191" s="1">
        <v>2.1423627440527401E-6</v>
      </c>
      <c r="C191">
        <v>0.13271333252682199</v>
      </c>
      <c r="D191">
        <v>-4.9150487598644997E-4</v>
      </c>
      <c r="E191">
        <v>6.1312499999999995E-4</v>
      </c>
      <c r="F191">
        <v>-1.32713332526822E-3</v>
      </c>
      <c r="G191" s="1">
        <v>2.1684043449710098E-19</v>
      </c>
      <c r="H191" t="s">
        <v>74</v>
      </c>
      <c r="I191">
        <v>0</v>
      </c>
      <c r="J191" t="s">
        <v>75</v>
      </c>
      <c r="K191">
        <v>3.14159265358979</v>
      </c>
      <c r="L191">
        <v>0.677499872510547</v>
      </c>
      <c r="M191">
        <v>0</v>
      </c>
      <c r="N191">
        <v>3.9779450255654901E-2</v>
      </c>
      <c r="O191">
        <v>0</v>
      </c>
      <c r="P191">
        <v>1.6E-2</v>
      </c>
      <c r="Q191">
        <v>0</v>
      </c>
      <c r="R191">
        <v>0</v>
      </c>
      <c r="S191">
        <v>0</v>
      </c>
      <c r="T191">
        <v>0</v>
      </c>
      <c r="U191">
        <v>0.68296358115982303</v>
      </c>
      <c r="V191" t="s">
        <v>78</v>
      </c>
      <c r="W191">
        <v>3883633.5788000301</v>
      </c>
      <c r="X191" t="s">
        <v>76</v>
      </c>
      <c r="Y191">
        <v>-1.5707963267949001</v>
      </c>
      <c r="Z191">
        <v>0.67679384193491199</v>
      </c>
      <c r="AA191">
        <v>0</v>
      </c>
      <c r="AB191">
        <v>3.9330293011725997E-2</v>
      </c>
      <c r="AC191">
        <v>0</v>
      </c>
      <c r="AD191">
        <v>4.8925276818434704E-3</v>
      </c>
      <c r="AE191">
        <v>1.30058587261679E-2</v>
      </c>
      <c r="AF191">
        <v>0</v>
      </c>
      <c r="AG191">
        <v>0.23257884405047599</v>
      </c>
      <c r="AH191">
        <v>0.241955831782659</v>
      </c>
      <c r="AI191">
        <v>0.43244011432867602</v>
      </c>
      <c r="AJ191" t="s">
        <v>74</v>
      </c>
      <c r="AK191">
        <v>0</v>
      </c>
      <c r="AL191" t="s">
        <v>77</v>
      </c>
      <c r="AM191">
        <v>0</v>
      </c>
      <c r="AN191">
        <v>0.99199999999999999</v>
      </c>
      <c r="AO191">
        <v>0</v>
      </c>
      <c r="AP191">
        <v>5.8245346242475203E-2</v>
      </c>
      <c r="AQ191">
        <v>0</v>
      </c>
      <c r="AR191">
        <v>1.6E-2</v>
      </c>
      <c r="AS191">
        <v>0</v>
      </c>
      <c r="AT191">
        <v>0</v>
      </c>
      <c r="AU191">
        <v>0</v>
      </c>
      <c r="AV191">
        <v>0</v>
      </c>
      <c r="AW191">
        <v>1</v>
      </c>
      <c r="AX191" t="s">
        <v>74</v>
      </c>
      <c r="AY191">
        <v>0</v>
      </c>
      <c r="AZ191" t="s">
        <v>76</v>
      </c>
      <c r="BA191">
        <v>-1.5707963267949001</v>
      </c>
      <c r="BB191">
        <v>0.99199999999999999</v>
      </c>
      <c r="BC191">
        <v>0</v>
      </c>
      <c r="BD191">
        <v>5.8245346242475203E-2</v>
      </c>
      <c r="BE191">
        <v>0</v>
      </c>
      <c r="BF191">
        <v>1.6E-2</v>
      </c>
      <c r="BG191">
        <v>0</v>
      </c>
      <c r="BH191">
        <v>0</v>
      </c>
      <c r="BI191">
        <v>0</v>
      </c>
      <c r="BJ191">
        <v>0</v>
      </c>
      <c r="BK191">
        <v>1</v>
      </c>
      <c r="BL191" s="1">
        <v>9.7800217876165696E-5</v>
      </c>
      <c r="BM191">
        <v>2.3726733791656801E-4</v>
      </c>
      <c r="BN191" s="1">
        <v>3.6386618768965102E-7</v>
      </c>
      <c r="BO191" s="1">
        <v>3.7269866286774801E-6</v>
      </c>
      <c r="BP191">
        <v>0</v>
      </c>
      <c r="BQ191">
        <v>0</v>
      </c>
      <c r="BR191" s="1">
        <v>5.4920102460982003E-5</v>
      </c>
      <c r="BS191">
        <v>1.35894040937638E-4</v>
      </c>
    </row>
    <row r="192" spans="1:71" x14ac:dyDescent="0.25">
      <c r="A192">
        <v>189</v>
      </c>
      <c r="B192" s="1">
        <v>2.1475813508288102E-6</v>
      </c>
      <c r="C192">
        <v>0.132715480108173</v>
      </c>
      <c r="D192">
        <v>-4.9151449038735201E-4</v>
      </c>
      <c r="E192">
        <v>6.1312499999999995E-4</v>
      </c>
      <c r="F192">
        <v>-1.3271548010817299E-3</v>
      </c>
      <c r="G192" s="1">
        <v>1.0842021724855E-19</v>
      </c>
      <c r="H192" t="s">
        <v>74</v>
      </c>
      <c r="I192">
        <v>0</v>
      </c>
      <c r="J192" t="s">
        <v>75</v>
      </c>
      <c r="K192">
        <v>3.14159265358979</v>
      </c>
      <c r="L192">
        <v>0.67582340634527804</v>
      </c>
      <c r="M192">
        <v>0</v>
      </c>
      <c r="N192">
        <v>3.9681016432812299E-2</v>
      </c>
      <c r="O192">
        <v>0</v>
      </c>
      <c r="P192">
        <v>1.6E-2</v>
      </c>
      <c r="Q192">
        <v>0</v>
      </c>
      <c r="R192">
        <v>0</v>
      </c>
      <c r="S192">
        <v>0</v>
      </c>
      <c r="T192">
        <v>0</v>
      </c>
      <c r="U192">
        <v>0.68127359510611996</v>
      </c>
      <c r="V192" t="s">
        <v>78</v>
      </c>
      <c r="W192">
        <v>3883716.54641305</v>
      </c>
      <c r="X192" t="s">
        <v>76</v>
      </c>
      <c r="Y192">
        <v>-1.5707963267949001</v>
      </c>
      <c r="Z192">
        <v>0.67511832715751596</v>
      </c>
      <c r="AA192">
        <v>0</v>
      </c>
      <c r="AB192">
        <v>3.92324644357065E-2</v>
      </c>
      <c r="AC192">
        <v>0</v>
      </c>
      <c r="AD192">
        <v>4.8280692476562297E-3</v>
      </c>
      <c r="AE192">
        <v>1.3071320531526801E-2</v>
      </c>
      <c r="AF192">
        <v>0</v>
      </c>
      <c r="AG192">
        <v>0.23197977906440001</v>
      </c>
      <c r="AH192">
        <v>0.245084438917515</v>
      </c>
      <c r="AI192">
        <v>0.42977071813630602</v>
      </c>
      <c r="AJ192" t="s">
        <v>74</v>
      </c>
      <c r="AK192">
        <v>0</v>
      </c>
      <c r="AL192" t="s">
        <v>77</v>
      </c>
      <c r="AM192">
        <v>0</v>
      </c>
      <c r="AN192">
        <v>0.99199999999999999</v>
      </c>
      <c r="AO192">
        <v>0</v>
      </c>
      <c r="AP192">
        <v>5.8245346242475203E-2</v>
      </c>
      <c r="AQ192">
        <v>0</v>
      </c>
      <c r="AR192">
        <v>1.6E-2</v>
      </c>
      <c r="AS192">
        <v>0</v>
      </c>
      <c r="AT192">
        <v>0</v>
      </c>
      <c r="AU192">
        <v>0</v>
      </c>
      <c r="AV192">
        <v>0</v>
      </c>
      <c r="AW192">
        <v>1</v>
      </c>
      <c r="AX192" t="s">
        <v>74</v>
      </c>
      <c r="AY192">
        <v>0</v>
      </c>
      <c r="AZ192" t="s">
        <v>76</v>
      </c>
      <c r="BA192">
        <v>-1.5707963267949001</v>
      </c>
      <c r="BB192">
        <v>0.99199999999999999</v>
      </c>
      <c r="BC192">
        <v>0</v>
      </c>
      <c r="BD192">
        <v>5.8245346242475203E-2</v>
      </c>
      <c r="BE192">
        <v>0</v>
      </c>
      <c r="BF192">
        <v>1.6E-2</v>
      </c>
      <c r="BG192">
        <v>0</v>
      </c>
      <c r="BH192">
        <v>0</v>
      </c>
      <c r="BI192">
        <v>0</v>
      </c>
      <c r="BJ192">
        <v>0</v>
      </c>
      <c r="BK192">
        <v>1</v>
      </c>
      <c r="BL192" s="1">
        <v>9.7702086676734604E-5</v>
      </c>
      <c r="BM192">
        <v>2.3853210899095701E-4</v>
      </c>
      <c r="BN192" s="1">
        <v>3.6350149717318798E-7</v>
      </c>
      <c r="BO192" s="1">
        <v>3.7468536062563602E-6</v>
      </c>
      <c r="BP192">
        <v>0</v>
      </c>
      <c r="BQ192">
        <v>0</v>
      </c>
      <c r="BR192" s="1">
        <v>5.4857770100341698E-5</v>
      </c>
      <c r="BS192">
        <v>1.3661871503749501E-4</v>
      </c>
    </row>
    <row r="193" spans="1:71" x14ac:dyDescent="0.25">
      <c r="A193">
        <v>190</v>
      </c>
      <c r="B193" s="1">
        <v>2.1531014959318398E-6</v>
      </c>
      <c r="C193">
        <v>0.13271763320966901</v>
      </c>
      <c r="D193">
        <v>-4.9152412939761504E-4</v>
      </c>
      <c r="E193">
        <v>6.1312499999999995E-4</v>
      </c>
      <c r="F193">
        <v>-1.32717633209669E-3</v>
      </c>
      <c r="G193" s="1">
        <v>1.0842021724855E-19</v>
      </c>
      <c r="H193" t="s">
        <v>74</v>
      </c>
      <c r="I193">
        <v>0</v>
      </c>
      <c r="J193" t="s">
        <v>75</v>
      </c>
      <c r="K193">
        <v>3.14159265358979</v>
      </c>
      <c r="L193">
        <v>0.67414707743003599</v>
      </c>
      <c r="M193">
        <v>0</v>
      </c>
      <c r="N193">
        <v>3.9582590668614102E-2</v>
      </c>
      <c r="O193">
        <v>0</v>
      </c>
      <c r="P193">
        <v>1.6E-2</v>
      </c>
      <c r="Q193">
        <v>0</v>
      </c>
      <c r="R193">
        <v>0</v>
      </c>
      <c r="S193">
        <v>0</v>
      </c>
      <c r="T193">
        <v>0</v>
      </c>
      <c r="U193">
        <v>0.67958374740929495</v>
      </c>
      <c r="V193" t="s">
        <v>78</v>
      </c>
      <c r="W193">
        <v>3883799.7263929099</v>
      </c>
      <c r="X193" t="s">
        <v>76</v>
      </c>
      <c r="Y193">
        <v>-1.5707963267949001</v>
      </c>
      <c r="Z193">
        <v>0.67344295132964604</v>
      </c>
      <c r="AA193">
        <v>0</v>
      </c>
      <c r="AB193">
        <v>3.9134644999506502E-2</v>
      </c>
      <c r="AC193">
        <v>0</v>
      </c>
      <c r="AD193">
        <v>4.7636761665751899E-3</v>
      </c>
      <c r="AE193">
        <v>1.3136713351849899E-2</v>
      </c>
      <c r="AF193">
        <v>0</v>
      </c>
      <c r="AG193">
        <v>0.231350194948511</v>
      </c>
      <c r="AH193">
        <v>0.24824335809197501</v>
      </c>
      <c r="AI193">
        <v>0.42710629373631198</v>
      </c>
      <c r="AJ193" t="s">
        <v>74</v>
      </c>
      <c r="AK193">
        <v>0</v>
      </c>
      <c r="AL193" t="s">
        <v>77</v>
      </c>
      <c r="AM193">
        <v>0</v>
      </c>
      <c r="AN193">
        <v>0.99199999999999999</v>
      </c>
      <c r="AO193">
        <v>0</v>
      </c>
      <c r="AP193">
        <v>5.8245346242475203E-2</v>
      </c>
      <c r="AQ193">
        <v>0</v>
      </c>
      <c r="AR193">
        <v>1.6E-2</v>
      </c>
      <c r="AS193">
        <v>0</v>
      </c>
      <c r="AT193">
        <v>0</v>
      </c>
      <c r="AU193">
        <v>0</v>
      </c>
      <c r="AV193">
        <v>0</v>
      </c>
      <c r="AW193">
        <v>1</v>
      </c>
      <c r="AX193" t="s">
        <v>74</v>
      </c>
      <c r="AY193">
        <v>0</v>
      </c>
      <c r="AZ193" t="s">
        <v>76</v>
      </c>
      <c r="BA193">
        <v>-1.5707963267949001</v>
      </c>
      <c r="BB193">
        <v>0.99199999999999999</v>
      </c>
      <c r="BC193">
        <v>0</v>
      </c>
      <c r="BD193">
        <v>5.8245346242475203E-2</v>
      </c>
      <c r="BE193">
        <v>0</v>
      </c>
      <c r="BF193">
        <v>1.6E-2</v>
      </c>
      <c r="BG193">
        <v>0</v>
      </c>
      <c r="BH193">
        <v>0</v>
      </c>
      <c r="BI193">
        <v>0</v>
      </c>
      <c r="BJ193">
        <v>0</v>
      </c>
      <c r="BK193">
        <v>1</v>
      </c>
      <c r="BL193" s="1">
        <v>9.7603964076535503E-5</v>
      </c>
      <c r="BM193">
        <v>2.3979677652024301E-4</v>
      </c>
      <c r="BN193" s="1">
        <v>3.6313684160171303E-7</v>
      </c>
      <c r="BO193" s="1">
        <v>3.7667189573525499E-6</v>
      </c>
      <c r="BP193">
        <v>0</v>
      </c>
      <c r="BQ193">
        <v>0</v>
      </c>
      <c r="BR193" s="1">
        <v>5.47954429856801E-5</v>
      </c>
      <c r="BS193">
        <v>1.37343333535413E-4</v>
      </c>
    </row>
    <row r="194" spans="1:71" x14ac:dyDescent="0.25">
      <c r="A194">
        <v>191</v>
      </c>
      <c r="B194" s="1">
        <v>2.15893082680347E-6</v>
      </c>
      <c r="C194">
        <v>0.13271979214049601</v>
      </c>
      <c r="D194">
        <v>-4.9153379440059202E-4</v>
      </c>
      <c r="E194">
        <v>6.1312499999999995E-4</v>
      </c>
      <c r="F194">
        <v>-1.3271979214049599E-3</v>
      </c>
      <c r="G194" s="1">
        <v>2.1684043449710098E-19</v>
      </c>
      <c r="H194" t="s">
        <v>74</v>
      </c>
      <c r="I194">
        <v>0</v>
      </c>
      <c r="J194" t="s">
        <v>75</v>
      </c>
      <c r="K194">
        <v>3.14159265358979</v>
      </c>
      <c r="L194">
        <v>0.67247088922513099</v>
      </c>
      <c r="M194">
        <v>0</v>
      </c>
      <c r="N194">
        <v>3.9484173166232803E-2</v>
      </c>
      <c r="O194">
        <v>0</v>
      </c>
      <c r="P194">
        <v>1.6E-2</v>
      </c>
      <c r="Q194">
        <v>0</v>
      </c>
      <c r="R194">
        <v>0</v>
      </c>
      <c r="S194">
        <v>0</v>
      </c>
      <c r="T194">
        <v>0</v>
      </c>
      <c r="U194">
        <v>0.67789404155756405</v>
      </c>
      <c r="V194" t="s">
        <v>78</v>
      </c>
      <c r="W194">
        <v>3883883.1306772698</v>
      </c>
      <c r="X194" t="s">
        <v>76</v>
      </c>
      <c r="Y194">
        <v>-1.5707963267949001</v>
      </c>
      <c r="Z194">
        <v>0.67176771780856603</v>
      </c>
      <c r="AA194">
        <v>0</v>
      </c>
      <c r="AB194">
        <v>3.9036834840742503E-2</v>
      </c>
      <c r="AC194">
        <v>0</v>
      </c>
      <c r="AD194">
        <v>4.6993490345642796E-3</v>
      </c>
      <c r="AE194">
        <v>1.3202036711905899E-2</v>
      </c>
      <c r="AF194">
        <v>0</v>
      </c>
      <c r="AG194">
        <v>0.230689734333649</v>
      </c>
      <c r="AH194">
        <v>0.251432941454098</v>
      </c>
      <c r="AI194">
        <v>0.42444686433248102</v>
      </c>
      <c r="AJ194" t="s">
        <v>74</v>
      </c>
      <c r="AK194">
        <v>0</v>
      </c>
      <c r="AL194" t="s">
        <v>77</v>
      </c>
      <c r="AM194">
        <v>0</v>
      </c>
      <c r="AN194">
        <v>0.99199999999999999</v>
      </c>
      <c r="AO194">
        <v>0</v>
      </c>
      <c r="AP194">
        <v>5.8245346242475203E-2</v>
      </c>
      <c r="AQ194">
        <v>0</v>
      </c>
      <c r="AR194">
        <v>1.6E-2</v>
      </c>
      <c r="AS194">
        <v>0</v>
      </c>
      <c r="AT194">
        <v>0</v>
      </c>
      <c r="AU194">
        <v>0</v>
      </c>
      <c r="AV194">
        <v>0</v>
      </c>
      <c r="AW194">
        <v>1</v>
      </c>
      <c r="AX194" t="s">
        <v>74</v>
      </c>
      <c r="AY194">
        <v>0</v>
      </c>
      <c r="AZ194" t="s">
        <v>76</v>
      </c>
      <c r="BA194">
        <v>-1.5707963267949001</v>
      </c>
      <c r="BB194">
        <v>0.99199999999999999</v>
      </c>
      <c r="BC194">
        <v>0</v>
      </c>
      <c r="BD194">
        <v>5.8245346242475203E-2</v>
      </c>
      <c r="BE194">
        <v>0</v>
      </c>
      <c r="BF194">
        <v>1.6E-2</v>
      </c>
      <c r="BG194">
        <v>0</v>
      </c>
      <c r="BH194">
        <v>0</v>
      </c>
      <c r="BI194">
        <v>0</v>
      </c>
      <c r="BJ194">
        <v>0</v>
      </c>
      <c r="BK194">
        <v>1</v>
      </c>
      <c r="BL194" s="1">
        <v>9.7505850245962905E-5</v>
      </c>
      <c r="BM194">
        <v>2.41061337893873E-4</v>
      </c>
      <c r="BN194" s="1">
        <v>3.62772221438585E-7</v>
      </c>
      <c r="BO194" s="1">
        <v>3.7865826409595998E-6</v>
      </c>
      <c r="BP194">
        <v>0</v>
      </c>
      <c r="BQ194">
        <v>0</v>
      </c>
      <c r="BR194" s="1">
        <v>5.4733121241274499E-5</v>
      </c>
      <c r="BS194">
        <v>1.3806789498815801E-4</v>
      </c>
    </row>
    <row r="195" spans="1:71" x14ac:dyDescent="0.25">
      <c r="A195">
        <v>192</v>
      </c>
      <c r="B195" s="1">
        <v>2.1650774292255301E-6</v>
      </c>
      <c r="C195">
        <v>0.13272195721792501</v>
      </c>
      <c r="D195">
        <v>-4.9154348681577096E-4</v>
      </c>
      <c r="E195">
        <v>6.1312499999999995E-4</v>
      </c>
      <c r="F195">
        <v>-1.3272195721792501E-3</v>
      </c>
      <c r="G195" s="1">
        <v>2.1684043449710098E-19</v>
      </c>
      <c r="H195" t="s">
        <v>74</v>
      </c>
      <c r="I195">
        <v>0</v>
      </c>
      <c r="J195" t="s">
        <v>75</v>
      </c>
      <c r="K195">
        <v>3.14159265358979</v>
      </c>
      <c r="L195">
        <v>0.67079484532408895</v>
      </c>
      <c r="M195">
        <v>0</v>
      </c>
      <c r="N195">
        <v>3.9385764136662497E-2</v>
      </c>
      <c r="O195">
        <v>0</v>
      </c>
      <c r="P195">
        <v>1.6E-2</v>
      </c>
      <c r="Q195">
        <v>0</v>
      </c>
      <c r="R195">
        <v>0</v>
      </c>
      <c r="S195">
        <v>0</v>
      </c>
      <c r="T195">
        <v>0</v>
      </c>
      <c r="U195">
        <v>0.67620448117343201</v>
      </c>
      <c r="V195" t="s">
        <v>78</v>
      </c>
      <c r="W195">
        <v>3883966.7715156302</v>
      </c>
      <c r="X195" t="s">
        <v>76</v>
      </c>
      <c r="Y195">
        <v>-1.5707963267949001</v>
      </c>
      <c r="Z195">
        <v>0.67009263008272502</v>
      </c>
      <c r="AA195">
        <v>0</v>
      </c>
      <c r="AB195">
        <v>3.8939034103561802E-2</v>
      </c>
      <c r="AC195">
        <v>0</v>
      </c>
      <c r="AD195">
        <v>4.6350884557729202E-3</v>
      </c>
      <c r="AE195">
        <v>1.3267290129411601E-2</v>
      </c>
      <c r="AF195">
        <v>0</v>
      </c>
      <c r="AG195">
        <v>0.229998030629704</v>
      </c>
      <c r="AH195">
        <v>0.25465355017188801</v>
      </c>
      <c r="AI195">
        <v>0.42179245340256</v>
      </c>
      <c r="AJ195" t="s">
        <v>74</v>
      </c>
      <c r="AK195">
        <v>0</v>
      </c>
      <c r="AL195" t="s">
        <v>77</v>
      </c>
      <c r="AM195">
        <v>0</v>
      </c>
      <c r="AN195">
        <v>0.99199999999999999</v>
      </c>
      <c r="AO195">
        <v>0</v>
      </c>
      <c r="AP195">
        <v>5.8245346242475203E-2</v>
      </c>
      <c r="AQ195">
        <v>0</v>
      </c>
      <c r="AR195">
        <v>1.6E-2</v>
      </c>
      <c r="AS195">
        <v>0</v>
      </c>
      <c r="AT195">
        <v>0</v>
      </c>
      <c r="AU195">
        <v>0</v>
      </c>
      <c r="AV195">
        <v>0</v>
      </c>
      <c r="AW195">
        <v>1</v>
      </c>
      <c r="AX195" t="s">
        <v>74</v>
      </c>
      <c r="AY195">
        <v>0</v>
      </c>
      <c r="AZ195" t="s">
        <v>76</v>
      </c>
      <c r="BA195">
        <v>-1.5707963267949001</v>
      </c>
      <c r="BB195">
        <v>0.99199999999999999</v>
      </c>
      <c r="BC195">
        <v>0</v>
      </c>
      <c r="BD195">
        <v>5.8245346242475203E-2</v>
      </c>
      <c r="BE195">
        <v>0</v>
      </c>
      <c r="BF195">
        <v>1.6E-2</v>
      </c>
      <c r="BG195">
        <v>0</v>
      </c>
      <c r="BH195">
        <v>0</v>
      </c>
      <c r="BI195">
        <v>0</v>
      </c>
      <c r="BJ195">
        <v>0</v>
      </c>
      <c r="BK195">
        <v>1</v>
      </c>
      <c r="BL195" s="1">
        <v>9.7407745362587404E-5</v>
      </c>
      <c r="BM195">
        <v>2.42325790400796E-4</v>
      </c>
      <c r="BN195" s="1">
        <v>3.6240763717055001E-7</v>
      </c>
      <c r="BO195" s="1">
        <v>3.8064446144924001E-6</v>
      </c>
      <c r="BP195">
        <v>0</v>
      </c>
      <c r="BQ195">
        <v>0</v>
      </c>
      <c r="BR195" s="1">
        <v>5.4670804996281199E-5</v>
      </c>
      <c r="BS195">
        <v>1.3879239789685199E-4</v>
      </c>
    </row>
    <row r="196" spans="1:71" x14ac:dyDescent="0.25">
      <c r="A196">
        <v>193</v>
      </c>
      <c r="B196" s="1">
        <v>2.1715498529592901E-6</v>
      </c>
      <c r="C196">
        <v>0.132724128767778</v>
      </c>
      <c r="D196">
        <v>-4.9155320810084996E-4</v>
      </c>
      <c r="E196">
        <v>6.1312499999999995E-4</v>
      </c>
      <c r="F196">
        <v>-1.3272412876777801E-3</v>
      </c>
      <c r="G196" s="1">
        <v>2.1684043449710098E-19</v>
      </c>
      <c r="H196" t="s">
        <v>74</v>
      </c>
      <c r="I196">
        <v>0</v>
      </c>
      <c r="J196" t="s">
        <v>75</v>
      </c>
      <c r="K196">
        <v>3.14159265358979</v>
      </c>
      <c r="L196">
        <v>0.66911894946055295</v>
      </c>
      <c r="M196">
        <v>0</v>
      </c>
      <c r="N196">
        <v>3.9287363799124203E-2</v>
      </c>
      <c r="O196">
        <v>0</v>
      </c>
      <c r="P196">
        <v>1.6E-2</v>
      </c>
      <c r="Q196">
        <v>0</v>
      </c>
      <c r="R196">
        <v>0</v>
      </c>
      <c r="S196">
        <v>0</v>
      </c>
      <c r="T196">
        <v>0</v>
      </c>
      <c r="U196">
        <v>0.67451507002065003</v>
      </c>
      <c r="V196" t="s">
        <v>78</v>
      </c>
      <c r="W196">
        <v>3884050.6614872199</v>
      </c>
      <c r="X196" t="s">
        <v>76</v>
      </c>
      <c r="Y196">
        <v>-1.5707963267949001</v>
      </c>
      <c r="Z196">
        <v>0.66841769177851795</v>
      </c>
      <c r="AA196">
        <v>0</v>
      </c>
      <c r="AB196">
        <v>3.8841242938957202E-2</v>
      </c>
      <c r="AC196">
        <v>0</v>
      </c>
      <c r="AD196">
        <v>4.5708950429188397E-3</v>
      </c>
      <c r="AE196">
        <v>1.3332473114774901E-2</v>
      </c>
      <c r="AF196">
        <v>0</v>
      </c>
      <c r="AG196">
        <v>0.229274707664572</v>
      </c>
      <c r="AH196">
        <v>0.25790555478392901</v>
      </c>
      <c r="AI196">
        <v>0.41914308470836698</v>
      </c>
      <c r="AJ196" t="s">
        <v>74</v>
      </c>
      <c r="AK196">
        <v>0</v>
      </c>
      <c r="AL196" t="s">
        <v>77</v>
      </c>
      <c r="AM196">
        <v>0</v>
      </c>
      <c r="AN196">
        <v>0.99199999999999999</v>
      </c>
      <c r="AO196">
        <v>0</v>
      </c>
      <c r="AP196">
        <v>5.8245346242475203E-2</v>
      </c>
      <c r="AQ196">
        <v>0</v>
      </c>
      <c r="AR196">
        <v>1.6E-2</v>
      </c>
      <c r="AS196">
        <v>0</v>
      </c>
      <c r="AT196">
        <v>0</v>
      </c>
      <c r="AU196">
        <v>0</v>
      </c>
      <c r="AV196">
        <v>0</v>
      </c>
      <c r="AW196">
        <v>1</v>
      </c>
      <c r="AX196" t="s">
        <v>74</v>
      </c>
      <c r="AY196">
        <v>0</v>
      </c>
      <c r="AZ196" t="s">
        <v>76</v>
      </c>
      <c r="BA196">
        <v>-1.5707963267949001</v>
      </c>
      <c r="BB196">
        <v>0.99199999999999999</v>
      </c>
      <c r="BC196">
        <v>0</v>
      </c>
      <c r="BD196">
        <v>5.8245346242475203E-2</v>
      </c>
      <c r="BE196">
        <v>0</v>
      </c>
      <c r="BF196">
        <v>1.6E-2</v>
      </c>
      <c r="BG196">
        <v>0</v>
      </c>
      <c r="BH196">
        <v>0</v>
      </c>
      <c r="BI196">
        <v>0</v>
      </c>
      <c r="BJ196">
        <v>0</v>
      </c>
      <c r="BK196">
        <v>1</v>
      </c>
      <c r="BL196" s="1">
        <v>9.7309649611515905E-5</v>
      </c>
      <c r="BM196">
        <v>2.4359013122424999E-4</v>
      </c>
      <c r="BN196" s="1">
        <v>3.6204308930884702E-7</v>
      </c>
      <c r="BO196" s="1">
        <v>3.8263048337053999E-6</v>
      </c>
      <c r="BP196">
        <v>0</v>
      </c>
      <c r="BQ196">
        <v>0</v>
      </c>
      <c r="BR196" s="1">
        <v>5.4608494384986803E-5</v>
      </c>
      <c r="BS196">
        <v>1.3951684070407801E-4</v>
      </c>
    </row>
    <row r="197" spans="1:71" x14ac:dyDescent="0.25">
      <c r="A197">
        <v>194</v>
      </c>
      <c r="B197" s="1">
        <v>2.1783571394485601E-6</v>
      </c>
      <c r="C197">
        <v>0.13272630712491701</v>
      </c>
      <c r="D197">
        <v>-4.9156295975393699E-4</v>
      </c>
      <c r="E197">
        <v>6.1312499999999995E-4</v>
      </c>
      <c r="F197">
        <v>-1.3272630712491799E-3</v>
      </c>
      <c r="G197" s="1">
        <v>1.0842021724855E-19</v>
      </c>
      <c r="H197" t="s">
        <v>74</v>
      </c>
      <c r="I197">
        <v>0</v>
      </c>
      <c r="J197" t="s">
        <v>75</v>
      </c>
      <c r="K197">
        <v>3.14159265358979</v>
      </c>
      <c r="L197">
        <v>0.66744320551569503</v>
      </c>
      <c r="M197">
        <v>0</v>
      </c>
      <c r="N197">
        <v>3.9188972381501201E-2</v>
      </c>
      <c r="O197">
        <v>0</v>
      </c>
      <c r="P197">
        <v>1.6E-2</v>
      </c>
      <c r="Q197">
        <v>0</v>
      </c>
      <c r="R197">
        <v>0</v>
      </c>
      <c r="S197">
        <v>0</v>
      </c>
      <c r="T197">
        <v>0</v>
      </c>
      <c r="U197">
        <v>0.67282581201169001</v>
      </c>
      <c r="V197" t="s">
        <v>78</v>
      </c>
      <c r="W197">
        <v>3884134.81351997</v>
      </c>
      <c r="X197" t="s">
        <v>76</v>
      </c>
      <c r="Y197">
        <v>-1.5707963267949001</v>
      </c>
      <c r="Z197">
        <v>0.66674290666754299</v>
      </c>
      <c r="AA197">
        <v>0</v>
      </c>
      <c r="AB197">
        <v>3.8743461505105603E-2</v>
      </c>
      <c r="AC197">
        <v>0</v>
      </c>
      <c r="AD197">
        <v>4.50676941769432E-3</v>
      </c>
      <c r="AE197">
        <v>1.3397585170820301E-2</v>
      </c>
      <c r="AF197">
        <v>0</v>
      </c>
      <c r="AG197">
        <v>0.22851937930431801</v>
      </c>
      <c r="AH197">
        <v>0.26118933556803597</v>
      </c>
      <c r="AI197">
        <v>0.41649878230655102</v>
      </c>
      <c r="AJ197" t="s">
        <v>74</v>
      </c>
      <c r="AK197">
        <v>0</v>
      </c>
      <c r="AL197" t="s">
        <v>77</v>
      </c>
      <c r="AM197">
        <v>0</v>
      </c>
      <c r="AN197">
        <v>0.99199999999999999</v>
      </c>
      <c r="AO197">
        <v>0</v>
      </c>
      <c r="AP197">
        <v>5.8245346242475203E-2</v>
      </c>
      <c r="AQ197">
        <v>0</v>
      </c>
      <c r="AR197">
        <v>1.6E-2</v>
      </c>
      <c r="AS197">
        <v>0</v>
      </c>
      <c r="AT197">
        <v>0</v>
      </c>
      <c r="AU197">
        <v>0</v>
      </c>
      <c r="AV197">
        <v>0</v>
      </c>
      <c r="AW197">
        <v>1</v>
      </c>
      <c r="AX197" t="s">
        <v>74</v>
      </c>
      <c r="AY197">
        <v>0</v>
      </c>
      <c r="AZ197" t="s">
        <v>76</v>
      </c>
      <c r="BA197">
        <v>-1.5707963267949001</v>
      </c>
      <c r="BB197">
        <v>0.99199999999999999</v>
      </c>
      <c r="BC197">
        <v>0</v>
      </c>
      <c r="BD197">
        <v>5.8245346242475203E-2</v>
      </c>
      <c r="BE197">
        <v>0</v>
      </c>
      <c r="BF197">
        <v>1.6E-2</v>
      </c>
      <c r="BG197">
        <v>0</v>
      </c>
      <c r="BH197">
        <v>0</v>
      </c>
      <c r="BI197">
        <v>0</v>
      </c>
      <c r="BJ197">
        <v>0</v>
      </c>
      <c r="BK197">
        <v>1</v>
      </c>
      <c r="BL197" s="1">
        <v>9.72115631857786E-5</v>
      </c>
      <c r="BM197">
        <v>2.4485435743617698E-4</v>
      </c>
      <c r="BN197" s="1">
        <v>3.61678578390392E-7</v>
      </c>
      <c r="BO197" s="1">
        <v>3.8461632526047203E-6</v>
      </c>
      <c r="BP197">
        <v>0</v>
      </c>
      <c r="BQ197">
        <v>0</v>
      </c>
      <c r="BR197" s="1">
        <v>5.4546189547077201E-5</v>
      </c>
      <c r="BS197">
        <v>1.4024122179077299E-4</v>
      </c>
    </row>
    <row r="198" spans="1:71" x14ac:dyDescent="0.25">
      <c r="A198">
        <v>195</v>
      </c>
      <c r="B198" s="1">
        <v>2.1855088516834498E-6</v>
      </c>
      <c r="C198">
        <v>0.13272849263376901</v>
      </c>
      <c r="D198">
        <v>-4.9157274331588195E-4</v>
      </c>
      <c r="E198">
        <v>6.1312499999999995E-4</v>
      </c>
      <c r="F198">
        <v>-1.3272849263376899E-3</v>
      </c>
      <c r="G198" s="1">
        <v>2.1684043449710098E-19</v>
      </c>
      <c r="H198" t="s">
        <v>74</v>
      </c>
      <c r="I198">
        <v>0</v>
      </c>
      <c r="J198" t="s">
        <v>75</v>
      </c>
      <c r="K198">
        <v>3.14159265358979</v>
      </c>
      <c r="L198">
        <v>0.66576761752606295</v>
      </c>
      <c r="M198">
        <v>0</v>
      </c>
      <c r="N198">
        <v>3.9090590120799698E-2</v>
      </c>
      <c r="O198">
        <v>0</v>
      </c>
      <c r="P198">
        <v>1.6E-2</v>
      </c>
      <c r="Q198">
        <v>0</v>
      </c>
      <c r="R198">
        <v>0</v>
      </c>
      <c r="S198">
        <v>0</v>
      </c>
      <c r="T198">
        <v>0</v>
      </c>
      <c r="U198">
        <v>0.67113671121565199</v>
      </c>
      <c r="V198" t="s">
        <v>78</v>
      </c>
      <c r="W198">
        <v>3884219.24091068</v>
      </c>
      <c r="X198" t="s">
        <v>76</v>
      </c>
      <c r="Y198">
        <v>-1.5707963267949001</v>
      </c>
      <c r="Z198">
        <v>0.66506827867429796</v>
      </c>
      <c r="AA198">
        <v>0</v>
      </c>
      <c r="AB198">
        <v>3.8645689967727902E-2</v>
      </c>
      <c r="AC198">
        <v>0</v>
      </c>
      <c r="AD198">
        <v>4.4427122111934799E-3</v>
      </c>
      <c r="AE198">
        <v>1.34626257925006E-2</v>
      </c>
      <c r="AF198">
        <v>0</v>
      </c>
      <c r="AG198">
        <v>0.22773164905327001</v>
      </c>
      <c r="AH198">
        <v>0.26450528292931902</v>
      </c>
      <c r="AI198">
        <v>0.41385957055989803</v>
      </c>
      <c r="AJ198" t="s">
        <v>74</v>
      </c>
      <c r="AK198">
        <v>0</v>
      </c>
      <c r="AL198" t="s">
        <v>77</v>
      </c>
      <c r="AM198">
        <v>0</v>
      </c>
      <c r="AN198">
        <v>0.99199999999999999</v>
      </c>
      <c r="AO198">
        <v>0</v>
      </c>
      <c r="AP198">
        <v>5.8245346242475203E-2</v>
      </c>
      <c r="AQ198">
        <v>0</v>
      </c>
      <c r="AR198">
        <v>1.6E-2</v>
      </c>
      <c r="AS198">
        <v>0</v>
      </c>
      <c r="AT198">
        <v>0</v>
      </c>
      <c r="AU198">
        <v>0</v>
      </c>
      <c r="AV198">
        <v>0</v>
      </c>
      <c r="AW198">
        <v>1</v>
      </c>
      <c r="AX198" t="s">
        <v>74</v>
      </c>
      <c r="AY198">
        <v>0</v>
      </c>
      <c r="AZ198" t="s">
        <v>76</v>
      </c>
      <c r="BA198">
        <v>-1.5707963267949001</v>
      </c>
      <c r="BB198">
        <v>0.99199999999999999</v>
      </c>
      <c r="BC198">
        <v>0</v>
      </c>
      <c r="BD198">
        <v>5.8245346242475203E-2</v>
      </c>
      <c r="BE198">
        <v>0</v>
      </c>
      <c r="BF198">
        <v>1.6E-2</v>
      </c>
      <c r="BG198">
        <v>0</v>
      </c>
      <c r="BH198">
        <v>0</v>
      </c>
      <c r="BI198">
        <v>0</v>
      </c>
      <c r="BJ198">
        <v>0</v>
      </c>
      <c r="BK198">
        <v>1</v>
      </c>
      <c r="BL198" s="1">
        <v>9.7113486286739002E-5</v>
      </c>
      <c r="BM198">
        <v>2.4611846599129398E-4</v>
      </c>
      <c r="BN198" s="1">
        <v>3.6131410497905299E-7</v>
      </c>
      <c r="BO198" s="1">
        <v>3.8660198233552002E-6</v>
      </c>
      <c r="BP198">
        <v>0</v>
      </c>
      <c r="BQ198">
        <v>0</v>
      </c>
      <c r="BR198" s="1">
        <v>5.4483890627923198E-5</v>
      </c>
      <c r="BS198">
        <v>1.4096553947293299E-4</v>
      </c>
    </row>
    <row r="199" spans="1:71" x14ac:dyDescent="0.25">
      <c r="A199">
        <v>196</v>
      </c>
      <c r="B199" s="1">
        <v>2.1930151064781501E-6</v>
      </c>
      <c r="C199">
        <v>0.132730685648876</v>
      </c>
      <c r="D199">
        <v>-4.9158256037275098E-4</v>
      </c>
      <c r="E199">
        <v>6.1312499999999995E-4</v>
      </c>
      <c r="F199">
        <v>-1.32730685648876E-3</v>
      </c>
      <c r="G199" s="1">
        <v>1.0842021724855E-19</v>
      </c>
      <c r="H199" t="s">
        <v>74</v>
      </c>
      <c r="I199">
        <v>0</v>
      </c>
      <c r="J199" t="s">
        <v>75</v>
      </c>
      <c r="K199">
        <v>3.14159265358979</v>
      </c>
      <c r="L199">
        <v>0.66409218969203798</v>
      </c>
      <c r="M199">
        <v>0</v>
      </c>
      <c r="N199">
        <v>3.89922172636454E-2</v>
      </c>
      <c r="O199">
        <v>0</v>
      </c>
      <c r="P199">
        <v>1.6E-2</v>
      </c>
      <c r="Q199">
        <v>0</v>
      </c>
      <c r="R199">
        <v>0</v>
      </c>
      <c r="S199">
        <v>0</v>
      </c>
      <c r="T199">
        <v>0</v>
      </c>
      <c r="U199">
        <v>0.66944777186679005</v>
      </c>
      <c r="V199" t="s">
        <v>78</v>
      </c>
      <c r="W199">
        <v>3884303.9573463299</v>
      </c>
      <c r="X199" t="s">
        <v>76</v>
      </c>
      <c r="Y199">
        <v>-1.5707963267949001</v>
      </c>
      <c r="Z199">
        <v>0.66339381188445701</v>
      </c>
      <c r="AA199">
        <v>0</v>
      </c>
      <c r="AB199">
        <v>3.8547928500477002E-2</v>
      </c>
      <c r="AC199">
        <v>0</v>
      </c>
      <c r="AD199">
        <v>4.37872406436738E-3</v>
      </c>
      <c r="AE199">
        <v>1.35275944665872E-2</v>
      </c>
      <c r="AF199">
        <v>0</v>
      </c>
      <c r="AG199">
        <v>0.226911109632772</v>
      </c>
      <c r="AH199">
        <v>0.26785379780867502</v>
      </c>
      <c r="AI199">
        <v>0.41122547414941701</v>
      </c>
      <c r="AJ199" t="s">
        <v>74</v>
      </c>
      <c r="AK199">
        <v>0</v>
      </c>
      <c r="AL199" t="s">
        <v>77</v>
      </c>
      <c r="AM199">
        <v>0</v>
      </c>
      <c r="AN199">
        <v>0.99199999999999999</v>
      </c>
      <c r="AO199">
        <v>0</v>
      </c>
      <c r="AP199">
        <v>5.8245346242475203E-2</v>
      </c>
      <c r="AQ199">
        <v>0</v>
      </c>
      <c r="AR199">
        <v>1.6E-2</v>
      </c>
      <c r="AS199">
        <v>0</v>
      </c>
      <c r="AT199">
        <v>0</v>
      </c>
      <c r="AU199">
        <v>0</v>
      </c>
      <c r="AV199">
        <v>0</v>
      </c>
      <c r="AW199">
        <v>1</v>
      </c>
      <c r="AX199" t="s">
        <v>74</v>
      </c>
      <c r="AY199">
        <v>0</v>
      </c>
      <c r="AZ199" t="s">
        <v>76</v>
      </c>
      <c r="BA199">
        <v>-1.5707963267949001</v>
      </c>
      <c r="BB199">
        <v>0.99199999999999999</v>
      </c>
      <c r="BC199">
        <v>0</v>
      </c>
      <c r="BD199">
        <v>5.8245346242475203E-2</v>
      </c>
      <c r="BE199">
        <v>0</v>
      </c>
      <c r="BF199">
        <v>1.6E-2</v>
      </c>
      <c r="BG199">
        <v>0</v>
      </c>
      <c r="BH199">
        <v>0</v>
      </c>
      <c r="BI199">
        <v>0</v>
      </c>
      <c r="BJ199">
        <v>0</v>
      </c>
      <c r="BK199">
        <v>1</v>
      </c>
      <c r="BL199" s="1">
        <v>9.7015419124536406E-5</v>
      </c>
      <c r="BM199">
        <v>2.4738245372072298E-4</v>
      </c>
      <c r="BN199" s="1">
        <v>3.6094966966700602E-7</v>
      </c>
      <c r="BO199" s="1">
        <v>3.8858744961802098E-6</v>
      </c>
      <c r="BP199">
        <v>0</v>
      </c>
      <c r="BQ199">
        <v>0</v>
      </c>
      <c r="BR199" s="1">
        <v>5.4421597778887601E-5</v>
      </c>
      <c r="BS199">
        <v>1.41689791998077E-4</v>
      </c>
    </row>
    <row r="200" spans="1:71" x14ac:dyDescent="0.25">
      <c r="A200">
        <v>197</v>
      </c>
      <c r="B200" s="1">
        <v>2.2008866093920399E-6</v>
      </c>
      <c r="C200">
        <v>0.13273288653548501</v>
      </c>
      <c r="D200">
        <v>-4.9159241255845995E-4</v>
      </c>
      <c r="E200">
        <v>6.1312499999999995E-4</v>
      </c>
      <c r="F200">
        <v>-1.3273288653548501E-3</v>
      </c>
      <c r="G200" s="1">
        <v>2.1684043449710098E-19</v>
      </c>
      <c r="H200" t="s">
        <v>74</v>
      </c>
      <c r="I200">
        <v>0</v>
      </c>
      <c r="J200" t="s">
        <v>75</v>
      </c>
      <c r="K200">
        <v>3.14159265358979</v>
      </c>
      <c r="L200">
        <v>0.66241692638675298</v>
      </c>
      <c r="M200">
        <v>0</v>
      </c>
      <c r="N200">
        <v>3.88938540668071E-2</v>
      </c>
      <c r="O200">
        <v>0</v>
      </c>
      <c r="P200">
        <v>1.6E-2</v>
      </c>
      <c r="Q200">
        <v>0</v>
      </c>
      <c r="R200">
        <v>0</v>
      </c>
      <c r="S200">
        <v>0</v>
      </c>
      <c r="T200">
        <v>0</v>
      </c>
      <c r="U200">
        <v>0.66775899837350505</v>
      </c>
      <c r="V200" t="s">
        <v>78</v>
      </c>
      <c r="W200">
        <v>3884388.9769268101</v>
      </c>
      <c r="X200" t="s">
        <v>76</v>
      </c>
      <c r="Y200">
        <v>-1.5707963267949001</v>
      </c>
      <c r="Z200">
        <v>0.661719510553615</v>
      </c>
      <c r="AA200">
        <v>0</v>
      </c>
      <c r="AB200">
        <v>3.8450177285347303E-2</v>
      </c>
      <c r="AC200">
        <v>0</v>
      </c>
      <c r="AD200">
        <v>4.3148056285022699E-3</v>
      </c>
      <c r="AE200">
        <v>1.3592490671345801E-2</v>
      </c>
      <c r="AF200">
        <v>0</v>
      </c>
      <c r="AG200">
        <v>0.226057342537095</v>
      </c>
      <c r="AH200">
        <v>0.27123529211341402</v>
      </c>
      <c r="AI200">
        <v>0.40859651808698799</v>
      </c>
      <c r="AJ200" t="s">
        <v>74</v>
      </c>
      <c r="AK200">
        <v>0</v>
      </c>
      <c r="AL200" t="s">
        <v>77</v>
      </c>
      <c r="AM200">
        <v>0</v>
      </c>
      <c r="AN200">
        <v>0.99199999999999999</v>
      </c>
      <c r="AO200">
        <v>0</v>
      </c>
      <c r="AP200">
        <v>5.8245346242475203E-2</v>
      </c>
      <c r="AQ200">
        <v>0</v>
      </c>
      <c r="AR200">
        <v>1.6E-2</v>
      </c>
      <c r="AS200">
        <v>0</v>
      </c>
      <c r="AT200">
        <v>0</v>
      </c>
      <c r="AU200">
        <v>0</v>
      </c>
      <c r="AV200">
        <v>0</v>
      </c>
      <c r="AW200">
        <v>1</v>
      </c>
      <c r="AX200" t="s">
        <v>74</v>
      </c>
      <c r="AY200">
        <v>0</v>
      </c>
      <c r="AZ200" t="s">
        <v>76</v>
      </c>
      <c r="BA200">
        <v>-1.5707963267949001</v>
      </c>
      <c r="BB200">
        <v>0.99199999999999999</v>
      </c>
      <c r="BC200">
        <v>0</v>
      </c>
      <c r="BD200">
        <v>5.8245346242475203E-2</v>
      </c>
      <c r="BE200">
        <v>0</v>
      </c>
      <c r="BF200">
        <v>1.6E-2</v>
      </c>
      <c r="BG200">
        <v>0</v>
      </c>
      <c r="BH200">
        <v>0</v>
      </c>
      <c r="BI200">
        <v>0</v>
      </c>
      <c r="BJ200">
        <v>0</v>
      </c>
      <c r="BK200">
        <v>1</v>
      </c>
      <c r="BL200" s="1">
        <v>9.6917361918552399E-5</v>
      </c>
      <c r="BM200">
        <v>2.4864631732525401E-4</v>
      </c>
      <c r="BN200" s="1">
        <v>3.6058527307618202E-7</v>
      </c>
      <c r="BO200" s="1">
        <v>3.9057272192558703E-6</v>
      </c>
      <c r="BP200">
        <v>0</v>
      </c>
      <c r="BQ200">
        <v>0</v>
      </c>
      <c r="BR200" s="1">
        <v>5.4359311157649803E-5</v>
      </c>
      <c r="BS200">
        <v>1.42413977541495E-4</v>
      </c>
    </row>
    <row r="201" spans="1:71" x14ac:dyDescent="0.25">
      <c r="A201">
        <v>198</v>
      </c>
      <c r="B201" s="1">
        <v>2.2091346924633099E-6</v>
      </c>
      <c r="C201">
        <v>0.13273509567017699</v>
      </c>
      <c r="D201">
        <v>-4.9160230155757703E-4</v>
      </c>
      <c r="E201">
        <v>6.1312499999999995E-4</v>
      </c>
      <c r="F201">
        <v>-1.32735095670178E-3</v>
      </c>
      <c r="G201" s="1">
        <v>1.0842021724855E-19</v>
      </c>
      <c r="H201" t="s">
        <v>74</v>
      </c>
      <c r="I201">
        <v>0</v>
      </c>
      <c r="J201" t="s">
        <v>75</v>
      </c>
      <c r="K201">
        <v>3.14159265358979</v>
      </c>
      <c r="L201">
        <v>0.66074183216575499</v>
      </c>
      <c r="M201">
        <v>0</v>
      </c>
      <c r="N201">
        <v>3.87955007977639E-2</v>
      </c>
      <c r="O201">
        <v>0</v>
      </c>
      <c r="P201">
        <v>1.6E-2</v>
      </c>
      <c r="Q201">
        <v>0</v>
      </c>
      <c r="R201">
        <v>0</v>
      </c>
      <c r="S201">
        <v>0</v>
      </c>
      <c r="T201">
        <v>0</v>
      </c>
      <c r="U201">
        <v>0.66607039532807899</v>
      </c>
      <c r="V201" t="s">
        <v>78</v>
      </c>
      <c r="W201">
        <v>3884474.3141891402</v>
      </c>
      <c r="X201" t="s">
        <v>76</v>
      </c>
      <c r="Y201">
        <v>-1.5707963267949001</v>
      </c>
      <c r="Z201">
        <v>0.66004537911675698</v>
      </c>
      <c r="AA201">
        <v>0</v>
      </c>
      <c r="AB201">
        <v>3.8352436513120501E-2</v>
      </c>
      <c r="AC201">
        <v>0</v>
      </c>
      <c r="AD201">
        <v>4.2509575657314804E-3</v>
      </c>
      <c r="AE201">
        <v>1.3657313876186499E-2</v>
      </c>
      <c r="AF201">
        <v>0</v>
      </c>
      <c r="AG201">
        <v>0.22516991756506199</v>
      </c>
      <c r="AH201">
        <v>0.27465018917105899</v>
      </c>
      <c r="AI201">
        <v>0.40597272772897303</v>
      </c>
      <c r="AJ201" t="s">
        <v>74</v>
      </c>
      <c r="AK201">
        <v>0</v>
      </c>
      <c r="AL201" t="s">
        <v>77</v>
      </c>
      <c r="AM201">
        <v>0</v>
      </c>
      <c r="AN201">
        <v>0.99199999999999999</v>
      </c>
      <c r="AO201">
        <v>0</v>
      </c>
      <c r="AP201">
        <v>5.8245346242475203E-2</v>
      </c>
      <c r="AQ201">
        <v>0</v>
      </c>
      <c r="AR201">
        <v>1.6E-2</v>
      </c>
      <c r="AS201">
        <v>0</v>
      </c>
      <c r="AT201">
        <v>0</v>
      </c>
      <c r="AU201">
        <v>0</v>
      </c>
      <c r="AV201">
        <v>0</v>
      </c>
      <c r="AW201">
        <v>1</v>
      </c>
      <c r="AX201" t="s">
        <v>74</v>
      </c>
      <c r="AY201">
        <v>0</v>
      </c>
      <c r="AZ201" t="s">
        <v>76</v>
      </c>
      <c r="BA201">
        <v>-1.5707963267949001</v>
      </c>
      <c r="BB201">
        <v>0.99199999999999999</v>
      </c>
      <c r="BC201">
        <v>0</v>
      </c>
      <c r="BD201">
        <v>5.8245346242475203E-2</v>
      </c>
      <c r="BE201">
        <v>0</v>
      </c>
      <c r="BF201">
        <v>1.6E-2</v>
      </c>
      <c r="BG201">
        <v>0</v>
      </c>
      <c r="BH201">
        <v>0</v>
      </c>
      <c r="BI201">
        <v>0</v>
      </c>
      <c r="BJ201">
        <v>0</v>
      </c>
      <c r="BK201">
        <v>1</v>
      </c>
      <c r="BL201" s="1">
        <v>9.6819314897917498E-5</v>
      </c>
      <c r="BM201">
        <v>2.49910053368061E-4</v>
      </c>
      <c r="BN201" s="1">
        <v>3.6022091585983603E-7</v>
      </c>
      <c r="BO201" s="1">
        <v>3.9255779385966597E-6</v>
      </c>
      <c r="BP201">
        <v>0</v>
      </c>
      <c r="BQ201">
        <v>0</v>
      </c>
      <c r="BR201" s="1">
        <v>5.4297030928557098E-5</v>
      </c>
      <c r="BS201">
        <v>1.4313809420220399E-4</v>
      </c>
    </row>
    <row r="202" spans="1:71" x14ac:dyDescent="0.25">
      <c r="A202">
        <v>199</v>
      </c>
      <c r="B202" s="1">
        <v>2.2177713551532301E-6</v>
      </c>
      <c r="C202">
        <v>0.132737313441533</v>
      </c>
      <c r="D202">
        <v>-4.91612229108306E-4</v>
      </c>
      <c r="E202">
        <v>6.1312499999999995E-4</v>
      </c>
      <c r="F202">
        <v>-1.32737313441533E-3</v>
      </c>
      <c r="G202" s="1">
        <v>1.0842021724855E-19</v>
      </c>
      <c r="H202" t="s">
        <v>74</v>
      </c>
      <c r="I202">
        <v>0</v>
      </c>
      <c r="J202" t="s">
        <v>75</v>
      </c>
      <c r="K202">
        <v>3.14159265358979</v>
      </c>
      <c r="L202">
        <v>0.65906691177726895</v>
      </c>
      <c r="M202">
        <v>0</v>
      </c>
      <c r="N202">
        <v>3.86971577353084E-2</v>
      </c>
      <c r="O202">
        <v>0</v>
      </c>
      <c r="P202">
        <v>1.6E-2</v>
      </c>
      <c r="Q202">
        <v>0</v>
      </c>
      <c r="R202">
        <v>0</v>
      </c>
      <c r="S202">
        <v>0</v>
      </c>
      <c r="T202">
        <v>0</v>
      </c>
      <c r="U202">
        <v>0.66438196751703205</v>
      </c>
      <c r="V202" t="s">
        <v>78</v>
      </c>
      <c r="W202">
        <v>3884559.9841331602</v>
      </c>
      <c r="X202" t="s">
        <v>76</v>
      </c>
      <c r="Y202">
        <v>-1.5707963267949001</v>
      </c>
      <c r="Z202">
        <v>0.65837142219832201</v>
      </c>
      <c r="AA202">
        <v>0</v>
      </c>
      <c r="AB202">
        <v>3.8254706383838703E-2</v>
      </c>
      <c r="AC202">
        <v>0</v>
      </c>
      <c r="AD202">
        <v>4.1871805495767604E-3</v>
      </c>
      <c r="AE202">
        <v>1.37220635412944E-2</v>
      </c>
      <c r="AF202">
        <v>0</v>
      </c>
      <c r="AG202">
        <v>0.22424839232562899</v>
      </c>
      <c r="AH202">
        <v>0.27809892420827897</v>
      </c>
      <c r="AI202">
        <v>0.40335412879058402</v>
      </c>
      <c r="AJ202" t="s">
        <v>74</v>
      </c>
      <c r="AK202">
        <v>0</v>
      </c>
      <c r="AL202" t="s">
        <v>77</v>
      </c>
      <c r="AM202">
        <v>0</v>
      </c>
      <c r="AN202">
        <v>0.99199999999999999</v>
      </c>
      <c r="AO202">
        <v>0</v>
      </c>
      <c r="AP202">
        <v>5.8245346242475203E-2</v>
      </c>
      <c r="AQ202">
        <v>0</v>
      </c>
      <c r="AR202">
        <v>1.6E-2</v>
      </c>
      <c r="AS202">
        <v>0</v>
      </c>
      <c r="AT202">
        <v>0</v>
      </c>
      <c r="AU202">
        <v>0</v>
      </c>
      <c r="AV202">
        <v>0</v>
      </c>
      <c r="AW202">
        <v>1</v>
      </c>
      <c r="AX202" t="s">
        <v>74</v>
      </c>
      <c r="AY202">
        <v>0</v>
      </c>
      <c r="AZ202" t="s">
        <v>76</v>
      </c>
      <c r="BA202">
        <v>-1.5707963267949001</v>
      </c>
      <c r="BB202">
        <v>0.99199999999999999</v>
      </c>
      <c r="BC202">
        <v>0</v>
      </c>
      <c r="BD202">
        <v>5.8245346242475203E-2</v>
      </c>
      <c r="BE202">
        <v>0</v>
      </c>
      <c r="BF202">
        <v>1.6E-2</v>
      </c>
      <c r="BG202">
        <v>0</v>
      </c>
      <c r="BH202">
        <v>0</v>
      </c>
      <c r="BI202">
        <v>0</v>
      </c>
      <c r="BJ202">
        <v>0</v>
      </c>
      <c r="BK202">
        <v>1</v>
      </c>
      <c r="BL202" s="1">
        <v>9.6721278302048695E-5</v>
      </c>
      <c r="BM202">
        <v>2.5117365826695401E-4</v>
      </c>
      <c r="BN202" s="1">
        <v>3.59856598704211E-7</v>
      </c>
      <c r="BO202" s="1">
        <v>3.9454265979336804E-6</v>
      </c>
      <c r="BP202">
        <v>0</v>
      </c>
      <c r="BQ202">
        <v>0</v>
      </c>
      <c r="BR202" s="1">
        <v>5.4234757262997903E-5</v>
      </c>
      <c r="BS202">
        <v>1.43862139998636E-4</v>
      </c>
    </row>
    <row r="203" spans="1:71" x14ac:dyDescent="0.25">
      <c r="A203">
        <v>200</v>
      </c>
      <c r="B203" s="1">
        <v>2.2268093086580899E-6</v>
      </c>
      <c r="C203">
        <v>0.132739540250841</v>
      </c>
      <c r="D203">
        <v>-4.9162219700566497E-4</v>
      </c>
      <c r="E203">
        <v>6.1312499999999995E-4</v>
      </c>
      <c r="F203">
        <v>-1.3273954025084099E-3</v>
      </c>
      <c r="G203" s="1">
        <v>1.0842021724855E-19</v>
      </c>
      <c r="H203" t="s">
        <v>74</v>
      </c>
      <c r="I203">
        <v>0</v>
      </c>
      <c r="J203" t="s">
        <v>75</v>
      </c>
      <c r="K203">
        <v>3.14159265358979</v>
      </c>
      <c r="L203">
        <v>0.65739217017323404</v>
      </c>
      <c r="M203">
        <v>0</v>
      </c>
      <c r="N203">
        <v>3.8598825170193703E-2</v>
      </c>
      <c r="O203">
        <v>0</v>
      </c>
      <c r="P203">
        <v>1.6E-2</v>
      </c>
      <c r="Q203">
        <v>0</v>
      </c>
      <c r="R203">
        <v>0</v>
      </c>
      <c r="S203">
        <v>0</v>
      </c>
      <c r="T203">
        <v>0</v>
      </c>
      <c r="U203">
        <v>0.66269371993223603</v>
      </c>
      <c r="V203" t="s">
        <v>78</v>
      </c>
      <c r="W203">
        <v>3884646.0022490202</v>
      </c>
      <c r="X203" t="s">
        <v>76</v>
      </c>
      <c r="Y203">
        <v>-1.5707963267949001</v>
      </c>
      <c r="Z203">
        <v>0.65669764462301705</v>
      </c>
      <c r="AA203">
        <v>0</v>
      </c>
      <c r="AB203">
        <v>3.8156987107313897E-2</v>
      </c>
      <c r="AC203">
        <v>0</v>
      </c>
      <c r="AD203">
        <v>4.1234752655254598E-3</v>
      </c>
      <c r="AE203">
        <v>1.37867391172338E-2</v>
      </c>
      <c r="AF203">
        <v>0</v>
      </c>
      <c r="AG203">
        <v>0.22329231171566599</v>
      </c>
      <c r="AH203">
        <v>0.28158194485645099</v>
      </c>
      <c r="AI203">
        <v>0.40074074736121601</v>
      </c>
      <c r="AJ203" t="s">
        <v>74</v>
      </c>
      <c r="AK203">
        <v>0</v>
      </c>
      <c r="AL203" t="s">
        <v>77</v>
      </c>
      <c r="AM203">
        <v>0</v>
      </c>
      <c r="AN203">
        <v>0.99199999999999999</v>
      </c>
      <c r="AO203">
        <v>0</v>
      </c>
      <c r="AP203">
        <v>5.8245346242475203E-2</v>
      </c>
      <c r="AQ203">
        <v>0</v>
      </c>
      <c r="AR203">
        <v>1.6E-2</v>
      </c>
      <c r="AS203">
        <v>0</v>
      </c>
      <c r="AT203">
        <v>0</v>
      </c>
      <c r="AU203">
        <v>0</v>
      </c>
      <c r="AV203">
        <v>0</v>
      </c>
      <c r="AW203">
        <v>1</v>
      </c>
      <c r="AX203" t="s">
        <v>74</v>
      </c>
      <c r="AY203">
        <v>0</v>
      </c>
      <c r="AZ203" t="s">
        <v>76</v>
      </c>
      <c r="BA203">
        <v>-1.5707963267949001</v>
      </c>
      <c r="BB203">
        <v>0.99199999999999999</v>
      </c>
      <c r="BC203">
        <v>0</v>
      </c>
      <c r="BD203">
        <v>5.8245346242475203E-2</v>
      </c>
      <c r="BE203">
        <v>0</v>
      </c>
      <c r="BF203">
        <v>1.6E-2</v>
      </c>
      <c r="BG203">
        <v>0</v>
      </c>
      <c r="BH203">
        <v>0</v>
      </c>
      <c r="BI203">
        <v>0</v>
      </c>
      <c r="BJ203">
        <v>0</v>
      </c>
      <c r="BK203">
        <v>1</v>
      </c>
      <c r="BL203" s="1">
        <v>9.6623252381229007E-5</v>
      </c>
      <c r="BM203">
        <v>2.5243712828605902E-4</v>
      </c>
      <c r="BN203" s="1">
        <v>3.5949232233033798E-7</v>
      </c>
      <c r="BO203" s="1">
        <v>3.9652731385839298E-6</v>
      </c>
      <c r="BP203">
        <v>0</v>
      </c>
      <c r="BQ203">
        <v>0</v>
      </c>
      <c r="BR203" s="1">
        <v>5.4172490339803302E-5</v>
      </c>
      <c r="BS203">
        <v>1.4458611286401299E-4</v>
      </c>
    </row>
    <row r="204" spans="1:71" x14ac:dyDescent="0.25">
      <c r="A204">
        <v>201</v>
      </c>
      <c r="B204" s="1">
        <v>2.23626202410787E-6</v>
      </c>
      <c r="C204">
        <v>0.13274177651286501</v>
      </c>
      <c r="D204">
        <v>-4.9163220710489203E-4</v>
      </c>
      <c r="E204">
        <v>6.1312499999999995E-4</v>
      </c>
      <c r="F204">
        <v>-1.3274177651286601E-3</v>
      </c>
      <c r="G204" s="1">
        <v>2.1684043449710098E-19</v>
      </c>
      <c r="H204" t="s">
        <v>74</v>
      </c>
      <c r="I204">
        <v>0</v>
      </c>
      <c r="J204" t="s">
        <v>75</v>
      </c>
      <c r="K204">
        <v>3.14159265358979</v>
      </c>
      <c r="L204">
        <v>0.65571761252108796</v>
      </c>
      <c r="M204">
        <v>0</v>
      </c>
      <c r="N204">
        <v>3.85005034058266E-2</v>
      </c>
      <c r="O204">
        <v>0</v>
      </c>
      <c r="P204">
        <v>1.6E-2</v>
      </c>
      <c r="Q204">
        <v>0</v>
      </c>
      <c r="R204">
        <v>0</v>
      </c>
      <c r="S204">
        <v>0</v>
      </c>
      <c r="T204">
        <v>0</v>
      </c>
      <c r="U204">
        <v>0.66100565778280396</v>
      </c>
      <c r="V204" t="s">
        <v>78</v>
      </c>
      <c r="W204">
        <v>3884732.3845465099</v>
      </c>
      <c r="X204" t="s">
        <v>76</v>
      </c>
      <c r="Y204">
        <v>-1.5707963267949001</v>
      </c>
      <c r="Z204">
        <v>0.65502405142737297</v>
      </c>
      <c r="AA204">
        <v>0</v>
      </c>
      <c r="AB204">
        <v>3.80592789036737E-2</v>
      </c>
      <c r="AC204">
        <v>0</v>
      </c>
      <c r="AD204">
        <v>4.0598424116438997E-3</v>
      </c>
      <c r="AE204">
        <v>1.38513400445278E-2</v>
      </c>
      <c r="AF204">
        <v>0</v>
      </c>
      <c r="AG204">
        <v>0.22230120736794201</v>
      </c>
      <c r="AH204">
        <v>0.28509971168589798</v>
      </c>
      <c r="AI204">
        <v>0.39813260992073601</v>
      </c>
      <c r="AJ204" t="s">
        <v>74</v>
      </c>
      <c r="AK204">
        <v>0</v>
      </c>
      <c r="AL204" t="s">
        <v>77</v>
      </c>
      <c r="AM204">
        <v>0</v>
      </c>
      <c r="AN204">
        <v>0.99199999999999999</v>
      </c>
      <c r="AO204">
        <v>0</v>
      </c>
      <c r="AP204">
        <v>5.8245346242475203E-2</v>
      </c>
      <c r="AQ204">
        <v>0</v>
      </c>
      <c r="AR204">
        <v>1.6E-2</v>
      </c>
      <c r="AS204">
        <v>0</v>
      </c>
      <c r="AT204">
        <v>0</v>
      </c>
      <c r="AU204">
        <v>0</v>
      </c>
      <c r="AV204">
        <v>0</v>
      </c>
      <c r="AW204">
        <v>1</v>
      </c>
      <c r="AX204" t="s">
        <v>74</v>
      </c>
      <c r="AY204">
        <v>0</v>
      </c>
      <c r="AZ204" t="s">
        <v>76</v>
      </c>
      <c r="BA204">
        <v>-1.5707963267949001</v>
      </c>
      <c r="BB204">
        <v>0.99199999999999999</v>
      </c>
      <c r="BC204">
        <v>0</v>
      </c>
      <c r="BD204">
        <v>5.8245346242475203E-2</v>
      </c>
      <c r="BE204">
        <v>0</v>
      </c>
      <c r="BF204">
        <v>1.6E-2</v>
      </c>
      <c r="BG204">
        <v>0</v>
      </c>
      <c r="BH204">
        <v>0</v>
      </c>
      <c r="BI204">
        <v>0</v>
      </c>
      <c r="BJ204">
        <v>0</v>
      </c>
      <c r="BK204">
        <v>1</v>
      </c>
      <c r="BL204" s="1">
        <v>9.6525237397225401E-5</v>
      </c>
      <c r="BM204">
        <v>2.5370045952691997E-4</v>
      </c>
      <c r="BN204" s="1">
        <v>3.5912808749595601E-7</v>
      </c>
      <c r="BO204" s="1">
        <v>3.9851174993106301E-6</v>
      </c>
      <c r="BP204">
        <v>0</v>
      </c>
      <c r="BQ204">
        <v>0</v>
      </c>
      <c r="BR204" s="1">
        <v>5.4110230345675899E-5</v>
      </c>
      <c r="BS204">
        <v>1.4531001064140101E-4</v>
      </c>
    </row>
    <row r="205" spans="1:71" x14ac:dyDescent="0.25">
      <c r="A205">
        <v>202</v>
      </c>
      <c r="B205" s="1">
        <v>2.24614378480857E-6</v>
      </c>
      <c r="C205">
        <v>0.13274402265665</v>
      </c>
      <c r="D205">
        <v>-4.9164226132506796E-4</v>
      </c>
      <c r="E205">
        <v>6.1312499999999995E-4</v>
      </c>
      <c r="F205">
        <v>-1.3274402265665E-3</v>
      </c>
      <c r="G205" s="1">
        <v>2.1684043449710098E-19</v>
      </c>
      <c r="H205" t="s">
        <v>74</v>
      </c>
      <c r="I205">
        <v>0</v>
      </c>
      <c r="J205" t="s">
        <v>75</v>
      </c>
      <c r="K205">
        <v>3.14159265358979</v>
      </c>
      <c r="L205">
        <v>0.65404324421649096</v>
      </c>
      <c r="M205">
        <v>0</v>
      </c>
      <c r="N205">
        <v>3.8402192759013402E-2</v>
      </c>
      <c r="O205">
        <v>0</v>
      </c>
      <c r="P205">
        <v>1.6E-2</v>
      </c>
      <c r="Q205">
        <v>0</v>
      </c>
      <c r="R205">
        <v>0</v>
      </c>
      <c r="S205">
        <v>0</v>
      </c>
      <c r="T205">
        <v>0</v>
      </c>
      <c r="U205">
        <v>0.65931778650790596</v>
      </c>
      <c r="V205" t="s">
        <v>78</v>
      </c>
      <c r="W205">
        <v>3884819.1475863801</v>
      </c>
      <c r="X205" t="s">
        <v>76</v>
      </c>
      <c r="Y205">
        <v>-1.5707963267949001</v>
      </c>
      <c r="Z205">
        <v>0.65335064787222097</v>
      </c>
      <c r="AA205">
        <v>0</v>
      </c>
      <c r="AB205">
        <v>3.7961582003950098E-2</v>
      </c>
      <c r="AC205">
        <v>0</v>
      </c>
      <c r="AD205">
        <v>3.9962826992341102E-3</v>
      </c>
      <c r="AE205">
        <v>1.3915865753206001E-2</v>
      </c>
      <c r="AF205">
        <v>0</v>
      </c>
      <c r="AG205">
        <v>0.22127459706724001</v>
      </c>
      <c r="AH205">
        <v>0.28865269877057798</v>
      </c>
      <c r="AI205">
        <v>0.39552974335696001</v>
      </c>
      <c r="AJ205" t="s">
        <v>74</v>
      </c>
      <c r="AK205">
        <v>0</v>
      </c>
      <c r="AL205" t="s">
        <v>77</v>
      </c>
      <c r="AM205">
        <v>0</v>
      </c>
      <c r="AN205">
        <v>0.99199999999999999</v>
      </c>
      <c r="AO205">
        <v>0</v>
      </c>
      <c r="AP205">
        <v>5.8245346242475203E-2</v>
      </c>
      <c r="AQ205">
        <v>0</v>
      </c>
      <c r="AR205">
        <v>1.6E-2</v>
      </c>
      <c r="AS205">
        <v>0</v>
      </c>
      <c r="AT205">
        <v>0</v>
      </c>
      <c r="AU205">
        <v>0</v>
      </c>
      <c r="AV205">
        <v>0</v>
      </c>
      <c r="AW205">
        <v>1</v>
      </c>
      <c r="AX205" t="s">
        <v>74</v>
      </c>
      <c r="AY205">
        <v>0</v>
      </c>
      <c r="AZ205" t="s">
        <v>76</v>
      </c>
      <c r="BA205">
        <v>-1.5707963267949001</v>
      </c>
      <c r="BB205">
        <v>0.99199999999999999</v>
      </c>
      <c r="BC205">
        <v>0</v>
      </c>
      <c r="BD205">
        <v>5.8245346242475203E-2</v>
      </c>
      <c r="BE205">
        <v>0</v>
      </c>
      <c r="BF205">
        <v>1.6E-2</v>
      </c>
      <c r="BG205">
        <v>0</v>
      </c>
      <c r="BH205">
        <v>0</v>
      </c>
      <c r="BI205">
        <v>0</v>
      </c>
      <c r="BJ205">
        <v>0</v>
      </c>
      <c r="BK205">
        <v>1</v>
      </c>
      <c r="BL205" s="1">
        <v>9.6427233623957003E-5</v>
      </c>
      <c r="BM205">
        <v>2.5496364791890899E-4</v>
      </c>
      <c r="BN205" s="1">
        <v>3.5876389499759301E-7</v>
      </c>
      <c r="BO205" s="1">
        <v>4.0049596161724896E-6</v>
      </c>
      <c r="BP205">
        <v>0</v>
      </c>
      <c r="BQ205">
        <v>0</v>
      </c>
      <c r="BR205" s="1">
        <v>5.4047977475652597E-5</v>
      </c>
      <c r="BS205">
        <v>1.4603383107837E-4</v>
      </c>
    </row>
    <row r="206" spans="1:71" x14ac:dyDescent="0.25">
      <c r="A206">
        <v>203</v>
      </c>
      <c r="B206" s="1">
        <v>2.2564697431557998E-6</v>
      </c>
      <c r="C206">
        <v>0.132746279126393</v>
      </c>
      <c r="D206">
        <v>-4.91652361653007E-4</v>
      </c>
      <c r="E206">
        <v>6.1312499999999995E-4</v>
      </c>
      <c r="F206">
        <v>-1.32746279126393E-3</v>
      </c>
      <c r="G206" s="1">
        <v>1.0842021724855E-19</v>
      </c>
      <c r="H206" t="s">
        <v>74</v>
      </c>
      <c r="I206">
        <v>0</v>
      </c>
      <c r="J206" t="s">
        <v>75</v>
      </c>
      <c r="K206">
        <v>3.14159265358979</v>
      </c>
      <c r="L206">
        <v>0.65236907089693696</v>
      </c>
      <c r="M206">
        <v>0</v>
      </c>
      <c r="N206">
        <v>3.830389356076E-2</v>
      </c>
      <c r="O206">
        <v>0</v>
      </c>
      <c r="P206">
        <v>1.6E-2</v>
      </c>
      <c r="Q206">
        <v>0</v>
      </c>
      <c r="R206">
        <v>0</v>
      </c>
      <c r="S206">
        <v>0</v>
      </c>
      <c r="T206">
        <v>0</v>
      </c>
      <c r="U206">
        <v>0.65763011179050102</v>
      </c>
      <c r="V206" t="s">
        <v>78</v>
      </c>
      <c r="W206">
        <v>3884906.3085138602</v>
      </c>
      <c r="X206" t="s">
        <v>76</v>
      </c>
      <c r="Y206">
        <v>-1.5707963267949001</v>
      </c>
      <c r="Z206">
        <v>0.65167743945603895</v>
      </c>
      <c r="AA206">
        <v>0</v>
      </c>
      <c r="AB206">
        <v>3.7863896650711097E-2</v>
      </c>
      <c r="AC206">
        <v>0</v>
      </c>
      <c r="AD206">
        <v>3.9327968535337304E-3</v>
      </c>
      <c r="AE206">
        <v>1.39803156623227E-2</v>
      </c>
      <c r="AF206">
        <v>0</v>
      </c>
      <c r="AG206">
        <v>0.22021198413224399</v>
      </c>
      <c r="AH206">
        <v>0.29224139428565099</v>
      </c>
      <c r="AI206">
        <v>0.39293217498425398</v>
      </c>
      <c r="AJ206" t="s">
        <v>74</v>
      </c>
      <c r="AK206">
        <v>0</v>
      </c>
      <c r="AL206" t="s">
        <v>77</v>
      </c>
      <c r="AM206">
        <v>0</v>
      </c>
      <c r="AN206">
        <v>0.99199999999999999</v>
      </c>
      <c r="AO206">
        <v>0</v>
      </c>
      <c r="AP206">
        <v>5.8245346242475203E-2</v>
      </c>
      <c r="AQ206">
        <v>0</v>
      </c>
      <c r="AR206">
        <v>1.6E-2</v>
      </c>
      <c r="AS206">
        <v>0</v>
      </c>
      <c r="AT206">
        <v>0</v>
      </c>
      <c r="AU206">
        <v>0</v>
      </c>
      <c r="AV206">
        <v>0</v>
      </c>
      <c r="AW206">
        <v>1</v>
      </c>
      <c r="AX206" t="s">
        <v>74</v>
      </c>
      <c r="AY206">
        <v>0</v>
      </c>
      <c r="AZ206" t="s">
        <v>76</v>
      </c>
      <c r="BA206">
        <v>-1.5707963267949001</v>
      </c>
      <c r="BB206">
        <v>0.99199999999999999</v>
      </c>
      <c r="BC206">
        <v>0</v>
      </c>
      <c r="BD206">
        <v>5.8245346242475203E-2</v>
      </c>
      <c r="BE206">
        <v>0</v>
      </c>
      <c r="BF206">
        <v>1.6E-2</v>
      </c>
      <c r="BG206">
        <v>0</v>
      </c>
      <c r="BH206">
        <v>0</v>
      </c>
      <c r="BI206">
        <v>0</v>
      </c>
      <c r="BJ206">
        <v>0</v>
      </c>
      <c r="BK206">
        <v>1</v>
      </c>
      <c r="BL206" s="1">
        <v>9.6329241348210804E-5</v>
      </c>
      <c r="BM206">
        <v>2.5622668920894802E-4</v>
      </c>
      <c r="BN206" s="1">
        <v>3.5839974567279103E-7</v>
      </c>
      <c r="BO206" s="1">
        <v>4.0247994223623198E-6</v>
      </c>
      <c r="BP206">
        <v>0</v>
      </c>
      <c r="BQ206">
        <v>0</v>
      </c>
      <c r="BR206" s="1">
        <v>5.3985731933600099E-5</v>
      </c>
      <c r="BS206">
        <v>1.4675757182128199E-4</v>
      </c>
    </row>
    <row r="207" spans="1:71" x14ac:dyDescent="0.25">
      <c r="A207">
        <v>204</v>
      </c>
      <c r="B207" s="1">
        <v>2.2672559825819299E-6</v>
      </c>
      <c r="C207">
        <v>0.13274854638237599</v>
      </c>
      <c r="D207">
        <v>-4.9166251014741999E-4</v>
      </c>
      <c r="E207">
        <v>6.1312499999999995E-4</v>
      </c>
      <c r="F207">
        <v>-1.32748546382376E-3</v>
      </c>
      <c r="G207" s="1">
        <v>2.1684043449710098E-19</v>
      </c>
      <c r="H207" t="s">
        <v>74</v>
      </c>
      <c r="I207">
        <v>0</v>
      </c>
      <c r="J207" t="s">
        <v>75</v>
      </c>
      <c r="K207">
        <v>3.14159265358979</v>
      </c>
      <c r="L207">
        <v>0.65069509845643203</v>
      </c>
      <c r="M207">
        <v>0</v>
      </c>
      <c r="N207">
        <v>3.82056061571334E-2</v>
      </c>
      <c r="O207">
        <v>0</v>
      </c>
      <c r="P207">
        <v>1.6E-2</v>
      </c>
      <c r="Q207">
        <v>0</v>
      </c>
      <c r="R207">
        <v>0</v>
      </c>
      <c r="S207">
        <v>0</v>
      </c>
      <c r="T207">
        <v>0</v>
      </c>
      <c r="U207">
        <v>0.65594263957212995</v>
      </c>
      <c r="V207" t="s">
        <v>78</v>
      </c>
      <c r="W207">
        <v>3884993.8850946301</v>
      </c>
      <c r="X207" t="s">
        <v>76</v>
      </c>
      <c r="Y207">
        <v>-1.5707963267949001</v>
      </c>
      <c r="Z207">
        <v>0.65000443192934898</v>
      </c>
      <c r="AA207">
        <v>0</v>
      </c>
      <c r="AB207">
        <v>3.7766223098742099E-2</v>
      </c>
      <c r="AC207">
        <v>0</v>
      </c>
      <c r="AD207">
        <v>3.86938561446554E-3</v>
      </c>
      <c r="AE207">
        <v>1.40446891794394E-2</v>
      </c>
      <c r="AF207">
        <v>0</v>
      </c>
      <c r="AG207">
        <v>0.21911285676072001</v>
      </c>
      <c r="AH207">
        <v>0.29586630114015899</v>
      </c>
      <c r="AI207">
        <v>0.39033993256348398</v>
      </c>
      <c r="AJ207" t="s">
        <v>74</v>
      </c>
      <c r="AK207">
        <v>0</v>
      </c>
      <c r="AL207" t="s">
        <v>77</v>
      </c>
      <c r="AM207">
        <v>0</v>
      </c>
      <c r="AN207">
        <v>0.99199999999999999</v>
      </c>
      <c r="AO207">
        <v>0</v>
      </c>
      <c r="AP207">
        <v>5.8245346242475203E-2</v>
      </c>
      <c r="AQ207">
        <v>0</v>
      </c>
      <c r="AR207">
        <v>1.6E-2</v>
      </c>
      <c r="AS207">
        <v>0</v>
      </c>
      <c r="AT207">
        <v>0</v>
      </c>
      <c r="AU207">
        <v>0</v>
      </c>
      <c r="AV207">
        <v>0</v>
      </c>
      <c r="AW207">
        <v>1</v>
      </c>
      <c r="AX207" t="s">
        <v>74</v>
      </c>
      <c r="AY207">
        <v>0</v>
      </c>
      <c r="AZ207" t="s">
        <v>76</v>
      </c>
      <c r="BA207">
        <v>-1.5707963267949001</v>
      </c>
      <c r="BB207">
        <v>0.99199999999999999</v>
      </c>
      <c r="BC207">
        <v>0</v>
      </c>
      <c r="BD207">
        <v>5.8245346242475203E-2</v>
      </c>
      <c r="BE207">
        <v>0</v>
      </c>
      <c r="BF207">
        <v>1.6E-2</v>
      </c>
      <c r="BG207">
        <v>0</v>
      </c>
      <c r="BH207">
        <v>0</v>
      </c>
      <c r="BI207">
        <v>0</v>
      </c>
      <c r="BJ207">
        <v>0</v>
      </c>
      <c r="BK207">
        <v>1</v>
      </c>
      <c r="BL207" s="1">
        <v>9.6231260870413007E-5</v>
      </c>
      <c r="BM207">
        <v>2.5748957895044001E-4</v>
      </c>
      <c r="BN207" s="1">
        <v>3.5803564040251298E-7</v>
      </c>
      <c r="BO207" s="1">
        <v>4.0446368480331504E-6</v>
      </c>
      <c r="BP207">
        <v>0</v>
      </c>
      <c r="BQ207">
        <v>0</v>
      </c>
      <c r="BR207" s="1">
        <v>5.3923493932748799E-5</v>
      </c>
      <c r="BS207">
        <v>1.4748123040913199E-4</v>
      </c>
    </row>
    <row r="208" spans="1:71" x14ac:dyDescent="0.25">
      <c r="A208">
        <v>205</v>
      </c>
      <c r="B208" s="1">
        <v>2.27851958505572E-6</v>
      </c>
      <c r="C208">
        <v>0.132750824901961</v>
      </c>
      <c r="D208">
        <v>-4.9167270894337402E-4</v>
      </c>
      <c r="E208">
        <v>6.1312499999999995E-4</v>
      </c>
      <c r="F208">
        <v>-1.3275082490196101E-3</v>
      </c>
      <c r="G208" s="1">
        <v>1.0842021724855E-19</v>
      </c>
      <c r="H208" t="s">
        <v>74</v>
      </c>
      <c r="I208">
        <v>0</v>
      </c>
      <c r="J208" t="s">
        <v>75</v>
      </c>
      <c r="K208">
        <v>3.14159265358979</v>
      </c>
      <c r="L208">
        <v>0.64902133306124599</v>
      </c>
      <c r="M208">
        <v>0</v>
      </c>
      <c r="N208">
        <v>3.8107330910186601E-2</v>
      </c>
      <c r="O208">
        <v>0</v>
      </c>
      <c r="P208">
        <v>1.6E-2</v>
      </c>
      <c r="Q208">
        <v>0</v>
      </c>
      <c r="R208">
        <v>0</v>
      </c>
      <c r="S208">
        <v>0</v>
      </c>
      <c r="T208">
        <v>0</v>
      </c>
      <c r="U208">
        <v>0.65425537606878803</v>
      </c>
      <c r="V208" t="s">
        <v>78</v>
      </c>
      <c r="W208">
        <v>3885081.89575329</v>
      </c>
      <c r="X208" t="s">
        <v>76</v>
      </c>
      <c r="Y208">
        <v>-1.5707963267949001</v>
      </c>
      <c r="Z208">
        <v>0.64833163131016103</v>
      </c>
      <c r="AA208">
        <v>0</v>
      </c>
      <c r="AB208">
        <v>3.7668561615777398E-2</v>
      </c>
      <c r="AC208">
        <v>0</v>
      </c>
      <c r="AD208">
        <v>3.80604973743874E-3</v>
      </c>
      <c r="AE208">
        <v>1.4108985700071399E-2</v>
      </c>
      <c r="AF208">
        <v>0</v>
      </c>
      <c r="AG208">
        <v>0.21797668733522399</v>
      </c>
      <c r="AH208">
        <v>0.29952793764754598</v>
      </c>
      <c r="AI208">
        <v>0.38775304432331797</v>
      </c>
      <c r="AJ208" t="s">
        <v>74</v>
      </c>
      <c r="AK208">
        <v>0</v>
      </c>
      <c r="AL208" t="s">
        <v>77</v>
      </c>
      <c r="AM208">
        <v>0</v>
      </c>
      <c r="AN208">
        <v>0.99199999999999999</v>
      </c>
      <c r="AO208">
        <v>0</v>
      </c>
      <c r="AP208">
        <v>5.8245346242475203E-2</v>
      </c>
      <c r="AQ208">
        <v>0</v>
      </c>
      <c r="AR208">
        <v>1.6E-2</v>
      </c>
      <c r="AS208">
        <v>0</v>
      </c>
      <c r="AT208">
        <v>0</v>
      </c>
      <c r="AU208">
        <v>0</v>
      </c>
      <c r="AV208">
        <v>0</v>
      </c>
      <c r="AW208">
        <v>1</v>
      </c>
      <c r="AX208" t="s">
        <v>74</v>
      </c>
      <c r="AY208">
        <v>0</v>
      </c>
      <c r="AZ208" t="s">
        <v>76</v>
      </c>
      <c r="BA208">
        <v>-1.5707963267949001</v>
      </c>
      <c r="BB208">
        <v>0.99199999999999999</v>
      </c>
      <c r="BC208">
        <v>0</v>
      </c>
      <c r="BD208">
        <v>5.8245346242475203E-2</v>
      </c>
      <c r="BE208">
        <v>0</v>
      </c>
      <c r="BF208">
        <v>1.6E-2</v>
      </c>
      <c r="BG208">
        <v>0</v>
      </c>
      <c r="BH208">
        <v>0</v>
      </c>
      <c r="BI208">
        <v>0</v>
      </c>
      <c r="BJ208">
        <v>0</v>
      </c>
      <c r="BK208">
        <v>1</v>
      </c>
      <c r="BL208" s="1">
        <v>9.6133292505457202E-5</v>
      </c>
      <c r="BM208">
        <v>2.5875231249138499E-4</v>
      </c>
      <c r="BN208" s="1">
        <v>3.5767158011372297E-7</v>
      </c>
      <c r="BO208" s="1">
        <v>4.0644718201115302E-6</v>
      </c>
      <c r="BP208">
        <v>0</v>
      </c>
      <c r="BQ208">
        <v>0</v>
      </c>
      <c r="BR208" s="1">
        <v>5.3861263696266603E-5</v>
      </c>
      <c r="BS208">
        <v>1.4820480426693799E-4</v>
      </c>
    </row>
    <row r="209" spans="1:71" x14ac:dyDescent="0.25">
      <c r="A209">
        <v>206</v>
      </c>
      <c r="B209" s="1">
        <v>2.29027870476224E-6</v>
      </c>
      <c r="C209">
        <v>0.13275311518066599</v>
      </c>
      <c r="D209">
        <v>-4.9168296025709304E-4</v>
      </c>
      <c r="E209">
        <v>6.1312499999999995E-4</v>
      </c>
      <c r="F209">
        <v>-1.32753115180666E-3</v>
      </c>
      <c r="G209" s="1">
        <v>2.1684043449710098E-19</v>
      </c>
      <c r="H209" t="s">
        <v>74</v>
      </c>
      <c r="I209">
        <v>0</v>
      </c>
      <c r="J209" t="s">
        <v>75</v>
      </c>
      <c r="K209">
        <v>3.14159265358979</v>
      </c>
      <c r="L209">
        <v>0.64734778116699798</v>
      </c>
      <c r="M209">
        <v>0</v>
      </c>
      <c r="N209">
        <v>3.8009068198961597E-2</v>
      </c>
      <c r="O209">
        <v>0</v>
      </c>
      <c r="P209">
        <v>1.6E-2</v>
      </c>
      <c r="Q209">
        <v>0</v>
      </c>
      <c r="R209">
        <v>0</v>
      </c>
      <c r="S209">
        <v>0</v>
      </c>
      <c r="T209">
        <v>0</v>
      </c>
      <c r="U209">
        <v>0.65256832778815799</v>
      </c>
      <c r="V209" t="s">
        <v>78</v>
      </c>
      <c r="W209">
        <v>3885170.3596147601</v>
      </c>
      <c r="X209" t="s">
        <v>76</v>
      </c>
      <c r="Y209">
        <v>-1.5707963267949001</v>
      </c>
      <c r="Z209">
        <v>0.64665904390073503</v>
      </c>
      <c r="AA209">
        <v>0</v>
      </c>
      <c r="AB209">
        <v>3.7570912483296401E-2</v>
      </c>
      <c r="AC209">
        <v>0</v>
      </c>
      <c r="AD209">
        <v>3.74278999421229E-3</v>
      </c>
      <c r="AE209">
        <v>1.4173204607089099E-2</v>
      </c>
      <c r="AF209">
        <v>0</v>
      </c>
      <c r="AG209">
        <v>0.21680293168644299</v>
      </c>
      <c r="AH209">
        <v>0.30322683823654201</v>
      </c>
      <c r="AI209">
        <v>0.38517153898323597</v>
      </c>
      <c r="AJ209" t="s">
        <v>74</v>
      </c>
      <c r="AK209">
        <v>0</v>
      </c>
      <c r="AL209" t="s">
        <v>77</v>
      </c>
      <c r="AM209">
        <v>0</v>
      </c>
      <c r="AN209">
        <v>0.99199999999999999</v>
      </c>
      <c r="AO209">
        <v>0</v>
      </c>
      <c r="AP209">
        <v>5.8245346242475203E-2</v>
      </c>
      <c r="AQ209">
        <v>0</v>
      </c>
      <c r="AR209">
        <v>1.6E-2</v>
      </c>
      <c r="AS209">
        <v>0</v>
      </c>
      <c r="AT209">
        <v>0</v>
      </c>
      <c r="AU209">
        <v>0</v>
      </c>
      <c r="AV209">
        <v>0</v>
      </c>
      <c r="AW209">
        <v>1</v>
      </c>
      <c r="AX209" t="s">
        <v>74</v>
      </c>
      <c r="AY209">
        <v>0</v>
      </c>
      <c r="AZ209" t="s">
        <v>76</v>
      </c>
      <c r="BA209">
        <v>-1.5707963267949001</v>
      </c>
      <c r="BB209">
        <v>0.99199999999999999</v>
      </c>
      <c r="BC209">
        <v>0</v>
      </c>
      <c r="BD209">
        <v>5.8245346242475203E-2</v>
      </c>
      <c r="BE209">
        <v>0</v>
      </c>
      <c r="BF209">
        <v>1.6E-2</v>
      </c>
      <c r="BG209">
        <v>0</v>
      </c>
      <c r="BH209">
        <v>0</v>
      </c>
      <c r="BI209">
        <v>0</v>
      </c>
      <c r="BJ209">
        <v>0</v>
      </c>
      <c r="BK209">
        <v>1</v>
      </c>
      <c r="BL209" s="1">
        <v>9.6035336583604193E-5</v>
      </c>
      <c r="BM209">
        <v>2.6001488496149198E-4</v>
      </c>
      <c r="BN209" s="1">
        <v>3.5730756578220202E-7</v>
      </c>
      <c r="BO209" s="1">
        <v>4.0843042620951002E-6</v>
      </c>
      <c r="BP209">
        <v>0</v>
      </c>
      <c r="BQ209">
        <v>0</v>
      </c>
      <c r="BR209" s="1">
        <v>5.3799041457880197E-5</v>
      </c>
      <c r="BS209">
        <v>1.4892829069856501E-4</v>
      </c>
    </row>
    <row r="210" spans="1:71" x14ac:dyDescent="0.25">
      <c r="A210">
        <v>207</v>
      </c>
      <c r="B210" s="1">
        <v>2.3025526486992299E-6</v>
      </c>
      <c r="C210">
        <v>0.13275541773331401</v>
      </c>
      <c r="D210">
        <v>-4.9169326639110402E-4</v>
      </c>
      <c r="E210">
        <v>6.1312499999999995E-4</v>
      </c>
      <c r="F210">
        <v>-1.32755417733315E-3</v>
      </c>
      <c r="G210" s="1">
        <v>1.0842021724855E-19</v>
      </c>
      <c r="H210" t="s">
        <v>74</v>
      </c>
      <c r="I210">
        <v>0</v>
      </c>
      <c r="J210" t="s">
        <v>75</v>
      </c>
      <c r="K210">
        <v>3.14159265358979</v>
      </c>
      <c r="L210">
        <v>0.64567444953698505</v>
      </c>
      <c r="M210">
        <v>0</v>
      </c>
      <c r="N210">
        <v>3.7910818420565803E-2</v>
      </c>
      <c r="O210">
        <v>0</v>
      </c>
      <c r="P210">
        <v>1.6E-2</v>
      </c>
      <c r="Q210">
        <v>0</v>
      </c>
      <c r="R210">
        <v>0</v>
      </c>
      <c r="S210">
        <v>0</v>
      </c>
      <c r="T210">
        <v>0</v>
      </c>
      <c r="U210">
        <v>0.650881501548078</v>
      </c>
      <c r="V210" t="s">
        <v>78</v>
      </c>
      <c r="W210">
        <v>3885259.2965487498</v>
      </c>
      <c r="X210" t="s">
        <v>76</v>
      </c>
      <c r="Y210">
        <v>-1.5707963267949001</v>
      </c>
      <c r="Z210">
        <v>0.64498667630555695</v>
      </c>
      <c r="AA210">
        <v>0</v>
      </c>
      <c r="AB210">
        <v>3.7473275997375897E-2</v>
      </c>
      <c r="AC210">
        <v>0</v>
      </c>
      <c r="AD210">
        <v>3.67960717381834E-3</v>
      </c>
      <c r="AE210">
        <v>1.42373452700782E-2</v>
      </c>
      <c r="AF210">
        <v>0</v>
      </c>
      <c r="AG210">
        <v>0.21559102831081001</v>
      </c>
      <c r="AH210">
        <v>0.306963554205887</v>
      </c>
      <c r="AI210">
        <v>0.38259544577809701</v>
      </c>
      <c r="AJ210" t="s">
        <v>74</v>
      </c>
      <c r="AK210">
        <v>0</v>
      </c>
      <c r="AL210" t="s">
        <v>77</v>
      </c>
      <c r="AM210">
        <v>0</v>
      </c>
      <c r="AN210">
        <v>0.99199999999999999</v>
      </c>
      <c r="AO210">
        <v>0</v>
      </c>
      <c r="AP210">
        <v>5.8245346242475203E-2</v>
      </c>
      <c r="AQ210">
        <v>0</v>
      </c>
      <c r="AR210">
        <v>1.6E-2</v>
      </c>
      <c r="AS210">
        <v>0</v>
      </c>
      <c r="AT210">
        <v>0</v>
      </c>
      <c r="AU210">
        <v>0</v>
      </c>
      <c r="AV210">
        <v>0</v>
      </c>
      <c r="AW210">
        <v>1</v>
      </c>
      <c r="AX210" t="s">
        <v>74</v>
      </c>
      <c r="AY210">
        <v>0</v>
      </c>
      <c r="AZ210" t="s">
        <v>76</v>
      </c>
      <c r="BA210">
        <v>-1.5707963267949001</v>
      </c>
      <c r="BB210">
        <v>0.99199999999999999</v>
      </c>
      <c r="BC210">
        <v>0</v>
      </c>
      <c r="BD210">
        <v>5.8245346242475203E-2</v>
      </c>
      <c r="BE210">
        <v>0</v>
      </c>
      <c r="BF210">
        <v>1.6E-2</v>
      </c>
      <c r="BG210">
        <v>0</v>
      </c>
      <c r="BH210">
        <v>0</v>
      </c>
      <c r="BI210">
        <v>0</v>
      </c>
      <c r="BJ210">
        <v>0</v>
      </c>
      <c r="BK210">
        <v>1</v>
      </c>
      <c r="BL210" s="1">
        <v>9.5937393451446106E-5</v>
      </c>
      <c r="BM210">
        <v>2.6127729125834798E-4</v>
      </c>
      <c r="BN210" s="1">
        <v>3.5694359843555598E-7</v>
      </c>
      <c r="BO210" s="1">
        <v>4.1041340938353398E-6</v>
      </c>
      <c r="BP210">
        <v>0</v>
      </c>
      <c r="BQ210">
        <v>0</v>
      </c>
      <c r="BR210" s="1">
        <v>5.3736827462542701E-5</v>
      </c>
      <c r="BS210">
        <v>1.49651686879031E-4</v>
      </c>
    </row>
    <row r="211" spans="1:71" x14ac:dyDescent="0.25">
      <c r="A211">
        <v>208</v>
      </c>
      <c r="B211" s="1">
        <v>2.3153619647816699E-6</v>
      </c>
      <c r="C211">
        <v>0.132757733095279</v>
      </c>
      <c r="D211">
        <v>-4.9170362973979202E-4</v>
      </c>
      <c r="E211">
        <v>6.1312499999999995E-4</v>
      </c>
      <c r="F211">
        <v>-1.3275773309527901E-3</v>
      </c>
      <c r="G211" s="1">
        <v>1.0842021724855E-19</v>
      </c>
      <c r="H211" t="s">
        <v>74</v>
      </c>
      <c r="I211">
        <v>0</v>
      </c>
      <c r="J211" t="s">
        <v>75</v>
      </c>
      <c r="K211">
        <v>3.14159265358979</v>
      </c>
      <c r="L211">
        <v>0.64400134526200403</v>
      </c>
      <c r="M211">
        <v>0</v>
      </c>
      <c r="N211">
        <v>3.78125819913359E-2</v>
      </c>
      <c r="O211">
        <v>0</v>
      </c>
      <c r="P211">
        <v>1.6E-2</v>
      </c>
      <c r="Q211">
        <v>0</v>
      </c>
      <c r="R211">
        <v>0</v>
      </c>
      <c r="S211">
        <v>0</v>
      </c>
      <c r="T211">
        <v>0</v>
      </c>
      <c r="U211">
        <v>0.64919490449653094</v>
      </c>
      <c r="V211" t="s">
        <v>78</v>
      </c>
      <c r="W211">
        <v>3885348.72721763</v>
      </c>
      <c r="X211" t="s">
        <v>76</v>
      </c>
      <c r="Y211">
        <v>-1.5707963267949001</v>
      </c>
      <c r="Z211">
        <v>0.64331453545078598</v>
      </c>
      <c r="AA211">
        <v>0</v>
      </c>
      <c r="AB211">
        <v>3.7375652469614301E-2</v>
      </c>
      <c r="AC211">
        <v>0</v>
      </c>
      <c r="AD211">
        <v>3.6165020835562398E-3</v>
      </c>
      <c r="AE211">
        <v>1.43014070446498E-2</v>
      </c>
      <c r="AF211">
        <v>0</v>
      </c>
      <c r="AG211">
        <v>0.214340397538896</v>
      </c>
      <c r="AH211">
        <v>0.310738654526036</v>
      </c>
      <c r="AI211">
        <v>0.38002479448459497</v>
      </c>
      <c r="AJ211" t="s">
        <v>74</v>
      </c>
      <c r="AK211">
        <v>0</v>
      </c>
      <c r="AL211" t="s">
        <v>77</v>
      </c>
      <c r="AM211">
        <v>0</v>
      </c>
      <c r="AN211">
        <v>0.99199999999999999</v>
      </c>
      <c r="AO211">
        <v>0</v>
      </c>
      <c r="AP211">
        <v>5.8245346242475203E-2</v>
      </c>
      <c r="AQ211">
        <v>0</v>
      </c>
      <c r="AR211">
        <v>1.6E-2</v>
      </c>
      <c r="AS211">
        <v>0</v>
      </c>
      <c r="AT211">
        <v>0</v>
      </c>
      <c r="AU211">
        <v>0</v>
      </c>
      <c r="AV211">
        <v>0</v>
      </c>
      <c r="AW211">
        <v>1</v>
      </c>
      <c r="AX211" t="s">
        <v>74</v>
      </c>
      <c r="AY211">
        <v>0</v>
      </c>
      <c r="AZ211" t="s">
        <v>76</v>
      </c>
      <c r="BA211">
        <v>-1.5707963267949001</v>
      </c>
      <c r="BB211">
        <v>0.99199999999999999</v>
      </c>
      <c r="BC211">
        <v>0</v>
      </c>
      <c r="BD211">
        <v>5.8245346242475203E-2</v>
      </c>
      <c r="BE211">
        <v>0</v>
      </c>
      <c r="BF211">
        <v>1.6E-2</v>
      </c>
      <c r="BG211">
        <v>0</v>
      </c>
      <c r="BH211">
        <v>0</v>
      </c>
      <c r="BI211">
        <v>0</v>
      </c>
      <c r="BJ211">
        <v>0</v>
      </c>
      <c r="BK211">
        <v>1</v>
      </c>
      <c r="BL211" s="1">
        <v>9.5839463472950301E-5</v>
      </c>
      <c r="BM211">
        <v>2.6253952603246601E-4</v>
      </c>
      <c r="BN211" s="1">
        <v>3.5657967915648101E-7</v>
      </c>
      <c r="BO211" s="1">
        <v>4.1239612313027104E-6</v>
      </c>
      <c r="BP211">
        <v>0</v>
      </c>
      <c r="BQ211">
        <v>0</v>
      </c>
      <c r="BR211" s="1">
        <v>5.3674621967155203E-5</v>
      </c>
      <c r="BS211">
        <v>1.50374989846189E-4</v>
      </c>
    </row>
    <row r="212" spans="1:71" x14ac:dyDescent="0.25">
      <c r="A212">
        <v>209</v>
      </c>
      <c r="B212" s="1">
        <v>2.3287285383235702E-6</v>
      </c>
      <c r="C212">
        <v>0.132760061823818</v>
      </c>
      <c r="D212">
        <v>-4.9171405279537503E-4</v>
      </c>
      <c r="E212">
        <v>6.1312499999999995E-4</v>
      </c>
      <c r="F212">
        <v>-1.32760061823818E-3</v>
      </c>
      <c r="G212" s="1">
        <v>2.1684043449710098E-19</v>
      </c>
      <c r="H212" t="s">
        <v>74</v>
      </c>
      <c r="I212">
        <v>0</v>
      </c>
      <c r="J212" t="s">
        <v>75</v>
      </c>
      <c r="K212">
        <v>3.14159265358979</v>
      </c>
      <c r="L212">
        <v>0.64232847578188301</v>
      </c>
      <c r="M212">
        <v>0</v>
      </c>
      <c r="N212">
        <v>3.7714359348102001E-2</v>
      </c>
      <c r="O212">
        <v>0</v>
      </c>
      <c r="P212">
        <v>1.6E-2</v>
      </c>
      <c r="Q212">
        <v>0</v>
      </c>
      <c r="R212">
        <v>0</v>
      </c>
      <c r="S212">
        <v>0</v>
      </c>
      <c r="T212">
        <v>0</v>
      </c>
      <c r="U212">
        <v>0.64750854413334302</v>
      </c>
      <c r="V212" t="s">
        <v>78</v>
      </c>
      <c r="W212">
        <v>3885438.6731280298</v>
      </c>
      <c r="X212" t="s">
        <v>76</v>
      </c>
      <c r="Y212">
        <v>-1.5707963267949001</v>
      </c>
      <c r="Z212">
        <v>0.64164262860537902</v>
      </c>
      <c r="AA212">
        <v>0</v>
      </c>
      <c r="AB212">
        <v>3.7278042228136903E-2</v>
      </c>
      <c r="AC212">
        <v>0</v>
      </c>
      <c r="AD212">
        <v>3.5534755500668601E-3</v>
      </c>
      <c r="AE212">
        <v>1.43653892716921E-2</v>
      </c>
      <c r="AF212">
        <v>0</v>
      </c>
      <c r="AG212">
        <v>0.21305044065078299</v>
      </c>
      <c r="AH212">
        <v>0.31455272669129403</v>
      </c>
      <c r="AI212">
        <v>0.37745961544990803</v>
      </c>
      <c r="AJ212" t="s">
        <v>74</v>
      </c>
      <c r="AK212">
        <v>0</v>
      </c>
      <c r="AL212" t="s">
        <v>77</v>
      </c>
      <c r="AM212">
        <v>0</v>
      </c>
      <c r="AN212">
        <v>0.99199999999999999</v>
      </c>
      <c r="AO212">
        <v>0</v>
      </c>
      <c r="AP212">
        <v>5.8245346242475203E-2</v>
      </c>
      <c r="AQ212">
        <v>0</v>
      </c>
      <c r="AR212">
        <v>1.6E-2</v>
      </c>
      <c r="AS212">
        <v>0</v>
      </c>
      <c r="AT212">
        <v>0</v>
      </c>
      <c r="AU212">
        <v>0</v>
      </c>
      <c r="AV212">
        <v>0</v>
      </c>
      <c r="AW212">
        <v>1</v>
      </c>
      <c r="AX212" t="s">
        <v>74</v>
      </c>
      <c r="AY212">
        <v>0</v>
      </c>
      <c r="AZ212" t="s">
        <v>76</v>
      </c>
      <c r="BA212">
        <v>-1.5707963267949001</v>
      </c>
      <c r="BB212">
        <v>0.99199999999999999</v>
      </c>
      <c r="BC212">
        <v>0</v>
      </c>
      <c r="BD212">
        <v>5.8245346242475203E-2</v>
      </c>
      <c r="BE212">
        <v>0</v>
      </c>
      <c r="BF212">
        <v>1.6E-2</v>
      </c>
      <c r="BG212">
        <v>0</v>
      </c>
      <c r="BH212">
        <v>0</v>
      </c>
      <c r="BI212">
        <v>0</v>
      </c>
      <c r="BJ212">
        <v>0</v>
      </c>
      <c r="BK212">
        <v>1</v>
      </c>
      <c r="BL212" s="1">
        <v>9.57415470305946E-5</v>
      </c>
      <c r="BM212">
        <v>2.6380158367103899E-4</v>
      </c>
      <c r="BN212" s="1">
        <v>3.5621580908631699E-7</v>
      </c>
      <c r="BO212" s="1">
        <v>4.1437855863314398E-6</v>
      </c>
      <c r="BP212">
        <v>0</v>
      </c>
      <c r="BQ212">
        <v>0</v>
      </c>
      <c r="BR212" s="1">
        <v>5.3612425241350597E-5</v>
      </c>
      <c r="BS212">
        <v>1.5109819649168001E-4</v>
      </c>
    </row>
    <row r="213" spans="1:71" x14ac:dyDescent="0.25">
      <c r="A213">
        <v>210</v>
      </c>
      <c r="B213" s="1">
        <v>2.3426756981039201E-6</v>
      </c>
      <c r="C213">
        <v>0.13276240449951601</v>
      </c>
      <c r="D213">
        <v>-4.9172453815435899E-4</v>
      </c>
      <c r="E213">
        <v>6.1312499999999995E-4</v>
      </c>
      <c r="F213">
        <v>-1.3276240449951601E-3</v>
      </c>
      <c r="G213" s="1">
        <v>1.0842021724855E-19</v>
      </c>
      <c r="H213" t="s">
        <v>74</v>
      </c>
      <c r="I213">
        <v>0</v>
      </c>
      <c r="J213" t="s">
        <v>75</v>
      </c>
      <c r="K213">
        <v>3.14159265358979</v>
      </c>
      <c r="L213">
        <v>0.64065584890872895</v>
      </c>
      <c r="M213">
        <v>0</v>
      </c>
      <c r="N213">
        <v>3.7616150949552202E-2</v>
      </c>
      <c r="O213">
        <v>0</v>
      </c>
      <c r="P213">
        <v>1.6E-2</v>
      </c>
      <c r="Q213">
        <v>0</v>
      </c>
      <c r="R213">
        <v>0</v>
      </c>
      <c r="S213">
        <v>0</v>
      </c>
      <c r="T213">
        <v>0</v>
      </c>
      <c r="U213">
        <v>0.64582242833362302</v>
      </c>
      <c r="V213" t="s">
        <v>78</v>
      </c>
      <c r="W213">
        <v>3885529.1566865402</v>
      </c>
      <c r="X213" t="s">
        <v>76</v>
      </c>
      <c r="Y213">
        <v>-1.5707963267949001</v>
      </c>
      <c r="Z213">
        <v>0.63997096340389303</v>
      </c>
      <c r="AA213">
        <v>0</v>
      </c>
      <c r="AB213">
        <v>3.7180445618680801E-2</v>
      </c>
      <c r="AC213">
        <v>0</v>
      </c>
      <c r="AD213">
        <v>3.4905284204888899E-3</v>
      </c>
      <c r="AE213">
        <v>1.4429291276565601E-2</v>
      </c>
      <c r="AF213">
        <v>0</v>
      </c>
      <c r="AG213">
        <v>0.21172053893402801</v>
      </c>
      <c r="AH213">
        <v>0.31840637762677898</v>
      </c>
      <c r="AI213">
        <v>0.37489993962249302</v>
      </c>
      <c r="AJ213" t="s">
        <v>74</v>
      </c>
      <c r="AK213">
        <v>0</v>
      </c>
      <c r="AL213" t="s">
        <v>77</v>
      </c>
      <c r="AM213">
        <v>0</v>
      </c>
      <c r="AN213">
        <v>0.99199999999999999</v>
      </c>
      <c r="AO213">
        <v>0</v>
      </c>
      <c r="AP213">
        <v>5.8245346242475203E-2</v>
      </c>
      <c r="AQ213">
        <v>0</v>
      </c>
      <c r="AR213">
        <v>1.6E-2</v>
      </c>
      <c r="AS213">
        <v>0</v>
      </c>
      <c r="AT213">
        <v>0</v>
      </c>
      <c r="AU213">
        <v>0</v>
      </c>
      <c r="AV213">
        <v>0</v>
      </c>
      <c r="AW213">
        <v>1</v>
      </c>
      <c r="AX213" t="s">
        <v>74</v>
      </c>
      <c r="AY213">
        <v>0</v>
      </c>
      <c r="AZ213" t="s">
        <v>76</v>
      </c>
      <c r="BA213">
        <v>-1.5707963267949001</v>
      </c>
      <c r="BB213">
        <v>0.99199999999999999</v>
      </c>
      <c r="BC213">
        <v>0</v>
      </c>
      <c r="BD213">
        <v>5.8245346242475203E-2</v>
      </c>
      <c r="BE213">
        <v>0</v>
      </c>
      <c r="BF213">
        <v>1.6E-2</v>
      </c>
      <c r="BG213">
        <v>0</v>
      </c>
      <c r="BH213">
        <v>0</v>
      </c>
      <c r="BI213">
        <v>0</v>
      </c>
      <c r="BJ213">
        <v>0</v>
      </c>
      <c r="BK213">
        <v>1</v>
      </c>
      <c r="BL213" s="1">
        <v>9.5643644526591704E-5</v>
      </c>
      <c r="BM213">
        <v>2.6506345828040397E-4</v>
      </c>
      <c r="BN213" s="1">
        <v>3.5585198942888498E-7</v>
      </c>
      <c r="BO213" s="1">
        <v>4.1636070663440998E-6</v>
      </c>
      <c r="BP213">
        <v>0</v>
      </c>
      <c r="BQ213">
        <v>0</v>
      </c>
      <c r="BR213" s="1">
        <v>5.3550237568340001E-5</v>
      </c>
      <c r="BS213">
        <v>1.51821303551172E-4</v>
      </c>
    </row>
    <row r="214" spans="1:71" x14ac:dyDescent="0.25">
      <c r="A214">
        <v>211</v>
      </c>
      <c r="B214" s="1">
        <v>2.3572283328017001E-6</v>
      </c>
      <c r="C214">
        <v>0.13276476172784801</v>
      </c>
      <c r="D214">
        <v>-4.91735088524513E-4</v>
      </c>
      <c r="E214">
        <v>6.1312499999999995E-4</v>
      </c>
      <c r="F214">
        <v>-1.32764761727849E-3</v>
      </c>
      <c r="G214" s="1">
        <v>1.0842021724855E-19</v>
      </c>
      <c r="H214" t="s">
        <v>74</v>
      </c>
      <c r="I214">
        <v>0</v>
      </c>
      <c r="J214" t="s">
        <v>75</v>
      </c>
      <c r="K214">
        <v>3.14159265358979</v>
      </c>
      <c r="L214">
        <v>0.63898347285211299</v>
      </c>
      <c r="M214">
        <v>0</v>
      </c>
      <c r="N214">
        <v>3.7517957277712302E-2</v>
      </c>
      <c r="O214">
        <v>0</v>
      </c>
      <c r="P214">
        <v>1.6E-2</v>
      </c>
      <c r="Q214">
        <v>0</v>
      </c>
      <c r="R214">
        <v>0</v>
      </c>
      <c r="S214">
        <v>0</v>
      </c>
      <c r="T214">
        <v>0</v>
      </c>
      <c r="U214">
        <v>0.64413656537314801</v>
      </c>
      <c r="V214" t="s">
        <v>78</v>
      </c>
      <c r="W214">
        <v>3885620.2012598901</v>
      </c>
      <c r="X214" t="s">
        <v>76</v>
      </c>
      <c r="Y214">
        <v>-1.5707963267949001</v>
      </c>
      <c r="Z214">
        <v>0.63829954787120002</v>
      </c>
      <c r="AA214">
        <v>0</v>
      </c>
      <c r="AB214">
        <v>3.7082863005771703E-2</v>
      </c>
      <c r="AC214">
        <v>0</v>
      </c>
      <c r="AD214">
        <v>3.4276615637074499E-3</v>
      </c>
      <c r="AE214">
        <v>1.44931123682324E-2</v>
      </c>
      <c r="AF214">
        <v>0</v>
      </c>
      <c r="AG214">
        <v>0.21035005267961701</v>
      </c>
      <c r="AH214">
        <v>0.322300234654464</v>
      </c>
      <c r="AI214">
        <v>0.372345798585345</v>
      </c>
      <c r="AJ214" t="s">
        <v>74</v>
      </c>
      <c r="AK214">
        <v>0</v>
      </c>
      <c r="AL214" t="s">
        <v>77</v>
      </c>
      <c r="AM214">
        <v>0</v>
      </c>
      <c r="AN214">
        <v>0.99199999999999999</v>
      </c>
      <c r="AO214">
        <v>0</v>
      </c>
      <c r="AP214">
        <v>5.8245346242475203E-2</v>
      </c>
      <c r="AQ214">
        <v>0</v>
      </c>
      <c r="AR214">
        <v>1.6E-2</v>
      </c>
      <c r="AS214">
        <v>0</v>
      </c>
      <c r="AT214">
        <v>0</v>
      </c>
      <c r="AU214">
        <v>0</v>
      </c>
      <c r="AV214">
        <v>0</v>
      </c>
      <c r="AW214">
        <v>1</v>
      </c>
      <c r="AX214" t="s">
        <v>74</v>
      </c>
      <c r="AY214">
        <v>0</v>
      </c>
      <c r="AZ214" t="s">
        <v>76</v>
      </c>
      <c r="BA214">
        <v>-1.5707963267949001</v>
      </c>
      <c r="BB214">
        <v>0.99199999999999999</v>
      </c>
      <c r="BC214">
        <v>0</v>
      </c>
      <c r="BD214">
        <v>5.8245346242475203E-2</v>
      </c>
      <c r="BE214">
        <v>0</v>
      </c>
      <c r="BF214">
        <v>1.6E-2</v>
      </c>
      <c r="BG214">
        <v>0</v>
      </c>
      <c r="BH214">
        <v>0</v>
      </c>
      <c r="BI214">
        <v>0</v>
      </c>
      <c r="BJ214">
        <v>0</v>
      </c>
      <c r="BK214">
        <v>1</v>
      </c>
      <c r="BL214" s="1">
        <v>9.5545756384217203E-5</v>
      </c>
      <c r="BM214">
        <v>2.6632514366704E-4</v>
      </c>
      <c r="BN214" s="1">
        <v>3.55488221454643E-7</v>
      </c>
      <c r="BO214" s="1">
        <v>4.1834255740530999E-6</v>
      </c>
      <c r="BP214">
        <v>0</v>
      </c>
      <c r="BQ214">
        <v>0</v>
      </c>
      <c r="BR214" s="1">
        <v>5.34880592458298E-5</v>
      </c>
      <c r="BS214">
        <v>1.52544307593783E-4</v>
      </c>
    </row>
    <row r="215" spans="1:71" x14ac:dyDescent="0.25">
      <c r="A215">
        <v>212</v>
      </c>
      <c r="B215" s="1">
        <v>2.3724130190312498E-6</v>
      </c>
      <c r="C215">
        <v>0.13276713414086799</v>
      </c>
      <c r="D215">
        <v>-4.9174570673241199E-4</v>
      </c>
      <c r="E215">
        <v>6.1312499999999995E-4</v>
      </c>
      <c r="F215">
        <v>-1.3276713414086801E-3</v>
      </c>
      <c r="G215" s="1">
        <v>1.0842021724855E-19</v>
      </c>
      <c r="H215" t="s">
        <v>74</v>
      </c>
      <c r="I215">
        <v>0</v>
      </c>
      <c r="J215" t="s">
        <v>75</v>
      </c>
      <c r="K215">
        <v>3.14159265358979</v>
      </c>
      <c r="L215">
        <v>0.63731135624649105</v>
      </c>
      <c r="M215">
        <v>0</v>
      </c>
      <c r="N215">
        <v>3.7419778839554801E-2</v>
      </c>
      <c r="O215">
        <v>0</v>
      </c>
      <c r="P215">
        <v>1.6E-2</v>
      </c>
      <c r="Q215">
        <v>0</v>
      </c>
      <c r="R215">
        <v>0</v>
      </c>
      <c r="S215">
        <v>0</v>
      </c>
      <c r="T215">
        <v>0</v>
      </c>
      <c r="U215">
        <v>0.64245096395600898</v>
      </c>
      <c r="V215" t="s">
        <v>78</v>
      </c>
      <c r="W215">
        <v>3885711.83124005</v>
      </c>
      <c r="X215" t="s">
        <v>76</v>
      </c>
      <c r="Y215">
        <v>-1.5707963267949001</v>
      </c>
      <c r="Z215">
        <v>0.63662839044939701</v>
      </c>
      <c r="AA215">
        <v>0</v>
      </c>
      <c r="AB215">
        <v>3.6985294774006701E-2</v>
      </c>
      <c r="AC215">
        <v>0</v>
      </c>
      <c r="AD215">
        <v>3.3648758717082102E-3</v>
      </c>
      <c r="AE215">
        <v>1.45568518383102E-2</v>
      </c>
      <c r="AF215">
        <v>0</v>
      </c>
      <c r="AG215">
        <v>0.20893832011085001</v>
      </c>
      <c r="AH215">
        <v>0.32623494652291402</v>
      </c>
      <c r="AI215">
        <v>0.36979722459210301</v>
      </c>
      <c r="AJ215" t="s">
        <v>74</v>
      </c>
      <c r="AK215">
        <v>0</v>
      </c>
      <c r="AL215" t="s">
        <v>77</v>
      </c>
      <c r="AM215">
        <v>0</v>
      </c>
      <c r="AN215">
        <v>0.99199999999999999</v>
      </c>
      <c r="AO215">
        <v>0</v>
      </c>
      <c r="AP215">
        <v>5.8245346242475203E-2</v>
      </c>
      <c r="AQ215">
        <v>0</v>
      </c>
      <c r="AR215">
        <v>1.6E-2</v>
      </c>
      <c r="AS215">
        <v>0</v>
      </c>
      <c r="AT215">
        <v>0</v>
      </c>
      <c r="AU215">
        <v>0</v>
      </c>
      <c r="AV215">
        <v>0</v>
      </c>
      <c r="AW215">
        <v>1</v>
      </c>
      <c r="AX215" t="s">
        <v>74</v>
      </c>
      <c r="AY215">
        <v>0</v>
      </c>
      <c r="AZ215" t="s">
        <v>76</v>
      </c>
      <c r="BA215">
        <v>-1.5707963267949001</v>
      </c>
      <c r="BB215">
        <v>0.99199999999999999</v>
      </c>
      <c r="BC215">
        <v>0</v>
      </c>
      <c r="BD215">
        <v>5.8245346242475203E-2</v>
      </c>
      <c r="BE215">
        <v>0</v>
      </c>
      <c r="BF215">
        <v>1.6E-2</v>
      </c>
      <c r="BG215">
        <v>0</v>
      </c>
      <c r="BH215">
        <v>0</v>
      </c>
      <c r="BI215">
        <v>0</v>
      </c>
      <c r="BJ215">
        <v>0</v>
      </c>
      <c r="BK215">
        <v>1</v>
      </c>
      <c r="BL215" s="1">
        <v>9.5447883049256001E-5</v>
      </c>
      <c r="BM215">
        <v>2.6758663331688201E-4</v>
      </c>
      <c r="BN215" s="1">
        <v>3.5512450650522901E-7</v>
      </c>
      <c r="BO215" s="1">
        <v>4.20324100713571E-6</v>
      </c>
      <c r="BP215">
        <v>0</v>
      </c>
      <c r="BQ215">
        <v>0</v>
      </c>
      <c r="BR215" s="1">
        <v>5.3425890587020401E-5</v>
      </c>
      <c r="BS215">
        <v>1.53267205010563E-4</v>
      </c>
    </row>
    <row r="216" spans="1:71" x14ac:dyDescent="0.25">
      <c r="A216">
        <v>213</v>
      </c>
      <c r="B216" s="1">
        <v>2.3882581626917698E-6</v>
      </c>
      <c r="C216">
        <v>0.13276952239903</v>
      </c>
      <c r="D216">
        <v>-4.9175639573161901E-4</v>
      </c>
      <c r="E216">
        <v>6.1312499999999995E-4</v>
      </c>
      <c r="F216">
        <v>-1.3276952239903001E-3</v>
      </c>
      <c r="G216" s="1">
        <v>2.1684043449710098E-19</v>
      </c>
      <c r="H216" t="s">
        <v>74</v>
      </c>
      <c r="I216">
        <v>0</v>
      </c>
      <c r="J216" t="s">
        <v>75</v>
      </c>
      <c r="K216">
        <v>3.14159265358979</v>
      </c>
      <c r="L216">
        <v>0.63563950818099402</v>
      </c>
      <c r="M216">
        <v>0</v>
      </c>
      <c r="N216">
        <v>3.73216161687486E-2</v>
      </c>
      <c r="O216">
        <v>0</v>
      </c>
      <c r="P216">
        <v>1.6E-2</v>
      </c>
      <c r="Q216">
        <v>0</v>
      </c>
      <c r="R216">
        <v>0</v>
      </c>
      <c r="S216">
        <v>0</v>
      </c>
      <c r="T216">
        <v>0</v>
      </c>
      <c r="U216">
        <v>0.64076563324463398</v>
      </c>
      <c r="V216" t="s">
        <v>78</v>
      </c>
      <c r="W216">
        <v>3885804.0721148299</v>
      </c>
      <c r="X216" t="s">
        <v>76</v>
      </c>
      <c r="Y216">
        <v>-1.5707963267949001</v>
      </c>
      <c r="Z216">
        <v>0.634957500027027</v>
      </c>
      <c r="AA216">
        <v>0</v>
      </c>
      <c r="AB216">
        <v>3.6887741329448498E-2</v>
      </c>
      <c r="AC216">
        <v>0</v>
      </c>
      <c r="AD216">
        <v>3.3021722610437E-3</v>
      </c>
      <c r="AE216">
        <v>1.46205089600466E-2</v>
      </c>
      <c r="AF216">
        <v>0</v>
      </c>
      <c r="AG216">
        <v>0.20748465623946</v>
      </c>
      <c r="AH216">
        <v>0.33021118450623299</v>
      </c>
      <c r="AI216">
        <v>0.36725425060614197</v>
      </c>
      <c r="AJ216" t="s">
        <v>74</v>
      </c>
      <c r="AK216">
        <v>0</v>
      </c>
      <c r="AL216" t="s">
        <v>77</v>
      </c>
      <c r="AM216">
        <v>0</v>
      </c>
      <c r="AN216">
        <v>0.99199999999999999</v>
      </c>
      <c r="AO216">
        <v>0</v>
      </c>
      <c r="AP216">
        <v>5.8245346242475203E-2</v>
      </c>
      <c r="AQ216">
        <v>0</v>
      </c>
      <c r="AR216">
        <v>1.6E-2</v>
      </c>
      <c r="AS216">
        <v>0</v>
      </c>
      <c r="AT216">
        <v>0</v>
      </c>
      <c r="AU216">
        <v>0</v>
      </c>
      <c r="AV216">
        <v>0</v>
      </c>
      <c r="AW216">
        <v>1</v>
      </c>
      <c r="AX216" t="s">
        <v>74</v>
      </c>
      <c r="AY216">
        <v>0</v>
      </c>
      <c r="AZ216" t="s">
        <v>76</v>
      </c>
      <c r="BA216">
        <v>-1.5707963267949001</v>
      </c>
      <c r="BB216">
        <v>0.99199999999999999</v>
      </c>
      <c r="BC216">
        <v>0</v>
      </c>
      <c r="BD216">
        <v>5.8245346242475203E-2</v>
      </c>
      <c r="BE216">
        <v>0</v>
      </c>
      <c r="BF216">
        <v>1.6E-2</v>
      </c>
      <c r="BG216">
        <v>0</v>
      </c>
      <c r="BH216">
        <v>0</v>
      </c>
      <c r="BI216">
        <v>0</v>
      </c>
      <c r="BJ216">
        <v>0</v>
      </c>
      <c r="BK216">
        <v>1</v>
      </c>
      <c r="BL216" s="1">
        <v>9.5350024991573806E-5</v>
      </c>
      <c r="BM216">
        <v>2.6884792037284598E-4</v>
      </c>
      <c r="BN216" s="1">
        <v>3.5476084599838702E-7</v>
      </c>
      <c r="BO216" s="1">
        <v>4.22305325788114E-6</v>
      </c>
      <c r="BP216">
        <v>0</v>
      </c>
      <c r="BQ216">
        <v>0</v>
      </c>
      <c r="BR216" s="1">
        <v>5.3363731921690699E-5</v>
      </c>
      <c r="BS216">
        <v>1.5398999200197901E-4</v>
      </c>
    </row>
    <row r="217" spans="1:71" x14ac:dyDescent="0.25">
      <c r="A217">
        <v>214</v>
      </c>
      <c r="B217" s="1">
        <v>2.4047941547903902E-6</v>
      </c>
      <c r="C217">
        <v>0.13277192719318501</v>
      </c>
      <c r="D217">
        <v>-4.9176715861155601E-4</v>
      </c>
      <c r="E217">
        <v>6.1312499999999995E-4</v>
      </c>
      <c r="F217">
        <v>-1.3277192719318501E-3</v>
      </c>
      <c r="G217" s="1">
        <v>2.1684043449710098E-19</v>
      </c>
      <c r="H217" t="s">
        <v>74</v>
      </c>
      <c r="I217">
        <v>0</v>
      </c>
      <c r="J217" t="s">
        <v>75</v>
      </c>
      <c r="K217">
        <v>3.14159265358979</v>
      </c>
      <c r="L217">
        <v>0.63396793823185604</v>
      </c>
      <c r="M217">
        <v>0</v>
      </c>
      <c r="N217">
        <v>3.7223469827563103E-2</v>
      </c>
      <c r="O217">
        <v>0</v>
      </c>
      <c r="P217">
        <v>1.6E-2</v>
      </c>
      <c r="Q217">
        <v>0</v>
      </c>
      <c r="R217">
        <v>0</v>
      </c>
      <c r="S217">
        <v>0</v>
      </c>
      <c r="T217">
        <v>0</v>
      </c>
      <c r="U217">
        <v>0.63908058289248804</v>
      </c>
      <c r="V217" t="s">
        <v>78</v>
      </c>
      <c r="W217">
        <v>3885896.9505444602</v>
      </c>
      <c r="X217" t="s">
        <v>76</v>
      </c>
      <c r="Y217">
        <v>-1.5707963267949001</v>
      </c>
      <c r="Z217">
        <v>0.63328688597091398</v>
      </c>
      <c r="AA217">
        <v>0</v>
      </c>
      <c r="AB217">
        <v>3.6790203101143899E-2</v>
      </c>
      <c r="AC217">
        <v>0</v>
      </c>
      <c r="AD217">
        <v>3.2395516744257E-3</v>
      </c>
      <c r="AE217">
        <v>1.46840829872043E-2</v>
      </c>
      <c r="AF217">
        <v>0</v>
      </c>
      <c r="AG217">
        <v>0.20598835164279999</v>
      </c>
      <c r="AH217">
        <v>0.334229643577928</v>
      </c>
      <c r="AI217">
        <v>0.364716910343032</v>
      </c>
      <c r="AJ217" t="s">
        <v>74</v>
      </c>
      <c r="AK217">
        <v>0</v>
      </c>
      <c r="AL217" t="s">
        <v>77</v>
      </c>
      <c r="AM217">
        <v>0</v>
      </c>
      <c r="AN217">
        <v>0.99199999999999999</v>
      </c>
      <c r="AO217">
        <v>0</v>
      </c>
      <c r="AP217">
        <v>5.8245346242475203E-2</v>
      </c>
      <c r="AQ217">
        <v>0</v>
      </c>
      <c r="AR217">
        <v>1.6E-2</v>
      </c>
      <c r="AS217">
        <v>0</v>
      </c>
      <c r="AT217">
        <v>0</v>
      </c>
      <c r="AU217">
        <v>0</v>
      </c>
      <c r="AV217">
        <v>0</v>
      </c>
      <c r="AW217">
        <v>1</v>
      </c>
      <c r="AX217" t="s">
        <v>74</v>
      </c>
      <c r="AY217">
        <v>0</v>
      </c>
      <c r="AZ217" t="s">
        <v>76</v>
      </c>
      <c r="BA217">
        <v>-1.5707963267949001</v>
      </c>
      <c r="BB217">
        <v>0.99199999999999999</v>
      </c>
      <c r="BC217">
        <v>0</v>
      </c>
      <c r="BD217">
        <v>5.8245346242475203E-2</v>
      </c>
      <c r="BE217">
        <v>0</v>
      </c>
      <c r="BF217">
        <v>1.6E-2</v>
      </c>
      <c r="BG217">
        <v>0</v>
      </c>
      <c r="BH217">
        <v>0</v>
      </c>
      <c r="BI217">
        <v>0</v>
      </c>
      <c r="BJ217">
        <v>0</v>
      </c>
      <c r="BK217">
        <v>1</v>
      </c>
      <c r="BL217" s="1">
        <v>9.52521827068287E-5</v>
      </c>
      <c r="BM217">
        <v>2.7010899761036402E-4</v>
      </c>
      <c r="BN217" s="1">
        <v>3.54397241433342E-7</v>
      </c>
      <c r="BO217" s="1">
        <v>4.2428622128061096E-6</v>
      </c>
      <c r="BP217">
        <v>0</v>
      </c>
      <c r="BQ217">
        <v>0</v>
      </c>
      <c r="BR217" s="1">
        <v>5.3301583597379302E-5</v>
      </c>
      <c r="BS217">
        <v>1.54712664564287E-4</v>
      </c>
    </row>
    <row r="218" spans="1:71" x14ac:dyDescent="0.25">
      <c r="A218">
        <v>215</v>
      </c>
      <c r="B218" s="1">
        <v>2.42205354399546E-6</v>
      </c>
      <c r="C218">
        <v>0.13277434924672901</v>
      </c>
      <c r="D218">
        <v>-4.9177799860715301E-4</v>
      </c>
      <c r="E218">
        <v>6.1312499999999995E-4</v>
      </c>
      <c r="F218">
        <v>-1.32774349246729E-3</v>
      </c>
      <c r="G218" s="1">
        <v>1.0842021724855E-19</v>
      </c>
      <c r="H218" t="s">
        <v>74</v>
      </c>
      <c r="I218">
        <v>0</v>
      </c>
      <c r="J218" t="s">
        <v>75</v>
      </c>
      <c r="K218">
        <v>3.14159265358979</v>
      </c>
      <c r="L218">
        <v>0.63229665649781197</v>
      </c>
      <c r="M218">
        <v>0</v>
      </c>
      <c r="N218">
        <v>3.7125340408946002E-2</v>
      </c>
      <c r="O218">
        <v>0</v>
      </c>
      <c r="P218">
        <v>1.6E-2</v>
      </c>
      <c r="Q218">
        <v>0</v>
      </c>
      <c r="R218">
        <v>0</v>
      </c>
      <c r="S218">
        <v>0</v>
      </c>
      <c r="T218">
        <v>0</v>
      </c>
      <c r="U218">
        <v>0.63739582307974596</v>
      </c>
      <c r="V218" t="s">
        <v>78</v>
      </c>
      <c r="W218">
        <v>3885990.4944448099</v>
      </c>
      <c r="X218" t="s">
        <v>76</v>
      </c>
      <c r="Y218">
        <v>-1.5707963267949001</v>
      </c>
      <c r="Z218">
        <v>0.63161655816089302</v>
      </c>
      <c r="AA218">
        <v>0</v>
      </c>
      <c r="AB218">
        <v>3.6692680542783199E-2</v>
      </c>
      <c r="AC218">
        <v>0</v>
      </c>
      <c r="AD218">
        <v>3.1770150824574298E-3</v>
      </c>
      <c r="AE218">
        <v>1.47475731528458E-2</v>
      </c>
      <c r="AF218">
        <v>0</v>
      </c>
      <c r="AG218">
        <v>0.20444867115528101</v>
      </c>
      <c r="AH218">
        <v>0.33829104366607499</v>
      </c>
      <c r="AI218">
        <v>0.36218523831674798</v>
      </c>
      <c r="AJ218" t="s">
        <v>74</v>
      </c>
      <c r="AK218">
        <v>0</v>
      </c>
      <c r="AL218" t="s">
        <v>77</v>
      </c>
      <c r="AM218">
        <v>0</v>
      </c>
      <c r="AN218">
        <v>0.99199999999999999</v>
      </c>
      <c r="AO218">
        <v>0</v>
      </c>
      <c r="AP218">
        <v>5.8245346242475203E-2</v>
      </c>
      <c r="AQ218">
        <v>0</v>
      </c>
      <c r="AR218">
        <v>1.6E-2</v>
      </c>
      <c r="AS218">
        <v>0</v>
      </c>
      <c r="AT218">
        <v>0</v>
      </c>
      <c r="AU218">
        <v>0</v>
      </c>
      <c r="AV218">
        <v>0</v>
      </c>
      <c r="AW218">
        <v>1</v>
      </c>
      <c r="AX218" t="s">
        <v>74</v>
      </c>
      <c r="AY218">
        <v>0</v>
      </c>
      <c r="AZ218" t="s">
        <v>76</v>
      </c>
      <c r="BA218">
        <v>-1.5707963267949001</v>
      </c>
      <c r="BB218">
        <v>0.99199999999999999</v>
      </c>
      <c r="BC218">
        <v>0</v>
      </c>
      <c r="BD218">
        <v>5.8245346242475203E-2</v>
      </c>
      <c r="BE218">
        <v>0</v>
      </c>
      <c r="BF218">
        <v>1.6E-2</v>
      </c>
      <c r="BG218">
        <v>0</v>
      </c>
      <c r="BH218">
        <v>0</v>
      </c>
      <c r="BI218">
        <v>0</v>
      </c>
      <c r="BJ218">
        <v>0</v>
      </c>
      <c r="BK218">
        <v>1</v>
      </c>
      <c r="BL218" s="1">
        <v>9.5154356718339794E-5</v>
      </c>
      <c r="BM218">
        <v>2.7136985741067798E-4</v>
      </c>
      <c r="BN218" s="1">
        <v>3.54033694396673E-7</v>
      </c>
      <c r="BO218" s="1">
        <v>4.26266775223548E-6</v>
      </c>
      <c r="BP218">
        <v>0</v>
      </c>
      <c r="BQ218">
        <v>0</v>
      </c>
      <c r="BR218" s="1">
        <v>5.3239445980673598E-5</v>
      </c>
      <c r="BS218">
        <v>1.55435218474666E-4</v>
      </c>
    </row>
    <row r="219" spans="1:71" x14ac:dyDescent="0.25">
      <c r="A219">
        <v>216</v>
      </c>
      <c r="B219" s="1">
        <v>2.4400712275384301E-6</v>
      </c>
      <c r="C219">
        <v>0.132776789317957</v>
      </c>
      <c r="D219">
        <v>-4.9178891910934804E-4</v>
      </c>
      <c r="E219">
        <v>6.1312499999999995E-4</v>
      </c>
      <c r="F219">
        <v>-1.3277678931795699E-3</v>
      </c>
      <c r="G219" s="1">
        <v>1.0842021724855E-19</v>
      </c>
      <c r="H219" t="s">
        <v>74</v>
      </c>
      <c r="I219">
        <v>0</v>
      </c>
      <c r="J219" t="s">
        <v>75</v>
      </c>
      <c r="K219">
        <v>3.14159265358979</v>
      </c>
      <c r="L219">
        <v>0.63062567363871502</v>
      </c>
      <c r="M219">
        <v>0</v>
      </c>
      <c r="N219">
        <v>3.70272285387915E-2</v>
      </c>
      <c r="O219">
        <v>0</v>
      </c>
      <c r="P219">
        <v>1.6E-2</v>
      </c>
      <c r="Q219">
        <v>0</v>
      </c>
      <c r="R219">
        <v>0</v>
      </c>
      <c r="S219">
        <v>0</v>
      </c>
      <c r="T219">
        <v>0</v>
      </c>
      <c r="U219">
        <v>0.63571136455222998</v>
      </c>
      <c r="V219" t="s">
        <v>78</v>
      </c>
      <c r="W219">
        <v>3886084.7330780099</v>
      </c>
      <c r="X219" t="s">
        <v>76</v>
      </c>
      <c r="Y219">
        <v>-1.5707963267949001</v>
      </c>
      <c r="Z219">
        <v>0.62994652702771403</v>
      </c>
      <c r="AA219">
        <v>0</v>
      </c>
      <c r="AB219">
        <v>3.6595174134511202E-2</v>
      </c>
      <c r="AC219">
        <v>0</v>
      </c>
      <c r="AD219">
        <v>3.1145634855196001E-3</v>
      </c>
      <c r="AE219">
        <v>1.48109786680094E-2</v>
      </c>
      <c r="AF219">
        <v>0</v>
      </c>
      <c r="AG219">
        <v>0.202864852466483</v>
      </c>
      <c r="AH219">
        <v>0.342396130996937</v>
      </c>
      <c r="AI219">
        <v>0.35965926988997599</v>
      </c>
      <c r="AJ219" t="s">
        <v>74</v>
      </c>
      <c r="AK219">
        <v>0</v>
      </c>
      <c r="AL219" t="s">
        <v>77</v>
      </c>
      <c r="AM219">
        <v>0</v>
      </c>
      <c r="AN219">
        <v>0.99199999999999999</v>
      </c>
      <c r="AO219">
        <v>0</v>
      </c>
      <c r="AP219">
        <v>5.8245346242475203E-2</v>
      </c>
      <c r="AQ219">
        <v>0</v>
      </c>
      <c r="AR219">
        <v>1.6E-2</v>
      </c>
      <c r="AS219">
        <v>0</v>
      </c>
      <c r="AT219">
        <v>0</v>
      </c>
      <c r="AU219">
        <v>0</v>
      </c>
      <c r="AV219">
        <v>0</v>
      </c>
      <c r="AW219">
        <v>1</v>
      </c>
      <c r="AX219" t="s">
        <v>74</v>
      </c>
      <c r="AY219">
        <v>0</v>
      </c>
      <c r="AZ219" t="s">
        <v>76</v>
      </c>
      <c r="BA219">
        <v>-1.5707963267949001</v>
      </c>
      <c r="BB219">
        <v>0.99199999999999999</v>
      </c>
      <c r="BC219">
        <v>0</v>
      </c>
      <c r="BD219">
        <v>5.8245346242475203E-2</v>
      </c>
      <c r="BE219">
        <v>0</v>
      </c>
      <c r="BF219">
        <v>1.6E-2</v>
      </c>
      <c r="BG219">
        <v>0</v>
      </c>
      <c r="BH219">
        <v>0</v>
      </c>
      <c r="BI219">
        <v>0</v>
      </c>
      <c r="BJ219">
        <v>0</v>
      </c>
      <c r="BK219">
        <v>1</v>
      </c>
      <c r="BL219" s="1">
        <v>9.5056547579126498E-5</v>
      </c>
      <c r="BM219">
        <v>2.7263049173170998E-4</v>
      </c>
      <c r="BN219" s="1">
        <v>3.5367020656872102E-7</v>
      </c>
      <c r="BO219" s="1">
        <v>4.2824697498445701E-6</v>
      </c>
      <c r="BP219">
        <v>0</v>
      </c>
      <c r="BQ219">
        <v>0</v>
      </c>
      <c r="BR219" s="1">
        <v>5.3177319458616599E-5</v>
      </c>
      <c r="BS219">
        <v>1.56157649274981E-4</v>
      </c>
    </row>
    <row r="220" spans="1:71" x14ac:dyDescent="0.25">
      <c r="A220">
        <v>217</v>
      </c>
      <c r="B220" s="1">
        <v>2.4588846633124499E-6</v>
      </c>
      <c r="C220">
        <v>0.13277924820261999</v>
      </c>
      <c r="D220">
        <v>-4.91799923676531E-4</v>
      </c>
      <c r="E220">
        <v>6.1312499999999995E-4</v>
      </c>
      <c r="F220">
        <v>-1.3277924820261999E-3</v>
      </c>
      <c r="G220" s="1">
        <v>2.1684043449710098E-19</v>
      </c>
      <c r="H220" t="s">
        <v>74</v>
      </c>
      <c r="I220">
        <v>0</v>
      </c>
      <c r="J220" t="s">
        <v>75</v>
      </c>
      <c r="K220">
        <v>3.14159265358979</v>
      </c>
      <c r="L220">
        <v>0.62895500091781598</v>
      </c>
      <c r="M220">
        <v>0</v>
      </c>
      <c r="N220">
        <v>3.69291348784219E-2</v>
      </c>
      <c r="O220">
        <v>0</v>
      </c>
      <c r="P220">
        <v>1.6E-2</v>
      </c>
      <c r="Q220">
        <v>0</v>
      </c>
      <c r="R220">
        <v>0</v>
      </c>
      <c r="S220">
        <v>0</v>
      </c>
      <c r="T220">
        <v>0</v>
      </c>
      <c r="U220">
        <v>0.63402721866402301</v>
      </c>
      <c r="V220" t="s">
        <v>78</v>
      </c>
      <c r="W220">
        <v>3886179.6971512502</v>
      </c>
      <c r="X220" t="s">
        <v>76</v>
      </c>
      <c r="Y220">
        <v>-1.5707963267949001</v>
      </c>
      <c r="Z220">
        <v>0.62827680359453797</v>
      </c>
      <c r="AA220">
        <v>0</v>
      </c>
      <c r="AB220">
        <v>3.6497684384911203E-2</v>
      </c>
      <c r="AC220">
        <v>0</v>
      </c>
      <c r="AD220">
        <v>3.05219791582947E-3</v>
      </c>
      <c r="AE220">
        <v>1.48742987202614E-2</v>
      </c>
      <c r="AF220">
        <v>0</v>
      </c>
      <c r="AG220">
        <v>0.20123610461762201</v>
      </c>
      <c r="AH220">
        <v>0.3465456795347</v>
      </c>
      <c r="AI220">
        <v>0.35713904132906699</v>
      </c>
      <c r="AJ220" t="s">
        <v>74</v>
      </c>
      <c r="AK220">
        <v>0</v>
      </c>
      <c r="AL220" t="s">
        <v>77</v>
      </c>
      <c r="AM220">
        <v>0</v>
      </c>
      <c r="AN220">
        <v>0.99199999999999999</v>
      </c>
      <c r="AO220">
        <v>0</v>
      </c>
      <c r="AP220">
        <v>5.8245346242475203E-2</v>
      </c>
      <c r="AQ220">
        <v>0</v>
      </c>
      <c r="AR220">
        <v>1.6E-2</v>
      </c>
      <c r="AS220">
        <v>0</v>
      </c>
      <c r="AT220">
        <v>0</v>
      </c>
      <c r="AU220">
        <v>0</v>
      </c>
      <c r="AV220">
        <v>0</v>
      </c>
      <c r="AW220">
        <v>1</v>
      </c>
      <c r="AX220" t="s">
        <v>74</v>
      </c>
      <c r="AY220">
        <v>0</v>
      </c>
      <c r="AZ220" t="s">
        <v>76</v>
      </c>
      <c r="BA220">
        <v>-1.5707963267949001</v>
      </c>
      <c r="BB220">
        <v>0.99199999999999999</v>
      </c>
      <c r="BC220">
        <v>0</v>
      </c>
      <c r="BD220">
        <v>5.8245346242475203E-2</v>
      </c>
      <c r="BE220">
        <v>0</v>
      </c>
      <c r="BF220">
        <v>1.6E-2</v>
      </c>
      <c r="BG220">
        <v>0</v>
      </c>
      <c r="BH220">
        <v>0</v>
      </c>
      <c r="BI220">
        <v>0</v>
      </c>
      <c r="BJ220">
        <v>0</v>
      </c>
      <c r="BK220">
        <v>1</v>
      </c>
      <c r="BL220" s="1">
        <v>9.4958755874141796E-5</v>
      </c>
      <c r="BM220">
        <v>2.7389089207616098E-4</v>
      </c>
      <c r="BN220" s="1">
        <v>3.5330677973061202E-7</v>
      </c>
      <c r="BO220" s="1">
        <v>4.3022680721581102E-6</v>
      </c>
      <c r="BP220">
        <v>0</v>
      </c>
      <c r="BQ220">
        <v>0</v>
      </c>
      <c r="BR220" s="1">
        <v>5.31152044402461E-5</v>
      </c>
      <c r="BS220">
        <v>1.5687995225402001E-4</v>
      </c>
    </row>
    <row r="221" spans="1:71" x14ac:dyDescent="0.25">
      <c r="A221">
        <v>218</v>
      </c>
      <c r="B221" s="1">
        <v>2.47853410554636E-6</v>
      </c>
      <c r="C221">
        <v>0.132781726736725</v>
      </c>
      <c r="D221">
        <v>-4.9181101604704996E-4</v>
      </c>
      <c r="E221">
        <v>6.1312499999999995E-4</v>
      </c>
      <c r="F221">
        <v>-1.3278172673672501E-3</v>
      </c>
      <c r="G221" s="1">
        <v>1.0842021724855E-19</v>
      </c>
      <c r="H221" t="s">
        <v>74</v>
      </c>
      <c r="I221">
        <v>0</v>
      </c>
      <c r="J221" t="s">
        <v>75</v>
      </c>
      <c r="K221">
        <v>3.14159265358979</v>
      </c>
      <c r="L221">
        <v>0.627284650248075</v>
      </c>
      <c r="M221">
        <v>0</v>
      </c>
      <c r="N221">
        <v>3.6831060127307497E-2</v>
      </c>
      <c r="O221">
        <v>0</v>
      </c>
      <c r="P221">
        <v>1.6E-2</v>
      </c>
      <c r="Q221">
        <v>0</v>
      </c>
      <c r="R221">
        <v>0</v>
      </c>
      <c r="S221">
        <v>0</v>
      </c>
      <c r="T221">
        <v>0</v>
      </c>
      <c r="U221">
        <v>0.63234339742415702</v>
      </c>
      <c r="V221" t="s">
        <v>78</v>
      </c>
      <c r="W221">
        <v>3886275.4189246702</v>
      </c>
      <c r="X221" t="s">
        <v>76</v>
      </c>
      <c r="Y221">
        <v>-1.5707963267949001</v>
      </c>
      <c r="Z221">
        <v>0.62660739952238798</v>
      </c>
      <c r="AA221">
        <v>0</v>
      </c>
      <c r="AB221">
        <v>3.6400211833180103E-2</v>
      </c>
      <c r="AC221">
        <v>0</v>
      </c>
      <c r="AD221">
        <v>2.9899194396917701E-3</v>
      </c>
      <c r="AE221">
        <v>1.4937532472110601E-2</v>
      </c>
      <c r="AF221">
        <v>0</v>
      </c>
      <c r="AG221">
        <v>0.19956160638713599</v>
      </c>
      <c r="AH221">
        <v>0.35074049252601303</v>
      </c>
      <c r="AI221">
        <v>0.35462458986411</v>
      </c>
      <c r="AJ221" t="s">
        <v>74</v>
      </c>
      <c r="AK221">
        <v>0</v>
      </c>
      <c r="AL221" t="s">
        <v>77</v>
      </c>
      <c r="AM221">
        <v>0</v>
      </c>
      <c r="AN221">
        <v>0.99199999999999999</v>
      </c>
      <c r="AO221">
        <v>0</v>
      </c>
      <c r="AP221">
        <v>5.8245346242475203E-2</v>
      </c>
      <c r="AQ221">
        <v>0</v>
      </c>
      <c r="AR221">
        <v>1.6E-2</v>
      </c>
      <c r="AS221">
        <v>0</v>
      </c>
      <c r="AT221">
        <v>0</v>
      </c>
      <c r="AU221">
        <v>0</v>
      </c>
      <c r="AV221">
        <v>0</v>
      </c>
      <c r="AW221">
        <v>1</v>
      </c>
      <c r="AX221" t="s">
        <v>74</v>
      </c>
      <c r="AY221">
        <v>0</v>
      </c>
      <c r="AZ221" t="s">
        <v>76</v>
      </c>
      <c r="BA221">
        <v>-1.5707963267949001</v>
      </c>
      <c r="BB221">
        <v>0.99199999999999999</v>
      </c>
      <c r="BC221">
        <v>0</v>
      </c>
      <c r="BD221">
        <v>5.8245346242475203E-2</v>
      </c>
      <c r="BE221">
        <v>0</v>
      </c>
      <c r="BF221">
        <v>1.6E-2</v>
      </c>
      <c r="BG221">
        <v>0</v>
      </c>
      <c r="BH221">
        <v>0</v>
      </c>
      <c r="BI221">
        <v>0</v>
      </c>
      <c r="BJ221">
        <v>0</v>
      </c>
      <c r="BK221">
        <v>1</v>
      </c>
      <c r="BL221" s="1">
        <v>9.4860982222718995E-5</v>
      </c>
      <c r="BM221">
        <v>2.7515104945657399E-4</v>
      </c>
      <c r="BN221" s="1">
        <v>3.5294341577195802E-7</v>
      </c>
      <c r="BO221" s="1">
        <v>4.3220625780014697E-6</v>
      </c>
      <c r="BP221">
        <v>0</v>
      </c>
      <c r="BQ221">
        <v>0</v>
      </c>
      <c r="BR221" s="1">
        <v>5.3053101358282602E-5</v>
      </c>
      <c r="BS221">
        <v>1.5760212242802601E-4</v>
      </c>
    </row>
    <row r="222" spans="1:71" x14ac:dyDescent="0.25">
      <c r="A222">
        <v>219</v>
      </c>
      <c r="B222" s="1">
        <v>2.49906286727707E-6</v>
      </c>
      <c r="C222">
        <v>0.13278422579959301</v>
      </c>
      <c r="D222">
        <v>-4.9182220015288097E-4</v>
      </c>
      <c r="E222">
        <v>6.1312499999999995E-4</v>
      </c>
      <c r="F222">
        <v>-1.32784225799593E-3</v>
      </c>
      <c r="G222" s="1">
        <v>1.0842021724855E-19</v>
      </c>
      <c r="H222" t="s">
        <v>74</v>
      </c>
      <c r="I222">
        <v>0</v>
      </c>
      <c r="J222" t="s">
        <v>75</v>
      </c>
      <c r="K222">
        <v>3.14159265358979</v>
      </c>
      <c r="L222">
        <v>0.625614634243009</v>
      </c>
      <c r="M222">
        <v>0</v>
      </c>
      <c r="N222">
        <v>3.6733005026052E-2</v>
      </c>
      <c r="O222">
        <v>0</v>
      </c>
      <c r="P222">
        <v>1.6E-2</v>
      </c>
      <c r="Q222">
        <v>0</v>
      </c>
      <c r="R222">
        <v>0</v>
      </c>
      <c r="S222">
        <v>0</v>
      </c>
      <c r="T222">
        <v>0</v>
      </c>
      <c r="U222">
        <v>0.63065991354787299</v>
      </c>
      <c r="V222" t="s">
        <v>78</v>
      </c>
      <c r="W222">
        <v>3886371.9323292901</v>
      </c>
      <c r="X222" t="s">
        <v>76</v>
      </c>
      <c r="Y222">
        <v>-1.5707963267949001</v>
      </c>
      <c r="Z222">
        <v>0.62493832716007103</v>
      </c>
      <c r="AA222">
        <v>0</v>
      </c>
      <c r="AB222">
        <v>3.6302757051517302E-2</v>
      </c>
      <c r="AC222">
        <v>0</v>
      </c>
      <c r="AD222">
        <v>2.92772915996451E-3</v>
      </c>
      <c r="AE222">
        <v>1.50006790592701E-2</v>
      </c>
      <c r="AF222">
        <v>0</v>
      </c>
      <c r="AG222">
        <v>0.19784050455510999</v>
      </c>
      <c r="AH222">
        <v>0.354981404158835</v>
      </c>
      <c r="AI222">
        <v>0.35211595375478599</v>
      </c>
      <c r="AJ222" t="s">
        <v>74</v>
      </c>
      <c r="AK222">
        <v>0</v>
      </c>
      <c r="AL222" t="s">
        <v>77</v>
      </c>
      <c r="AM222">
        <v>0</v>
      </c>
      <c r="AN222">
        <v>0.99199999999999999</v>
      </c>
      <c r="AO222">
        <v>0</v>
      </c>
      <c r="AP222">
        <v>5.8245346242475203E-2</v>
      </c>
      <c r="AQ222">
        <v>0</v>
      </c>
      <c r="AR222">
        <v>1.6E-2</v>
      </c>
      <c r="AS222">
        <v>0</v>
      </c>
      <c r="AT222">
        <v>0</v>
      </c>
      <c r="AU222">
        <v>0</v>
      </c>
      <c r="AV222">
        <v>0</v>
      </c>
      <c r="AW222">
        <v>1</v>
      </c>
      <c r="AX222" t="s">
        <v>74</v>
      </c>
      <c r="AY222">
        <v>0</v>
      </c>
      <c r="AZ222" t="s">
        <v>76</v>
      </c>
      <c r="BA222">
        <v>-1.5707963267949001</v>
      </c>
      <c r="BB222">
        <v>0.99199999999999999</v>
      </c>
      <c r="BC222">
        <v>0</v>
      </c>
      <c r="BD222">
        <v>5.8245346242475203E-2</v>
      </c>
      <c r="BE222">
        <v>0</v>
      </c>
      <c r="BF222">
        <v>1.6E-2</v>
      </c>
      <c r="BG222">
        <v>0</v>
      </c>
      <c r="BH222">
        <v>0</v>
      </c>
      <c r="BI222">
        <v>0</v>
      </c>
      <c r="BJ222">
        <v>0</v>
      </c>
      <c r="BK222">
        <v>1</v>
      </c>
      <c r="BL222" s="1">
        <v>9.4763227281259799E-5</v>
      </c>
      <c r="BM222">
        <v>2.76410954356973E-4</v>
      </c>
      <c r="BN222" s="1">
        <v>3.5258011669931903E-7</v>
      </c>
      <c r="BO222" s="1">
        <v>4.3418531178980404E-6</v>
      </c>
      <c r="BP222">
        <v>0</v>
      </c>
      <c r="BQ222">
        <v>0</v>
      </c>
      <c r="BR222" s="1">
        <v>5.2991010670980702E-5</v>
      </c>
      <c r="BS222">
        <v>1.58324154519319E-4</v>
      </c>
    </row>
    <row r="223" spans="1:71" x14ac:dyDescent="0.25">
      <c r="A223">
        <v>220</v>
      </c>
      <c r="B223" s="1">
        <v>2.5205176136035301E-6</v>
      </c>
      <c r="C223">
        <v>0.13278674631720599</v>
      </c>
      <c r="D223">
        <v>-4.9183348013461599E-4</v>
      </c>
      <c r="E223">
        <v>6.1312499999999995E-4</v>
      </c>
      <c r="F223">
        <v>-1.3278674631720601E-3</v>
      </c>
      <c r="G223" s="1">
        <v>2.1684043449710098E-19</v>
      </c>
      <c r="H223" t="s">
        <v>74</v>
      </c>
      <c r="I223">
        <v>0</v>
      </c>
      <c r="J223" t="s">
        <v>75</v>
      </c>
      <c r="K223">
        <v>3.14159265358979</v>
      </c>
      <c r="L223">
        <v>0.62394496627261298</v>
      </c>
      <c r="M223">
        <v>0</v>
      </c>
      <c r="N223">
        <v>3.6634970359675299E-2</v>
      </c>
      <c r="O223">
        <v>0</v>
      </c>
      <c r="P223">
        <v>1.6E-2</v>
      </c>
      <c r="Q223">
        <v>0</v>
      </c>
      <c r="R223">
        <v>0</v>
      </c>
      <c r="S223">
        <v>0</v>
      </c>
      <c r="T223">
        <v>0</v>
      </c>
      <c r="U223">
        <v>0.628976780512988</v>
      </c>
      <c r="V223" t="s">
        <v>78</v>
      </c>
      <c r="W223">
        <v>3886469.2730964501</v>
      </c>
      <c r="X223" t="s">
        <v>76</v>
      </c>
      <c r="Y223">
        <v>-1.5707963267949001</v>
      </c>
      <c r="Z223">
        <v>0.62326959959905603</v>
      </c>
      <c r="AA223">
        <v>0</v>
      </c>
      <c r="AB223">
        <v>3.6205320647754703E-2</v>
      </c>
      <c r="AC223">
        <v>0</v>
      </c>
      <c r="AD223">
        <v>2.86562821876531E-3</v>
      </c>
      <c r="AE223">
        <v>1.5063737588745799E-2</v>
      </c>
      <c r="AF223">
        <v>0</v>
      </c>
      <c r="AG223">
        <v>0.19607191203516999</v>
      </c>
      <c r="AH223">
        <v>0.35926928134618002</v>
      </c>
      <c r="AI223">
        <v>0.34961317236264899</v>
      </c>
      <c r="AJ223" t="s">
        <v>74</v>
      </c>
      <c r="AK223">
        <v>0</v>
      </c>
      <c r="AL223" t="s">
        <v>77</v>
      </c>
      <c r="AM223">
        <v>0</v>
      </c>
      <c r="AN223">
        <v>0.99199999999999999</v>
      </c>
      <c r="AO223">
        <v>0</v>
      </c>
      <c r="AP223">
        <v>5.8245346242475203E-2</v>
      </c>
      <c r="AQ223">
        <v>0</v>
      </c>
      <c r="AR223">
        <v>1.6E-2</v>
      </c>
      <c r="AS223">
        <v>0</v>
      </c>
      <c r="AT223">
        <v>0</v>
      </c>
      <c r="AU223">
        <v>0</v>
      </c>
      <c r="AV223">
        <v>0</v>
      </c>
      <c r="AW223">
        <v>1</v>
      </c>
      <c r="AX223" t="s">
        <v>74</v>
      </c>
      <c r="AY223">
        <v>0</v>
      </c>
      <c r="AZ223" t="s">
        <v>76</v>
      </c>
      <c r="BA223">
        <v>-1.5707963267949001</v>
      </c>
      <c r="BB223">
        <v>0.99199999999999999</v>
      </c>
      <c r="BC223">
        <v>0</v>
      </c>
      <c r="BD223">
        <v>5.8245346242475203E-2</v>
      </c>
      <c r="BE223">
        <v>0</v>
      </c>
      <c r="BF223">
        <v>1.6E-2</v>
      </c>
      <c r="BG223">
        <v>0</v>
      </c>
      <c r="BH223">
        <v>0</v>
      </c>
      <c r="BI223">
        <v>0</v>
      </c>
      <c r="BJ223">
        <v>0</v>
      </c>
      <c r="BK223">
        <v>1</v>
      </c>
      <c r="BL223" s="1">
        <v>9.4665491746190198E-5</v>
      </c>
      <c r="BM223">
        <v>2.77670596690675E-4</v>
      </c>
      <c r="BN223" s="1">
        <v>3.52216884645513E-7</v>
      </c>
      <c r="BO223" s="1">
        <v>4.3616395334065902E-6</v>
      </c>
      <c r="BP223">
        <v>0</v>
      </c>
      <c r="BQ223">
        <v>0</v>
      </c>
      <c r="BR223" s="1">
        <v>5.2928932864166799E-5</v>
      </c>
      <c r="BS223">
        <v>1.5904604293278901E-4</v>
      </c>
    </row>
    <row r="224" spans="1:71" x14ac:dyDescent="0.25">
      <c r="A224">
        <v>221</v>
      </c>
      <c r="B224" s="1">
        <v>2.54294868953754E-6</v>
      </c>
      <c r="C224">
        <v>0.132789289265896</v>
      </c>
      <c r="D224">
        <v>-4.9184486035791595E-4</v>
      </c>
      <c r="E224">
        <v>6.1312499999999995E-4</v>
      </c>
      <c r="F224">
        <v>-1.32789289265896E-3</v>
      </c>
      <c r="G224" s="1">
        <v>1.0842021724855E-19</v>
      </c>
      <c r="H224" t="s">
        <v>74</v>
      </c>
      <c r="I224">
        <v>0</v>
      </c>
      <c r="J224" t="s">
        <v>75</v>
      </c>
      <c r="K224">
        <v>3.14159265358979</v>
      </c>
      <c r="L224">
        <v>0.62227566052483796</v>
      </c>
      <c r="M224">
        <v>0</v>
      </c>
      <c r="N224">
        <v>3.6536956961223901E-2</v>
      </c>
      <c r="O224">
        <v>0</v>
      </c>
      <c r="P224">
        <v>1.6E-2</v>
      </c>
      <c r="Q224">
        <v>0</v>
      </c>
      <c r="R224">
        <v>0</v>
      </c>
      <c r="S224">
        <v>0</v>
      </c>
      <c r="T224">
        <v>0</v>
      </c>
      <c r="U224">
        <v>0.62729401262187301</v>
      </c>
      <c r="V224" t="s">
        <v>78</v>
      </c>
      <c r="W224">
        <v>3886567.47889964</v>
      </c>
      <c r="X224" t="s">
        <v>76</v>
      </c>
      <c r="Y224">
        <v>-1.5707963267949001</v>
      </c>
      <c r="Z224">
        <v>0.621601230733836</v>
      </c>
      <c r="AA224">
        <v>0</v>
      </c>
      <c r="AB224">
        <v>3.6107903268248101E-2</v>
      </c>
      <c r="AC224">
        <v>0</v>
      </c>
      <c r="AD224">
        <v>2.80361780044304E-3</v>
      </c>
      <c r="AE224">
        <v>1.51267071367359E-2</v>
      </c>
      <c r="AF224">
        <v>0</v>
      </c>
      <c r="AG224">
        <v>0.19425490586098401</v>
      </c>
      <c r="AH224">
        <v>0.363605025646835</v>
      </c>
      <c r="AI224">
        <v>0.34711628623047902</v>
      </c>
      <c r="AJ224" t="s">
        <v>74</v>
      </c>
      <c r="AK224">
        <v>0</v>
      </c>
      <c r="AL224" t="s">
        <v>77</v>
      </c>
      <c r="AM224">
        <v>0</v>
      </c>
      <c r="AN224">
        <v>0.99199999999999999</v>
      </c>
      <c r="AO224">
        <v>0</v>
      </c>
      <c r="AP224">
        <v>5.8245346242475203E-2</v>
      </c>
      <c r="AQ224">
        <v>0</v>
      </c>
      <c r="AR224">
        <v>1.6E-2</v>
      </c>
      <c r="AS224">
        <v>0</v>
      </c>
      <c r="AT224">
        <v>0</v>
      </c>
      <c r="AU224">
        <v>0</v>
      </c>
      <c r="AV224">
        <v>0</v>
      </c>
      <c r="AW224">
        <v>1</v>
      </c>
      <c r="AX224" t="s">
        <v>74</v>
      </c>
      <c r="AY224">
        <v>0</v>
      </c>
      <c r="AZ224" t="s">
        <v>76</v>
      </c>
      <c r="BA224">
        <v>-1.5707963267949001</v>
      </c>
      <c r="BB224">
        <v>0.99199999999999999</v>
      </c>
      <c r="BC224">
        <v>0</v>
      </c>
      <c r="BD224">
        <v>5.8245346242475203E-2</v>
      </c>
      <c r="BE224">
        <v>0</v>
      </c>
      <c r="BF224">
        <v>1.6E-2</v>
      </c>
      <c r="BG224">
        <v>0</v>
      </c>
      <c r="BH224">
        <v>0</v>
      </c>
      <c r="BI224">
        <v>0</v>
      </c>
      <c r="BJ224">
        <v>0</v>
      </c>
      <c r="BK224">
        <v>1</v>
      </c>
      <c r="BL224" s="1">
        <v>9.4567776357211203E-5</v>
      </c>
      <c r="BM224">
        <v>2.78929965753909E-4</v>
      </c>
      <c r="BN224" s="1">
        <v>3.5185372187986301E-7</v>
      </c>
      <c r="BO224" s="1">
        <v>4.38142165639267E-6</v>
      </c>
      <c r="BP224">
        <v>0</v>
      </c>
      <c r="BQ224">
        <v>0</v>
      </c>
      <c r="BR224" s="1">
        <v>5.2866868453478E-5</v>
      </c>
      <c r="BS224">
        <v>1.5976778173004301E-4</v>
      </c>
    </row>
    <row r="225" spans="1:71" x14ac:dyDescent="0.25">
      <c r="A225">
        <v>222</v>
      </c>
      <c r="B225" s="1">
        <v>2.56641048742491E-6</v>
      </c>
      <c r="C225">
        <v>0.13279185567638299</v>
      </c>
      <c r="D225">
        <v>-4.9185634543160101E-4</v>
      </c>
      <c r="E225">
        <v>6.1312499999999995E-4</v>
      </c>
      <c r="F225">
        <v>-1.3279185567638299E-3</v>
      </c>
      <c r="G225" s="1">
        <v>1.0842021724855E-19</v>
      </c>
      <c r="H225" t="s">
        <v>74</v>
      </c>
      <c r="I225">
        <v>0</v>
      </c>
      <c r="J225" t="s">
        <v>75</v>
      </c>
      <c r="K225">
        <v>3.14159265358979</v>
      </c>
      <c r="L225">
        <v>0.62060673207362305</v>
      </c>
      <c r="M225">
        <v>0</v>
      </c>
      <c r="N225">
        <v>3.6438965715765298E-2</v>
      </c>
      <c r="O225">
        <v>0</v>
      </c>
      <c r="P225">
        <v>1.6E-2</v>
      </c>
      <c r="Q225">
        <v>0</v>
      </c>
      <c r="R225">
        <v>0</v>
      </c>
      <c r="S225">
        <v>0</v>
      </c>
      <c r="T225">
        <v>0</v>
      </c>
      <c r="U225">
        <v>0.62561162507003198</v>
      </c>
      <c r="V225" t="s">
        <v>78</v>
      </c>
      <c r="W225">
        <v>3886666.5895107598</v>
      </c>
      <c r="X225" t="s">
        <v>76</v>
      </c>
      <c r="Y225">
        <v>-1.5707963267949001</v>
      </c>
      <c r="Z225">
        <v>0.61993323532871103</v>
      </c>
      <c r="AA225">
        <v>0</v>
      </c>
      <c r="AB225">
        <v>3.6010505601080198E-2</v>
      </c>
      <c r="AC225">
        <v>0</v>
      </c>
      <c r="AD225">
        <v>2.7416991348583001E-3</v>
      </c>
      <c r="AE225">
        <v>1.51895867463069E-2</v>
      </c>
      <c r="AF225">
        <v>0</v>
      </c>
      <c r="AG225">
        <v>0.192388525013513</v>
      </c>
      <c r="AH225">
        <v>0.367989575335469</v>
      </c>
      <c r="AI225">
        <v>0.34462533716999399</v>
      </c>
      <c r="AJ225" t="s">
        <v>74</v>
      </c>
      <c r="AK225">
        <v>0</v>
      </c>
      <c r="AL225" t="s">
        <v>77</v>
      </c>
      <c r="AM225">
        <v>0</v>
      </c>
      <c r="AN225">
        <v>0.99199999999999999</v>
      </c>
      <c r="AO225">
        <v>0</v>
      </c>
      <c r="AP225">
        <v>5.8245346242475203E-2</v>
      </c>
      <c r="AQ225">
        <v>0</v>
      </c>
      <c r="AR225">
        <v>1.6E-2</v>
      </c>
      <c r="AS225">
        <v>0</v>
      </c>
      <c r="AT225">
        <v>0</v>
      </c>
      <c r="AU225">
        <v>0</v>
      </c>
      <c r="AV225">
        <v>0</v>
      </c>
      <c r="AW225">
        <v>1</v>
      </c>
      <c r="AX225" t="s">
        <v>74</v>
      </c>
      <c r="AY225">
        <v>0</v>
      </c>
      <c r="AZ225" t="s">
        <v>76</v>
      </c>
      <c r="BA225">
        <v>-1.5707963267949001</v>
      </c>
      <c r="BB225">
        <v>0.99199999999999999</v>
      </c>
      <c r="BC225">
        <v>0</v>
      </c>
      <c r="BD225">
        <v>5.8245346242475203E-2</v>
      </c>
      <c r="BE225">
        <v>0</v>
      </c>
      <c r="BF225">
        <v>1.6E-2</v>
      </c>
      <c r="BG225">
        <v>0</v>
      </c>
      <c r="BH225">
        <v>0</v>
      </c>
      <c r="BI225">
        <v>0</v>
      </c>
      <c r="BJ225">
        <v>0</v>
      </c>
      <c r="BK225">
        <v>1</v>
      </c>
      <c r="BL225" s="1">
        <v>9.4470081900898005E-5</v>
      </c>
      <c r="BM225">
        <v>2.80189050174491E-4</v>
      </c>
      <c r="BN225" s="1">
        <v>3.5149063081953899E-7</v>
      </c>
      <c r="BO225" s="1">
        <v>4.4011993082224096E-6</v>
      </c>
      <c r="BP225">
        <v>0</v>
      </c>
      <c r="BQ225">
        <v>0</v>
      </c>
      <c r="BR225" s="1">
        <v>5.2804817986841501E-5</v>
      </c>
      <c r="BS225">
        <v>1.60489364600798E-4</v>
      </c>
    </row>
    <row r="226" spans="1:71" x14ac:dyDescent="0.25">
      <c r="A226">
        <v>223</v>
      </c>
      <c r="B226" s="1">
        <v>2.5909618600326201E-6</v>
      </c>
      <c r="C226">
        <v>0.132794446638243</v>
      </c>
      <c r="D226">
        <v>-4.9186794022759099E-4</v>
      </c>
      <c r="E226">
        <v>6.1312499999999995E-4</v>
      </c>
      <c r="F226">
        <v>-1.32794446638243E-3</v>
      </c>
      <c r="G226" s="1">
        <v>1.0842021724855E-19</v>
      </c>
      <c r="H226" t="s">
        <v>74</v>
      </c>
      <c r="I226">
        <v>0</v>
      </c>
      <c r="J226" t="s">
        <v>75</v>
      </c>
      <c r="K226">
        <v>3.14159265358979</v>
      </c>
      <c r="L226">
        <v>0.61893819695397401</v>
      </c>
      <c r="M226">
        <v>0</v>
      </c>
      <c r="N226">
        <v>3.6340997564795897E-2</v>
      </c>
      <c r="O226">
        <v>0</v>
      </c>
      <c r="P226">
        <v>1.6E-2</v>
      </c>
      <c r="Q226">
        <v>0</v>
      </c>
      <c r="R226">
        <v>0</v>
      </c>
      <c r="S226">
        <v>0</v>
      </c>
      <c r="T226">
        <v>0</v>
      </c>
      <c r="U226">
        <v>0.62392963402178403</v>
      </c>
      <c r="V226" t="s">
        <v>78</v>
      </c>
      <c r="W226">
        <v>3886766.6469721198</v>
      </c>
      <c r="X226" t="s">
        <v>76</v>
      </c>
      <c r="Y226">
        <v>-1.5707963267949001</v>
      </c>
      <c r="Z226">
        <v>0.61826562909149196</v>
      </c>
      <c r="AA226">
        <v>0</v>
      </c>
      <c r="AB226">
        <v>3.59131283795966E-2</v>
      </c>
      <c r="AC226">
        <v>0</v>
      </c>
      <c r="AD226">
        <v>2.6798735009999101E-3</v>
      </c>
      <c r="AE226">
        <v>1.52523754248295E-2</v>
      </c>
      <c r="AF226">
        <v>0</v>
      </c>
      <c r="AG226">
        <v>0.19047176807282801</v>
      </c>
      <c r="AH226">
        <v>0.37242390763753602</v>
      </c>
      <c r="AI226">
        <v>0.34214036835850697</v>
      </c>
      <c r="AJ226" t="s">
        <v>74</v>
      </c>
      <c r="AK226">
        <v>0</v>
      </c>
      <c r="AL226" t="s">
        <v>77</v>
      </c>
      <c r="AM226">
        <v>0</v>
      </c>
      <c r="AN226">
        <v>0.99199999999999999</v>
      </c>
      <c r="AO226">
        <v>0</v>
      </c>
      <c r="AP226">
        <v>5.8245346242475203E-2</v>
      </c>
      <c r="AQ226">
        <v>0</v>
      </c>
      <c r="AR226">
        <v>1.6E-2</v>
      </c>
      <c r="AS226">
        <v>0</v>
      </c>
      <c r="AT226">
        <v>0</v>
      </c>
      <c r="AU226">
        <v>0</v>
      </c>
      <c r="AV226">
        <v>0</v>
      </c>
      <c r="AW226">
        <v>1</v>
      </c>
      <c r="AX226" t="s">
        <v>74</v>
      </c>
      <c r="AY226">
        <v>0</v>
      </c>
      <c r="AZ226" t="s">
        <v>76</v>
      </c>
      <c r="BA226">
        <v>-1.5707963267949001</v>
      </c>
      <c r="BB226">
        <v>0.99199999999999999</v>
      </c>
      <c r="BC226">
        <v>0</v>
      </c>
      <c r="BD226">
        <v>5.8245346242475203E-2</v>
      </c>
      <c r="BE226">
        <v>0</v>
      </c>
      <c r="BF226">
        <v>1.6E-2</v>
      </c>
      <c r="BG226">
        <v>0</v>
      </c>
      <c r="BH226">
        <v>0</v>
      </c>
      <c r="BI226">
        <v>0</v>
      </c>
      <c r="BJ226">
        <v>0</v>
      </c>
      <c r="BK226">
        <v>1</v>
      </c>
      <c r="BL226" s="1">
        <v>9.4372409214671396E-5</v>
      </c>
      <c r="BM226">
        <v>2.8144783785518198E-4</v>
      </c>
      <c r="BN226" s="1">
        <v>3.5112761404209502E-7</v>
      </c>
      <c r="BO226" s="1">
        <v>4.4209722988728596E-6</v>
      </c>
      <c r="BP226">
        <v>0</v>
      </c>
      <c r="BQ226">
        <v>0</v>
      </c>
      <c r="BR226" s="1">
        <v>5.2742782047208897E-5</v>
      </c>
      <c r="BS226">
        <v>1.6121078483130499E-4</v>
      </c>
    </row>
    <row r="227" spans="1:71" x14ac:dyDescent="0.25">
      <c r="A227">
        <v>224</v>
      </c>
      <c r="B227" s="1">
        <v>2.6166665856162399E-6</v>
      </c>
      <c r="C227">
        <v>0.13279706330482899</v>
      </c>
      <c r="D227">
        <v>-4.9187964990292702E-4</v>
      </c>
      <c r="E227">
        <v>6.1312499999999995E-4</v>
      </c>
      <c r="F227">
        <v>-1.3279706330482899E-3</v>
      </c>
      <c r="G227" s="1">
        <v>1.0842021724855E-19</v>
      </c>
      <c r="H227" t="s">
        <v>74</v>
      </c>
      <c r="I227">
        <v>0</v>
      </c>
      <c r="J227" t="s">
        <v>75</v>
      </c>
      <c r="K227">
        <v>3.14159265358979</v>
      </c>
      <c r="L227">
        <v>0.61727007224519903</v>
      </c>
      <c r="M227">
        <v>0</v>
      </c>
      <c r="N227">
        <v>3.6243053511128297E-2</v>
      </c>
      <c r="O227">
        <v>0</v>
      </c>
      <c r="P227">
        <v>1.6E-2</v>
      </c>
      <c r="Q227">
        <v>0</v>
      </c>
      <c r="R227">
        <v>0</v>
      </c>
      <c r="S227">
        <v>0</v>
      </c>
      <c r="T227">
        <v>0</v>
      </c>
      <c r="U227">
        <v>0.62224805669417704</v>
      </c>
      <c r="V227" t="s">
        <v>78</v>
      </c>
      <c r="W227">
        <v>3886867.6957864701</v>
      </c>
      <c r="X227" t="s">
        <v>76</v>
      </c>
      <c r="Y227">
        <v>-1.5707963267949001</v>
      </c>
      <c r="Z227">
        <v>0.61659842875522897</v>
      </c>
      <c r="AA227">
        <v>0</v>
      </c>
      <c r="AB227">
        <v>3.5815772386328798E-2</v>
      </c>
      <c r="AC227">
        <v>0</v>
      </c>
      <c r="AD227">
        <v>2.6181422309882098E-3</v>
      </c>
      <c r="AE227">
        <v>1.53150721411346E-2</v>
      </c>
      <c r="AF227">
        <v>0</v>
      </c>
      <c r="AG227">
        <v>0.18850359067694999</v>
      </c>
      <c r="AH227">
        <v>0.37690904114483598</v>
      </c>
      <c r="AI227">
        <v>0.33966142444599001</v>
      </c>
      <c r="AJ227" t="s">
        <v>74</v>
      </c>
      <c r="AK227">
        <v>0</v>
      </c>
      <c r="AL227" t="s">
        <v>77</v>
      </c>
      <c r="AM227">
        <v>0</v>
      </c>
      <c r="AN227">
        <v>0.99199999999999999</v>
      </c>
      <c r="AO227">
        <v>0</v>
      </c>
      <c r="AP227">
        <v>5.8245346242475203E-2</v>
      </c>
      <c r="AQ227">
        <v>0</v>
      </c>
      <c r="AR227">
        <v>1.6E-2</v>
      </c>
      <c r="AS227">
        <v>0</v>
      </c>
      <c r="AT227">
        <v>0</v>
      </c>
      <c r="AU227">
        <v>0</v>
      </c>
      <c r="AV227">
        <v>0</v>
      </c>
      <c r="AW227">
        <v>1</v>
      </c>
      <c r="AX227" t="s">
        <v>74</v>
      </c>
      <c r="AY227">
        <v>0</v>
      </c>
      <c r="AZ227" t="s">
        <v>76</v>
      </c>
      <c r="BA227">
        <v>-1.5707963267949001</v>
      </c>
      <c r="BB227">
        <v>0.99199999999999999</v>
      </c>
      <c r="BC227">
        <v>0</v>
      </c>
      <c r="BD227">
        <v>5.8245346242475203E-2</v>
      </c>
      <c r="BE227">
        <v>0</v>
      </c>
      <c r="BF227">
        <v>1.6E-2</v>
      </c>
      <c r="BG227">
        <v>0</v>
      </c>
      <c r="BH227">
        <v>0</v>
      </c>
      <c r="BI227">
        <v>0</v>
      </c>
      <c r="BJ227">
        <v>0</v>
      </c>
      <c r="BK227">
        <v>1</v>
      </c>
      <c r="BL227" s="1">
        <v>9.4274759191203798E-5</v>
      </c>
      <c r="BM227">
        <v>2.8270631591089301E-4</v>
      </c>
      <c r="BN227" s="1">
        <v>3.50764674299362E-7</v>
      </c>
      <c r="BO227" s="1">
        <v>4.4407404259454803E-6</v>
      </c>
      <c r="BP227">
        <v>0</v>
      </c>
      <c r="BQ227">
        <v>0</v>
      </c>
      <c r="BR227" s="1">
        <v>5.26807612555895E-5</v>
      </c>
      <c r="BS227">
        <v>1.61932035269334E-4</v>
      </c>
    </row>
    <row r="228" spans="1:71" x14ac:dyDescent="0.25">
      <c r="A228">
        <v>225</v>
      </c>
      <c r="B228" s="1">
        <v>2.6435938929830299E-6</v>
      </c>
      <c r="C228">
        <v>0.132799706898722</v>
      </c>
      <c r="D228">
        <v>-4.9189147992413597E-4</v>
      </c>
      <c r="E228">
        <v>6.1312499999999995E-4</v>
      </c>
      <c r="F228">
        <v>-1.32799706898722E-3</v>
      </c>
      <c r="G228" s="1">
        <v>2.1684043449710098E-19</v>
      </c>
      <c r="H228" t="s">
        <v>74</v>
      </c>
      <c r="I228">
        <v>0</v>
      </c>
      <c r="J228" t="s">
        <v>75</v>
      </c>
      <c r="K228">
        <v>3.14159265358979</v>
      </c>
      <c r="L228">
        <v>0.61560237616331204</v>
      </c>
      <c r="M228">
        <v>0</v>
      </c>
      <c r="N228">
        <v>3.61451346243171E-2</v>
      </c>
      <c r="O228">
        <v>0</v>
      </c>
      <c r="P228">
        <v>1.6E-2</v>
      </c>
      <c r="Q228">
        <v>0</v>
      </c>
      <c r="R228">
        <v>0</v>
      </c>
      <c r="S228">
        <v>0</v>
      </c>
      <c r="T228">
        <v>0</v>
      </c>
      <c r="U228">
        <v>0.62056691145012599</v>
      </c>
      <c r="V228" t="s">
        <v>78</v>
      </c>
      <c r="W228">
        <v>3886969.7831272902</v>
      </c>
      <c r="X228" t="s">
        <v>76</v>
      </c>
      <c r="Y228">
        <v>-1.5707963267949001</v>
      </c>
      <c r="Z228">
        <v>0.61493165216892698</v>
      </c>
      <c r="AA228">
        <v>0</v>
      </c>
      <c r="AB228">
        <v>3.5718438457350697E-2</v>
      </c>
      <c r="AC228">
        <v>0</v>
      </c>
      <c r="AD228">
        <v>2.5565067145134398E-3</v>
      </c>
      <c r="AE228">
        <v>1.5377675822356799E-2</v>
      </c>
      <c r="AF228">
        <v>0</v>
      </c>
      <c r="AG228">
        <v>0.18648290276771801</v>
      </c>
      <c r="AH228">
        <v>0.381446038430231</v>
      </c>
      <c r="AI228">
        <v>0.33718855167379802</v>
      </c>
      <c r="AJ228" t="s">
        <v>74</v>
      </c>
      <c r="AK228">
        <v>0</v>
      </c>
      <c r="AL228" t="s">
        <v>77</v>
      </c>
      <c r="AM228">
        <v>0</v>
      </c>
      <c r="AN228">
        <v>0.99199999999999999</v>
      </c>
      <c r="AO228">
        <v>0</v>
      </c>
      <c r="AP228">
        <v>5.8245346242475203E-2</v>
      </c>
      <c r="AQ228">
        <v>0</v>
      </c>
      <c r="AR228">
        <v>1.6E-2</v>
      </c>
      <c r="AS228">
        <v>0</v>
      </c>
      <c r="AT228">
        <v>0</v>
      </c>
      <c r="AU228">
        <v>0</v>
      </c>
      <c r="AV228">
        <v>0</v>
      </c>
      <c r="AW228">
        <v>1</v>
      </c>
      <c r="AX228" t="s">
        <v>74</v>
      </c>
      <c r="AY228">
        <v>0</v>
      </c>
      <c r="AZ228" t="s">
        <v>76</v>
      </c>
      <c r="BA228">
        <v>-1.5707963267949001</v>
      </c>
      <c r="BB228">
        <v>0.99199999999999999</v>
      </c>
      <c r="BC228">
        <v>0</v>
      </c>
      <c r="BD228">
        <v>5.8245346242475203E-2</v>
      </c>
      <c r="BE228">
        <v>0</v>
      </c>
      <c r="BF228">
        <v>1.6E-2</v>
      </c>
      <c r="BG228">
        <v>0</v>
      </c>
      <c r="BH228">
        <v>0</v>
      </c>
      <c r="BI228">
        <v>0</v>
      </c>
      <c r="BJ228">
        <v>0</v>
      </c>
      <c r="BK228">
        <v>1</v>
      </c>
      <c r="BL228" s="1">
        <v>9.4177132783309104E-5</v>
      </c>
      <c r="BM228">
        <v>2.8396447059897498E-4</v>
      </c>
      <c r="BN228" s="1">
        <v>3.50401814532899E-7</v>
      </c>
      <c r="BO228" s="1">
        <v>4.4605034735712696E-6</v>
      </c>
      <c r="BP228">
        <v>0</v>
      </c>
      <c r="BQ228">
        <v>0</v>
      </c>
      <c r="BR228" s="1">
        <v>5.2618756274416901E-5</v>
      </c>
      <c r="BS228">
        <v>1.6265310828530999E-4</v>
      </c>
    </row>
    <row r="229" spans="1:71" x14ac:dyDescent="0.25">
      <c r="A229">
        <v>226</v>
      </c>
      <c r="B229" s="1">
        <v>2.6718190558099E-6</v>
      </c>
      <c r="C229">
        <v>0.132802378717778</v>
      </c>
      <c r="D229">
        <v>-4.9190343609425405E-4</v>
      </c>
      <c r="E229">
        <v>6.1312499999999995E-4</v>
      </c>
      <c r="F229">
        <v>-1.32802378717778E-3</v>
      </c>
      <c r="G229" s="1">
        <v>2.1684043449710098E-19</v>
      </c>
      <c r="H229" t="s">
        <v>74</v>
      </c>
      <c r="I229">
        <v>0</v>
      </c>
      <c r="J229" t="s">
        <v>75</v>
      </c>
      <c r="K229">
        <v>3.14159265358979</v>
      </c>
      <c r="L229">
        <v>0.61393512816388196</v>
      </c>
      <c r="M229">
        <v>0</v>
      </c>
      <c r="N229">
        <v>3.6047242046697299E-2</v>
      </c>
      <c r="O229">
        <v>0</v>
      </c>
      <c r="P229">
        <v>1.6E-2</v>
      </c>
      <c r="Q229">
        <v>0</v>
      </c>
      <c r="R229">
        <v>0</v>
      </c>
      <c r="S229">
        <v>0</v>
      </c>
      <c r="T229">
        <v>0</v>
      </c>
      <c r="U229">
        <v>0.61888621790210097</v>
      </c>
      <c r="V229" t="s">
        <v>78</v>
      </c>
      <c r="W229">
        <v>3887072.9590719598</v>
      </c>
      <c r="X229" t="s">
        <v>76</v>
      </c>
      <c r="Y229">
        <v>-1.5707963267949001</v>
      </c>
      <c r="Z229">
        <v>0.61326531839853404</v>
      </c>
      <c r="AA229">
        <v>0</v>
      </c>
      <c r="AB229">
        <v>3.5621127487131497E-2</v>
      </c>
      <c r="AC229">
        <v>0</v>
      </c>
      <c r="AD229">
        <v>2.49496840376994E-3</v>
      </c>
      <c r="AE229">
        <v>1.5440185350418099E-2</v>
      </c>
      <c r="AF229">
        <v>0</v>
      </c>
      <c r="AG229">
        <v>0.184408565601347</v>
      </c>
      <c r="AH229">
        <v>0.38603600888190098</v>
      </c>
      <c r="AI229">
        <v>0.33472179800673602</v>
      </c>
      <c r="AJ229" t="s">
        <v>74</v>
      </c>
      <c r="AK229">
        <v>0</v>
      </c>
      <c r="AL229" t="s">
        <v>77</v>
      </c>
      <c r="AM229">
        <v>0</v>
      </c>
      <c r="AN229">
        <v>0.99199999999999999</v>
      </c>
      <c r="AO229">
        <v>0</v>
      </c>
      <c r="AP229">
        <v>5.8245346242475203E-2</v>
      </c>
      <c r="AQ229">
        <v>0</v>
      </c>
      <c r="AR229">
        <v>1.6E-2</v>
      </c>
      <c r="AS229">
        <v>0</v>
      </c>
      <c r="AT229">
        <v>0</v>
      </c>
      <c r="AU229">
        <v>0</v>
      </c>
      <c r="AV229">
        <v>0</v>
      </c>
      <c r="AW229">
        <v>1</v>
      </c>
      <c r="AX229" t="s">
        <v>74</v>
      </c>
      <c r="AY229">
        <v>0</v>
      </c>
      <c r="AZ229" t="s">
        <v>76</v>
      </c>
      <c r="BA229">
        <v>-1.5707963267949001</v>
      </c>
      <c r="BB229">
        <v>0.99199999999999999</v>
      </c>
      <c r="BC229">
        <v>0</v>
      </c>
      <c r="BD229">
        <v>5.8245346242475203E-2</v>
      </c>
      <c r="BE229">
        <v>0</v>
      </c>
      <c r="BF229">
        <v>1.6E-2</v>
      </c>
      <c r="BG229">
        <v>0</v>
      </c>
      <c r="BH229">
        <v>0</v>
      </c>
      <c r="BI229">
        <v>0</v>
      </c>
      <c r="BJ229">
        <v>0</v>
      </c>
      <c r="BK229">
        <v>1</v>
      </c>
      <c r="BL229" s="1">
        <v>9.4079531009389595E-5</v>
      </c>
      <c r="BM229">
        <v>2.85222287241624E-4</v>
      </c>
      <c r="BN229" s="1">
        <v>3.5003903789118801E-7</v>
      </c>
      <c r="BO229" s="1">
        <v>4.4802612111918099E-6</v>
      </c>
      <c r="BP229">
        <v>0</v>
      </c>
      <c r="BQ229">
        <v>0</v>
      </c>
      <c r="BR229" s="1">
        <v>5.2556767811295903E-5</v>
      </c>
      <c r="BS229">
        <v>1.63373995729036E-4</v>
      </c>
    </row>
    <row r="230" spans="1:71" x14ac:dyDescent="0.25">
      <c r="A230">
        <v>227</v>
      </c>
      <c r="B230" s="1">
        <v>2.7014240672136901E-6</v>
      </c>
      <c r="C230">
        <v>0.132805080141845</v>
      </c>
      <c r="D230">
        <v>-4.9191552458286499E-4</v>
      </c>
      <c r="E230">
        <v>6.1312499999999995E-4</v>
      </c>
      <c r="F230">
        <v>-1.3280508014184499E-3</v>
      </c>
      <c r="G230" s="1">
        <v>2.1684043449710098E-19</v>
      </c>
      <c r="H230" t="s">
        <v>74</v>
      </c>
      <c r="I230">
        <v>0</v>
      </c>
      <c r="J230" t="s">
        <v>75</v>
      </c>
      <c r="K230">
        <v>3.14159265358979</v>
      </c>
      <c r="L230">
        <v>0.61226834905670502</v>
      </c>
      <c r="M230">
        <v>0</v>
      </c>
      <c r="N230">
        <v>3.5949377000117397E-2</v>
      </c>
      <c r="O230">
        <v>0</v>
      </c>
      <c r="P230">
        <v>1.6E-2</v>
      </c>
      <c r="Q230">
        <v>0</v>
      </c>
      <c r="R230">
        <v>0</v>
      </c>
      <c r="S230">
        <v>0</v>
      </c>
      <c r="T230">
        <v>0</v>
      </c>
      <c r="U230">
        <v>0.61720599702771906</v>
      </c>
      <c r="V230" t="s">
        <v>78</v>
      </c>
      <c r="W230">
        <v>3887177.2768609999</v>
      </c>
      <c r="X230" t="s">
        <v>76</v>
      </c>
      <c r="Y230">
        <v>-1.5707963267949001</v>
      </c>
      <c r="Z230">
        <v>0.61159944783953801</v>
      </c>
      <c r="AA230">
        <v>0</v>
      </c>
      <c r="AB230">
        <v>3.5523840433948697E-2</v>
      </c>
      <c r="AC230">
        <v>0</v>
      </c>
      <c r="AD230">
        <v>2.4335288189518598E-3</v>
      </c>
      <c r="AE230">
        <v>1.5502599558106201E-2</v>
      </c>
      <c r="AF230">
        <v>0</v>
      </c>
      <c r="AG230">
        <v>0.18227938849834999</v>
      </c>
      <c r="AH230">
        <v>0.39068011178039402</v>
      </c>
      <c r="AI230">
        <v>0.33226121328018299</v>
      </c>
      <c r="AJ230" t="s">
        <v>74</v>
      </c>
      <c r="AK230">
        <v>0</v>
      </c>
      <c r="AL230" t="s">
        <v>77</v>
      </c>
      <c r="AM230">
        <v>0</v>
      </c>
      <c r="AN230">
        <v>0.99199999999999999</v>
      </c>
      <c r="AO230">
        <v>0</v>
      </c>
      <c r="AP230">
        <v>5.8245346242475203E-2</v>
      </c>
      <c r="AQ230">
        <v>0</v>
      </c>
      <c r="AR230">
        <v>1.6E-2</v>
      </c>
      <c r="AS230">
        <v>0</v>
      </c>
      <c r="AT230">
        <v>0</v>
      </c>
      <c r="AU230">
        <v>0</v>
      </c>
      <c r="AV230">
        <v>0</v>
      </c>
      <c r="AW230">
        <v>1</v>
      </c>
      <c r="AX230" t="s">
        <v>74</v>
      </c>
      <c r="AY230">
        <v>0</v>
      </c>
      <c r="AZ230" t="s">
        <v>76</v>
      </c>
      <c r="BA230">
        <v>-1.5707963267949001</v>
      </c>
      <c r="BB230">
        <v>0.99199999999999999</v>
      </c>
      <c r="BC230">
        <v>0</v>
      </c>
      <c r="BD230">
        <v>5.8245346242475203E-2</v>
      </c>
      <c r="BE230">
        <v>0</v>
      </c>
      <c r="BF230">
        <v>1.6E-2</v>
      </c>
      <c r="BG230">
        <v>0</v>
      </c>
      <c r="BH230">
        <v>0</v>
      </c>
      <c r="BI230">
        <v>0</v>
      </c>
      <c r="BJ230">
        <v>0</v>
      </c>
      <c r="BK230">
        <v>1</v>
      </c>
      <c r="BL230" s="1">
        <v>9.3981954959508206E-5</v>
      </c>
      <c r="BM230">
        <v>2.8647975013937203E-4</v>
      </c>
      <c r="BN230" s="1">
        <v>3.4967634774883301E-7</v>
      </c>
      <c r="BO230" s="1">
        <v>4.5000133922004499E-6</v>
      </c>
      <c r="BP230">
        <v>0</v>
      </c>
      <c r="BQ230">
        <v>0</v>
      </c>
      <c r="BR230" s="1">
        <v>5.2494796623181601E-5</v>
      </c>
      <c r="BS230">
        <v>1.6409468888144301E-4</v>
      </c>
    </row>
    <row r="231" spans="1:71" x14ac:dyDescent="0.25">
      <c r="A231">
        <v>228</v>
      </c>
      <c r="B231" s="1">
        <v>2.7324984073463102E-6</v>
      </c>
      <c r="C231">
        <v>0.13280781264025199</v>
      </c>
      <c r="D231">
        <v>-4.9192775195957097E-4</v>
      </c>
      <c r="E231">
        <v>6.1312499999999995E-4</v>
      </c>
      <c r="F231">
        <v>-1.3280781264025201E-3</v>
      </c>
      <c r="G231" s="1">
        <v>1.0842021724855E-19</v>
      </c>
      <c r="H231" t="s">
        <v>74</v>
      </c>
      <c r="I231">
        <v>0</v>
      </c>
      <c r="J231" t="s">
        <v>75</v>
      </c>
      <c r="K231">
        <v>3.14159265358979</v>
      </c>
      <c r="L231">
        <v>0.61060206113401505</v>
      </c>
      <c r="M231">
        <v>0</v>
      </c>
      <c r="N231">
        <v>3.5851540793467501E-2</v>
      </c>
      <c r="O231">
        <v>0</v>
      </c>
      <c r="P231">
        <v>1.6E-2</v>
      </c>
      <c r="Q231">
        <v>0</v>
      </c>
      <c r="R231">
        <v>0</v>
      </c>
      <c r="S231">
        <v>0</v>
      </c>
      <c r="T231">
        <v>0</v>
      </c>
      <c r="U231">
        <v>0.61552627129899296</v>
      </c>
      <c r="V231" t="s">
        <v>78</v>
      </c>
      <c r="W231">
        <v>3887282.79318689</v>
      </c>
      <c r="X231" t="s">
        <v>76</v>
      </c>
      <c r="Y231">
        <v>-1.5707963267949001</v>
      </c>
      <c r="Z231">
        <v>0.60993406234286496</v>
      </c>
      <c r="AA231">
        <v>0</v>
      </c>
      <c r="AB231">
        <v>3.5426578325943502E-2</v>
      </c>
      <c r="AC231">
        <v>0</v>
      </c>
      <c r="AD231">
        <v>2.3721895543916899E-3</v>
      </c>
      <c r="AE231">
        <v>1.55649172246868E-2</v>
      </c>
      <c r="AF231">
        <v>0</v>
      </c>
      <c r="AG231">
        <v>0.18009412530437699</v>
      </c>
      <c r="AH231">
        <v>0.39537955964433802</v>
      </c>
      <c r="AI231">
        <v>0.329806849364503</v>
      </c>
      <c r="AJ231" t="s">
        <v>74</v>
      </c>
      <c r="AK231">
        <v>0</v>
      </c>
      <c r="AL231" t="s">
        <v>77</v>
      </c>
      <c r="AM231">
        <v>0</v>
      </c>
      <c r="AN231">
        <v>0.99199999999999999</v>
      </c>
      <c r="AO231">
        <v>0</v>
      </c>
      <c r="AP231">
        <v>5.8245346242475203E-2</v>
      </c>
      <c r="AQ231">
        <v>0</v>
      </c>
      <c r="AR231">
        <v>1.6E-2</v>
      </c>
      <c r="AS231">
        <v>0</v>
      </c>
      <c r="AT231">
        <v>0</v>
      </c>
      <c r="AU231">
        <v>0</v>
      </c>
      <c r="AV231">
        <v>0</v>
      </c>
      <c r="AW231">
        <v>1</v>
      </c>
      <c r="AX231" t="s">
        <v>74</v>
      </c>
      <c r="AY231">
        <v>0</v>
      </c>
      <c r="AZ231" t="s">
        <v>76</v>
      </c>
      <c r="BA231">
        <v>-1.5707963267949001</v>
      </c>
      <c r="BB231">
        <v>0.99199999999999999</v>
      </c>
      <c r="BC231">
        <v>0</v>
      </c>
      <c r="BD231">
        <v>5.8245346242475203E-2</v>
      </c>
      <c r="BE231">
        <v>0</v>
      </c>
      <c r="BF231">
        <v>1.6E-2</v>
      </c>
      <c r="BG231">
        <v>0</v>
      </c>
      <c r="BH231">
        <v>0</v>
      </c>
      <c r="BI231">
        <v>0</v>
      </c>
      <c r="BJ231">
        <v>0</v>
      </c>
      <c r="BK231">
        <v>1</v>
      </c>
      <c r="BL231" s="1">
        <v>9.3884405802180702E-5</v>
      </c>
      <c r="BM231">
        <v>2.8773684247435799E-4</v>
      </c>
      <c r="BN231" s="1">
        <v>3.4931374772802798E-7</v>
      </c>
      <c r="BO231" s="1">
        <v>4.5197597524228304E-6</v>
      </c>
      <c r="BP231">
        <v>0</v>
      </c>
      <c r="BQ231">
        <v>0</v>
      </c>
      <c r="BR231" s="1">
        <v>5.2432843521050801E-5</v>
      </c>
      <c r="BS231">
        <v>1.6481517840064E-4</v>
      </c>
    </row>
    <row r="232" spans="1:71" x14ac:dyDescent="0.25">
      <c r="A232">
        <v>229</v>
      </c>
      <c r="B232" s="1">
        <v>2.7651399196114401E-6</v>
      </c>
      <c r="C232">
        <v>0.132810577780172</v>
      </c>
      <c r="D232">
        <v>-4.9194012523137796E-4</v>
      </c>
      <c r="E232">
        <v>6.1312499999999995E-4</v>
      </c>
      <c r="F232">
        <v>-1.3281057778017199E-3</v>
      </c>
      <c r="G232" s="1">
        <v>2.1684043449710098E-19</v>
      </c>
      <c r="H232" t="s">
        <v>74</v>
      </c>
      <c r="I232">
        <v>0</v>
      </c>
      <c r="J232" t="s">
        <v>75</v>
      </c>
      <c r="K232">
        <v>3.14159265358979</v>
      </c>
      <c r="L232">
        <v>0.608936288314195</v>
      </c>
      <c r="M232">
        <v>0</v>
      </c>
      <c r="N232">
        <v>3.57537348311169E-2</v>
      </c>
      <c r="O232">
        <v>0</v>
      </c>
      <c r="P232">
        <v>1.6E-2</v>
      </c>
      <c r="Q232">
        <v>0</v>
      </c>
      <c r="R232">
        <v>0</v>
      </c>
      <c r="S232">
        <v>0</v>
      </c>
      <c r="T232">
        <v>0</v>
      </c>
      <c r="U232">
        <v>0.61384706482719198</v>
      </c>
      <c r="V232" t="s">
        <v>78</v>
      </c>
      <c r="W232">
        <v>3887389.56851668</v>
      </c>
      <c r="X232" t="s">
        <v>76</v>
      </c>
      <c r="Y232">
        <v>-1.5707963267949001</v>
      </c>
      <c r="Z232">
        <v>0.60826918535599706</v>
      </c>
      <c r="AA232">
        <v>0</v>
      </c>
      <c r="AB232">
        <v>3.5329342267912102E-2</v>
      </c>
      <c r="AC232">
        <v>0</v>
      </c>
      <c r="AD232">
        <v>2.3109522854343899E-3</v>
      </c>
      <c r="AE232">
        <v>1.5627137070981501E-2</v>
      </c>
      <c r="AF232">
        <v>0</v>
      </c>
      <c r="AG232">
        <v>0.177851470529688</v>
      </c>
      <c r="AH232">
        <v>0.40013562187413698</v>
      </c>
      <c r="AI232">
        <v>0.327358760349239</v>
      </c>
      <c r="AJ232" t="s">
        <v>74</v>
      </c>
      <c r="AK232">
        <v>0</v>
      </c>
      <c r="AL232" t="s">
        <v>77</v>
      </c>
      <c r="AM232">
        <v>0</v>
      </c>
      <c r="AN232">
        <v>0.99199999999999999</v>
      </c>
      <c r="AO232">
        <v>0</v>
      </c>
      <c r="AP232">
        <v>5.8245346242475203E-2</v>
      </c>
      <c r="AQ232">
        <v>0</v>
      </c>
      <c r="AR232">
        <v>1.6E-2</v>
      </c>
      <c r="AS232">
        <v>0</v>
      </c>
      <c r="AT232">
        <v>0</v>
      </c>
      <c r="AU232">
        <v>0</v>
      </c>
      <c r="AV232">
        <v>0</v>
      </c>
      <c r="AW232">
        <v>1</v>
      </c>
      <c r="AX232" t="s">
        <v>74</v>
      </c>
      <c r="AY232">
        <v>0</v>
      </c>
      <c r="AZ232" t="s">
        <v>76</v>
      </c>
      <c r="BA232">
        <v>-1.5707963267949001</v>
      </c>
      <c r="BB232">
        <v>0.99199999999999999</v>
      </c>
      <c r="BC232">
        <v>0</v>
      </c>
      <c r="BD232">
        <v>5.8245346242475203E-2</v>
      </c>
      <c r="BE232">
        <v>0</v>
      </c>
      <c r="BF232">
        <v>1.6E-2</v>
      </c>
      <c r="BG232">
        <v>0</v>
      </c>
      <c r="BH232">
        <v>0</v>
      </c>
      <c r="BI232">
        <v>0</v>
      </c>
      <c r="BJ232">
        <v>0</v>
      </c>
      <c r="BK232">
        <v>1</v>
      </c>
      <c r="BL232" s="1">
        <v>9.3786884791989702E-5</v>
      </c>
      <c r="BM232">
        <v>2.8899354620191299E-4</v>
      </c>
      <c r="BN232" s="1">
        <v>3.48951241722643E-7</v>
      </c>
      <c r="BO232" s="1">
        <v>4.5395000084139598E-6</v>
      </c>
      <c r="BP232">
        <v>0</v>
      </c>
      <c r="BQ232">
        <v>0</v>
      </c>
      <c r="BR232" s="1">
        <v>5.23709093751389E-5</v>
      </c>
      <c r="BS232">
        <v>1.65535454261427E-4</v>
      </c>
    </row>
    <row r="233" spans="1:71" x14ac:dyDescent="0.25">
      <c r="A233">
        <v>230</v>
      </c>
      <c r="B233" s="1">
        <v>2.79945581375613E-6</v>
      </c>
      <c r="C233">
        <v>0.13281337723598599</v>
      </c>
      <c r="D233">
        <v>-4.9195265188456904E-4</v>
      </c>
      <c r="E233">
        <v>6.1312499999999995E-4</v>
      </c>
      <c r="F233">
        <v>-1.3281337723598601E-3</v>
      </c>
      <c r="G233" s="1">
        <v>1.0842021724855E-19</v>
      </c>
      <c r="H233" t="s">
        <v>74</v>
      </c>
      <c r="I233">
        <v>0</v>
      </c>
      <c r="J233" t="s">
        <v>75</v>
      </c>
      <c r="K233">
        <v>3.14159265358979</v>
      </c>
      <c r="L233">
        <v>0.60727105630326295</v>
      </c>
      <c r="M233">
        <v>0</v>
      </c>
      <c r="N233">
        <v>3.5655960622396399E-2</v>
      </c>
      <c r="O233">
        <v>0</v>
      </c>
      <c r="P233">
        <v>1.6E-2</v>
      </c>
      <c r="Q233">
        <v>0</v>
      </c>
      <c r="R233">
        <v>0</v>
      </c>
      <c r="S233">
        <v>0</v>
      </c>
      <c r="T233">
        <v>0</v>
      </c>
      <c r="U233">
        <v>0.61216840352564394</v>
      </c>
      <c r="V233" t="s">
        <v>78</v>
      </c>
      <c r="W233">
        <v>3887497.6674533598</v>
      </c>
      <c r="X233" t="s">
        <v>76</v>
      </c>
      <c r="Y233">
        <v>-1.5707963267949001</v>
      </c>
      <c r="Z233">
        <v>0.60660484208156296</v>
      </c>
      <c r="AA233">
        <v>0</v>
      </c>
      <c r="AB233">
        <v>3.5232133448941501E-2</v>
      </c>
      <c r="AC233">
        <v>0</v>
      </c>
      <c r="AD233">
        <v>2.2498187761559301E-3</v>
      </c>
      <c r="AE233">
        <v>1.56892577538312E-2</v>
      </c>
      <c r="AF233">
        <v>0</v>
      </c>
      <c r="AG233">
        <v>0.17555005513064001</v>
      </c>
      <c r="AH233">
        <v>0.40494962872681201</v>
      </c>
      <c r="AI233">
        <v>0.324917002750027</v>
      </c>
      <c r="AJ233" t="s">
        <v>74</v>
      </c>
      <c r="AK233">
        <v>0</v>
      </c>
      <c r="AL233" t="s">
        <v>77</v>
      </c>
      <c r="AM233">
        <v>0</v>
      </c>
      <c r="AN233">
        <v>0.99199999999999999</v>
      </c>
      <c r="AO233">
        <v>0</v>
      </c>
      <c r="AP233">
        <v>5.8245346242475203E-2</v>
      </c>
      <c r="AQ233">
        <v>0</v>
      </c>
      <c r="AR233">
        <v>1.6E-2</v>
      </c>
      <c r="AS233">
        <v>0</v>
      </c>
      <c r="AT233">
        <v>0</v>
      </c>
      <c r="AU233">
        <v>0</v>
      </c>
      <c r="AV233">
        <v>0</v>
      </c>
      <c r="AW233">
        <v>1</v>
      </c>
      <c r="AX233" t="s">
        <v>74</v>
      </c>
      <c r="AY233">
        <v>0</v>
      </c>
      <c r="AZ233" t="s">
        <v>76</v>
      </c>
      <c r="BA233">
        <v>-1.5707963267949001</v>
      </c>
      <c r="BB233">
        <v>0.99199999999999999</v>
      </c>
      <c r="BC233">
        <v>0</v>
      </c>
      <c r="BD233">
        <v>5.8245346242475203E-2</v>
      </c>
      <c r="BE233">
        <v>0</v>
      </c>
      <c r="BF233">
        <v>1.6E-2</v>
      </c>
      <c r="BG233">
        <v>0</v>
      </c>
      <c r="BH233">
        <v>0</v>
      </c>
      <c r="BI233">
        <v>0</v>
      </c>
      <c r="BJ233">
        <v>0</v>
      </c>
      <c r="BK233">
        <v>1</v>
      </c>
      <c r="BL233" s="1">
        <v>9.3689393278144104E-5</v>
      </c>
      <c r="BM233">
        <v>2.9024984192872597E-4</v>
      </c>
      <c r="BN233" s="1">
        <v>3.4858883392530898E-7</v>
      </c>
      <c r="BO233" s="1">
        <v>4.5592338555444296E-6</v>
      </c>
      <c r="BP233">
        <v>0</v>
      </c>
      <c r="BQ233">
        <v>0</v>
      </c>
      <c r="BR233" s="1">
        <v>5.2308995120824699E-5</v>
      </c>
      <c r="BS233">
        <v>1.6625550568732201E-4</v>
      </c>
    </row>
    <row r="234" spans="1:71" x14ac:dyDescent="0.25">
      <c r="A234">
        <v>231</v>
      </c>
      <c r="B234" s="1">
        <v>2.835563818074E-6</v>
      </c>
      <c r="C234">
        <v>0.13281621279980399</v>
      </c>
      <c r="D234">
        <v>-4.9196533993171995E-4</v>
      </c>
      <c r="E234">
        <v>6.1312499999999995E-4</v>
      </c>
      <c r="F234">
        <v>-1.32816212799804E-3</v>
      </c>
      <c r="G234" s="1">
        <v>1.0842021724855E-19</v>
      </c>
      <c r="H234" t="s">
        <v>74</v>
      </c>
      <c r="I234">
        <v>0</v>
      </c>
      <c r="J234" t="s">
        <v>75</v>
      </c>
      <c r="K234">
        <v>3.14159265358979</v>
      </c>
      <c r="L234">
        <v>0.60560639277677597</v>
      </c>
      <c r="M234">
        <v>0</v>
      </c>
      <c r="N234">
        <v>3.5558219792278002E-2</v>
      </c>
      <c r="O234">
        <v>0</v>
      </c>
      <c r="P234">
        <v>1.6E-2</v>
      </c>
      <c r="Q234">
        <v>0</v>
      </c>
      <c r="R234">
        <v>0</v>
      </c>
      <c r="S234">
        <v>0</v>
      </c>
      <c r="T234">
        <v>0</v>
      </c>
      <c r="U234">
        <v>0.61049031529309605</v>
      </c>
      <c r="V234" t="s">
        <v>78</v>
      </c>
      <c r="W234">
        <v>3887607.1591415899</v>
      </c>
      <c r="X234" t="s">
        <v>76</v>
      </c>
      <c r="Y234">
        <v>-1.5707963267949001</v>
      </c>
      <c r="Z234">
        <v>0.604941059655973</v>
      </c>
      <c r="AA234">
        <v>0</v>
      </c>
      <c r="AB234">
        <v>3.5134953151014101E-2</v>
      </c>
      <c r="AC234">
        <v>0</v>
      </c>
      <c r="AD234">
        <v>2.18879088805181E-3</v>
      </c>
      <c r="AE234">
        <v>1.57512778598537E-2</v>
      </c>
      <c r="AF234">
        <v>0</v>
      </c>
      <c r="AG234">
        <v>0.173188441891447</v>
      </c>
      <c r="AH234">
        <v>0.40982297565978398</v>
      </c>
      <c r="AI234">
        <v>0.322481635741586</v>
      </c>
      <c r="AJ234" t="s">
        <v>74</v>
      </c>
      <c r="AK234">
        <v>0</v>
      </c>
      <c r="AL234" t="s">
        <v>77</v>
      </c>
      <c r="AM234">
        <v>0</v>
      </c>
      <c r="AN234">
        <v>0.99199999999999999</v>
      </c>
      <c r="AO234">
        <v>0</v>
      </c>
      <c r="AP234">
        <v>5.8245346242475203E-2</v>
      </c>
      <c r="AQ234">
        <v>0</v>
      </c>
      <c r="AR234">
        <v>1.6E-2</v>
      </c>
      <c r="AS234">
        <v>0</v>
      </c>
      <c r="AT234">
        <v>0</v>
      </c>
      <c r="AU234">
        <v>0</v>
      </c>
      <c r="AV234">
        <v>0</v>
      </c>
      <c r="AW234">
        <v>1</v>
      </c>
      <c r="AX234" t="s">
        <v>74</v>
      </c>
      <c r="AY234">
        <v>0</v>
      </c>
      <c r="AZ234" t="s">
        <v>76</v>
      </c>
      <c r="BA234">
        <v>-1.5707963267949001</v>
      </c>
      <c r="BB234">
        <v>0.99199999999999999</v>
      </c>
      <c r="BC234">
        <v>0</v>
      </c>
      <c r="BD234">
        <v>5.8245346242475203E-2</v>
      </c>
      <c r="BE234">
        <v>0</v>
      </c>
      <c r="BF234">
        <v>1.6E-2</v>
      </c>
      <c r="BG234">
        <v>0</v>
      </c>
      <c r="BH234">
        <v>0</v>
      </c>
      <c r="BI234">
        <v>0</v>
      </c>
      <c r="BJ234">
        <v>0</v>
      </c>
      <c r="BK234">
        <v>1</v>
      </c>
      <c r="BL234" s="1">
        <v>9.3591932714121194E-5</v>
      </c>
      <c r="BM234">
        <v>2.9150570877561498E-4</v>
      </c>
      <c r="BN234" s="1">
        <v>3.48226528857945E-7</v>
      </c>
      <c r="BO234" s="1">
        <v>4.5789609658447996E-6</v>
      </c>
      <c r="BP234">
        <v>0</v>
      </c>
      <c r="BQ234">
        <v>0</v>
      </c>
      <c r="BR234" s="1">
        <v>5.2247101765259403E-5</v>
      </c>
      <c r="BS234">
        <v>1.6697532107398899E-4</v>
      </c>
    </row>
    <row r="235" spans="1:71" x14ac:dyDescent="0.25">
      <c r="A235">
        <v>232</v>
      </c>
      <c r="B235" s="1">
        <v>2.8735935070015998E-6</v>
      </c>
      <c r="C235">
        <v>0.132819086393311</v>
      </c>
      <c r="D235">
        <v>-4.9197819796466301E-4</v>
      </c>
      <c r="E235">
        <v>6.1312499999999995E-4</v>
      </c>
      <c r="F235">
        <v>-1.3281908639331101E-3</v>
      </c>
      <c r="G235" s="1">
        <v>2.1684043449710098E-19</v>
      </c>
      <c r="H235" t="s">
        <v>74</v>
      </c>
      <c r="I235">
        <v>0</v>
      </c>
      <c r="J235" t="s">
        <v>75</v>
      </c>
      <c r="K235">
        <v>3.14159265358979</v>
      </c>
      <c r="L235">
        <v>0.60394232758553901</v>
      </c>
      <c r="M235">
        <v>0</v>
      </c>
      <c r="N235">
        <v>3.5460514093453702E-2</v>
      </c>
      <c r="O235">
        <v>0</v>
      </c>
      <c r="P235">
        <v>1.6E-2</v>
      </c>
      <c r="Q235">
        <v>0</v>
      </c>
      <c r="R235">
        <v>0</v>
      </c>
      <c r="S235">
        <v>0</v>
      </c>
      <c r="T235">
        <v>0</v>
      </c>
      <c r="U235">
        <v>0.60881283022108601</v>
      </c>
      <c r="V235" t="s">
        <v>78</v>
      </c>
      <c r="W235">
        <v>3887718.1177246799</v>
      </c>
      <c r="X235" t="s">
        <v>76</v>
      </c>
      <c r="Y235">
        <v>-1.5707963267949001</v>
      </c>
      <c r="Z235">
        <v>0.60327786735145295</v>
      </c>
      <c r="AA235">
        <v>0</v>
      </c>
      <c r="AB235">
        <v>3.50378027587454E-2</v>
      </c>
      <c r="AC235">
        <v>0</v>
      </c>
      <c r="AD235">
        <v>2.1278705898546599E-3</v>
      </c>
      <c r="AE235">
        <v>1.5813195898375699E-2</v>
      </c>
      <c r="AF235">
        <v>0</v>
      </c>
      <c r="AG235">
        <v>0.17076512035899899</v>
      </c>
      <c r="AH235">
        <v>0.41475712808566301</v>
      </c>
      <c r="AI235">
        <v>0.32005272142118102</v>
      </c>
      <c r="AJ235" t="s">
        <v>74</v>
      </c>
      <c r="AK235">
        <v>0</v>
      </c>
      <c r="AL235" t="s">
        <v>77</v>
      </c>
      <c r="AM235">
        <v>0</v>
      </c>
      <c r="AN235">
        <v>0.99199999999999999</v>
      </c>
      <c r="AO235">
        <v>0</v>
      </c>
      <c r="AP235">
        <v>5.8245346242475203E-2</v>
      </c>
      <c r="AQ235">
        <v>0</v>
      </c>
      <c r="AR235">
        <v>1.6E-2</v>
      </c>
      <c r="AS235">
        <v>0</v>
      </c>
      <c r="AT235">
        <v>0</v>
      </c>
      <c r="AU235">
        <v>0</v>
      </c>
      <c r="AV235">
        <v>0</v>
      </c>
      <c r="AW235">
        <v>1</v>
      </c>
      <c r="AX235" t="s">
        <v>74</v>
      </c>
      <c r="AY235">
        <v>0</v>
      </c>
      <c r="AZ235" t="s">
        <v>76</v>
      </c>
      <c r="BA235">
        <v>-1.5707963267949001</v>
      </c>
      <c r="BB235">
        <v>0.99199999999999999</v>
      </c>
      <c r="BC235">
        <v>0</v>
      </c>
      <c r="BD235">
        <v>5.8245346242475203E-2</v>
      </c>
      <c r="BE235">
        <v>0</v>
      </c>
      <c r="BF235">
        <v>1.6E-2</v>
      </c>
      <c r="BG235">
        <v>0</v>
      </c>
      <c r="BH235">
        <v>0</v>
      </c>
      <c r="BI235">
        <v>0</v>
      </c>
      <c r="BJ235">
        <v>0</v>
      </c>
      <c r="BK235">
        <v>1</v>
      </c>
      <c r="BL235" s="1">
        <v>9.3494504668574803E-5</v>
      </c>
      <c r="BM235">
        <v>2.9276112422233099E-4</v>
      </c>
      <c r="BN235" s="1">
        <v>3.4786433140630602E-7</v>
      </c>
      <c r="BO235" s="1">
        <v>4.59868098556782E-6</v>
      </c>
      <c r="BP235">
        <v>0</v>
      </c>
      <c r="BQ235">
        <v>0</v>
      </c>
      <c r="BR235" s="1">
        <v>5.2185230394863299E-5</v>
      </c>
      <c r="BS235">
        <v>1.6769488790262699E-4</v>
      </c>
    </row>
    <row r="236" spans="1:71" x14ac:dyDescent="0.25">
      <c r="A236">
        <v>233</v>
      </c>
      <c r="B236" s="1">
        <v>2.9136878367025301E-6</v>
      </c>
      <c r="C236">
        <v>0.132822000081147</v>
      </c>
      <c r="D236">
        <v>-4.9199123521429899E-4</v>
      </c>
      <c r="E236">
        <v>6.1312499999999995E-4</v>
      </c>
      <c r="F236">
        <v>-1.32822000081147E-3</v>
      </c>
      <c r="G236" s="1">
        <v>2.1684043449710098E-19</v>
      </c>
      <c r="H236" t="s">
        <v>74</v>
      </c>
      <c r="I236">
        <v>0</v>
      </c>
      <c r="J236" t="s">
        <v>75</v>
      </c>
      <c r="K236">
        <v>3.14159265358979</v>
      </c>
      <c r="L236">
        <v>0.60227889298854498</v>
      </c>
      <c r="M236">
        <v>0</v>
      </c>
      <c r="N236">
        <v>3.5362845420012501E-2</v>
      </c>
      <c r="O236">
        <v>0</v>
      </c>
      <c r="P236">
        <v>1.6E-2</v>
      </c>
      <c r="Q236">
        <v>0</v>
      </c>
      <c r="R236">
        <v>0</v>
      </c>
      <c r="S236">
        <v>0</v>
      </c>
      <c r="T236">
        <v>0</v>
      </c>
      <c r="U236">
        <v>0.60713598082875897</v>
      </c>
      <c r="V236" t="s">
        <v>78</v>
      </c>
      <c r="W236">
        <v>3887830.6228608401</v>
      </c>
      <c r="X236" t="s">
        <v>76</v>
      </c>
      <c r="Y236">
        <v>-1.5707963267949001</v>
      </c>
      <c r="Z236">
        <v>0.60161529680481995</v>
      </c>
      <c r="AA236">
        <v>0</v>
      </c>
      <c r="AB236">
        <v>3.4940683770414399E-2</v>
      </c>
      <c r="AC236">
        <v>0</v>
      </c>
      <c r="AD236">
        <v>2.06705996864762E-3</v>
      </c>
      <c r="AE236">
        <v>1.5875010293418399E-2</v>
      </c>
      <c r="AF236">
        <v>0</v>
      </c>
      <c r="AG236">
        <v>0.16827850127597799</v>
      </c>
      <c r="AH236">
        <v>0.41975362658767101</v>
      </c>
      <c r="AI236">
        <v>0.31763032510689698</v>
      </c>
      <c r="AJ236" t="s">
        <v>74</v>
      </c>
      <c r="AK236">
        <v>0</v>
      </c>
      <c r="AL236" t="s">
        <v>77</v>
      </c>
      <c r="AM236">
        <v>0</v>
      </c>
      <c r="AN236">
        <v>0.99199999999999999</v>
      </c>
      <c r="AO236">
        <v>0</v>
      </c>
      <c r="AP236">
        <v>5.8245346242475203E-2</v>
      </c>
      <c r="AQ236">
        <v>0</v>
      </c>
      <c r="AR236">
        <v>1.6E-2</v>
      </c>
      <c r="AS236">
        <v>0</v>
      </c>
      <c r="AT236">
        <v>0</v>
      </c>
      <c r="AU236">
        <v>0</v>
      </c>
      <c r="AV236">
        <v>0</v>
      </c>
      <c r="AW236">
        <v>1</v>
      </c>
      <c r="AX236" t="s">
        <v>74</v>
      </c>
      <c r="AY236">
        <v>0</v>
      </c>
      <c r="AZ236" t="s">
        <v>76</v>
      </c>
      <c r="BA236">
        <v>-1.5707963267949001</v>
      </c>
      <c r="BB236">
        <v>0.99199999999999999</v>
      </c>
      <c r="BC236">
        <v>0</v>
      </c>
      <c r="BD236">
        <v>5.8245346242475203E-2</v>
      </c>
      <c r="BE236">
        <v>0</v>
      </c>
      <c r="BF236">
        <v>1.6E-2</v>
      </c>
      <c r="BG236">
        <v>0</v>
      </c>
      <c r="BH236">
        <v>0</v>
      </c>
      <c r="BI236">
        <v>0</v>
      </c>
      <c r="BJ236">
        <v>0</v>
      </c>
      <c r="BK236">
        <v>1</v>
      </c>
      <c r="BL236" s="1">
        <v>9.3397110837688705E-5</v>
      </c>
      <c r="BM236">
        <v>2.94016063931824E-4</v>
      </c>
      <c r="BN236" s="1">
        <v>3.4750224685912302E-7</v>
      </c>
      <c r="BO236" s="1">
        <v>4.6183935324280298E-6</v>
      </c>
      <c r="BP236">
        <v>0</v>
      </c>
      <c r="BQ236">
        <v>0</v>
      </c>
      <c r="BR236" s="1">
        <v>5.2123382183815298E-5</v>
      </c>
      <c r="BS236">
        <v>1.6841419264188701E-4</v>
      </c>
    </row>
    <row r="237" spans="1:71" x14ac:dyDescent="0.25">
      <c r="A237">
        <v>234</v>
      </c>
      <c r="B237" s="1">
        <v>2.9560049270422402E-6</v>
      </c>
      <c r="C237">
        <v>0.132824956086074</v>
      </c>
      <c r="D237">
        <v>-4.9200446161838803E-4</v>
      </c>
      <c r="E237">
        <v>6.1312499999999995E-4</v>
      </c>
      <c r="F237">
        <v>-1.3282495608607501E-3</v>
      </c>
      <c r="G237" s="1">
        <v>2.1684043449710098E-19</v>
      </c>
      <c r="H237" t="s">
        <v>74</v>
      </c>
      <c r="I237">
        <v>0</v>
      </c>
      <c r="J237" t="s">
        <v>75</v>
      </c>
      <c r="K237">
        <v>3.14159265358979</v>
      </c>
      <c r="L237">
        <v>0.60061612391804697</v>
      </c>
      <c r="M237">
        <v>0</v>
      </c>
      <c r="N237">
        <v>3.5265215823004098E-2</v>
      </c>
      <c r="O237">
        <v>0</v>
      </c>
      <c r="P237">
        <v>1.6E-2</v>
      </c>
      <c r="Q237">
        <v>0</v>
      </c>
      <c r="R237">
        <v>0</v>
      </c>
      <c r="S237">
        <v>0</v>
      </c>
      <c r="T237">
        <v>0</v>
      </c>
      <c r="U237">
        <v>0.60545980233008101</v>
      </c>
      <c r="V237" t="s">
        <v>78</v>
      </c>
      <c r="W237">
        <v>3887944.7603081199</v>
      </c>
      <c r="X237" t="s">
        <v>76</v>
      </c>
      <c r="Y237">
        <v>-1.5707963267949001</v>
      </c>
      <c r="Z237">
        <v>0.59995338227784001</v>
      </c>
      <c r="AA237">
        <v>0</v>
      </c>
      <c r="AB237">
        <v>3.4843597810524402E-2</v>
      </c>
      <c r="AC237">
        <v>0</v>
      </c>
      <c r="AD237">
        <v>2.0063612425019399E-3</v>
      </c>
      <c r="AE237">
        <v>1.5936719374565401E-2</v>
      </c>
      <c r="AF237">
        <v>0</v>
      </c>
      <c r="AG237">
        <v>0.165726910450605</v>
      </c>
      <c r="AH237">
        <v>0.42481409264992498</v>
      </c>
      <c r="AI237">
        <v>0.31521451567709202</v>
      </c>
      <c r="AJ237" t="s">
        <v>74</v>
      </c>
      <c r="AK237">
        <v>0</v>
      </c>
      <c r="AL237" t="s">
        <v>77</v>
      </c>
      <c r="AM237">
        <v>0</v>
      </c>
      <c r="AN237">
        <v>0.99199999999999999</v>
      </c>
      <c r="AO237">
        <v>0</v>
      </c>
      <c r="AP237">
        <v>5.8245346242475203E-2</v>
      </c>
      <c r="AQ237">
        <v>0</v>
      </c>
      <c r="AR237">
        <v>1.6E-2</v>
      </c>
      <c r="AS237">
        <v>0</v>
      </c>
      <c r="AT237">
        <v>0</v>
      </c>
      <c r="AU237">
        <v>0</v>
      </c>
      <c r="AV237">
        <v>0</v>
      </c>
      <c r="AW237">
        <v>1</v>
      </c>
      <c r="AX237" t="s">
        <v>74</v>
      </c>
      <c r="AY237">
        <v>0</v>
      </c>
      <c r="AZ237" t="s">
        <v>76</v>
      </c>
      <c r="BA237">
        <v>-1.5707963267949001</v>
      </c>
      <c r="BB237">
        <v>0.99199999999999999</v>
      </c>
      <c r="BC237">
        <v>0</v>
      </c>
      <c r="BD237">
        <v>5.8245346242475203E-2</v>
      </c>
      <c r="BE237">
        <v>0</v>
      </c>
      <c r="BF237">
        <v>1.6E-2</v>
      </c>
      <c r="BG237">
        <v>0</v>
      </c>
      <c r="BH237">
        <v>0</v>
      </c>
      <c r="BI237">
        <v>0</v>
      </c>
      <c r="BJ237">
        <v>0</v>
      </c>
      <c r="BK237">
        <v>1</v>
      </c>
      <c r="BL237" s="1">
        <v>9.3299753059239494E-5</v>
      </c>
      <c r="BM237">
        <v>2.9527050155026501E-4</v>
      </c>
      <c r="BN237" s="1">
        <v>3.4714028095268801E-7</v>
      </c>
      <c r="BO237" s="1">
        <v>4.6380981924604301E-6</v>
      </c>
      <c r="BP237">
        <v>0</v>
      </c>
      <c r="BQ237">
        <v>0</v>
      </c>
      <c r="BR237" s="1">
        <v>5.2061558403713902E-5</v>
      </c>
      <c r="BS237">
        <v>1.69133220636246E-4</v>
      </c>
    </row>
    <row r="238" spans="1:71" x14ac:dyDescent="0.25">
      <c r="A238">
        <v>235</v>
      </c>
      <c r="B238" s="1">
        <v>3.00072013829045E-6</v>
      </c>
      <c r="C238">
        <v>0.13282795680621301</v>
      </c>
      <c r="D238">
        <v>-4.9201788789861604E-4</v>
      </c>
      <c r="E238">
        <v>6.1312499999999995E-4</v>
      </c>
      <c r="F238">
        <v>-1.32827956806213E-3</v>
      </c>
      <c r="G238" s="1">
        <v>2.1684043449710098E-19</v>
      </c>
      <c r="H238" t="s">
        <v>74</v>
      </c>
      <c r="I238">
        <v>0</v>
      </c>
      <c r="J238" t="s">
        <v>75</v>
      </c>
      <c r="K238">
        <v>3.14159265358979</v>
      </c>
      <c r="L238">
        <v>0.59895405828182302</v>
      </c>
      <c r="M238">
        <v>0</v>
      </c>
      <c r="N238">
        <v>3.5167627528186002E-2</v>
      </c>
      <c r="O238">
        <v>0</v>
      </c>
      <c r="P238">
        <v>1.6E-2</v>
      </c>
      <c r="Q238">
        <v>0</v>
      </c>
      <c r="R238">
        <v>0</v>
      </c>
      <c r="S238">
        <v>0</v>
      </c>
      <c r="T238">
        <v>0</v>
      </c>
      <c r="U238">
        <v>0.60378433293853795</v>
      </c>
      <c r="V238" t="s">
        <v>78</v>
      </c>
      <c r="W238">
        <v>3888060.6225894699</v>
      </c>
      <c r="X238" t="s">
        <v>76</v>
      </c>
      <c r="Y238">
        <v>-1.5707963267949001</v>
      </c>
      <c r="Z238">
        <v>0.59829216095411597</v>
      </c>
      <c r="AA238">
        <v>0</v>
      </c>
      <c r="AB238">
        <v>3.4746546644132202E-2</v>
      </c>
      <c r="AC238">
        <v>0</v>
      </c>
      <c r="AD238">
        <v>1.9457767748829E-3</v>
      </c>
      <c r="AE238">
        <v>1.5998321366532502E-2</v>
      </c>
      <c r="AF238">
        <v>0</v>
      </c>
      <c r="AG238">
        <v>0.16310858199105299</v>
      </c>
      <c r="AH238">
        <v>0.42994023496695999</v>
      </c>
      <c r="AI238">
        <v>0.31280536595747299</v>
      </c>
      <c r="AJ238" t="s">
        <v>74</v>
      </c>
      <c r="AK238">
        <v>0</v>
      </c>
      <c r="AL238" t="s">
        <v>77</v>
      </c>
      <c r="AM238">
        <v>0</v>
      </c>
      <c r="AN238">
        <v>0.99199999999999999</v>
      </c>
      <c r="AO238">
        <v>0</v>
      </c>
      <c r="AP238">
        <v>5.8245346242475203E-2</v>
      </c>
      <c r="AQ238">
        <v>0</v>
      </c>
      <c r="AR238">
        <v>1.6E-2</v>
      </c>
      <c r="AS238">
        <v>0</v>
      </c>
      <c r="AT238">
        <v>0</v>
      </c>
      <c r="AU238">
        <v>0</v>
      </c>
      <c r="AV238">
        <v>0</v>
      </c>
      <c r="AW238">
        <v>1</v>
      </c>
      <c r="AX238" t="s">
        <v>74</v>
      </c>
      <c r="AY238">
        <v>0</v>
      </c>
      <c r="AZ238" t="s">
        <v>76</v>
      </c>
      <c r="BA238">
        <v>-1.5707963267949001</v>
      </c>
      <c r="BB238">
        <v>0.99199999999999999</v>
      </c>
      <c r="BC238">
        <v>0</v>
      </c>
      <c r="BD238">
        <v>5.8245346242475203E-2</v>
      </c>
      <c r="BE238">
        <v>0</v>
      </c>
      <c r="BF238">
        <v>1.6E-2</v>
      </c>
      <c r="BG238">
        <v>0</v>
      </c>
      <c r="BH238">
        <v>0</v>
      </c>
      <c r="BI238">
        <v>0</v>
      </c>
      <c r="BJ238">
        <v>0</v>
      </c>
      <c r="BK238">
        <v>1</v>
      </c>
      <c r="BL238" s="1">
        <v>9.3202433328634293E-5</v>
      </c>
      <c r="BM238">
        <v>2.9652440847900702E-4</v>
      </c>
      <c r="BN238" s="1">
        <v>3.4677843992171001E-7</v>
      </c>
      <c r="BO238" s="1">
        <v>4.6577945164385298E-6</v>
      </c>
      <c r="BP238">
        <v>0</v>
      </c>
      <c r="BQ238">
        <v>0</v>
      </c>
      <c r="BR238" s="1">
        <v>5.1999760434593598E-5</v>
      </c>
      <c r="BS238">
        <v>1.6985195597870201E-4</v>
      </c>
    </row>
    <row r="239" spans="1:71" x14ac:dyDescent="0.25">
      <c r="A239">
        <v>236</v>
      </c>
      <c r="B239" s="1">
        <v>3.04802850088578E-6</v>
      </c>
      <c r="C239">
        <v>0.13283100483471399</v>
      </c>
      <c r="D239">
        <v>-4.9203152564852599E-4</v>
      </c>
      <c r="E239">
        <v>6.1312499999999995E-4</v>
      </c>
      <c r="F239">
        <v>-1.32831004834714E-3</v>
      </c>
      <c r="G239" s="1">
        <v>1.0842021724855E-19</v>
      </c>
      <c r="H239" t="s">
        <v>74</v>
      </c>
      <c r="I239">
        <v>0</v>
      </c>
      <c r="J239" t="s">
        <v>75</v>
      </c>
      <c r="K239">
        <v>3.14159265358979</v>
      </c>
      <c r="L239">
        <v>0.59729273730922705</v>
      </c>
      <c r="M239">
        <v>0</v>
      </c>
      <c r="N239">
        <v>3.5070082956342501E-2</v>
      </c>
      <c r="O239">
        <v>0</v>
      </c>
      <c r="P239">
        <v>1.6E-2</v>
      </c>
      <c r="Q239">
        <v>0</v>
      </c>
      <c r="R239">
        <v>0</v>
      </c>
      <c r="S239">
        <v>0</v>
      </c>
      <c r="T239">
        <v>0</v>
      </c>
      <c r="U239">
        <v>0.60210961421597897</v>
      </c>
      <c r="V239" t="s">
        <v>78</v>
      </c>
      <c r="W239">
        <v>3888178.3097515102</v>
      </c>
      <c r="X239" t="s">
        <v>76</v>
      </c>
      <c r="Y239">
        <v>-1.5707963267949001</v>
      </c>
      <c r="Z239">
        <v>0.59663167327899702</v>
      </c>
      <c r="AA239">
        <v>0</v>
      </c>
      <c r="AB239">
        <v>3.4649532193261501E-2</v>
      </c>
      <c r="AC239">
        <v>0</v>
      </c>
      <c r="AD239">
        <v>1.88530909113608E-3</v>
      </c>
      <c r="AE239">
        <v>1.6059814377207601E-2</v>
      </c>
      <c r="AF239">
        <v>0</v>
      </c>
      <c r="AG239">
        <v>0.16042165082231999</v>
      </c>
      <c r="AH239">
        <v>0.43513385640472002</v>
      </c>
      <c r="AI239">
        <v>0.310402953164304</v>
      </c>
      <c r="AJ239" t="s">
        <v>74</v>
      </c>
      <c r="AK239">
        <v>0</v>
      </c>
      <c r="AL239" t="s">
        <v>77</v>
      </c>
      <c r="AM239">
        <v>0</v>
      </c>
      <c r="AN239">
        <v>0.99199999999999999</v>
      </c>
      <c r="AO239">
        <v>0</v>
      </c>
      <c r="AP239">
        <v>5.8245346242475203E-2</v>
      </c>
      <c r="AQ239">
        <v>0</v>
      </c>
      <c r="AR239">
        <v>1.6E-2</v>
      </c>
      <c r="AS239">
        <v>0</v>
      </c>
      <c r="AT239">
        <v>0</v>
      </c>
      <c r="AU239">
        <v>0</v>
      </c>
      <c r="AV239">
        <v>0</v>
      </c>
      <c r="AW239">
        <v>1</v>
      </c>
      <c r="AX239" t="s">
        <v>74</v>
      </c>
      <c r="AY239">
        <v>0</v>
      </c>
      <c r="AZ239" t="s">
        <v>76</v>
      </c>
      <c r="BA239">
        <v>-1.5707963267949001</v>
      </c>
      <c r="BB239">
        <v>0.99199999999999999</v>
      </c>
      <c r="BC239">
        <v>0</v>
      </c>
      <c r="BD239">
        <v>5.8245346242475203E-2</v>
      </c>
      <c r="BE239">
        <v>0</v>
      </c>
      <c r="BF239">
        <v>1.6E-2</v>
      </c>
      <c r="BG239">
        <v>0</v>
      </c>
      <c r="BH239">
        <v>0</v>
      </c>
      <c r="BI239">
        <v>0</v>
      </c>
      <c r="BJ239">
        <v>0</v>
      </c>
      <c r="BK239">
        <v>1</v>
      </c>
      <c r="BL239" s="1">
        <v>9.3105153817277204E-5</v>
      </c>
      <c r="BM239">
        <v>2.9777775361352E-4</v>
      </c>
      <c r="BN239" s="1">
        <v>3.4641673055758601E-7</v>
      </c>
      <c r="BO239" s="1">
        <v>4.6774820157735403E-6</v>
      </c>
      <c r="BP239">
        <v>0</v>
      </c>
      <c r="BQ239">
        <v>0</v>
      </c>
      <c r="BR239" s="1">
        <v>5.1937989777538E-5</v>
      </c>
      <c r="BS239">
        <v>1.7057038136501001E-4</v>
      </c>
    </row>
    <row r="240" spans="1:71" x14ac:dyDescent="0.25">
      <c r="A240">
        <v>237</v>
      </c>
      <c r="B240" s="1">
        <v>3.0981475701304499E-6</v>
      </c>
      <c r="C240">
        <v>0.13283410298228401</v>
      </c>
      <c r="D240">
        <v>-4.9204538743420395E-4</v>
      </c>
      <c r="E240">
        <v>6.1312499999999995E-4</v>
      </c>
      <c r="F240">
        <v>-1.32834102982284E-3</v>
      </c>
      <c r="G240" s="1">
        <v>1.0842021724855E-19</v>
      </c>
      <c r="H240" t="s">
        <v>74</v>
      </c>
      <c r="I240">
        <v>0</v>
      </c>
      <c r="J240" t="s">
        <v>75</v>
      </c>
      <c r="K240">
        <v>3.14159265358979</v>
      </c>
      <c r="L240">
        <v>0.595632205948885</v>
      </c>
      <c r="M240">
        <v>0</v>
      </c>
      <c r="N240">
        <v>3.4972584746635199E-2</v>
      </c>
      <c r="O240">
        <v>0</v>
      </c>
      <c r="P240">
        <v>1.6E-2</v>
      </c>
      <c r="Q240">
        <v>0</v>
      </c>
      <c r="R240">
        <v>0</v>
      </c>
      <c r="S240">
        <v>0</v>
      </c>
      <c r="T240">
        <v>0</v>
      </c>
      <c r="U240">
        <v>0.60043569147351805</v>
      </c>
      <c r="V240" t="s">
        <v>78</v>
      </c>
      <c r="W240">
        <v>3888297.9302335</v>
      </c>
      <c r="X240" t="s">
        <v>76</v>
      </c>
      <c r="Y240">
        <v>-1.5707963267949001</v>
      </c>
      <c r="Z240">
        <v>0.59497196335024605</v>
      </c>
      <c r="AA240">
        <v>0</v>
      </c>
      <c r="AB240">
        <v>3.4552556555776999E-2</v>
      </c>
      <c r="AC240">
        <v>0</v>
      </c>
      <c r="AD240">
        <v>1.8249608974275099E-3</v>
      </c>
      <c r="AE240">
        <v>1.61211963838809E-2</v>
      </c>
      <c r="AF240">
        <v>0</v>
      </c>
      <c r="AG240">
        <v>0.15766414439040899</v>
      </c>
      <c r="AH240">
        <v>0.44039686169630299</v>
      </c>
      <c r="AI240">
        <v>0.30800735941387902</v>
      </c>
      <c r="AJ240" t="s">
        <v>74</v>
      </c>
      <c r="AK240">
        <v>0</v>
      </c>
      <c r="AL240" t="s">
        <v>77</v>
      </c>
      <c r="AM240">
        <v>0</v>
      </c>
      <c r="AN240">
        <v>0.99199999999999999</v>
      </c>
      <c r="AO240">
        <v>0</v>
      </c>
      <c r="AP240">
        <v>5.8245346242475203E-2</v>
      </c>
      <c r="AQ240">
        <v>0</v>
      </c>
      <c r="AR240">
        <v>1.6E-2</v>
      </c>
      <c r="AS240">
        <v>0</v>
      </c>
      <c r="AT240">
        <v>0</v>
      </c>
      <c r="AU240">
        <v>0</v>
      </c>
      <c r="AV240">
        <v>0</v>
      </c>
      <c r="AW240">
        <v>1</v>
      </c>
      <c r="AX240" t="s">
        <v>74</v>
      </c>
      <c r="AY240">
        <v>0</v>
      </c>
      <c r="AZ240" t="s">
        <v>76</v>
      </c>
      <c r="BA240">
        <v>-1.5707963267949001</v>
      </c>
      <c r="BB240">
        <v>0.99199999999999999</v>
      </c>
      <c r="BC240">
        <v>0</v>
      </c>
      <c r="BD240">
        <v>5.8245346242475203E-2</v>
      </c>
      <c r="BE240">
        <v>0</v>
      </c>
      <c r="BF240">
        <v>1.6E-2</v>
      </c>
      <c r="BG240">
        <v>0</v>
      </c>
      <c r="BH240">
        <v>0</v>
      </c>
      <c r="BI240">
        <v>0</v>
      </c>
      <c r="BJ240">
        <v>0</v>
      </c>
      <c r="BK240">
        <v>1</v>
      </c>
      <c r="BL240" s="1">
        <v>9.3007916893681299E-5</v>
      </c>
      <c r="BM240">
        <v>2.9903050304335598E-4</v>
      </c>
      <c r="BN240" s="1">
        <v>3.4605516027541799E-7</v>
      </c>
      <c r="BO240" s="1">
        <v>4.6971601578013303E-6</v>
      </c>
      <c r="BP240">
        <v>0</v>
      </c>
      <c r="BQ240">
        <v>0</v>
      </c>
      <c r="BR240" s="1">
        <v>5.18762480691754E-5</v>
      </c>
      <c r="BS240">
        <v>1.71288477926148E-4</v>
      </c>
    </row>
    <row r="241" spans="1:71" x14ac:dyDescent="0.25">
      <c r="A241">
        <v>238</v>
      </c>
      <c r="B241" s="1">
        <v>3.1513207962622201E-6</v>
      </c>
      <c r="C241">
        <v>0.13283725430307999</v>
      </c>
      <c r="D241">
        <v>-4.9205948691004005E-4</v>
      </c>
      <c r="E241">
        <v>6.1312499999999995E-4</v>
      </c>
      <c r="F241">
        <v>-1.3283725430308E-3</v>
      </c>
      <c r="G241" s="1">
        <v>2.1684043449710098E-19</v>
      </c>
      <c r="H241" t="s">
        <v>74</v>
      </c>
      <c r="I241">
        <v>0</v>
      </c>
      <c r="J241" t="s">
        <v>75</v>
      </c>
      <c r="K241">
        <v>3.14159265358979</v>
      </c>
      <c r="L241">
        <v>0.59397251332734502</v>
      </c>
      <c r="M241">
        <v>0</v>
      </c>
      <c r="N241">
        <v>3.4875135783532699E-2</v>
      </c>
      <c r="O241">
        <v>0</v>
      </c>
      <c r="P241">
        <v>1.6E-2</v>
      </c>
      <c r="Q241">
        <v>0</v>
      </c>
      <c r="R241">
        <v>0</v>
      </c>
      <c r="S241">
        <v>0</v>
      </c>
      <c r="T241">
        <v>0</v>
      </c>
      <c r="U241">
        <v>0.59876261423388799</v>
      </c>
      <c r="V241" t="s">
        <v>78</v>
      </c>
      <c r="W241">
        <v>3888419.6018661801</v>
      </c>
      <c r="X241" t="s">
        <v>76</v>
      </c>
      <c r="Y241">
        <v>-1.5707963267949001</v>
      </c>
      <c r="Z241">
        <v>0.59331307936858402</v>
      </c>
      <c r="AA241">
        <v>0</v>
      </c>
      <c r="AB241">
        <v>3.4455622027161202E-2</v>
      </c>
      <c r="AC241">
        <v>0</v>
      </c>
      <c r="AD241">
        <v>1.7647351025818899E-3</v>
      </c>
      <c r="AE241">
        <v>1.61824652173348E-2</v>
      </c>
      <c r="AF241">
        <v>0</v>
      </c>
      <c r="AG241">
        <v>0.15483397344320499</v>
      </c>
      <c r="AH241">
        <v>0.445731265969044</v>
      </c>
      <c r="AI241">
        <v>0.305618672310218</v>
      </c>
      <c r="AJ241" t="s">
        <v>74</v>
      </c>
      <c r="AK241">
        <v>0</v>
      </c>
      <c r="AL241" t="s">
        <v>77</v>
      </c>
      <c r="AM241">
        <v>0</v>
      </c>
      <c r="AN241">
        <v>0.99199999999999999</v>
      </c>
      <c r="AO241">
        <v>0</v>
      </c>
      <c r="AP241">
        <v>5.8245346242475203E-2</v>
      </c>
      <c r="AQ241">
        <v>0</v>
      </c>
      <c r="AR241">
        <v>1.6E-2</v>
      </c>
      <c r="AS241">
        <v>0</v>
      </c>
      <c r="AT241">
        <v>0</v>
      </c>
      <c r="AU241">
        <v>0</v>
      </c>
      <c r="AV241">
        <v>0</v>
      </c>
      <c r="AW241">
        <v>1</v>
      </c>
      <c r="AX241" t="s">
        <v>74</v>
      </c>
      <c r="AY241">
        <v>0</v>
      </c>
      <c r="AZ241" t="s">
        <v>76</v>
      </c>
      <c r="BA241">
        <v>-1.5707963267949001</v>
      </c>
      <c r="BB241">
        <v>0.99199999999999999</v>
      </c>
      <c r="BC241">
        <v>0</v>
      </c>
      <c r="BD241">
        <v>5.8245346242475203E-2</v>
      </c>
      <c r="BE241">
        <v>0</v>
      </c>
      <c r="BF241">
        <v>1.6E-2</v>
      </c>
      <c r="BG241">
        <v>0</v>
      </c>
      <c r="BH241">
        <v>0</v>
      </c>
      <c r="BI241">
        <v>0</v>
      </c>
      <c r="BJ241">
        <v>0</v>
      </c>
      <c r="BK241">
        <v>1</v>
      </c>
      <c r="BL241" s="1">
        <v>9.2910725147822204E-5</v>
      </c>
      <c r="BM241">
        <v>3.00282619706124E-4</v>
      </c>
      <c r="BN241" s="1">
        <v>3.4569373719133598E-7</v>
      </c>
      <c r="BO241" s="1">
        <v>4.7168283603472901E-6</v>
      </c>
      <c r="BP241">
        <v>0</v>
      </c>
      <c r="BQ241">
        <v>0</v>
      </c>
      <c r="BR241" s="1">
        <v>5.1814537098397498E-5</v>
      </c>
      <c r="BS241">
        <v>1.7200622503507599E-4</v>
      </c>
    </row>
    <row r="242" spans="1:71" x14ac:dyDescent="0.25">
      <c r="A242">
        <v>239</v>
      </c>
      <c r="B242" s="1">
        <v>3.2078215215757499E-6</v>
      </c>
      <c r="C242">
        <v>0.13284046212460199</v>
      </c>
      <c r="D242">
        <v>-4.92073838952344E-4</v>
      </c>
      <c r="E242">
        <v>6.1312499999999995E-4</v>
      </c>
      <c r="F242">
        <v>-1.3284046212460199E-3</v>
      </c>
      <c r="G242" s="1">
        <v>1.0842021724855E-19</v>
      </c>
      <c r="H242" t="s">
        <v>74</v>
      </c>
      <c r="I242">
        <v>0</v>
      </c>
      <c r="J242" t="s">
        <v>75</v>
      </c>
      <c r="K242">
        <v>3.14159265358979</v>
      </c>
      <c r="L242">
        <v>0.592313713280336</v>
      </c>
      <c r="M242">
        <v>0</v>
      </c>
      <c r="N242">
        <v>3.4777739228003403E-2</v>
      </c>
      <c r="O242">
        <v>0</v>
      </c>
      <c r="P242">
        <v>1.6E-2</v>
      </c>
      <c r="Q242">
        <v>0</v>
      </c>
      <c r="R242">
        <v>0</v>
      </c>
      <c r="S242">
        <v>0</v>
      </c>
      <c r="T242">
        <v>0</v>
      </c>
      <c r="U242">
        <v>0.59709043676697404</v>
      </c>
      <c r="V242" t="s">
        <v>78</v>
      </c>
      <c r="W242">
        <v>3888543.4530248698</v>
      </c>
      <c r="X242" t="s">
        <v>76</v>
      </c>
      <c r="Y242">
        <v>-1.5707963267949001</v>
      </c>
      <c r="Z242">
        <v>0.59165507415958496</v>
      </c>
      <c r="AA242">
        <v>0</v>
      </c>
      <c r="AB242">
        <v>3.4358731125751198E-2</v>
      </c>
      <c r="AC242">
        <v>0</v>
      </c>
      <c r="AD242">
        <v>1.7046348433722601E-3</v>
      </c>
      <c r="AE242">
        <v>1.6243618543378999E-2</v>
      </c>
      <c r="AF242">
        <v>0</v>
      </c>
      <c r="AG242">
        <v>0.151928921759895</v>
      </c>
      <c r="AH242">
        <v>0.45113920421352299</v>
      </c>
      <c r="AI242">
        <v>0.30323698562599199</v>
      </c>
      <c r="AJ242" t="s">
        <v>74</v>
      </c>
      <c r="AK242">
        <v>0</v>
      </c>
      <c r="AL242" t="s">
        <v>77</v>
      </c>
      <c r="AM242">
        <v>0</v>
      </c>
      <c r="AN242">
        <v>0.99199999999999999</v>
      </c>
      <c r="AO242">
        <v>0</v>
      </c>
      <c r="AP242">
        <v>5.8245346242475203E-2</v>
      </c>
      <c r="AQ242">
        <v>0</v>
      </c>
      <c r="AR242">
        <v>1.6E-2</v>
      </c>
      <c r="AS242">
        <v>0</v>
      </c>
      <c r="AT242">
        <v>0</v>
      </c>
      <c r="AU242">
        <v>0</v>
      </c>
      <c r="AV242">
        <v>0</v>
      </c>
      <c r="AW242">
        <v>1</v>
      </c>
      <c r="AX242" t="s">
        <v>74</v>
      </c>
      <c r="AY242">
        <v>0</v>
      </c>
      <c r="AZ242" t="s">
        <v>76</v>
      </c>
      <c r="BA242">
        <v>-1.5707963267949001</v>
      </c>
      <c r="BB242">
        <v>0.99199999999999999</v>
      </c>
      <c r="BC242">
        <v>0</v>
      </c>
      <c r="BD242">
        <v>5.8245346242475203E-2</v>
      </c>
      <c r="BE242">
        <v>0</v>
      </c>
      <c r="BF242">
        <v>1.6E-2</v>
      </c>
      <c r="BG242">
        <v>0</v>
      </c>
      <c r="BH242">
        <v>0</v>
      </c>
      <c r="BI242">
        <v>0</v>
      </c>
      <c r="BJ242">
        <v>0</v>
      </c>
      <c r="BK242">
        <v>1</v>
      </c>
      <c r="BL242" s="1">
        <v>9.2813581419352504E-5</v>
      </c>
      <c r="BM242">
        <v>3.0153406298670901E-4</v>
      </c>
      <c r="BN242" s="1">
        <v>3.4533247021213098E-7</v>
      </c>
      <c r="BO242" s="1">
        <v>4.7364859854306398E-6</v>
      </c>
      <c r="BP242">
        <v>0</v>
      </c>
      <c r="BQ242">
        <v>0</v>
      </c>
      <c r="BR242" s="1">
        <v>5.1752858825723701E-5</v>
      </c>
      <c r="BS242">
        <v>1.72723600082886E-4</v>
      </c>
    </row>
    <row r="243" spans="1:71" x14ac:dyDescent="0.25">
      <c r="A243">
        <v>240</v>
      </c>
      <c r="B243" s="1">
        <v>3.2679577452890799E-6</v>
      </c>
      <c r="C243">
        <v>0.13284373008234701</v>
      </c>
      <c r="D243">
        <v>-4.9208845981426805E-4</v>
      </c>
      <c r="E243">
        <v>6.1312499999999995E-4</v>
      </c>
      <c r="F243">
        <v>-1.3284373008234701E-3</v>
      </c>
      <c r="G243" s="1">
        <v>1.0842021724855E-19</v>
      </c>
      <c r="H243" t="s">
        <v>74</v>
      </c>
      <c r="I243">
        <v>0</v>
      </c>
      <c r="J243" t="s">
        <v>75</v>
      </c>
      <c r="K243">
        <v>3.14159265358979</v>
      </c>
      <c r="L243">
        <v>0.59065586497086198</v>
      </c>
      <c r="M243">
        <v>0</v>
      </c>
      <c r="N243">
        <v>3.4680398553807001E-2</v>
      </c>
      <c r="O243">
        <v>0</v>
      </c>
      <c r="P243">
        <v>1.6E-2</v>
      </c>
      <c r="Q243">
        <v>0</v>
      </c>
      <c r="R243">
        <v>0</v>
      </c>
      <c r="S243">
        <v>0</v>
      </c>
      <c r="T243">
        <v>0</v>
      </c>
      <c r="U243">
        <v>0.59541921871290304</v>
      </c>
      <c r="V243" t="s">
        <v>78</v>
      </c>
      <c r="W243">
        <v>3888669.6239664</v>
      </c>
      <c r="X243" t="s">
        <v>76</v>
      </c>
      <c r="Y243">
        <v>-1.5707963267949001</v>
      </c>
      <c r="Z243">
        <v>0.58999800578091</v>
      </c>
      <c r="AA243">
        <v>0</v>
      </c>
      <c r="AB243">
        <v>3.4261886622117099E-2</v>
      </c>
      <c r="AC243">
        <v>0</v>
      </c>
      <c r="AD243">
        <v>1.64466351393852E-3</v>
      </c>
      <c r="AE243">
        <v>1.63046538413213E-2</v>
      </c>
      <c r="AF243">
        <v>0</v>
      </c>
      <c r="AG243">
        <v>0.148946634679507</v>
      </c>
      <c r="AH243">
        <v>0.45662294182239599</v>
      </c>
      <c r="AI243">
        <v>0.30086240009509202</v>
      </c>
      <c r="AJ243" t="s">
        <v>74</v>
      </c>
      <c r="AK243">
        <v>0</v>
      </c>
      <c r="AL243" t="s">
        <v>77</v>
      </c>
      <c r="AM243">
        <v>0</v>
      </c>
      <c r="AN243">
        <v>0.99199999999999999</v>
      </c>
      <c r="AO243">
        <v>0</v>
      </c>
      <c r="AP243">
        <v>5.8245346242475203E-2</v>
      </c>
      <c r="AQ243">
        <v>0</v>
      </c>
      <c r="AR243">
        <v>1.6E-2</v>
      </c>
      <c r="AS243">
        <v>0</v>
      </c>
      <c r="AT243">
        <v>0</v>
      </c>
      <c r="AU243">
        <v>0</v>
      </c>
      <c r="AV243">
        <v>0</v>
      </c>
      <c r="AW243">
        <v>1</v>
      </c>
      <c r="AX243" t="s">
        <v>74</v>
      </c>
      <c r="AY243">
        <v>0</v>
      </c>
      <c r="AZ243" t="s">
        <v>76</v>
      </c>
      <c r="BA243">
        <v>-1.5707963267949001</v>
      </c>
      <c r="BB243">
        <v>0.99199999999999999</v>
      </c>
      <c r="BC243">
        <v>0</v>
      </c>
      <c r="BD243">
        <v>5.8245346242475203E-2</v>
      </c>
      <c r="BE243">
        <v>0</v>
      </c>
      <c r="BF243">
        <v>1.6E-2</v>
      </c>
      <c r="BG243">
        <v>0</v>
      </c>
      <c r="BH243">
        <v>0</v>
      </c>
      <c r="BI243">
        <v>0</v>
      </c>
      <c r="BJ243">
        <v>0</v>
      </c>
      <c r="BK243">
        <v>1</v>
      </c>
      <c r="BL243" s="1">
        <v>9.2716488830437295E-5</v>
      </c>
      <c r="BM243">
        <v>3.0278478825095101E-4</v>
      </c>
      <c r="BN243" s="1">
        <v>3.4497136913960701E-7</v>
      </c>
      <c r="BO243" s="1">
        <v>4.7561323319396498E-6</v>
      </c>
      <c r="BP243">
        <v>0</v>
      </c>
      <c r="BQ243">
        <v>0</v>
      </c>
      <c r="BR243" s="1">
        <v>5.1691215405833101E-5</v>
      </c>
      <c r="BS243">
        <v>1.7344057821832299E-4</v>
      </c>
    </row>
    <row r="244" spans="1:71" x14ac:dyDescent="0.25">
      <c r="A244">
        <v>241</v>
      </c>
      <c r="B244" s="1">
        <v>3.3320778351936999E-6</v>
      </c>
      <c r="C244">
        <v>0.13284706216018199</v>
      </c>
      <c r="D244">
        <v>-4.9210336730625705E-4</v>
      </c>
      <c r="E244">
        <v>6.1312499999999995E-4</v>
      </c>
      <c r="F244">
        <v>-1.3284706216018199E-3</v>
      </c>
      <c r="G244" s="1">
        <v>2.1684043449710098E-19</v>
      </c>
      <c r="H244" t="s">
        <v>74</v>
      </c>
      <c r="I244">
        <v>0</v>
      </c>
      <c r="J244" t="s">
        <v>75</v>
      </c>
      <c r="K244">
        <v>3.14159265358979</v>
      </c>
      <c r="L244">
        <v>0.58899903361145001</v>
      </c>
      <c r="M244">
        <v>0</v>
      </c>
      <c r="N244">
        <v>3.4583117589901402E-2</v>
      </c>
      <c r="O244">
        <v>0</v>
      </c>
      <c r="P244">
        <v>1.6E-2</v>
      </c>
      <c r="Q244">
        <v>0</v>
      </c>
      <c r="R244">
        <v>0</v>
      </c>
      <c r="S244">
        <v>0</v>
      </c>
      <c r="T244">
        <v>0</v>
      </c>
      <c r="U244">
        <v>0.59374902581011102</v>
      </c>
      <c r="V244" t="s">
        <v>78</v>
      </c>
      <c r="W244">
        <v>3888798.2683862699</v>
      </c>
      <c r="X244" t="s">
        <v>76</v>
      </c>
      <c r="Y244">
        <v>-1.5707963267949001</v>
      </c>
      <c r="Z244">
        <v>0.58834193823187497</v>
      </c>
      <c r="AA244">
        <v>0</v>
      </c>
      <c r="AB244">
        <v>3.4165091573405297E-2</v>
      </c>
      <c r="AC244">
        <v>0</v>
      </c>
      <c r="AD244">
        <v>1.58482480016016E-3</v>
      </c>
      <c r="AE244">
        <v>1.63655683787556E-2</v>
      </c>
      <c r="AF244">
        <v>0</v>
      </c>
      <c r="AG244">
        <v>0.145884606253354</v>
      </c>
      <c r="AH244">
        <v>0.462184886348185</v>
      </c>
      <c r="AI244">
        <v>0.29849502433908498</v>
      </c>
      <c r="AJ244" t="s">
        <v>74</v>
      </c>
      <c r="AK244">
        <v>0</v>
      </c>
      <c r="AL244" t="s">
        <v>77</v>
      </c>
      <c r="AM244">
        <v>0</v>
      </c>
      <c r="AN244">
        <v>0.99199999999999999</v>
      </c>
      <c r="AO244">
        <v>0</v>
      </c>
      <c r="AP244">
        <v>5.8245346242475203E-2</v>
      </c>
      <c r="AQ244">
        <v>0</v>
      </c>
      <c r="AR244">
        <v>1.6E-2</v>
      </c>
      <c r="AS244">
        <v>0</v>
      </c>
      <c r="AT244">
        <v>0</v>
      </c>
      <c r="AU244">
        <v>0</v>
      </c>
      <c r="AV244">
        <v>0</v>
      </c>
      <c r="AW244">
        <v>1</v>
      </c>
      <c r="AX244" t="s">
        <v>74</v>
      </c>
      <c r="AY244">
        <v>0</v>
      </c>
      <c r="AZ244" t="s">
        <v>76</v>
      </c>
      <c r="BA244">
        <v>-1.5707963267949001</v>
      </c>
      <c r="BB244">
        <v>0.99199999999999999</v>
      </c>
      <c r="BC244">
        <v>0</v>
      </c>
      <c r="BD244">
        <v>5.8245346242475203E-2</v>
      </c>
      <c r="BE244">
        <v>0</v>
      </c>
      <c r="BF244">
        <v>1.6E-2</v>
      </c>
      <c r="BG244">
        <v>0</v>
      </c>
      <c r="BH244">
        <v>0</v>
      </c>
      <c r="BI244">
        <v>0</v>
      </c>
      <c r="BJ244">
        <v>0</v>
      </c>
      <c r="BK244">
        <v>1</v>
      </c>
      <c r="BL244" s="1">
        <v>9.26194508241286E-5</v>
      </c>
      <c r="BM244">
        <v>3.0403474630077E-4</v>
      </c>
      <c r="BN244" s="1">
        <v>3.4461044479258301E-7</v>
      </c>
      <c r="BO244" s="1">
        <v>4.7757666270726698E-6</v>
      </c>
      <c r="BP244">
        <v>0</v>
      </c>
      <c r="BQ244">
        <v>0</v>
      </c>
      <c r="BR244" s="1">
        <v>5.1629609213892999E-5</v>
      </c>
      <c r="BS244">
        <v>1.74157132043386E-4</v>
      </c>
    </row>
    <row r="245" spans="1:71" x14ac:dyDescent="0.25">
      <c r="A245">
        <v>242</v>
      </c>
      <c r="B245" s="1">
        <v>3.4005774128652199E-6</v>
      </c>
      <c r="C245">
        <v>0.13285046273759499</v>
      </c>
      <c r="D245">
        <v>-4.9211858100727598E-4</v>
      </c>
      <c r="E245">
        <v>6.1312499999999995E-4</v>
      </c>
      <c r="F245">
        <v>-1.3285046273759499E-3</v>
      </c>
      <c r="G245" s="1">
        <v>1.0842021724855E-19</v>
      </c>
      <c r="H245" t="s">
        <v>74</v>
      </c>
      <c r="I245">
        <v>0</v>
      </c>
      <c r="J245" t="s">
        <v>75</v>
      </c>
      <c r="K245">
        <v>3.14159265358979</v>
      </c>
      <c r="L245">
        <v>0.58734329131239604</v>
      </c>
      <c r="M245">
        <v>0</v>
      </c>
      <c r="N245">
        <v>3.4485900570247502E-2</v>
      </c>
      <c r="O245">
        <v>0</v>
      </c>
      <c r="P245">
        <v>1.6E-2</v>
      </c>
      <c r="Q245">
        <v>0</v>
      </c>
      <c r="R245">
        <v>0</v>
      </c>
      <c r="S245">
        <v>0</v>
      </c>
      <c r="T245">
        <v>0</v>
      </c>
      <c r="U245">
        <v>0.59207993075042598</v>
      </c>
      <c r="V245" t="s">
        <v>78</v>
      </c>
      <c r="W245">
        <v>3888929.55524144</v>
      </c>
      <c r="X245" t="s">
        <v>76</v>
      </c>
      <c r="Y245">
        <v>-1.5707963267949001</v>
      </c>
      <c r="Z245">
        <v>0.58668694228684504</v>
      </c>
      <c r="AA245">
        <v>0</v>
      </c>
      <c r="AB245">
        <v>3.4068349363693802E-2</v>
      </c>
      <c r="AC245">
        <v>0</v>
      </c>
      <c r="AD245">
        <v>1.5251227200234799E-3</v>
      </c>
      <c r="AE245">
        <v>1.6426359181881199E-2</v>
      </c>
      <c r="AF245">
        <v>0</v>
      </c>
      <c r="AG245">
        <v>0.142740164816586</v>
      </c>
      <c r="AH245">
        <v>0.46782760065185702</v>
      </c>
      <c r="AI245">
        <v>0.29613497595581201</v>
      </c>
      <c r="AJ245" t="s">
        <v>74</v>
      </c>
      <c r="AK245">
        <v>0</v>
      </c>
      <c r="AL245" t="s">
        <v>77</v>
      </c>
      <c r="AM245">
        <v>0</v>
      </c>
      <c r="AN245">
        <v>0.99199999999999999</v>
      </c>
      <c r="AO245">
        <v>0</v>
      </c>
      <c r="AP245">
        <v>5.8245346242475203E-2</v>
      </c>
      <c r="AQ245">
        <v>0</v>
      </c>
      <c r="AR245">
        <v>1.6E-2</v>
      </c>
      <c r="AS245">
        <v>0</v>
      </c>
      <c r="AT245">
        <v>0</v>
      </c>
      <c r="AU245">
        <v>0</v>
      </c>
      <c r="AV245">
        <v>0</v>
      </c>
      <c r="AW245">
        <v>1</v>
      </c>
      <c r="AX245" t="s">
        <v>74</v>
      </c>
      <c r="AY245">
        <v>0</v>
      </c>
      <c r="AZ245" t="s">
        <v>76</v>
      </c>
      <c r="BA245">
        <v>-1.5707963267949001</v>
      </c>
      <c r="BB245">
        <v>0.99199999999999999</v>
      </c>
      <c r="BC245">
        <v>0</v>
      </c>
      <c r="BD245">
        <v>5.8245346242475203E-2</v>
      </c>
      <c r="BE245">
        <v>0</v>
      </c>
      <c r="BF245">
        <v>1.6E-2</v>
      </c>
      <c r="BG245">
        <v>0</v>
      </c>
      <c r="BH245">
        <v>0</v>
      </c>
      <c r="BI245">
        <v>0</v>
      </c>
      <c r="BJ245">
        <v>0</v>
      </c>
      <c r="BK245">
        <v>1</v>
      </c>
      <c r="BL245" s="1">
        <v>9.2522471209445804E-5</v>
      </c>
      <c r="BM245">
        <v>3.05283882734221E-4</v>
      </c>
      <c r="BN245" s="1">
        <v>3.4424970915026902E-7</v>
      </c>
      <c r="BO245" s="1">
        <v>4.7953880162859901E-6</v>
      </c>
      <c r="BP245">
        <v>0</v>
      </c>
      <c r="BQ245">
        <v>0</v>
      </c>
      <c r="BR245" s="1">
        <v>5.1568042876481301E-5</v>
      </c>
      <c r="BS245">
        <v>1.7487323125578501E-4</v>
      </c>
    </row>
    <row r="246" spans="1:71" x14ac:dyDescent="0.25">
      <c r="A246">
        <v>243</v>
      </c>
      <c r="B246" s="1">
        <v>3.4739077048648599E-6</v>
      </c>
      <c r="C246">
        <v>0.13285393664530001</v>
      </c>
      <c r="D246">
        <v>-4.9213412251336499E-4</v>
      </c>
      <c r="E246">
        <v>6.1312499999999995E-4</v>
      </c>
      <c r="F246">
        <v>-1.328539366453E-3</v>
      </c>
      <c r="G246" s="1">
        <v>1.0842021724855E-19</v>
      </c>
      <c r="H246" t="s">
        <v>74</v>
      </c>
      <c r="I246">
        <v>0</v>
      </c>
      <c r="J246" t="s">
        <v>75</v>
      </c>
      <c r="K246">
        <v>3.14159265358979</v>
      </c>
      <c r="L246">
        <v>0.58568871808319301</v>
      </c>
      <c r="M246">
        <v>0</v>
      </c>
      <c r="N246">
        <v>3.4388752192607903E-2</v>
      </c>
      <c r="O246">
        <v>0</v>
      </c>
      <c r="P246">
        <v>1.6E-2</v>
      </c>
      <c r="Q246">
        <v>0</v>
      </c>
      <c r="R246">
        <v>0</v>
      </c>
      <c r="S246">
        <v>0</v>
      </c>
      <c r="T246">
        <v>0</v>
      </c>
      <c r="U246">
        <v>0.59041201418858102</v>
      </c>
      <c r="V246" t="s">
        <v>78</v>
      </c>
      <c r="W246">
        <v>3889063.6708952398</v>
      </c>
      <c r="X246" t="s">
        <v>76</v>
      </c>
      <c r="Y246">
        <v>-1.5707963267949001</v>
      </c>
      <c r="Z246">
        <v>0.58503309647915902</v>
      </c>
      <c r="AA246">
        <v>0</v>
      </c>
      <c r="AB246">
        <v>3.3971663751657097E-2</v>
      </c>
      <c r="AC246">
        <v>0</v>
      </c>
      <c r="AD246">
        <v>1.46556167127816E-3</v>
      </c>
      <c r="AE246">
        <v>1.6487023000376501E-2</v>
      </c>
      <c r="AF246">
        <v>0</v>
      </c>
      <c r="AG246">
        <v>0.139510456737725</v>
      </c>
      <c r="AH246">
        <v>0.47355381764227</v>
      </c>
      <c r="AI246">
        <v>0.29378238280522101</v>
      </c>
      <c r="AJ246" t="s">
        <v>74</v>
      </c>
      <c r="AK246">
        <v>0</v>
      </c>
      <c r="AL246" t="s">
        <v>77</v>
      </c>
      <c r="AM246">
        <v>0</v>
      </c>
      <c r="AN246">
        <v>0.99199999999999999</v>
      </c>
      <c r="AO246">
        <v>0</v>
      </c>
      <c r="AP246">
        <v>5.8245346242475203E-2</v>
      </c>
      <c r="AQ246">
        <v>0</v>
      </c>
      <c r="AR246">
        <v>1.6E-2</v>
      </c>
      <c r="AS246">
        <v>0</v>
      </c>
      <c r="AT246">
        <v>0</v>
      </c>
      <c r="AU246">
        <v>0</v>
      </c>
      <c r="AV246">
        <v>0</v>
      </c>
      <c r="AW246">
        <v>1</v>
      </c>
      <c r="AX246" t="s">
        <v>74</v>
      </c>
      <c r="AY246">
        <v>0</v>
      </c>
      <c r="AZ246" t="s">
        <v>76</v>
      </c>
      <c r="BA246">
        <v>-1.5707963267949001</v>
      </c>
      <c r="BB246">
        <v>0.99199999999999999</v>
      </c>
      <c r="BC246">
        <v>0</v>
      </c>
      <c r="BD246">
        <v>5.8245346242475203E-2</v>
      </c>
      <c r="BE246">
        <v>0</v>
      </c>
      <c r="BF246">
        <v>1.6E-2</v>
      </c>
      <c r="BG246">
        <v>0</v>
      </c>
      <c r="BH246">
        <v>0</v>
      </c>
      <c r="BI246">
        <v>0</v>
      </c>
      <c r="BJ246">
        <v>0</v>
      </c>
      <c r="BK246">
        <v>1</v>
      </c>
      <c r="BL246" s="1">
        <v>9.2425554214607702E-5</v>
      </c>
      <c r="BM246">
        <v>3.0653213718999801E-4</v>
      </c>
      <c r="BN246" s="1">
        <v>3.4388917552164002E-7</v>
      </c>
      <c r="BO246" s="1">
        <v>4.8149955514263804E-6</v>
      </c>
      <c r="BP246">
        <v>0</v>
      </c>
      <c r="BQ246">
        <v>0</v>
      </c>
      <c r="BR246" s="1">
        <v>5.1506519308094503E-5</v>
      </c>
      <c r="BS246">
        <v>1.7558884222677599E-4</v>
      </c>
    </row>
    <row r="247" spans="1:71" x14ac:dyDescent="0.25">
      <c r="A247">
        <v>244</v>
      </c>
      <c r="B247" s="1">
        <v>3.5525857383595801E-6</v>
      </c>
      <c r="C247">
        <v>0.13285748923103799</v>
      </c>
      <c r="D247">
        <v>-4.9215001573176995E-4</v>
      </c>
      <c r="E247">
        <v>6.1312499999999995E-4</v>
      </c>
      <c r="F247">
        <v>-1.32857489231038E-3</v>
      </c>
      <c r="G247" s="1">
        <v>2.1684043449710098E-19</v>
      </c>
      <c r="H247" t="s">
        <v>74</v>
      </c>
      <c r="I247">
        <v>0</v>
      </c>
      <c r="J247" t="s">
        <v>75</v>
      </c>
      <c r="K247">
        <v>3.14159265358979</v>
      </c>
      <c r="L247">
        <v>0.58403540302135903</v>
      </c>
      <c r="M247">
        <v>0</v>
      </c>
      <c r="N247">
        <v>3.4291677688349398E-2</v>
      </c>
      <c r="O247">
        <v>0</v>
      </c>
      <c r="P247">
        <v>1.6E-2</v>
      </c>
      <c r="Q247">
        <v>0</v>
      </c>
      <c r="R247">
        <v>0</v>
      </c>
      <c r="S247">
        <v>0</v>
      </c>
      <c r="T247">
        <v>0</v>
      </c>
      <c r="U247">
        <v>0.58874536594062099</v>
      </c>
      <c r="V247" t="s">
        <v>78</v>
      </c>
      <c r="W247">
        <v>3889200.8216556101</v>
      </c>
      <c r="X247" t="s">
        <v>76</v>
      </c>
      <c r="Y247">
        <v>-1.5707963267949001</v>
      </c>
      <c r="Z247">
        <v>0.58338048826922195</v>
      </c>
      <c r="AA247">
        <v>0</v>
      </c>
      <c r="AB247">
        <v>3.3875038927176797E-2</v>
      </c>
      <c r="AC247">
        <v>0</v>
      </c>
      <c r="AD247">
        <v>1.4061464880147699E-3</v>
      </c>
      <c r="AE247">
        <v>1.65475562655907E-2</v>
      </c>
      <c r="AF247">
        <v>0</v>
      </c>
      <c r="AG247">
        <v>0.13619242806194601</v>
      </c>
      <c r="AH247">
        <v>0.47936645683913498</v>
      </c>
      <c r="AI247">
        <v>0.29143738453663898</v>
      </c>
      <c r="AJ247" t="s">
        <v>74</v>
      </c>
      <c r="AK247">
        <v>0</v>
      </c>
      <c r="AL247" t="s">
        <v>77</v>
      </c>
      <c r="AM247">
        <v>0</v>
      </c>
      <c r="AN247">
        <v>0.99199999999999999</v>
      </c>
      <c r="AO247">
        <v>0</v>
      </c>
      <c r="AP247">
        <v>5.8245346242475203E-2</v>
      </c>
      <c r="AQ247">
        <v>0</v>
      </c>
      <c r="AR247">
        <v>1.6E-2</v>
      </c>
      <c r="AS247">
        <v>0</v>
      </c>
      <c r="AT247">
        <v>0</v>
      </c>
      <c r="AU247">
        <v>0</v>
      </c>
      <c r="AV247">
        <v>0</v>
      </c>
      <c r="AW247">
        <v>1</v>
      </c>
      <c r="AX247" t="s">
        <v>74</v>
      </c>
      <c r="AY247">
        <v>0</v>
      </c>
      <c r="AZ247" t="s">
        <v>76</v>
      </c>
      <c r="BA247">
        <v>-1.5707963267949001</v>
      </c>
      <c r="BB247">
        <v>0.99199999999999999</v>
      </c>
      <c r="BC247">
        <v>0</v>
      </c>
      <c r="BD247">
        <v>5.8245346242475203E-2</v>
      </c>
      <c r="BE247">
        <v>0</v>
      </c>
      <c r="BF247">
        <v>1.6E-2</v>
      </c>
      <c r="BG247">
        <v>0</v>
      </c>
      <c r="BH247">
        <v>0</v>
      </c>
      <c r="BI247">
        <v>0</v>
      </c>
      <c r="BJ247">
        <v>0</v>
      </c>
      <c r="BK247">
        <v>1</v>
      </c>
      <c r="BL247" s="1">
        <v>9.2328704550238301E-5</v>
      </c>
      <c r="BM247">
        <v>3.0777944245054001E-4</v>
      </c>
      <c r="BN247" s="1">
        <v>3.4352885874661401E-7</v>
      </c>
      <c r="BO247" s="1">
        <v>4.8345881766429003E-6</v>
      </c>
      <c r="BP247">
        <v>0</v>
      </c>
      <c r="BQ247">
        <v>0</v>
      </c>
      <c r="BR247" s="1">
        <v>5.1445041754488599E-5</v>
      </c>
      <c r="BS247">
        <v>1.7630392749994701E-4</v>
      </c>
    </row>
    <row r="248" spans="1:71" x14ac:dyDescent="0.25">
      <c r="A248">
        <v>245</v>
      </c>
      <c r="B248" s="1">
        <v>3.6372068758554801E-6</v>
      </c>
      <c r="C248">
        <v>0.13286112643791401</v>
      </c>
      <c r="D248">
        <v>-4.9216628723109399E-4</v>
      </c>
      <c r="E248">
        <v>6.1312499999999995E-4</v>
      </c>
      <c r="F248">
        <v>-1.32861126437914E-3</v>
      </c>
      <c r="G248" s="1">
        <v>1.0842021724855E-19</v>
      </c>
      <c r="H248" t="s">
        <v>74</v>
      </c>
      <c r="I248">
        <v>0</v>
      </c>
      <c r="J248" t="s">
        <v>75</v>
      </c>
      <c r="K248">
        <v>3.14159265358979</v>
      </c>
      <c r="L248">
        <v>0.58238344573206102</v>
      </c>
      <c r="M248">
        <v>0</v>
      </c>
      <c r="N248">
        <v>3.4194682905795998E-2</v>
      </c>
      <c r="O248">
        <v>0</v>
      </c>
      <c r="P248">
        <v>1.6E-2</v>
      </c>
      <c r="Q248">
        <v>0</v>
      </c>
      <c r="R248">
        <v>0</v>
      </c>
      <c r="S248">
        <v>0</v>
      </c>
      <c r="T248">
        <v>0</v>
      </c>
      <c r="U248">
        <v>0.58708008641498299</v>
      </c>
      <c r="V248" t="s">
        <v>78</v>
      </c>
      <c r="W248">
        <v>3889341.2367966999</v>
      </c>
      <c r="X248" t="s">
        <v>76</v>
      </c>
      <c r="Y248">
        <v>-1.5707963267949001</v>
      </c>
      <c r="Z248">
        <v>0.58172921543941702</v>
      </c>
      <c r="AA248">
        <v>0</v>
      </c>
      <c r="AB248">
        <v>3.3778479578970698E-2</v>
      </c>
      <c r="AC248">
        <v>0</v>
      </c>
      <c r="AD248">
        <v>1.3468825082343901E-3</v>
      </c>
      <c r="AE248">
        <v>1.6607955040482E-2</v>
      </c>
      <c r="AF248">
        <v>0</v>
      </c>
      <c r="AG248">
        <v>0.13278280371208001</v>
      </c>
      <c r="AH248">
        <v>0.48526864302999301</v>
      </c>
      <c r="AI248">
        <v>0.289100134413597</v>
      </c>
      <c r="AJ248" t="s">
        <v>74</v>
      </c>
      <c r="AK248">
        <v>0</v>
      </c>
      <c r="AL248" t="s">
        <v>77</v>
      </c>
      <c r="AM248">
        <v>0</v>
      </c>
      <c r="AN248">
        <v>0.99199999999999999</v>
      </c>
      <c r="AO248">
        <v>0</v>
      </c>
      <c r="AP248">
        <v>5.8245346242475203E-2</v>
      </c>
      <c r="AQ248">
        <v>0</v>
      </c>
      <c r="AR248">
        <v>1.6E-2</v>
      </c>
      <c r="AS248">
        <v>0</v>
      </c>
      <c r="AT248">
        <v>0</v>
      </c>
      <c r="AU248">
        <v>0</v>
      </c>
      <c r="AV248">
        <v>0</v>
      </c>
      <c r="AW248">
        <v>1</v>
      </c>
      <c r="AX248" t="s">
        <v>74</v>
      </c>
      <c r="AY248">
        <v>0</v>
      </c>
      <c r="AZ248" t="s">
        <v>76</v>
      </c>
      <c r="BA248">
        <v>-1.5707963267949001</v>
      </c>
      <c r="BB248">
        <v>0.99199999999999999</v>
      </c>
      <c r="BC248">
        <v>0</v>
      </c>
      <c r="BD248">
        <v>5.8245346242475203E-2</v>
      </c>
      <c r="BE248">
        <v>0</v>
      </c>
      <c r="BF248">
        <v>1.6E-2</v>
      </c>
      <c r="BG248">
        <v>0</v>
      </c>
      <c r="BH248">
        <v>0</v>
      </c>
      <c r="BI248">
        <v>0</v>
      </c>
      <c r="BJ248">
        <v>0</v>
      </c>
      <c r="BK248">
        <v>1</v>
      </c>
      <c r="BL248" s="1">
        <v>9.2231927484858601E-5</v>
      </c>
      <c r="BM248">
        <v>3.0902572337103602E-4</v>
      </c>
      <c r="BN248" s="1">
        <v>3.4316877543642099E-7</v>
      </c>
      <c r="BO248" s="1">
        <v>4.8541647115636001E-6</v>
      </c>
      <c r="BP248">
        <v>0</v>
      </c>
      <c r="BQ248">
        <v>0</v>
      </c>
      <c r="BR248" s="1">
        <v>5.1383613844434998E-5</v>
      </c>
      <c r="BS248">
        <v>1.7701844519263301E-4</v>
      </c>
    </row>
    <row r="249" spans="1:71" x14ac:dyDescent="0.25">
      <c r="A249">
        <v>246</v>
      </c>
      <c r="B249" s="1">
        <v>3.7284603410555399E-6</v>
      </c>
      <c r="C249">
        <v>0.132864854898255</v>
      </c>
      <c r="D249">
        <v>-4.9218296666085604E-4</v>
      </c>
      <c r="E249">
        <v>6.1312499999999995E-4</v>
      </c>
      <c r="F249">
        <v>-1.3286485489825499E-3</v>
      </c>
      <c r="G249" s="1">
        <v>2.1684043449710098E-19</v>
      </c>
      <c r="H249" t="s">
        <v>74</v>
      </c>
      <c r="I249">
        <v>0</v>
      </c>
      <c r="J249" t="s">
        <v>75</v>
      </c>
      <c r="K249">
        <v>3.14159265358979</v>
      </c>
      <c r="L249">
        <v>0.58073295803428204</v>
      </c>
      <c r="M249">
        <v>0</v>
      </c>
      <c r="N249">
        <v>3.40977744104069E-2</v>
      </c>
      <c r="O249">
        <v>0</v>
      </c>
      <c r="P249">
        <v>1.6E-2</v>
      </c>
      <c r="Q249">
        <v>0</v>
      </c>
      <c r="R249">
        <v>0</v>
      </c>
      <c r="S249">
        <v>0</v>
      </c>
      <c r="T249">
        <v>0</v>
      </c>
      <c r="U249">
        <v>0.58541628833241499</v>
      </c>
      <c r="V249" t="s">
        <v>78</v>
      </c>
      <c r="W249">
        <v>3889485.1721794601</v>
      </c>
      <c r="X249" t="s">
        <v>76</v>
      </c>
      <c r="Y249">
        <v>-1.5707963267949001</v>
      </c>
      <c r="Z249">
        <v>0.58007938777061396</v>
      </c>
      <c r="AA249">
        <v>0</v>
      </c>
      <c r="AB249">
        <v>3.3681990975906399E-2</v>
      </c>
      <c r="AC249">
        <v>0</v>
      </c>
      <c r="AD249">
        <v>1.2877756550696E-3</v>
      </c>
      <c r="AE249">
        <v>1.6668214959278602E-2</v>
      </c>
      <c r="AF249">
        <v>0</v>
      </c>
      <c r="AG249">
        <v>0.12927806384989099</v>
      </c>
      <c r="AH249">
        <v>0.491263727334595</v>
      </c>
      <c r="AI249">
        <v>0.28677080150829398</v>
      </c>
      <c r="AJ249" t="s">
        <v>74</v>
      </c>
      <c r="AK249">
        <v>0</v>
      </c>
      <c r="AL249" t="s">
        <v>77</v>
      </c>
      <c r="AM249">
        <v>0</v>
      </c>
      <c r="AN249">
        <v>0.99199999999999999</v>
      </c>
      <c r="AO249">
        <v>0</v>
      </c>
      <c r="AP249">
        <v>5.8245346242475203E-2</v>
      </c>
      <c r="AQ249">
        <v>0</v>
      </c>
      <c r="AR249">
        <v>1.6E-2</v>
      </c>
      <c r="AS249">
        <v>0</v>
      </c>
      <c r="AT249">
        <v>0</v>
      </c>
      <c r="AU249">
        <v>0</v>
      </c>
      <c r="AV249">
        <v>0</v>
      </c>
      <c r="AW249">
        <v>1</v>
      </c>
      <c r="AX249" t="s">
        <v>74</v>
      </c>
      <c r="AY249">
        <v>0</v>
      </c>
      <c r="AZ249" t="s">
        <v>76</v>
      </c>
      <c r="BA249">
        <v>-1.5707963267949001</v>
      </c>
      <c r="BB249">
        <v>0.99199999999999999</v>
      </c>
      <c r="BC249">
        <v>0</v>
      </c>
      <c r="BD249">
        <v>5.8245346242475203E-2</v>
      </c>
      <c r="BE249">
        <v>0</v>
      </c>
      <c r="BF249">
        <v>1.6E-2</v>
      </c>
      <c r="BG249">
        <v>0</v>
      </c>
      <c r="BH249">
        <v>0</v>
      </c>
      <c r="BI249">
        <v>0</v>
      </c>
      <c r="BJ249">
        <v>0</v>
      </c>
      <c r="BK249">
        <v>1</v>
      </c>
      <c r="BL249" s="1">
        <v>9.2135228935631897E-5</v>
      </c>
      <c r="BM249">
        <v>3.1027089559224302E-4</v>
      </c>
      <c r="BN249" s="1">
        <v>3.4280894426263402E-7</v>
      </c>
      <c r="BO249" s="1">
        <v>4.8737238310765897E-6</v>
      </c>
      <c r="BP249">
        <v>0</v>
      </c>
      <c r="BQ249">
        <v>0</v>
      </c>
      <c r="BR249" s="1">
        <v>5.1322239651924398E-5</v>
      </c>
      <c r="BS249">
        <v>1.7773234827643501E-4</v>
      </c>
    </row>
    <row r="250" spans="1:71" x14ac:dyDescent="0.25">
      <c r="A250">
        <v>247</v>
      </c>
      <c r="B250" s="1">
        <v>3.8271486051756697E-6</v>
      </c>
      <c r="C250">
        <v>0.13286868204686</v>
      </c>
      <c r="D250">
        <v>-4.9220008725769297E-4</v>
      </c>
      <c r="E250">
        <v>6.1312499999999995E-4</v>
      </c>
      <c r="F250">
        <v>-1.3286868204686001E-3</v>
      </c>
      <c r="G250" s="1">
        <v>1.0842021724855E-19</v>
      </c>
      <c r="H250" t="s">
        <v>74</v>
      </c>
      <c r="I250">
        <v>0</v>
      </c>
      <c r="J250" t="s">
        <v>75</v>
      </c>
      <c r="K250">
        <v>3.14159265358979</v>
      </c>
      <c r="L250">
        <v>0.57908406602522999</v>
      </c>
      <c r="M250">
        <v>0</v>
      </c>
      <c r="N250">
        <v>3.4000959605987799E-2</v>
      </c>
      <c r="O250">
        <v>0</v>
      </c>
      <c r="P250">
        <v>1.6E-2</v>
      </c>
      <c r="Q250">
        <v>0</v>
      </c>
      <c r="R250">
        <v>0</v>
      </c>
      <c r="S250">
        <v>0</v>
      </c>
      <c r="T250">
        <v>0</v>
      </c>
      <c r="U250">
        <v>0.58375409880703799</v>
      </c>
      <c r="V250" t="s">
        <v>78</v>
      </c>
      <c r="W250">
        <v>3889632.9146199399</v>
      </c>
      <c r="X250" t="s">
        <v>76</v>
      </c>
      <c r="Y250">
        <v>-1.5707963267949001</v>
      </c>
      <c r="Z250">
        <v>0.578431129070757</v>
      </c>
      <c r="AA250">
        <v>0</v>
      </c>
      <c r="AB250">
        <v>3.3585579065424399E-2</v>
      </c>
      <c r="AC250">
        <v>0</v>
      </c>
      <c r="AD250">
        <v>1.2288325350829901E-3</v>
      </c>
      <c r="AE250">
        <v>1.6728331154247301E-2</v>
      </c>
      <c r="AF250">
        <v>0</v>
      </c>
      <c r="AG250">
        <v>0.12567441692585701</v>
      </c>
      <c r="AH250">
        <v>0.49735531104023201</v>
      </c>
      <c r="AI250">
        <v>0.284449573358522</v>
      </c>
      <c r="AJ250" t="s">
        <v>74</v>
      </c>
      <c r="AK250">
        <v>0</v>
      </c>
      <c r="AL250" t="s">
        <v>77</v>
      </c>
      <c r="AM250">
        <v>0</v>
      </c>
      <c r="AN250">
        <v>0.99199999999999999</v>
      </c>
      <c r="AO250">
        <v>0</v>
      </c>
      <c r="AP250">
        <v>5.8245346242475203E-2</v>
      </c>
      <c r="AQ250">
        <v>0</v>
      </c>
      <c r="AR250">
        <v>1.6E-2</v>
      </c>
      <c r="AS250">
        <v>0</v>
      </c>
      <c r="AT250">
        <v>0</v>
      </c>
      <c r="AU250">
        <v>0</v>
      </c>
      <c r="AV250">
        <v>0</v>
      </c>
      <c r="AW250">
        <v>1</v>
      </c>
      <c r="AX250" t="s">
        <v>74</v>
      </c>
      <c r="AY250">
        <v>0</v>
      </c>
      <c r="AZ250" t="s">
        <v>76</v>
      </c>
      <c r="BA250">
        <v>-1.5707963267949001</v>
      </c>
      <c r="BB250">
        <v>0.99199999999999999</v>
      </c>
      <c r="BC250">
        <v>0</v>
      </c>
      <c r="BD250">
        <v>5.8245346242475203E-2</v>
      </c>
      <c r="BE250">
        <v>0</v>
      </c>
      <c r="BF250">
        <v>1.6E-2</v>
      </c>
      <c r="BG250">
        <v>0</v>
      </c>
      <c r="BH250">
        <v>0</v>
      </c>
      <c r="BI250">
        <v>0</v>
      </c>
      <c r="BJ250">
        <v>0</v>
      </c>
      <c r="BK250">
        <v>1</v>
      </c>
      <c r="BL250" s="1">
        <v>9.2038615578181299E-5</v>
      </c>
      <c r="BM250">
        <v>3.11514863983044E-4</v>
      </c>
      <c r="BN250" s="1">
        <v>3.4244938630705802E-7</v>
      </c>
      <c r="BO250" s="1">
        <v>4.8932640408657797E-6</v>
      </c>
      <c r="BP250">
        <v>0</v>
      </c>
      <c r="BQ250">
        <v>0</v>
      </c>
      <c r="BR250" s="1">
        <v>5.1260923771433297E-5</v>
      </c>
      <c r="BS250">
        <v>1.7844558370658101E-4</v>
      </c>
    </row>
    <row r="251" spans="1:71" x14ac:dyDescent="0.25">
      <c r="A251">
        <v>248</v>
      </c>
      <c r="B251" s="1">
        <v>3.93421180386704E-6</v>
      </c>
      <c r="C251">
        <v>0.13287261625866401</v>
      </c>
      <c r="D251">
        <v>-4.9221768646070499E-4</v>
      </c>
      <c r="E251">
        <v>6.1312499999999995E-4</v>
      </c>
      <c r="F251">
        <v>-1.32872616258664E-3</v>
      </c>
      <c r="G251" s="1">
        <v>1.0842021724855E-19</v>
      </c>
      <c r="H251" t="s">
        <v>74</v>
      </c>
      <c r="I251">
        <v>0</v>
      </c>
      <c r="J251" t="s">
        <v>75</v>
      </c>
      <c r="K251">
        <v>3.14159265358979</v>
      </c>
      <c r="L251">
        <v>0.57743691259672503</v>
      </c>
      <c r="M251">
        <v>0</v>
      </c>
      <c r="N251">
        <v>3.3904246882441702E-2</v>
      </c>
      <c r="O251">
        <v>0</v>
      </c>
      <c r="P251">
        <v>1.6E-2</v>
      </c>
      <c r="Q251">
        <v>0</v>
      </c>
      <c r="R251">
        <v>0</v>
      </c>
      <c r="S251">
        <v>0</v>
      </c>
      <c r="T251">
        <v>0</v>
      </c>
      <c r="U251">
        <v>0.58209366188302702</v>
      </c>
      <c r="V251" t="s">
        <v>78</v>
      </c>
      <c r="W251">
        <v>3889784.7871993999</v>
      </c>
      <c r="X251" t="s">
        <v>76</v>
      </c>
      <c r="Y251">
        <v>-1.5707963267949001</v>
      </c>
      <c r="Z251">
        <v>0.57678457964765895</v>
      </c>
      <c r="AA251">
        <v>0</v>
      </c>
      <c r="AB251">
        <v>3.3489250593552101E-2</v>
      </c>
      <c r="AC251">
        <v>0</v>
      </c>
      <c r="AD251">
        <v>1.1700605581236301E-3</v>
      </c>
      <c r="AE251">
        <v>1.6788298166142999E-2</v>
      </c>
      <c r="AF251">
        <v>0</v>
      </c>
      <c r="AG251">
        <v>0.121967768858547</v>
      </c>
      <c r="AH251">
        <v>0.50354727262548005</v>
      </c>
      <c r="AI251">
        <v>0.28213665920842701</v>
      </c>
      <c r="AJ251" t="s">
        <v>74</v>
      </c>
      <c r="AK251">
        <v>0</v>
      </c>
      <c r="AL251" t="s">
        <v>77</v>
      </c>
      <c r="AM251">
        <v>0</v>
      </c>
      <c r="AN251">
        <v>0.99199999999999999</v>
      </c>
      <c r="AO251">
        <v>0</v>
      </c>
      <c r="AP251">
        <v>5.8245346242475203E-2</v>
      </c>
      <c r="AQ251">
        <v>0</v>
      </c>
      <c r="AR251">
        <v>1.6E-2</v>
      </c>
      <c r="AS251">
        <v>0</v>
      </c>
      <c r="AT251">
        <v>0</v>
      </c>
      <c r="AU251">
        <v>0</v>
      </c>
      <c r="AV251">
        <v>0</v>
      </c>
      <c r="AW251">
        <v>1</v>
      </c>
      <c r="AX251" t="s">
        <v>74</v>
      </c>
      <c r="AY251">
        <v>0</v>
      </c>
      <c r="AZ251" t="s">
        <v>76</v>
      </c>
      <c r="BA251">
        <v>-1.5707963267949001</v>
      </c>
      <c r="BB251">
        <v>0.99199999999999999</v>
      </c>
      <c r="BC251">
        <v>0</v>
      </c>
      <c r="BD251">
        <v>5.8245346242475203E-2</v>
      </c>
      <c r="BE251">
        <v>0</v>
      </c>
      <c r="BF251">
        <v>1.6E-2</v>
      </c>
      <c r="BG251">
        <v>0</v>
      </c>
      <c r="BH251">
        <v>0</v>
      </c>
      <c r="BI251">
        <v>0</v>
      </c>
      <c r="BJ251">
        <v>0</v>
      </c>
      <c r="BK251">
        <v>1</v>
      </c>
      <c r="BL251" s="1">
        <v>9.1942094980472104E-5</v>
      </c>
      <c r="BM251">
        <v>3.1275752074201297E-4</v>
      </c>
      <c r="BN251" s="1">
        <v>3.4209012548840898E-7</v>
      </c>
      <c r="BO251" s="1">
        <v>4.9127836475903297E-6</v>
      </c>
      <c r="BP251">
        <v>0</v>
      </c>
      <c r="BQ251">
        <v>0</v>
      </c>
      <c r="BR251" s="1">
        <v>5.1199671409670098E-5</v>
      </c>
      <c r="BS251">
        <v>1.7915809136056899E-4</v>
      </c>
    </row>
    <row r="252" spans="1:71" x14ac:dyDescent="0.25">
      <c r="A252">
        <v>249</v>
      </c>
      <c r="B252" s="1">
        <v>4.0507587790776E-6</v>
      </c>
      <c r="C252">
        <v>0.132876667017443</v>
      </c>
      <c r="D252">
        <v>-4.9223580666553997E-4</v>
      </c>
      <c r="E252">
        <v>6.1312499999999995E-4</v>
      </c>
      <c r="F252">
        <v>-1.3287666701744299E-3</v>
      </c>
      <c r="G252" s="1">
        <v>2.1684043449710098E-19</v>
      </c>
      <c r="H252" t="s">
        <v>74</v>
      </c>
      <c r="I252">
        <v>0</v>
      </c>
      <c r="J252" t="s">
        <v>75</v>
      </c>
      <c r="K252">
        <v>3.14159265358979</v>
      </c>
      <c r="L252">
        <v>0.575791660526774</v>
      </c>
      <c r="M252">
        <v>0</v>
      </c>
      <c r="N252">
        <v>3.3807645797290002E-2</v>
      </c>
      <c r="O252">
        <v>0</v>
      </c>
      <c r="P252">
        <v>1.6E-2</v>
      </c>
      <c r="Q252">
        <v>0</v>
      </c>
      <c r="R252">
        <v>0</v>
      </c>
      <c r="S252">
        <v>0</v>
      </c>
      <c r="T252">
        <v>0</v>
      </c>
      <c r="U252">
        <v>0.58043514165111298</v>
      </c>
      <c r="V252" t="s">
        <v>78</v>
      </c>
      <c r="W252">
        <v>3889941.1557717002</v>
      </c>
      <c r="X252" t="s">
        <v>76</v>
      </c>
      <c r="Y252">
        <v>-1.5707963267949001</v>
      </c>
      <c r="Z252">
        <v>0.57513989934707499</v>
      </c>
      <c r="AA252">
        <v>0</v>
      </c>
      <c r="AB252">
        <v>3.3393013252393598E-2</v>
      </c>
      <c r="AC252">
        <v>0</v>
      </c>
      <c r="AD252">
        <v>1.1114680846367199E-3</v>
      </c>
      <c r="AE252">
        <v>1.6848109833813699E-2</v>
      </c>
      <c r="AF252">
        <v>0</v>
      </c>
      <c r="AG252">
        <v>0.118153687680919</v>
      </c>
      <c r="AH252">
        <v>0.50984379844918903</v>
      </c>
      <c r="AI252">
        <v>0.27983229399272402</v>
      </c>
      <c r="AJ252" t="s">
        <v>74</v>
      </c>
      <c r="AK252">
        <v>0</v>
      </c>
      <c r="AL252" t="s">
        <v>77</v>
      </c>
      <c r="AM252">
        <v>0</v>
      </c>
      <c r="AN252">
        <v>0.99199999999999999</v>
      </c>
      <c r="AO252">
        <v>0</v>
      </c>
      <c r="AP252">
        <v>5.8245346242475203E-2</v>
      </c>
      <c r="AQ252">
        <v>0</v>
      </c>
      <c r="AR252">
        <v>1.6E-2</v>
      </c>
      <c r="AS252">
        <v>0</v>
      </c>
      <c r="AT252">
        <v>0</v>
      </c>
      <c r="AU252">
        <v>0</v>
      </c>
      <c r="AV252">
        <v>0</v>
      </c>
      <c r="AW252">
        <v>1</v>
      </c>
      <c r="AX252" t="s">
        <v>74</v>
      </c>
      <c r="AY252">
        <v>0</v>
      </c>
      <c r="AZ252" t="s">
        <v>76</v>
      </c>
      <c r="BA252">
        <v>-1.5707963267949001</v>
      </c>
      <c r="BB252">
        <v>0.99199999999999999</v>
      </c>
      <c r="BC252">
        <v>0</v>
      </c>
      <c r="BD252">
        <v>5.8245346242475203E-2</v>
      </c>
      <c r="BE252">
        <v>0</v>
      </c>
      <c r="BF252">
        <v>1.6E-2</v>
      </c>
      <c r="BG252">
        <v>0</v>
      </c>
      <c r="BH252">
        <v>0</v>
      </c>
      <c r="BI252">
        <v>0</v>
      </c>
      <c r="BJ252">
        <v>0</v>
      </c>
      <c r="BK252">
        <v>1</v>
      </c>
      <c r="BL252" s="1">
        <v>9.1845675767316995E-5</v>
      </c>
      <c r="BM252">
        <v>3.13998743065054E-4</v>
      </c>
      <c r="BN252" s="1">
        <v>3.4173118908671701E-7</v>
      </c>
      <c r="BO252" s="1">
        <v>4.9322807222480201E-6</v>
      </c>
      <c r="BP252">
        <v>0</v>
      </c>
      <c r="BQ252">
        <v>0</v>
      </c>
      <c r="BR252" s="1">
        <v>5.11384884982941E-5</v>
      </c>
      <c r="BS252">
        <v>1.79869802734087E-4</v>
      </c>
    </row>
    <row r="253" spans="1:71" x14ac:dyDescent="0.25">
      <c r="A253">
        <v>250</v>
      </c>
      <c r="B253" s="1">
        <v>4.1781069458061797E-6</v>
      </c>
      <c r="C253">
        <v>0.132880845124389</v>
      </c>
      <c r="D253">
        <v>-4.9225449615667805E-4</v>
      </c>
      <c r="E253">
        <v>6.1312499999999995E-4</v>
      </c>
      <c r="F253">
        <v>-1.32880845124389E-3</v>
      </c>
      <c r="G253" s="1">
        <v>1.0842021724855E-19</v>
      </c>
      <c r="H253" t="s">
        <v>74</v>
      </c>
      <c r="I253">
        <v>0</v>
      </c>
      <c r="J253" t="s">
        <v>75</v>
      </c>
      <c r="K253">
        <v>3.14159265358979</v>
      </c>
      <c r="L253">
        <v>0.57414849631032905</v>
      </c>
      <c r="M253">
        <v>0</v>
      </c>
      <c r="N253">
        <v>3.3711167300596402E-2</v>
      </c>
      <c r="O253">
        <v>0</v>
      </c>
      <c r="P253">
        <v>1.6E-2</v>
      </c>
      <c r="Q253">
        <v>0</v>
      </c>
      <c r="R253">
        <v>0</v>
      </c>
      <c r="S253">
        <v>0</v>
      </c>
      <c r="T253">
        <v>0</v>
      </c>
      <c r="U253">
        <v>0.57877872611024195</v>
      </c>
      <c r="V253" t="s">
        <v>78</v>
      </c>
      <c r="W253">
        <v>3890102.4370084698</v>
      </c>
      <c r="X253" t="s">
        <v>76</v>
      </c>
      <c r="Y253">
        <v>-1.5707963267949001</v>
      </c>
      <c r="Z253">
        <v>0.57349727131724704</v>
      </c>
      <c r="AA253">
        <v>0</v>
      </c>
      <c r="AB253">
        <v>3.3296875862928198E-2</v>
      </c>
      <c r="AC253">
        <v>0</v>
      </c>
      <c r="AD253">
        <v>1.0530646082846499E-3</v>
      </c>
      <c r="AE253">
        <v>1.69077591569151E-2</v>
      </c>
      <c r="AF253">
        <v>0</v>
      </c>
      <c r="AG253">
        <v>0.114227362871023</v>
      </c>
      <c r="AH253">
        <v>0.51624941763971299</v>
      </c>
      <c r="AI253">
        <v>0.27753674327699701</v>
      </c>
      <c r="AJ253" t="s">
        <v>74</v>
      </c>
      <c r="AK253">
        <v>0</v>
      </c>
      <c r="AL253" t="s">
        <v>77</v>
      </c>
      <c r="AM253">
        <v>0</v>
      </c>
      <c r="AN253">
        <v>0.99199999999999999</v>
      </c>
      <c r="AO253">
        <v>0</v>
      </c>
      <c r="AP253">
        <v>5.8245346242475203E-2</v>
      </c>
      <c r="AQ253">
        <v>0</v>
      </c>
      <c r="AR253">
        <v>1.6E-2</v>
      </c>
      <c r="AS253">
        <v>0</v>
      </c>
      <c r="AT253">
        <v>0</v>
      </c>
      <c r="AU253">
        <v>0</v>
      </c>
      <c r="AV253">
        <v>0</v>
      </c>
      <c r="AW253">
        <v>1</v>
      </c>
      <c r="AX253" t="s">
        <v>74</v>
      </c>
      <c r="AY253">
        <v>0</v>
      </c>
      <c r="AZ253" t="s">
        <v>76</v>
      </c>
      <c r="BA253">
        <v>-1.5707963267949001</v>
      </c>
      <c r="BB253">
        <v>0.99199999999999999</v>
      </c>
      <c r="BC253">
        <v>0</v>
      </c>
      <c r="BD253">
        <v>5.8245346242475203E-2</v>
      </c>
      <c r="BE253">
        <v>0</v>
      </c>
      <c r="BF253">
        <v>1.6E-2</v>
      </c>
      <c r="BG253">
        <v>0</v>
      </c>
      <c r="BH253">
        <v>0</v>
      </c>
      <c r="BI253">
        <v>0</v>
      </c>
      <c r="BJ253">
        <v>0</v>
      </c>
      <c r="BK253">
        <v>1</v>
      </c>
      <c r="BL253" s="1">
        <v>9.1749367824237504E-5</v>
      </c>
      <c r="BM253">
        <v>3.1523839025536803E-4</v>
      </c>
      <c r="BN253" s="1">
        <v>3.4137260839331401E-7</v>
      </c>
      <c r="BO253" s="1">
        <v>4.95175305477869E-6</v>
      </c>
      <c r="BP253">
        <v>0</v>
      </c>
      <c r="BQ253">
        <v>0</v>
      </c>
      <c r="BR253" s="1">
        <v>5.1077381833585501E-5</v>
      </c>
      <c r="BS253">
        <v>1.8058063932499299E-4</v>
      </c>
    </row>
    <row r="254" spans="1:71" x14ac:dyDescent="0.25">
      <c r="A254">
        <v>251</v>
      </c>
      <c r="B254" s="1">
        <v>4.3178340587110597E-6</v>
      </c>
      <c r="C254">
        <v>0.13288516295844799</v>
      </c>
      <c r="D254">
        <v>-4.9227381027108395E-4</v>
      </c>
      <c r="E254">
        <v>6.1312499999999995E-4</v>
      </c>
      <c r="F254">
        <v>-1.3288516295844801E-3</v>
      </c>
      <c r="G254" s="1">
        <v>1.0842021724855E-19</v>
      </c>
      <c r="H254" t="s">
        <v>74</v>
      </c>
      <c r="I254">
        <v>0</v>
      </c>
      <c r="J254" t="s">
        <v>75</v>
      </c>
      <c r="K254">
        <v>3.14159265358979</v>
      </c>
      <c r="L254">
        <v>0.57250763495039303</v>
      </c>
      <c r="M254">
        <v>0</v>
      </c>
      <c r="N254">
        <v>3.3614824016276502E-2</v>
      </c>
      <c r="O254">
        <v>0</v>
      </c>
      <c r="P254">
        <v>1.6E-2</v>
      </c>
      <c r="Q254">
        <v>0</v>
      </c>
      <c r="R254">
        <v>0</v>
      </c>
      <c r="S254">
        <v>0</v>
      </c>
      <c r="T254">
        <v>0</v>
      </c>
      <c r="U254">
        <v>0.57712463199731301</v>
      </c>
      <c r="V254" t="s">
        <v>78</v>
      </c>
      <c r="W254">
        <v>3890269.1084408499</v>
      </c>
      <c r="X254" t="s">
        <v>76</v>
      </c>
      <c r="Y254">
        <v>-1.5707963267949001</v>
      </c>
      <c r="Z254">
        <v>0.57185690671725997</v>
      </c>
      <c r="AA254">
        <v>0</v>
      </c>
      <c r="AB254">
        <v>3.3200848603675899E-2</v>
      </c>
      <c r="AC254">
        <v>0</v>
      </c>
      <c r="AD254">
        <v>9.9486098448468992E-4</v>
      </c>
      <c r="AE254">
        <v>1.6967238123545999E-2</v>
      </c>
      <c r="AF254">
        <v>0</v>
      </c>
      <c r="AG254">
        <v>0.11018355844967</v>
      </c>
      <c r="AH254">
        <v>0.52276904176816696</v>
      </c>
      <c r="AI254">
        <v>0.27525030944092799</v>
      </c>
      <c r="AJ254" t="s">
        <v>74</v>
      </c>
      <c r="AK254">
        <v>0</v>
      </c>
      <c r="AL254" t="s">
        <v>77</v>
      </c>
      <c r="AM254">
        <v>0</v>
      </c>
      <c r="AN254">
        <v>0.99199999999999999</v>
      </c>
      <c r="AO254">
        <v>0</v>
      </c>
      <c r="AP254">
        <v>5.8245346242475203E-2</v>
      </c>
      <c r="AQ254">
        <v>0</v>
      </c>
      <c r="AR254">
        <v>1.6E-2</v>
      </c>
      <c r="AS254">
        <v>0</v>
      </c>
      <c r="AT254">
        <v>0</v>
      </c>
      <c r="AU254">
        <v>0</v>
      </c>
      <c r="AV254">
        <v>0</v>
      </c>
      <c r="AW254">
        <v>1</v>
      </c>
      <c r="AX254" t="s">
        <v>74</v>
      </c>
      <c r="AY254">
        <v>0</v>
      </c>
      <c r="AZ254" t="s">
        <v>76</v>
      </c>
      <c r="BA254">
        <v>-1.5707963267949001</v>
      </c>
      <c r="BB254">
        <v>0.99199999999999999</v>
      </c>
      <c r="BC254">
        <v>0</v>
      </c>
      <c r="BD254">
        <v>5.8245346242475203E-2</v>
      </c>
      <c r="BE254">
        <v>0</v>
      </c>
      <c r="BF254">
        <v>1.6E-2</v>
      </c>
      <c r="BG254">
        <v>0</v>
      </c>
      <c r="BH254">
        <v>0</v>
      </c>
      <c r="BI254">
        <v>0</v>
      </c>
      <c r="BJ254">
        <v>0</v>
      </c>
      <c r="BK254">
        <v>1</v>
      </c>
      <c r="BL254" s="1">
        <v>9.1653182552451398E-5</v>
      </c>
      <c r="BM254">
        <v>3.16476300108919E-4</v>
      </c>
      <c r="BN254" s="1">
        <v>3.4101441952395499E-7</v>
      </c>
      <c r="BO254" s="1">
        <v>4.97119809728729E-6</v>
      </c>
      <c r="BP254">
        <v>0</v>
      </c>
      <c r="BQ254">
        <v>0</v>
      </c>
      <c r="BR254" s="1">
        <v>5.1016359251129903E-5</v>
      </c>
      <c r="BS254">
        <v>1.8129051061201401E-4</v>
      </c>
    </row>
    <row r="255" spans="1:71" x14ac:dyDescent="0.25">
      <c r="A255">
        <v>252</v>
      </c>
      <c r="B255" s="1">
        <v>4.4718462447263E-6</v>
      </c>
      <c r="C255">
        <v>0.13288963480469199</v>
      </c>
      <c r="D255">
        <v>-4.9229381286593796E-4</v>
      </c>
      <c r="E255">
        <v>6.1312499999999995E-4</v>
      </c>
      <c r="F255">
        <v>-1.32889634804693E-3</v>
      </c>
      <c r="G255" s="1">
        <v>1.0842021724855E-19</v>
      </c>
      <c r="H255" t="s">
        <v>74</v>
      </c>
      <c r="I255">
        <v>0</v>
      </c>
      <c r="J255" t="s">
        <v>75</v>
      </c>
      <c r="K255">
        <v>3.14159265358979</v>
      </c>
      <c r="L255">
        <v>0.57086932601060403</v>
      </c>
      <c r="M255">
        <v>0</v>
      </c>
      <c r="N255">
        <v>3.3518630597475903E-2</v>
      </c>
      <c r="O255">
        <v>0</v>
      </c>
      <c r="P255">
        <v>1.6E-2</v>
      </c>
      <c r="Q255">
        <v>0</v>
      </c>
      <c r="R255">
        <v>0</v>
      </c>
      <c r="S255">
        <v>0</v>
      </c>
      <c r="T255">
        <v>0</v>
      </c>
      <c r="U255">
        <v>0.575473110888573</v>
      </c>
      <c r="V255" t="s">
        <v>78</v>
      </c>
      <c r="W255">
        <v>3890441.7211253098</v>
      </c>
      <c r="X255" t="s">
        <v>76</v>
      </c>
      <c r="Y255">
        <v>-1.5707963267949001</v>
      </c>
      <c r="Z255">
        <v>0.57021905066512502</v>
      </c>
      <c r="AA255">
        <v>0</v>
      </c>
      <c r="AB255">
        <v>3.31049432995974E-2</v>
      </c>
      <c r="AC255">
        <v>0</v>
      </c>
      <c r="AD255">
        <v>9.3686971933437798E-4</v>
      </c>
      <c r="AE255">
        <v>1.7026537491598399E-2</v>
      </c>
      <c r="AF255">
        <v>0</v>
      </c>
      <c r="AG255">
        <v>0.106016558780976</v>
      </c>
      <c r="AH255">
        <v>0.52940800991542203</v>
      </c>
      <c r="AI255">
        <v>0.27297333949527602</v>
      </c>
      <c r="AJ255" t="s">
        <v>74</v>
      </c>
      <c r="AK255">
        <v>0</v>
      </c>
      <c r="AL255" t="s">
        <v>77</v>
      </c>
      <c r="AM255">
        <v>0</v>
      </c>
      <c r="AN255">
        <v>0.99199999999999999</v>
      </c>
      <c r="AO255">
        <v>0</v>
      </c>
      <c r="AP255">
        <v>5.8245346242475203E-2</v>
      </c>
      <c r="AQ255">
        <v>0</v>
      </c>
      <c r="AR255">
        <v>1.6E-2</v>
      </c>
      <c r="AS255">
        <v>0</v>
      </c>
      <c r="AT255">
        <v>0</v>
      </c>
      <c r="AU255">
        <v>0</v>
      </c>
      <c r="AV255">
        <v>0</v>
      </c>
      <c r="AW255">
        <v>1</v>
      </c>
      <c r="AX255" t="s">
        <v>74</v>
      </c>
      <c r="AY255">
        <v>0</v>
      </c>
      <c r="AZ255" t="s">
        <v>76</v>
      </c>
      <c r="BA255">
        <v>-1.5707963267949001</v>
      </c>
      <c r="BB255">
        <v>0.99199999999999999</v>
      </c>
      <c r="BC255">
        <v>0</v>
      </c>
      <c r="BD255">
        <v>5.8245346242475203E-2</v>
      </c>
      <c r="BE255">
        <v>0</v>
      </c>
      <c r="BF255">
        <v>1.6E-2</v>
      </c>
      <c r="BG255">
        <v>0</v>
      </c>
      <c r="BH255">
        <v>0</v>
      </c>
      <c r="BI255">
        <v>0</v>
      </c>
      <c r="BJ255">
        <v>0</v>
      </c>
      <c r="BK255">
        <v>1</v>
      </c>
      <c r="BL255" s="1">
        <v>9.1557133191011799E-5</v>
      </c>
      <c r="BM255">
        <v>3.1771228434819901E-4</v>
      </c>
      <c r="BN255" s="1">
        <v>3.4065666444614401E-7</v>
      </c>
      <c r="BO255" s="1">
        <v>4.9906128923176703E-6</v>
      </c>
      <c r="BP255">
        <v>0</v>
      </c>
      <c r="BQ255">
        <v>0</v>
      </c>
      <c r="BR255" s="1">
        <v>5.0955429846495199E-5</v>
      </c>
      <c r="BS255">
        <v>1.8199931150106999E-4</v>
      </c>
    </row>
    <row r="256" spans="1:71" x14ac:dyDescent="0.25">
      <c r="A256">
        <v>253</v>
      </c>
      <c r="B256" s="1">
        <v>4.6424685961491702E-6</v>
      </c>
      <c r="C256">
        <v>0.13289427727328901</v>
      </c>
      <c r="D256">
        <v>-4.9231457819127805E-4</v>
      </c>
      <c r="E256">
        <v>6.1312499999999995E-4</v>
      </c>
      <c r="F256">
        <v>-1.3289427727328901E-3</v>
      </c>
      <c r="G256" s="1">
        <v>1.0842021724855E-19</v>
      </c>
      <c r="H256" t="s">
        <v>74</v>
      </c>
      <c r="I256">
        <v>0</v>
      </c>
      <c r="J256" t="s">
        <v>75</v>
      </c>
      <c r="K256">
        <v>3.14159265358979</v>
      </c>
      <c r="L256">
        <v>0.56923386134640397</v>
      </c>
      <c r="M256">
        <v>0</v>
      </c>
      <c r="N256">
        <v>3.34226041805065E-2</v>
      </c>
      <c r="O256">
        <v>0</v>
      </c>
      <c r="P256">
        <v>1.6E-2</v>
      </c>
      <c r="Q256">
        <v>0</v>
      </c>
      <c r="R256">
        <v>0</v>
      </c>
      <c r="S256">
        <v>0</v>
      </c>
      <c r="T256">
        <v>0</v>
      </c>
      <c r="U256">
        <v>0.573824456993139</v>
      </c>
      <c r="V256" t="s">
        <v>78</v>
      </c>
      <c r="W256">
        <v>3890620.9158036499</v>
      </c>
      <c r="X256" t="s">
        <v>76</v>
      </c>
      <c r="Y256">
        <v>-1.5707963267949001</v>
      </c>
      <c r="Z256">
        <v>0.56858398983546699</v>
      </c>
      <c r="AA256">
        <v>0</v>
      </c>
      <c r="AB256">
        <v>3.30091737911117E-2</v>
      </c>
      <c r="AC256">
        <v>0</v>
      </c>
      <c r="AD256">
        <v>8.7910533899684701E-4</v>
      </c>
      <c r="AE256">
        <v>1.7085646508220399E-2</v>
      </c>
      <c r="AF256">
        <v>0</v>
      </c>
      <c r="AG256">
        <v>0.101720105870995</v>
      </c>
      <c r="AH256">
        <v>0.53617213970826505</v>
      </c>
      <c r="AI256">
        <v>0.27070623507423403</v>
      </c>
      <c r="AJ256" t="s">
        <v>74</v>
      </c>
      <c r="AK256">
        <v>0</v>
      </c>
      <c r="AL256" t="s">
        <v>77</v>
      </c>
      <c r="AM256">
        <v>0</v>
      </c>
      <c r="AN256">
        <v>0.99199999999999999</v>
      </c>
      <c r="AO256">
        <v>0</v>
      </c>
      <c r="AP256">
        <v>5.8245346242475203E-2</v>
      </c>
      <c r="AQ256">
        <v>0</v>
      </c>
      <c r="AR256">
        <v>1.6E-2</v>
      </c>
      <c r="AS256">
        <v>0</v>
      </c>
      <c r="AT256">
        <v>0</v>
      </c>
      <c r="AU256">
        <v>0</v>
      </c>
      <c r="AV256">
        <v>0</v>
      </c>
      <c r="AW256">
        <v>1</v>
      </c>
      <c r="AX256" t="s">
        <v>74</v>
      </c>
      <c r="AY256">
        <v>0</v>
      </c>
      <c r="AZ256" t="s">
        <v>76</v>
      </c>
      <c r="BA256">
        <v>-1.5707963267949001</v>
      </c>
      <c r="BB256">
        <v>0.99199999999999999</v>
      </c>
      <c r="BC256">
        <v>0</v>
      </c>
      <c r="BD256">
        <v>5.8245346242475203E-2</v>
      </c>
      <c r="BE256">
        <v>0</v>
      </c>
      <c r="BF256">
        <v>1.6E-2</v>
      </c>
      <c r="BG256">
        <v>0</v>
      </c>
      <c r="BH256">
        <v>0</v>
      </c>
      <c r="BI256">
        <v>0</v>
      </c>
      <c r="BJ256">
        <v>0</v>
      </c>
      <c r="BK256">
        <v>1</v>
      </c>
      <c r="BL256" s="1">
        <v>9.1461235228284304E-5</v>
      </c>
      <c r="BM256">
        <v>3.1894612278962999E-4</v>
      </c>
      <c r="BN256" s="1">
        <v>3.4029939229136903E-7</v>
      </c>
      <c r="BO256" s="1">
        <v>5.0099939812342499E-6</v>
      </c>
      <c r="BP256">
        <v>0</v>
      </c>
      <c r="BQ256">
        <v>0</v>
      </c>
      <c r="BR256" s="1">
        <v>5.0894604257104298E-5</v>
      </c>
      <c r="BS256">
        <v>1.82706919063178E-4</v>
      </c>
    </row>
    <row r="257" spans="1:71" x14ac:dyDescent="0.25">
      <c r="A257">
        <v>254</v>
      </c>
      <c r="B257" s="1">
        <v>4.8325675657278699E-6</v>
      </c>
      <c r="C257">
        <v>0.13289910984085401</v>
      </c>
      <c r="D257">
        <v>-4.9233619330967795E-4</v>
      </c>
      <c r="E257">
        <v>6.1312499999999995E-4</v>
      </c>
      <c r="F257">
        <v>-1.3289910984085401E-3</v>
      </c>
      <c r="G257" s="1">
        <v>1.0842021724855E-19</v>
      </c>
      <c r="H257" t="s">
        <v>74</v>
      </c>
      <c r="I257">
        <v>0</v>
      </c>
      <c r="J257" t="s">
        <v>75</v>
      </c>
      <c r="K257">
        <v>3.14159265358979</v>
      </c>
      <c r="L257">
        <v>0.56760158510000602</v>
      </c>
      <c r="M257">
        <v>0</v>
      </c>
      <c r="N257">
        <v>3.33267649717012E-2</v>
      </c>
      <c r="O257">
        <v>0</v>
      </c>
      <c r="P257">
        <v>1.6E-2</v>
      </c>
      <c r="Q257">
        <v>0</v>
      </c>
      <c r="R257">
        <v>0</v>
      </c>
      <c r="S257">
        <v>0</v>
      </c>
      <c r="T257">
        <v>0</v>
      </c>
      <c r="U257">
        <v>0.57217901722856601</v>
      </c>
      <c r="V257" t="s">
        <v>78</v>
      </c>
      <c r="W257">
        <v>3890807.4437836101</v>
      </c>
      <c r="X257" t="s">
        <v>76</v>
      </c>
      <c r="Y257">
        <v>-1.5707963267949001</v>
      </c>
      <c r="Z257">
        <v>0.56695206228182304</v>
      </c>
      <c r="AA257">
        <v>0</v>
      </c>
      <c r="AB257">
        <v>3.2913556411103398E-2</v>
      </c>
      <c r="AC257">
        <v>0</v>
      </c>
      <c r="AD257">
        <v>8.2158486777590797E-4</v>
      </c>
      <c r="AE257">
        <v>1.7144552545377698E-2</v>
      </c>
      <c r="AF257">
        <v>0</v>
      </c>
      <c r="AG257">
        <v>9.7287326852841194E-2</v>
      </c>
      <c r="AH257">
        <v>0.54306778475333395</v>
      </c>
      <c r="AI257">
        <v>0.268449465363509</v>
      </c>
      <c r="AJ257" t="s">
        <v>74</v>
      </c>
      <c r="AK257">
        <v>0</v>
      </c>
      <c r="AL257" t="s">
        <v>77</v>
      </c>
      <c r="AM257">
        <v>0</v>
      </c>
      <c r="AN257">
        <v>0.99199999999999999</v>
      </c>
      <c r="AO257">
        <v>0</v>
      </c>
      <c r="AP257">
        <v>5.8245346242475203E-2</v>
      </c>
      <c r="AQ257">
        <v>0</v>
      </c>
      <c r="AR257">
        <v>1.6E-2</v>
      </c>
      <c r="AS257">
        <v>0</v>
      </c>
      <c r="AT257">
        <v>0</v>
      </c>
      <c r="AU257">
        <v>0</v>
      </c>
      <c r="AV257">
        <v>0</v>
      </c>
      <c r="AW257">
        <v>1</v>
      </c>
      <c r="AX257" t="s">
        <v>74</v>
      </c>
      <c r="AY257">
        <v>0</v>
      </c>
      <c r="AZ257" t="s">
        <v>76</v>
      </c>
      <c r="BA257">
        <v>-1.5707963267949001</v>
      </c>
      <c r="BB257">
        <v>0.99199999999999999</v>
      </c>
      <c r="BC257">
        <v>0</v>
      </c>
      <c r="BD257">
        <v>5.8245346242475203E-2</v>
      </c>
      <c r="BE257">
        <v>0</v>
      </c>
      <c r="BF257">
        <v>1.6E-2</v>
      </c>
      <c r="BG257">
        <v>0</v>
      </c>
      <c r="BH257">
        <v>0</v>
      </c>
      <c r="BI257">
        <v>0</v>
      </c>
      <c r="BJ257">
        <v>0</v>
      </c>
      <c r="BK257">
        <v>1</v>
      </c>
      <c r="BL257" s="1">
        <v>9.1365506933877597E-5</v>
      </c>
      <c r="BM257">
        <v>3.2017755580308801E-4</v>
      </c>
      <c r="BN257" s="1">
        <v>3.3994266105127898E-7</v>
      </c>
      <c r="BO257" s="1">
        <v>5.02933728577658E-6</v>
      </c>
      <c r="BP257">
        <v>0</v>
      </c>
      <c r="BQ257">
        <v>0</v>
      </c>
      <c r="BR257" s="1">
        <v>5.0833895026634098E-5</v>
      </c>
      <c r="BS257">
        <v>1.83413188317004E-4</v>
      </c>
    </row>
    <row r="258" spans="1:71" x14ac:dyDescent="0.25">
      <c r="A258">
        <v>255</v>
      </c>
      <c r="B258" s="1">
        <v>5.0457189946585401E-6</v>
      </c>
      <c r="C258">
        <v>0.132904155559849</v>
      </c>
      <c r="D258">
        <v>-4.9235876126691998E-4</v>
      </c>
      <c r="E258">
        <v>6.1312499999999995E-4</v>
      </c>
      <c r="F258">
        <v>-1.3290415555984899E-3</v>
      </c>
      <c r="G258" s="1">
        <v>1.0842021724855E-19</v>
      </c>
      <c r="H258" t="s">
        <v>74</v>
      </c>
      <c r="I258">
        <v>0</v>
      </c>
      <c r="J258" t="s">
        <v>75</v>
      </c>
      <c r="K258">
        <v>3.14159265358979</v>
      </c>
      <c r="L258">
        <v>0.56597290679471801</v>
      </c>
      <c r="M258">
        <v>0</v>
      </c>
      <c r="N258">
        <v>3.3231137016248503E-2</v>
      </c>
      <c r="O258">
        <v>0</v>
      </c>
      <c r="P258">
        <v>1.6E-2</v>
      </c>
      <c r="Q258">
        <v>0</v>
      </c>
      <c r="R258">
        <v>0</v>
      </c>
      <c r="S258">
        <v>0</v>
      </c>
      <c r="T258">
        <v>0</v>
      </c>
      <c r="U258">
        <v>0.57053720442076805</v>
      </c>
      <c r="V258" t="s">
        <v>78</v>
      </c>
      <c r="W258">
        <v>3891002.1943002702</v>
      </c>
      <c r="X258" t="s">
        <v>76</v>
      </c>
      <c r="Y258">
        <v>-1.5707963267949001</v>
      </c>
      <c r="Z258">
        <v>0.56532367030445196</v>
      </c>
      <c r="AA258">
        <v>0</v>
      </c>
      <c r="AB258">
        <v>3.2818110609657399E-2</v>
      </c>
      <c r="AC258">
        <v>0</v>
      </c>
      <c r="AD258">
        <v>7.6432845529145199E-4</v>
      </c>
      <c r="AE258">
        <v>1.7203240619871898E-2</v>
      </c>
      <c r="AF258">
        <v>0</v>
      </c>
      <c r="AG258">
        <v>9.2710650344035306E-2</v>
      </c>
      <c r="AH258">
        <v>0.55010189852236002</v>
      </c>
      <c r="AI258">
        <v>0.26620358405033601</v>
      </c>
      <c r="AJ258" t="s">
        <v>74</v>
      </c>
      <c r="AK258">
        <v>0</v>
      </c>
      <c r="AL258" t="s">
        <v>77</v>
      </c>
      <c r="AM258">
        <v>0</v>
      </c>
      <c r="AN258">
        <v>0.99199999999999999</v>
      </c>
      <c r="AO258">
        <v>0</v>
      </c>
      <c r="AP258">
        <v>5.8245346242475203E-2</v>
      </c>
      <c r="AQ258">
        <v>0</v>
      </c>
      <c r="AR258">
        <v>1.6E-2</v>
      </c>
      <c r="AS258">
        <v>0</v>
      </c>
      <c r="AT258">
        <v>0</v>
      </c>
      <c r="AU258">
        <v>0</v>
      </c>
      <c r="AV258">
        <v>0</v>
      </c>
      <c r="AW258">
        <v>1</v>
      </c>
      <c r="AX258" t="s">
        <v>74</v>
      </c>
      <c r="AY258">
        <v>0</v>
      </c>
      <c r="AZ258" t="s">
        <v>76</v>
      </c>
      <c r="BA258">
        <v>-1.5707963267949001</v>
      </c>
      <c r="BB258">
        <v>0.99199999999999999</v>
      </c>
      <c r="BC258">
        <v>0</v>
      </c>
      <c r="BD258">
        <v>5.8245346242475203E-2</v>
      </c>
      <c r="BE258">
        <v>0</v>
      </c>
      <c r="BF258">
        <v>1.6E-2</v>
      </c>
      <c r="BG258">
        <v>0</v>
      </c>
      <c r="BH258">
        <v>0</v>
      </c>
      <c r="BI258">
        <v>0</v>
      </c>
      <c r="BJ258">
        <v>0</v>
      </c>
      <c r="BK258">
        <v>1</v>
      </c>
      <c r="BL258" s="1">
        <v>9.1269970055428206E-5</v>
      </c>
      <c r="BM258">
        <v>3.21406274433198E-4</v>
      </c>
      <c r="BN258" s="1">
        <v>3.3958653979899001E-7</v>
      </c>
      <c r="BO258" s="1">
        <v>5.0486379528850002E-6</v>
      </c>
      <c r="BP258">
        <v>0</v>
      </c>
      <c r="BQ258">
        <v>0</v>
      </c>
      <c r="BR258" s="1">
        <v>5.0773317082390702E-5</v>
      </c>
      <c r="BS258">
        <v>1.8411794670346901E-4</v>
      </c>
    </row>
    <row r="259" spans="1:71" x14ac:dyDescent="0.25">
      <c r="A259">
        <v>256</v>
      </c>
      <c r="B259" s="1">
        <v>5.2864429239486801E-6</v>
      </c>
      <c r="C259">
        <v>0.13290944200277299</v>
      </c>
      <c r="D259">
        <v>-4.9238240531212303E-4</v>
      </c>
      <c r="E259">
        <v>6.1312499999999995E-4</v>
      </c>
      <c r="F259">
        <v>-1.3290944200277299E-3</v>
      </c>
      <c r="G259" s="1">
        <v>1.0842021724855E-19</v>
      </c>
      <c r="H259" t="s">
        <v>74</v>
      </c>
      <c r="I259">
        <v>0</v>
      </c>
      <c r="J259" t="s">
        <v>75</v>
      </c>
      <c r="K259">
        <v>3.14159265358979</v>
      </c>
      <c r="L259">
        <v>0.56434831874319402</v>
      </c>
      <c r="M259">
        <v>0</v>
      </c>
      <c r="N259">
        <v>3.3135749220318603E-2</v>
      </c>
      <c r="O259">
        <v>0</v>
      </c>
      <c r="P259">
        <v>1.6E-2</v>
      </c>
      <c r="Q259">
        <v>0</v>
      </c>
      <c r="R259">
        <v>0</v>
      </c>
      <c r="S259">
        <v>0</v>
      </c>
      <c r="T259">
        <v>0</v>
      </c>
      <c r="U259">
        <v>0.56889951485266599</v>
      </c>
      <c r="V259" t="s">
        <v>78</v>
      </c>
      <c r="W259">
        <v>3891206.23093371</v>
      </c>
      <c r="X259" t="s">
        <v>76</v>
      </c>
      <c r="Y259">
        <v>-1.5707963267949001</v>
      </c>
      <c r="Z259">
        <v>0.56369929755679904</v>
      </c>
      <c r="AA259">
        <v>0</v>
      </c>
      <c r="AB259">
        <v>3.2722859784192301E-2</v>
      </c>
      <c r="AC259">
        <v>0</v>
      </c>
      <c r="AD259">
        <v>7.07360211684495E-4</v>
      </c>
      <c r="AE259">
        <v>1.72616927514961E-2</v>
      </c>
      <c r="AF259">
        <v>0</v>
      </c>
      <c r="AG259">
        <v>8.7981710600070304E-2</v>
      </c>
      <c r="AH259">
        <v>0.55728210393208599</v>
      </c>
      <c r="AI259">
        <v>0.26396925187526299</v>
      </c>
      <c r="AJ259" t="s">
        <v>74</v>
      </c>
      <c r="AK259">
        <v>0</v>
      </c>
      <c r="AL259" t="s">
        <v>77</v>
      </c>
      <c r="AM259">
        <v>0</v>
      </c>
      <c r="AN259">
        <v>0.99199999999999999</v>
      </c>
      <c r="AO259">
        <v>0</v>
      </c>
      <c r="AP259">
        <v>5.8245346242475203E-2</v>
      </c>
      <c r="AQ259">
        <v>0</v>
      </c>
      <c r="AR259">
        <v>1.6E-2</v>
      </c>
      <c r="AS259">
        <v>0</v>
      </c>
      <c r="AT259">
        <v>0</v>
      </c>
      <c r="AU259">
        <v>0</v>
      </c>
      <c r="AV259">
        <v>0</v>
      </c>
      <c r="AW259">
        <v>1</v>
      </c>
      <c r="AX259" t="s">
        <v>74</v>
      </c>
      <c r="AY259">
        <v>0</v>
      </c>
      <c r="AZ259" t="s">
        <v>76</v>
      </c>
      <c r="BA259">
        <v>-1.5707963267949001</v>
      </c>
      <c r="BB259">
        <v>0.99199999999999999</v>
      </c>
      <c r="BC259">
        <v>0</v>
      </c>
      <c r="BD259">
        <v>5.8245346242475203E-2</v>
      </c>
      <c r="BE259">
        <v>0</v>
      </c>
      <c r="BF259">
        <v>1.6E-2</v>
      </c>
      <c r="BG259">
        <v>0</v>
      </c>
      <c r="BH259">
        <v>0</v>
      </c>
      <c r="BI259">
        <v>0</v>
      </c>
      <c r="BJ259">
        <v>0</v>
      </c>
      <c r="BK259">
        <v>1</v>
      </c>
      <c r="BL259" s="1">
        <v>9.1174650744730703E-5</v>
      </c>
      <c r="BM259">
        <v>3.22631907266078E-4</v>
      </c>
      <c r="BN259" s="1">
        <v>3.3923111164030302E-7</v>
      </c>
      <c r="BO259" s="1">
        <v>5.06789014840387E-6</v>
      </c>
      <c r="BP259">
        <v>0</v>
      </c>
      <c r="BQ259">
        <v>0</v>
      </c>
      <c r="BR259" s="1">
        <v>5.0712888369916297E-5</v>
      </c>
      <c r="BS259">
        <v>1.8482098673999999E-4</v>
      </c>
    </row>
    <row r="260" spans="1:71" x14ac:dyDescent="0.25">
      <c r="A260">
        <v>257</v>
      </c>
      <c r="B260" s="1">
        <v>5.5605383139293103E-6</v>
      </c>
      <c r="C260">
        <v>0.13291500254108701</v>
      </c>
      <c r="D260">
        <v>-4.9240727461384397E-4</v>
      </c>
      <c r="E260">
        <v>6.1312499999999995E-4</v>
      </c>
      <c r="F260">
        <v>-1.3291500254108701E-3</v>
      </c>
      <c r="G260" s="1">
        <v>2.1684043449710098E-19</v>
      </c>
      <c r="H260" t="s">
        <v>74</v>
      </c>
      <c r="I260">
        <v>0</v>
      </c>
      <c r="J260" t="s">
        <v>75</v>
      </c>
      <c r="K260">
        <v>3.14159265358979</v>
      </c>
      <c r="L260">
        <v>0.56272841957055697</v>
      </c>
      <c r="M260">
        <v>0</v>
      </c>
      <c r="N260">
        <v>3.3040636732225799E-2</v>
      </c>
      <c r="O260">
        <v>0</v>
      </c>
      <c r="P260">
        <v>1.6E-2</v>
      </c>
      <c r="Q260">
        <v>0</v>
      </c>
      <c r="R260">
        <v>0</v>
      </c>
      <c r="S260">
        <v>0</v>
      </c>
      <c r="T260">
        <v>0</v>
      </c>
      <c r="U260">
        <v>0.56726655197700804</v>
      </c>
      <c r="V260" t="s">
        <v>78</v>
      </c>
      <c r="W260">
        <v>3891420.84093617</v>
      </c>
      <c r="X260" t="s">
        <v>76</v>
      </c>
      <c r="Y260">
        <v>-1.5707963267949001</v>
      </c>
      <c r="Z260">
        <v>0.56207953215943995</v>
      </c>
      <c r="AA260">
        <v>0</v>
      </c>
      <c r="AB260">
        <v>3.2627832400318503E-2</v>
      </c>
      <c r="AC260">
        <v>0</v>
      </c>
      <c r="AD260">
        <v>6.5070933857583097E-4</v>
      </c>
      <c r="AE260">
        <v>1.73198870900729E-2</v>
      </c>
      <c r="AF260">
        <v>0</v>
      </c>
      <c r="AG260">
        <v>8.3091239148435497E-2</v>
      </c>
      <c r="AH260">
        <v>0.56461676621730095</v>
      </c>
      <c r="AI260">
        <v>0.26174726712955898</v>
      </c>
      <c r="AJ260" t="s">
        <v>74</v>
      </c>
      <c r="AK260">
        <v>0</v>
      </c>
      <c r="AL260" t="s">
        <v>77</v>
      </c>
      <c r="AM260">
        <v>0</v>
      </c>
      <c r="AN260">
        <v>0.99199999999999999</v>
      </c>
      <c r="AO260">
        <v>0</v>
      </c>
      <c r="AP260">
        <v>5.8245346242475203E-2</v>
      </c>
      <c r="AQ260">
        <v>0</v>
      </c>
      <c r="AR260">
        <v>1.6E-2</v>
      </c>
      <c r="AS260">
        <v>0</v>
      </c>
      <c r="AT260">
        <v>0</v>
      </c>
      <c r="AU260">
        <v>0</v>
      </c>
      <c r="AV260">
        <v>0</v>
      </c>
      <c r="AW260">
        <v>1</v>
      </c>
      <c r="AX260" t="s">
        <v>74</v>
      </c>
      <c r="AY260">
        <v>0</v>
      </c>
      <c r="AZ260" t="s">
        <v>76</v>
      </c>
      <c r="BA260">
        <v>-1.5707963267949001</v>
      </c>
      <c r="BB260">
        <v>0.99199999999999999</v>
      </c>
      <c r="BC260">
        <v>0</v>
      </c>
      <c r="BD260">
        <v>5.8245346242475203E-2</v>
      </c>
      <c r="BE260">
        <v>0</v>
      </c>
      <c r="BF260">
        <v>1.6E-2</v>
      </c>
      <c r="BG260">
        <v>0</v>
      </c>
      <c r="BH260">
        <v>0</v>
      </c>
      <c r="BI260">
        <v>0</v>
      </c>
      <c r="BJ260">
        <v>0</v>
      </c>
      <c r="BK260">
        <v>1</v>
      </c>
      <c r="BL260" s="1">
        <v>9.1079580808747397E-5</v>
      </c>
      <c r="BM260">
        <v>3.2385400268286803E-4</v>
      </c>
      <c r="BN260" s="1">
        <v>3.3887647769766499E-7</v>
      </c>
      <c r="BO260" s="1">
        <v>5.0870867783207401E-6</v>
      </c>
      <c r="BP260">
        <v>0</v>
      </c>
      <c r="BQ260">
        <v>0</v>
      </c>
      <c r="BR260" s="1">
        <v>5.06526307104351E-5</v>
      </c>
      <c r="BS260">
        <v>1.8552205609476501E-4</v>
      </c>
    </row>
    <row r="261" spans="1:71" x14ac:dyDescent="0.25">
      <c r="A261">
        <v>258</v>
      </c>
      <c r="B261" s="1">
        <v>5.8755709559945199E-6</v>
      </c>
      <c r="C261">
        <v>0.13292087811204301</v>
      </c>
      <c r="D261">
        <v>-4.9243355215678603E-4</v>
      </c>
      <c r="E261">
        <v>6.1312499999999995E-4</v>
      </c>
      <c r="F261">
        <v>-1.32920878112043E-3</v>
      </c>
      <c r="G261" s="1">
        <v>2.1684043449710098E-19</v>
      </c>
      <c r="H261" t="s">
        <v>74</v>
      </c>
      <c r="I261">
        <v>0</v>
      </c>
      <c r="J261" t="s">
        <v>75</v>
      </c>
      <c r="K261">
        <v>3.14159265358979</v>
      </c>
      <c r="L261">
        <v>0.56111394658281899</v>
      </c>
      <c r="M261">
        <v>0</v>
      </c>
      <c r="N261">
        <v>3.2945842842941601E-2</v>
      </c>
      <c r="O261">
        <v>0</v>
      </c>
      <c r="P261">
        <v>1.6E-2</v>
      </c>
      <c r="Q261">
        <v>0</v>
      </c>
      <c r="R261">
        <v>0</v>
      </c>
      <c r="S261">
        <v>0</v>
      </c>
      <c r="T261">
        <v>0</v>
      </c>
      <c r="U261">
        <v>0.56563905904582301</v>
      </c>
      <c r="V261" t="s">
        <v>78</v>
      </c>
      <c r="W261">
        <v>3891647.60337681</v>
      </c>
      <c r="X261" t="s">
        <v>76</v>
      </c>
      <c r="Y261">
        <v>-1.5707963267949001</v>
      </c>
      <c r="Z261">
        <v>0.56046509850274195</v>
      </c>
      <c r="AA261">
        <v>0</v>
      </c>
      <c r="AB261">
        <v>3.2533063532432301E-2</v>
      </c>
      <c r="AC261">
        <v>0</v>
      </c>
      <c r="AD261">
        <v>5.9441168942321197E-4</v>
      </c>
      <c r="AE261">
        <v>1.73777967053802E-2</v>
      </c>
      <c r="AF261">
        <v>0</v>
      </c>
      <c r="AG261">
        <v>7.8028945446669995E-2</v>
      </c>
      <c r="AH261">
        <v>0.57211506343357499</v>
      </c>
      <c r="AI261">
        <v>0.25953860765387898</v>
      </c>
      <c r="AJ261" t="s">
        <v>74</v>
      </c>
      <c r="AK261">
        <v>0</v>
      </c>
      <c r="AL261" t="s">
        <v>77</v>
      </c>
      <c r="AM261">
        <v>0</v>
      </c>
      <c r="AN261">
        <v>0.99199999999999999</v>
      </c>
      <c r="AO261">
        <v>0</v>
      </c>
      <c r="AP261">
        <v>5.8245346242475203E-2</v>
      </c>
      <c r="AQ261">
        <v>0</v>
      </c>
      <c r="AR261">
        <v>1.6E-2</v>
      </c>
      <c r="AS261">
        <v>0</v>
      </c>
      <c r="AT261">
        <v>0</v>
      </c>
      <c r="AU261">
        <v>0</v>
      </c>
      <c r="AV261">
        <v>0</v>
      </c>
      <c r="AW261">
        <v>1</v>
      </c>
      <c r="AX261" t="s">
        <v>74</v>
      </c>
      <c r="AY261">
        <v>0</v>
      </c>
      <c r="AZ261" t="s">
        <v>76</v>
      </c>
      <c r="BA261">
        <v>-1.5707963267949001</v>
      </c>
      <c r="BB261">
        <v>0.99199999999999999</v>
      </c>
      <c r="BC261">
        <v>0</v>
      </c>
      <c r="BD261">
        <v>5.8245346242475203E-2</v>
      </c>
      <c r="BE261">
        <v>0</v>
      </c>
      <c r="BF261">
        <v>1.6E-2</v>
      </c>
      <c r="BG261">
        <v>0</v>
      </c>
      <c r="BH261">
        <v>0</v>
      </c>
      <c r="BI261">
        <v>0</v>
      </c>
      <c r="BJ261">
        <v>0</v>
      </c>
      <c r="BK261">
        <v>1</v>
      </c>
      <c r="BL261" s="1">
        <v>9.0984799430162105E-5</v>
      </c>
      <c r="BM261">
        <v>3.25072004440123E-4</v>
      </c>
      <c r="BN261" s="1">
        <v>3.3852276258438497E-7</v>
      </c>
      <c r="BO261" s="1">
        <v>5.1062191051839896E-6</v>
      </c>
      <c r="BP261">
        <v>0</v>
      </c>
      <c r="BQ261">
        <v>0</v>
      </c>
      <c r="BR261" s="1">
        <v>5.0592570980580599E-5</v>
      </c>
      <c r="BS261">
        <v>1.8622084392947301E-4</v>
      </c>
    </row>
    <row r="262" spans="1:71" x14ac:dyDescent="0.25">
      <c r="A262">
        <v>259</v>
      </c>
      <c r="B262" s="1">
        <v>6.2416029055413899E-6</v>
      </c>
      <c r="C262">
        <v>0.132927119714948</v>
      </c>
      <c r="D262">
        <v>-4.9246146589848497E-4</v>
      </c>
      <c r="E262">
        <v>6.1312499999999995E-4</v>
      </c>
      <c r="F262">
        <v>-1.32927119714949E-3</v>
      </c>
      <c r="G262" s="1">
        <v>1.0842021724855E-19</v>
      </c>
      <c r="H262" t="s">
        <v>74</v>
      </c>
      <c r="I262">
        <v>0</v>
      </c>
      <c r="J262" t="s">
        <v>75</v>
      </c>
      <c r="K262">
        <v>3.14159265358979</v>
      </c>
      <c r="L262">
        <v>0.55950582122219095</v>
      </c>
      <c r="M262">
        <v>0</v>
      </c>
      <c r="N262">
        <v>3.2851421655006999E-2</v>
      </c>
      <c r="O262">
        <v>0</v>
      </c>
      <c r="P262">
        <v>1.6E-2</v>
      </c>
      <c r="Q262">
        <v>0</v>
      </c>
      <c r="R262">
        <v>0</v>
      </c>
      <c r="S262">
        <v>0</v>
      </c>
      <c r="T262">
        <v>0</v>
      </c>
      <c r="U262">
        <v>0.56401796493231104</v>
      </c>
      <c r="V262" t="s">
        <v>78</v>
      </c>
      <c r="W262">
        <v>3891888.4854185302</v>
      </c>
      <c r="X262" t="s">
        <v>76</v>
      </c>
      <c r="Y262">
        <v>-1.5707963267949001</v>
      </c>
      <c r="Z262">
        <v>0.558856901902263</v>
      </c>
      <c r="AA262">
        <v>0</v>
      </c>
      <c r="AB262">
        <v>3.2438597023740898E-2</v>
      </c>
      <c r="AC262">
        <v>0</v>
      </c>
      <c r="AD262">
        <v>5.38511968163705E-4</v>
      </c>
      <c r="AE262">
        <v>1.7435387873479199E-2</v>
      </c>
      <c r="AF262">
        <v>0</v>
      </c>
      <c r="AG262">
        <v>7.27833922614263E-2</v>
      </c>
      <c r="AH262">
        <v>0.57978704249278101</v>
      </c>
      <c r="AI262">
        <v>0.25734448986488301</v>
      </c>
      <c r="AJ262" t="s">
        <v>74</v>
      </c>
      <c r="AK262">
        <v>0</v>
      </c>
      <c r="AL262" t="s">
        <v>77</v>
      </c>
      <c r="AM262">
        <v>0</v>
      </c>
      <c r="AN262">
        <v>0.99199999999999999</v>
      </c>
      <c r="AO262">
        <v>0</v>
      </c>
      <c r="AP262">
        <v>5.8245346242475203E-2</v>
      </c>
      <c r="AQ262">
        <v>0</v>
      </c>
      <c r="AR262">
        <v>1.6E-2</v>
      </c>
      <c r="AS262">
        <v>0</v>
      </c>
      <c r="AT262">
        <v>0</v>
      </c>
      <c r="AU262">
        <v>0</v>
      </c>
      <c r="AV262">
        <v>0</v>
      </c>
      <c r="AW262">
        <v>1</v>
      </c>
      <c r="AX262" t="s">
        <v>74</v>
      </c>
      <c r="AY262">
        <v>0</v>
      </c>
      <c r="AZ262" t="s">
        <v>76</v>
      </c>
      <c r="BA262">
        <v>-1.5707963267949001</v>
      </c>
      <c r="BB262">
        <v>0.99199999999999999</v>
      </c>
      <c r="BC262">
        <v>0</v>
      </c>
      <c r="BD262">
        <v>5.8245346242475203E-2</v>
      </c>
      <c r="BE262">
        <v>0</v>
      </c>
      <c r="BF262">
        <v>1.6E-2</v>
      </c>
      <c r="BG262">
        <v>0</v>
      </c>
      <c r="BH262">
        <v>0</v>
      </c>
      <c r="BI262">
        <v>0</v>
      </c>
      <c r="BJ262">
        <v>0</v>
      </c>
      <c r="BK262">
        <v>1</v>
      </c>
      <c r="BL262" s="1">
        <v>9.08903555818491E-5</v>
      </c>
      <c r="BM262">
        <v>3.26285217377104E-4</v>
      </c>
      <c r="BN262" s="1">
        <v>3.38170122076631E-7</v>
      </c>
      <c r="BO262" s="1">
        <v>5.1252762094342902E-6</v>
      </c>
      <c r="BP262">
        <v>0</v>
      </c>
      <c r="BQ262">
        <v>0</v>
      </c>
      <c r="BR262" s="1">
        <v>5.0532742768833002E-5</v>
      </c>
      <c r="BS262">
        <v>1.8691696172265E-4</v>
      </c>
    </row>
    <row r="263" spans="1:71" x14ac:dyDescent="0.25">
      <c r="A263">
        <v>260</v>
      </c>
      <c r="B263" s="1">
        <v>6.6723149440438903E-6</v>
      </c>
      <c r="C263">
        <v>0.132933792029892</v>
      </c>
      <c r="D263">
        <v>-4.9249130494243302E-4</v>
      </c>
      <c r="E263">
        <v>6.1312499999999995E-4</v>
      </c>
      <c r="F263">
        <v>-1.32933792029893E-3</v>
      </c>
      <c r="G263" s="1">
        <v>1.0842021724855E-19</v>
      </c>
      <c r="H263" t="s">
        <v>74</v>
      </c>
      <c r="I263">
        <v>0</v>
      </c>
      <c r="J263" t="s">
        <v>75</v>
      </c>
      <c r="K263">
        <v>3.14159265358979</v>
      </c>
      <c r="L263">
        <v>0.55790521438107599</v>
      </c>
      <c r="M263">
        <v>0</v>
      </c>
      <c r="N263">
        <v>3.2757441917447699E-2</v>
      </c>
      <c r="O263">
        <v>0</v>
      </c>
      <c r="P263">
        <v>1.6E-2</v>
      </c>
      <c r="Q263">
        <v>0</v>
      </c>
      <c r="R263">
        <v>0</v>
      </c>
      <c r="S263">
        <v>0</v>
      </c>
      <c r="T263">
        <v>0</v>
      </c>
      <c r="U263">
        <v>0.56240444997156303</v>
      </c>
      <c r="V263" t="s">
        <v>78</v>
      </c>
      <c r="W263">
        <v>3892145.9818841298</v>
      </c>
      <c r="X263" t="s">
        <v>76</v>
      </c>
      <c r="Y263">
        <v>-1.5707963267949001</v>
      </c>
      <c r="Z263">
        <v>0.55725609275246502</v>
      </c>
      <c r="AA263">
        <v>0</v>
      </c>
      <c r="AB263">
        <v>3.2344488583044603E-2</v>
      </c>
      <c r="AC263">
        <v>0</v>
      </c>
      <c r="AD263">
        <v>4.8306690223763799E-4</v>
      </c>
      <c r="AE263">
        <v>1.7492617590119101E-2</v>
      </c>
      <c r="AF263">
        <v>0</v>
      </c>
      <c r="AG263">
        <v>6.7341880462126205E-2</v>
      </c>
      <c r="AH263">
        <v>0.58764363582017998</v>
      </c>
      <c r="AI263">
        <v>0.25516645363854101</v>
      </c>
      <c r="AJ263" t="s">
        <v>74</v>
      </c>
      <c r="AK263">
        <v>0</v>
      </c>
      <c r="AL263" t="s">
        <v>77</v>
      </c>
      <c r="AM263">
        <v>0</v>
      </c>
      <c r="AN263">
        <v>0.99199999999999999</v>
      </c>
      <c r="AO263">
        <v>0</v>
      </c>
      <c r="AP263">
        <v>5.8245346242475203E-2</v>
      </c>
      <c r="AQ263">
        <v>0</v>
      </c>
      <c r="AR263">
        <v>1.6E-2</v>
      </c>
      <c r="AS263">
        <v>0</v>
      </c>
      <c r="AT263">
        <v>0</v>
      </c>
      <c r="AU263">
        <v>0</v>
      </c>
      <c r="AV263">
        <v>0</v>
      </c>
      <c r="AW263">
        <v>1</v>
      </c>
      <c r="AX263" t="s">
        <v>74</v>
      </c>
      <c r="AY263">
        <v>0</v>
      </c>
      <c r="AZ263" t="s">
        <v>76</v>
      </c>
      <c r="BA263">
        <v>-1.5707963267949001</v>
      </c>
      <c r="BB263">
        <v>0.99199999999999999</v>
      </c>
      <c r="BC263">
        <v>0</v>
      </c>
      <c r="BD263">
        <v>5.8245346242475203E-2</v>
      </c>
      <c r="BE263">
        <v>0</v>
      </c>
      <c r="BF263">
        <v>1.6E-2</v>
      </c>
      <c r="BG263">
        <v>0</v>
      </c>
      <c r="BH263">
        <v>0</v>
      </c>
      <c r="BI263">
        <v>0</v>
      </c>
      <c r="BJ263">
        <v>0</v>
      </c>
      <c r="BK263">
        <v>1</v>
      </c>
      <c r="BL263" s="1">
        <v>9.0796311492721403E-5</v>
      </c>
      <c r="BM263">
        <v>3.2749275814115302E-4</v>
      </c>
      <c r="BN263" s="1">
        <v>3.3781875410603298E-7</v>
      </c>
      <c r="BO263" s="1">
        <v>5.1442442154005303E-6</v>
      </c>
      <c r="BP263">
        <v>0</v>
      </c>
      <c r="BQ263">
        <v>0</v>
      </c>
      <c r="BR263" s="1">
        <v>5.0473188755105299E-5</v>
      </c>
      <c r="BS263">
        <v>1.8760991572005199E-4</v>
      </c>
    </row>
    <row r="264" spans="1:71" x14ac:dyDescent="0.25">
      <c r="A264">
        <v>261</v>
      </c>
      <c r="B264" s="1">
        <v>7.18679229936605E-6</v>
      </c>
      <c r="C264">
        <v>0.132940978822192</v>
      </c>
      <c r="D264">
        <v>-4.9252344369169496E-4</v>
      </c>
      <c r="E264">
        <v>6.1312499999999995E-4</v>
      </c>
      <c r="F264">
        <v>-1.32940978822192E-3</v>
      </c>
      <c r="G264" s="1">
        <v>2.1684043449710098E-19</v>
      </c>
      <c r="H264" t="s">
        <v>74</v>
      </c>
      <c r="I264">
        <v>0</v>
      </c>
      <c r="J264" t="s">
        <v>75</v>
      </c>
      <c r="K264">
        <v>3.14159265358979</v>
      </c>
      <c r="L264">
        <v>0.55631364271904005</v>
      </c>
      <c r="M264">
        <v>0</v>
      </c>
      <c r="N264">
        <v>3.2663992681031401E-2</v>
      </c>
      <c r="O264">
        <v>0</v>
      </c>
      <c r="P264">
        <v>1.6E-2</v>
      </c>
      <c r="Q264">
        <v>0</v>
      </c>
      <c r="R264">
        <v>0</v>
      </c>
      <c r="S264">
        <v>0</v>
      </c>
      <c r="T264">
        <v>0</v>
      </c>
      <c r="U264">
        <v>0.560800043054273</v>
      </c>
      <c r="V264" t="s">
        <v>78</v>
      </c>
      <c r="W264">
        <v>3892423.3236903199</v>
      </c>
      <c r="X264" t="s">
        <v>76</v>
      </c>
      <c r="Y264">
        <v>-1.5707963267949001</v>
      </c>
      <c r="Z264">
        <v>0.55566416111025996</v>
      </c>
      <c r="AA264">
        <v>0</v>
      </c>
      <c r="AB264">
        <v>3.2250810337236598E-2</v>
      </c>
      <c r="AC264">
        <v>0</v>
      </c>
      <c r="AD264">
        <v>4.2814994874998998E-4</v>
      </c>
      <c r="AE264">
        <v>1.7549429860847301E-2</v>
      </c>
      <c r="AF264">
        <v>0</v>
      </c>
      <c r="AG264">
        <v>6.16903773522137E-2</v>
      </c>
      <c r="AH264">
        <v>0.59569658769495903</v>
      </c>
      <c r="AI264">
        <v>0.25300648758834599</v>
      </c>
      <c r="AJ264" t="s">
        <v>74</v>
      </c>
      <c r="AK264">
        <v>0</v>
      </c>
      <c r="AL264" t="s">
        <v>77</v>
      </c>
      <c r="AM264">
        <v>0</v>
      </c>
      <c r="AN264">
        <v>0.99199999999999999</v>
      </c>
      <c r="AO264">
        <v>0</v>
      </c>
      <c r="AP264">
        <v>5.8245346242475203E-2</v>
      </c>
      <c r="AQ264">
        <v>0</v>
      </c>
      <c r="AR264">
        <v>1.6E-2</v>
      </c>
      <c r="AS264">
        <v>0</v>
      </c>
      <c r="AT264">
        <v>0</v>
      </c>
      <c r="AU264">
        <v>0</v>
      </c>
      <c r="AV264">
        <v>0</v>
      </c>
      <c r="AW264">
        <v>1</v>
      </c>
      <c r="AX264" t="s">
        <v>74</v>
      </c>
      <c r="AY264">
        <v>0</v>
      </c>
      <c r="AZ264" t="s">
        <v>76</v>
      </c>
      <c r="BA264">
        <v>-1.5707963267949001</v>
      </c>
      <c r="BB264">
        <v>0.99199999999999999</v>
      </c>
      <c r="BC264">
        <v>0</v>
      </c>
      <c r="BD264">
        <v>5.8245346242475203E-2</v>
      </c>
      <c r="BE264">
        <v>0</v>
      </c>
      <c r="BF264">
        <v>1.6E-2</v>
      </c>
      <c r="BG264">
        <v>0</v>
      </c>
      <c r="BH264">
        <v>0</v>
      </c>
      <c r="BI264">
        <v>0</v>
      </c>
      <c r="BJ264">
        <v>0</v>
      </c>
      <c r="BK264">
        <v>1</v>
      </c>
      <c r="BL264" s="1">
        <v>9.0702747751609194E-5</v>
      </c>
      <c r="BM264">
        <v>3.2869348252358599E-4</v>
      </c>
      <c r="BN264" s="1">
        <v>3.3746891490608999E-7</v>
      </c>
      <c r="BO264" s="1">
        <v>5.1631051498947197E-6</v>
      </c>
      <c r="BP264">
        <v>0</v>
      </c>
      <c r="BQ264">
        <v>0</v>
      </c>
      <c r="BR264" s="1">
        <v>5.0413964218813903E-5</v>
      </c>
      <c r="BS264">
        <v>1.88299066319414E-4</v>
      </c>
    </row>
    <row r="265" spans="1:71" x14ac:dyDescent="0.25">
      <c r="A265">
        <v>262</v>
      </c>
      <c r="B265" s="1">
        <v>7.8124778684394796E-6</v>
      </c>
      <c r="C265">
        <v>0.13294879130005999</v>
      </c>
      <c r="D265">
        <v>-4.9255837920039595E-4</v>
      </c>
      <c r="E265">
        <v>6.1312499999999995E-4</v>
      </c>
      <c r="F265">
        <v>-1.3294879130005999E-3</v>
      </c>
      <c r="G265" s="1">
        <v>2.1684043449710098E-19</v>
      </c>
      <c r="H265" t="s">
        <v>74</v>
      </c>
      <c r="I265">
        <v>0</v>
      </c>
      <c r="J265" t="s">
        <v>75</v>
      </c>
      <c r="K265">
        <v>3.14159265358979</v>
      </c>
      <c r="L265">
        <v>0.55473311495451605</v>
      </c>
      <c r="M265">
        <v>0</v>
      </c>
      <c r="N265">
        <v>3.2571191887794997E-2</v>
      </c>
      <c r="O265">
        <v>0</v>
      </c>
      <c r="P265">
        <v>1.6E-2</v>
      </c>
      <c r="Q265">
        <v>0</v>
      </c>
      <c r="R265">
        <v>0</v>
      </c>
      <c r="S265">
        <v>0</v>
      </c>
      <c r="T265">
        <v>0</v>
      </c>
      <c r="U265">
        <v>0.55920676909822897</v>
      </c>
      <c r="V265" t="s">
        <v>78</v>
      </c>
      <c r="W265">
        <v>3892724.8001729501</v>
      </c>
      <c r="X265" t="s">
        <v>76</v>
      </c>
      <c r="Y265">
        <v>-1.5707963267949001</v>
      </c>
      <c r="Z265">
        <v>0.55408308030598197</v>
      </c>
      <c r="AA265">
        <v>0</v>
      </c>
      <c r="AB265">
        <v>3.2157657715419299E-2</v>
      </c>
      <c r="AC265">
        <v>0</v>
      </c>
      <c r="AD265">
        <v>3.7385849795388702E-4</v>
      </c>
      <c r="AE265">
        <v>1.7605749985642599E-2</v>
      </c>
      <c r="AF265">
        <v>0</v>
      </c>
      <c r="AG265">
        <v>5.5813565284434902E-2</v>
      </c>
      <c r="AH265">
        <v>0.60395818490216002</v>
      </c>
      <c r="AI265">
        <v>0.250867219503287</v>
      </c>
      <c r="AJ265" t="s">
        <v>74</v>
      </c>
      <c r="AK265">
        <v>0</v>
      </c>
      <c r="AL265" t="s">
        <v>77</v>
      </c>
      <c r="AM265">
        <v>0</v>
      </c>
      <c r="AN265">
        <v>0.99199999999999999</v>
      </c>
      <c r="AO265">
        <v>0</v>
      </c>
      <c r="AP265">
        <v>5.8245346242475203E-2</v>
      </c>
      <c r="AQ265">
        <v>0</v>
      </c>
      <c r="AR265">
        <v>1.6E-2</v>
      </c>
      <c r="AS265">
        <v>0</v>
      </c>
      <c r="AT265">
        <v>0</v>
      </c>
      <c r="AU265">
        <v>0</v>
      </c>
      <c r="AV265">
        <v>0</v>
      </c>
      <c r="AW265">
        <v>1</v>
      </c>
      <c r="AX265" t="s">
        <v>74</v>
      </c>
      <c r="AY265">
        <v>0</v>
      </c>
      <c r="AZ265" t="s">
        <v>76</v>
      </c>
      <c r="BA265">
        <v>-1.5707963267949001</v>
      </c>
      <c r="BB265">
        <v>0.99199999999999999</v>
      </c>
      <c r="BC265">
        <v>0</v>
      </c>
      <c r="BD265">
        <v>5.8245346242475203E-2</v>
      </c>
      <c r="BE265">
        <v>0</v>
      </c>
      <c r="BF265">
        <v>1.6E-2</v>
      </c>
      <c r="BG265">
        <v>0</v>
      </c>
      <c r="BH265">
        <v>0</v>
      </c>
      <c r="BI265">
        <v>0</v>
      </c>
      <c r="BJ265">
        <v>0</v>
      </c>
      <c r="BK265">
        <v>1</v>
      </c>
      <c r="BL265" s="1">
        <v>9.06097710440823E-5</v>
      </c>
      <c r="BM265">
        <v>3.2988587509329701E-4</v>
      </c>
      <c r="BN265" s="1">
        <v>3.3712094339909701E-7</v>
      </c>
      <c r="BO265" s="1">
        <v>5.1818352085807198E-6</v>
      </c>
      <c r="BP265">
        <v>0</v>
      </c>
      <c r="BQ265">
        <v>0</v>
      </c>
      <c r="BR265" s="1">
        <v>5.0355142364931802E-5</v>
      </c>
      <c r="BS265">
        <v>1.88983566407614E-4</v>
      </c>
    </row>
    <row r="266" spans="1:71" x14ac:dyDescent="0.25">
      <c r="A266">
        <v>263</v>
      </c>
      <c r="B266" s="1">
        <v>8.5902848736222001E-6</v>
      </c>
      <c r="C266">
        <v>0.132957381584934</v>
      </c>
      <c r="D266">
        <v>-4.9259679137309605E-4</v>
      </c>
      <c r="E266">
        <v>6.1312499999999995E-4</v>
      </c>
      <c r="F266">
        <v>-1.32957381584934E-3</v>
      </c>
      <c r="G266" s="1">
        <v>2.1684043449710098E-19</v>
      </c>
      <c r="H266" t="s">
        <v>74</v>
      </c>
      <c r="I266">
        <v>0</v>
      </c>
      <c r="J266" t="s">
        <v>75</v>
      </c>
      <c r="K266">
        <v>3.14159265358979</v>
      </c>
      <c r="L266">
        <v>0.55316636166203603</v>
      </c>
      <c r="M266">
        <v>0</v>
      </c>
      <c r="N266">
        <v>3.2479199863604397E-2</v>
      </c>
      <c r="O266">
        <v>0</v>
      </c>
      <c r="P266">
        <v>1.6E-2</v>
      </c>
      <c r="Q266">
        <v>0</v>
      </c>
      <c r="R266">
        <v>0</v>
      </c>
      <c r="S266">
        <v>0</v>
      </c>
      <c r="T266">
        <v>0</v>
      </c>
      <c r="U266">
        <v>0.55762738069873397</v>
      </c>
      <c r="V266" t="s">
        <v>78</v>
      </c>
      <c r="W266">
        <v>3893056.2785783401</v>
      </c>
      <c r="X266" t="s">
        <v>76</v>
      </c>
      <c r="Y266">
        <v>-1.5707963267949001</v>
      </c>
      <c r="Z266">
        <v>0.55251553242172902</v>
      </c>
      <c r="AA266">
        <v>0</v>
      </c>
      <c r="AB266">
        <v>3.2065160193911001E-2</v>
      </c>
      <c r="AC266">
        <v>0</v>
      </c>
      <c r="AD266">
        <v>3.2032531030127301E-4</v>
      </c>
      <c r="AE266">
        <v>1.76614754195129E-2</v>
      </c>
      <c r="AF266">
        <v>0</v>
      </c>
      <c r="AG266">
        <v>4.9695183666274401E-2</v>
      </c>
      <c r="AH266">
        <v>0.61244056799686197</v>
      </c>
      <c r="AI266">
        <v>0.24875221574311901</v>
      </c>
      <c r="AJ266" t="s">
        <v>74</v>
      </c>
      <c r="AK266">
        <v>0</v>
      </c>
      <c r="AL266" t="s">
        <v>77</v>
      </c>
      <c r="AM266">
        <v>0</v>
      </c>
      <c r="AN266">
        <v>0.99199999999999999</v>
      </c>
      <c r="AO266">
        <v>0</v>
      </c>
      <c r="AP266">
        <v>5.8245346242475203E-2</v>
      </c>
      <c r="AQ266">
        <v>0</v>
      </c>
      <c r="AR266">
        <v>1.6E-2</v>
      </c>
      <c r="AS266">
        <v>0</v>
      </c>
      <c r="AT266">
        <v>0</v>
      </c>
      <c r="AU266">
        <v>0</v>
      </c>
      <c r="AV266">
        <v>0</v>
      </c>
      <c r="AW266">
        <v>1</v>
      </c>
      <c r="AX266" t="s">
        <v>74</v>
      </c>
      <c r="AY266">
        <v>0</v>
      </c>
      <c r="AZ266" t="s">
        <v>76</v>
      </c>
      <c r="BA266">
        <v>-1.5707963267949001</v>
      </c>
      <c r="BB266">
        <v>0.99199999999999999</v>
      </c>
      <c r="BC266">
        <v>0</v>
      </c>
      <c r="BD266">
        <v>5.8245346242475203E-2</v>
      </c>
      <c r="BE266">
        <v>0</v>
      </c>
      <c r="BF266">
        <v>1.6E-2</v>
      </c>
      <c r="BG266">
        <v>0</v>
      </c>
      <c r="BH266">
        <v>0</v>
      </c>
      <c r="BI266">
        <v>0</v>
      </c>
      <c r="BJ266">
        <v>0</v>
      </c>
      <c r="BK266">
        <v>1</v>
      </c>
      <c r="BL266" s="1">
        <v>9.0517526271232906E-5</v>
      </c>
      <c r="BM266">
        <v>3.3106787583156802E-4</v>
      </c>
      <c r="BN266" s="1">
        <v>3.36775299194489E-7</v>
      </c>
      <c r="BO266" s="1">
        <v>5.2004020327601697E-6</v>
      </c>
      <c r="BP266">
        <v>0</v>
      </c>
      <c r="BQ266">
        <v>0</v>
      </c>
      <c r="BR266" s="1">
        <v>5.0296822685328201E-5</v>
      </c>
      <c r="BS266">
        <v>1.8966226456053299E-4</v>
      </c>
    </row>
    <row r="267" spans="1:71" x14ac:dyDescent="0.25">
      <c r="A267">
        <v>264</v>
      </c>
      <c r="B267" s="1">
        <v>9.5839463045215505E-6</v>
      </c>
      <c r="C267">
        <v>0.13296696553123799</v>
      </c>
      <c r="D267">
        <v>-4.9263964494476004E-4</v>
      </c>
      <c r="E267">
        <v>6.1312499999999995E-4</v>
      </c>
      <c r="F267">
        <v>-1.32966965531238E-3</v>
      </c>
      <c r="G267" s="1">
        <v>1.0842021724855E-19</v>
      </c>
      <c r="H267" t="s">
        <v>74</v>
      </c>
      <c r="I267">
        <v>0</v>
      </c>
      <c r="J267" t="s">
        <v>75</v>
      </c>
      <c r="K267">
        <v>3.14159265358979</v>
      </c>
      <c r="L267">
        <v>0.55161721030362099</v>
      </c>
      <c r="M267">
        <v>0</v>
      </c>
      <c r="N267">
        <v>3.2388241338147897E-2</v>
      </c>
      <c r="O267">
        <v>0</v>
      </c>
      <c r="P267">
        <v>1.6E-2</v>
      </c>
      <c r="Q267">
        <v>0</v>
      </c>
      <c r="R267">
        <v>0</v>
      </c>
      <c r="S267">
        <v>0</v>
      </c>
      <c r="T267">
        <v>0</v>
      </c>
      <c r="U267">
        <v>0.55606573618446098</v>
      </c>
      <c r="V267" t="s">
        <v>78</v>
      </c>
      <c r="W267">
        <v>3893426.0841009598</v>
      </c>
      <c r="X267" t="s">
        <v>76</v>
      </c>
      <c r="Y267">
        <v>-1.5707963267949001</v>
      </c>
      <c r="Z267">
        <v>0.55096527601387602</v>
      </c>
      <c r="AA267">
        <v>0</v>
      </c>
      <c r="AB267">
        <v>3.1973498666524797E-2</v>
      </c>
      <c r="AC267">
        <v>0</v>
      </c>
      <c r="AD267">
        <v>2.6773747057616499E-4</v>
      </c>
      <c r="AE267">
        <v>1.7716460505047198E-2</v>
      </c>
      <c r="AF267">
        <v>0</v>
      </c>
      <c r="AG267">
        <v>4.3319064974111698E-2</v>
      </c>
      <c r="AH267">
        <v>0.62115412942251502</v>
      </c>
      <c r="AI267">
        <v>0.246666470273841</v>
      </c>
      <c r="AJ267" t="s">
        <v>74</v>
      </c>
      <c r="AK267">
        <v>0</v>
      </c>
      <c r="AL267" t="s">
        <v>77</v>
      </c>
      <c r="AM267">
        <v>0</v>
      </c>
      <c r="AN267">
        <v>0.99199999999999999</v>
      </c>
      <c r="AO267">
        <v>0</v>
      </c>
      <c r="AP267">
        <v>5.8245346242475203E-2</v>
      </c>
      <c r="AQ267">
        <v>0</v>
      </c>
      <c r="AR267">
        <v>1.6E-2</v>
      </c>
      <c r="AS267">
        <v>0</v>
      </c>
      <c r="AT267">
        <v>0</v>
      </c>
      <c r="AU267">
        <v>0</v>
      </c>
      <c r="AV267">
        <v>0</v>
      </c>
      <c r="AW267">
        <v>1</v>
      </c>
      <c r="AX267" t="s">
        <v>74</v>
      </c>
      <c r="AY267">
        <v>0</v>
      </c>
      <c r="AZ267" t="s">
        <v>76</v>
      </c>
      <c r="BA267">
        <v>-1.5707963267949001</v>
      </c>
      <c r="BB267">
        <v>0.99199999999999999</v>
      </c>
      <c r="BC267">
        <v>0</v>
      </c>
      <c r="BD267">
        <v>5.8245346242475203E-2</v>
      </c>
      <c r="BE267">
        <v>0</v>
      </c>
      <c r="BF267">
        <v>1.6E-2</v>
      </c>
      <c r="BG267">
        <v>0</v>
      </c>
      <c r="BH267">
        <v>0</v>
      </c>
      <c r="BI267">
        <v>0</v>
      </c>
      <c r="BJ267">
        <v>0</v>
      </c>
      <c r="BK267">
        <v>1</v>
      </c>
      <c r="BL267" s="1">
        <v>9.0426216244811504E-5</v>
      </c>
      <c r="BM267">
        <v>3.3223659719831301E-4</v>
      </c>
      <c r="BN267" s="1">
        <v>3.3643262385696302E-7</v>
      </c>
      <c r="BO267" s="1">
        <v>5.2187602650594601E-6</v>
      </c>
      <c r="BP267">
        <v>0</v>
      </c>
      <c r="BQ267">
        <v>0</v>
      </c>
      <c r="BR267" s="1">
        <v>5.0239144592839598E-5</v>
      </c>
      <c r="BS267">
        <v>1.9033354721509899E-4</v>
      </c>
    </row>
    <row r="268" spans="1:71" x14ac:dyDescent="0.25">
      <c r="A268">
        <v>265</v>
      </c>
      <c r="B268" s="1">
        <v>1.08982926056624E-5</v>
      </c>
      <c r="C268">
        <v>0.13297786382384399</v>
      </c>
      <c r="D268">
        <v>-4.9268837313754801E-4</v>
      </c>
      <c r="E268">
        <v>6.1312499999999995E-4</v>
      </c>
      <c r="F268">
        <v>-1.32977863823844E-3</v>
      </c>
      <c r="G268" s="1">
        <v>2.1684043449710098E-19</v>
      </c>
      <c r="H268" t="s">
        <v>74</v>
      </c>
      <c r="I268">
        <v>0</v>
      </c>
      <c r="J268" t="s">
        <v>75</v>
      </c>
      <c r="K268">
        <v>3.14159265358979</v>
      </c>
      <c r="L268">
        <v>0.55009122401459898</v>
      </c>
      <c r="M268">
        <v>0</v>
      </c>
      <c r="N268">
        <v>3.22986429512876E-2</v>
      </c>
      <c r="O268">
        <v>0</v>
      </c>
      <c r="P268">
        <v>1.6E-2</v>
      </c>
      <c r="Q268">
        <v>0</v>
      </c>
      <c r="R268">
        <v>0</v>
      </c>
      <c r="S268">
        <v>0</v>
      </c>
      <c r="T268">
        <v>0</v>
      </c>
      <c r="U268">
        <v>0.55452744355475703</v>
      </c>
      <c r="V268" t="s">
        <v>78</v>
      </c>
      <c r="W268">
        <v>3893846.5847523799</v>
      </c>
      <c r="X268" t="s">
        <v>76</v>
      </c>
      <c r="Y268">
        <v>-1.5707963267949001</v>
      </c>
      <c r="Z268">
        <v>0.54943777176214104</v>
      </c>
      <c r="AA268">
        <v>0</v>
      </c>
      <c r="AB268">
        <v>3.1882934593690099E-2</v>
      </c>
      <c r="AC268">
        <v>0</v>
      </c>
      <c r="AD268">
        <v>2.1636942838897599E-4</v>
      </c>
      <c r="AE268">
        <v>1.77704896195084E-2</v>
      </c>
      <c r="AF268">
        <v>0</v>
      </c>
      <c r="AG268">
        <v>3.6671834188531802E-2</v>
      </c>
      <c r="AH268">
        <v>0.630103850241303</v>
      </c>
      <c r="AI268">
        <v>0.24461723836292401</v>
      </c>
      <c r="AJ268" t="s">
        <v>74</v>
      </c>
      <c r="AK268">
        <v>0</v>
      </c>
      <c r="AL268" t="s">
        <v>77</v>
      </c>
      <c r="AM268">
        <v>0</v>
      </c>
      <c r="AN268">
        <v>0.99199999999999999</v>
      </c>
      <c r="AO268">
        <v>0</v>
      </c>
      <c r="AP268">
        <v>5.8245346242475203E-2</v>
      </c>
      <c r="AQ268">
        <v>0</v>
      </c>
      <c r="AR268">
        <v>1.6E-2</v>
      </c>
      <c r="AS268">
        <v>0</v>
      </c>
      <c r="AT268">
        <v>0</v>
      </c>
      <c r="AU268">
        <v>0</v>
      </c>
      <c r="AV268">
        <v>0</v>
      </c>
      <c r="AW268">
        <v>1</v>
      </c>
      <c r="AX268" t="s">
        <v>74</v>
      </c>
      <c r="AY268">
        <v>0</v>
      </c>
      <c r="AZ268" t="s">
        <v>76</v>
      </c>
      <c r="BA268">
        <v>-1.5707963267949001</v>
      </c>
      <c r="BB268">
        <v>0.99199999999999999</v>
      </c>
      <c r="BC268">
        <v>0</v>
      </c>
      <c r="BD268">
        <v>5.8245346242475203E-2</v>
      </c>
      <c r="BE268">
        <v>0</v>
      </c>
      <c r="BF268">
        <v>1.6E-2</v>
      </c>
      <c r="BG268">
        <v>0</v>
      </c>
      <c r="BH268">
        <v>0</v>
      </c>
      <c r="BI268">
        <v>0</v>
      </c>
      <c r="BJ268">
        <v>0</v>
      </c>
      <c r="BK268">
        <v>1</v>
      </c>
      <c r="BL268" s="1">
        <v>9.0336135014964104E-5</v>
      </c>
      <c r="BM268">
        <v>3.3338784221491699E-4</v>
      </c>
      <c r="BN268" s="1">
        <v>3.3609384329517002E-7</v>
      </c>
      <c r="BO268" s="1">
        <v>5.2368439794926902E-6</v>
      </c>
      <c r="BP268">
        <v>0</v>
      </c>
      <c r="BQ268">
        <v>0</v>
      </c>
      <c r="BR268" s="1">
        <v>5.0182310613279897E-5</v>
      </c>
      <c r="BS268">
        <v>1.90995070249635E-4</v>
      </c>
    </row>
    <row r="269" spans="1:71" x14ac:dyDescent="0.25">
      <c r="A269">
        <v>266</v>
      </c>
      <c r="B269" s="1">
        <v>1.27180831153635E-5</v>
      </c>
      <c r="C269">
        <v>0.132990581906959</v>
      </c>
      <c r="D269">
        <v>-4.9274523483675405E-4</v>
      </c>
      <c r="E269">
        <v>6.1312499999999995E-4</v>
      </c>
      <c r="F269">
        <v>-1.3299058190696001E-3</v>
      </c>
      <c r="G269" s="1">
        <v>1.0842021724855E-19</v>
      </c>
      <c r="H269" t="s">
        <v>74</v>
      </c>
      <c r="I269">
        <v>0</v>
      </c>
      <c r="J269" t="s">
        <v>75</v>
      </c>
      <c r="K269">
        <v>3.14159265358979</v>
      </c>
      <c r="L269">
        <v>0.54859684011169096</v>
      </c>
      <c r="M269">
        <v>0</v>
      </c>
      <c r="N269">
        <v>3.2210900100638401E-2</v>
      </c>
      <c r="O269">
        <v>0</v>
      </c>
      <c r="P269">
        <v>1.6E-2</v>
      </c>
      <c r="Q269">
        <v>0</v>
      </c>
      <c r="R269">
        <v>0</v>
      </c>
      <c r="S269">
        <v>0</v>
      </c>
      <c r="T269">
        <v>0</v>
      </c>
      <c r="U269">
        <v>0.55302100816926403</v>
      </c>
      <c r="V269" t="s">
        <v>78</v>
      </c>
      <c r="W269">
        <v>3894337.2736162301</v>
      </c>
      <c r="X269" t="s">
        <v>76</v>
      </c>
      <c r="Y269">
        <v>-1.5707963267949001</v>
      </c>
      <c r="Z269">
        <v>0.54794129551751303</v>
      </c>
      <c r="AA269">
        <v>0</v>
      </c>
      <c r="AB269">
        <v>3.1793860652973599E-2</v>
      </c>
      <c r="AC269">
        <v>0</v>
      </c>
      <c r="AD269">
        <v>1.66644136872384E-4</v>
      </c>
      <c r="AE269">
        <v>1.7823226985952401E-2</v>
      </c>
      <c r="AF269">
        <v>0</v>
      </c>
      <c r="AG269">
        <v>2.9749769784336199E-2</v>
      </c>
      <c r="AH269">
        <v>0.63928072130200897</v>
      </c>
      <c r="AI269">
        <v>0.242615523787714</v>
      </c>
      <c r="AJ269" t="s">
        <v>74</v>
      </c>
      <c r="AK269">
        <v>0</v>
      </c>
      <c r="AL269" t="s">
        <v>77</v>
      </c>
      <c r="AM269">
        <v>0</v>
      </c>
      <c r="AN269">
        <v>0.99199999999999999</v>
      </c>
      <c r="AO269">
        <v>0</v>
      </c>
      <c r="AP269">
        <v>5.8245346242475203E-2</v>
      </c>
      <c r="AQ269">
        <v>0</v>
      </c>
      <c r="AR269">
        <v>1.6E-2</v>
      </c>
      <c r="AS269">
        <v>0</v>
      </c>
      <c r="AT269">
        <v>0</v>
      </c>
      <c r="AU269">
        <v>0</v>
      </c>
      <c r="AV269">
        <v>0</v>
      </c>
      <c r="AW269">
        <v>1</v>
      </c>
      <c r="AX269" t="s">
        <v>74</v>
      </c>
      <c r="AY269">
        <v>0</v>
      </c>
      <c r="AZ269" t="s">
        <v>76</v>
      </c>
      <c r="BA269">
        <v>-1.5707963267949001</v>
      </c>
      <c r="BB269">
        <v>0.99199999999999999</v>
      </c>
      <c r="BC269">
        <v>0</v>
      </c>
      <c r="BD269">
        <v>5.8245346242475203E-2</v>
      </c>
      <c r="BE269">
        <v>0</v>
      </c>
      <c r="BF269">
        <v>1.6E-2</v>
      </c>
      <c r="BG269">
        <v>0</v>
      </c>
      <c r="BH269">
        <v>0</v>
      </c>
      <c r="BI269">
        <v>0</v>
      </c>
      <c r="BJ269">
        <v>0</v>
      </c>
      <c r="BK269">
        <v>1</v>
      </c>
      <c r="BL269" s="1">
        <v>9.0247726619281201E-5</v>
      </c>
      <c r="BM269">
        <v>3.34515245543173E-4</v>
      </c>
      <c r="BN269" s="1">
        <v>3.35760344390257E-7</v>
      </c>
      <c r="BO269" s="1">
        <v>5.2545531895610797E-6</v>
      </c>
      <c r="BP269">
        <v>0</v>
      </c>
      <c r="BQ269">
        <v>0</v>
      </c>
      <c r="BR269" s="1">
        <v>5.0126627629662598E-5</v>
      </c>
      <c r="BS269">
        <v>1.91643281807419E-4</v>
      </c>
    </row>
    <row r="270" spans="1:71" x14ac:dyDescent="0.25">
      <c r="A270">
        <v>267</v>
      </c>
      <c r="B270" s="1">
        <v>1.53997786075264E-5</v>
      </c>
      <c r="C270">
        <v>0.13300598168556699</v>
      </c>
      <c r="D270">
        <v>-4.9281408183890301E-4</v>
      </c>
      <c r="E270">
        <v>6.1312499999999995E-4</v>
      </c>
      <c r="F270">
        <v>-1.3300598168556701E-3</v>
      </c>
      <c r="G270" s="1">
        <v>1.0842021724855E-19</v>
      </c>
      <c r="H270" t="s">
        <v>74</v>
      </c>
      <c r="I270">
        <v>0</v>
      </c>
      <c r="J270" t="s">
        <v>75</v>
      </c>
      <c r="K270">
        <v>3.14159265358979</v>
      </c>
      <c r="L270">
        <v>0.54714748026418103</v>
      </c>
      <c r="M270">
        <v>0</v>
      </c>
      <c r="N270">
        <v>3.2125800840408399E-2</v>
      </c>
      <c r="O270">
        <v>0</v>
      </c>
      <c r="P270">
        <v>1.6E-2</v>
      </c>
      <c r="Q270">
        <v>0</v>
      </c>
      <c r="R270">
        <v>0</v>
      </c>
      <c r="S270">
        <v>0</v>
      </c>
      <c r="T270">
        <v>0</v>
      </c>
      <c r="U270">
        <v>0.55155995993660001</v>
      </c>
      <c r="V270" t="s">
        <v>78</v>
      </c>
      <c r="W270">
        <v>3894931.3898269101</v>
      </c>
      <c r="X270" t="s">
        <v>76</v>
      </c>
      <c r="Y270">
        <v>-1.5707963267949001</v>
      </c>
      <c r="Z270">
        <v>0.54648899410421203</v>
      </c>
      <c r="AA270">
        <v>0</v>
      </c>
      <c r="AB270">
        <v>3.17068900497329E-2</v>
      </c>
      <c r="AC270">
        <v>0</v>
      </c>
      <c r="AD270">
        <v>1.1925433205377299E-4</v>
      </c>
      <c r="AE270">
        <v>1.78741160360932E-2</v>
      </c>
      <c r="AF270">
        <v>0</v>
      </c>
      <c r="AG270">
        <v>2.2576814908028101E-2</v>
      </c>
      <c r="AH270">
        <v>0.64864054812299199</v>
      </c>
      <c r="AI270">
        <v>0.240678837666677</v>
      </c>
      <c r="AJ270" t="s">
        <v>74</v>
      </c>
      <c r="AK270">
        <v>0</v>
      </c>
      <c r="AL270" t="s">
        <v>77</v>
      </c>
      <c r="AM270">
        <v>0</v>
      </c>
      <c r="AN270">
        <v>0.99199999999999999</v>
      </c>
      <c r="AO270">
        <v>0</v>
      </c>
      <c r="AP270">
        <v>5.8245346242475203E-2</v>
      </c>
      <c r="AQ270">
        <v>0</v>
      </c>
      <c r="AR270">
        <v>1.6E-2</v>
      </c>
      <c r="AS270">
        <v>0</v>
      </c>
      <c r="AT270">
        <v>0</v>
      </c>
      <c r="AU270">
        <v>0</v>
      </c>
      <c r="AV270">
        <v>0</v>
      </c>
      <c r="AW270">
        <v>1</v>
      </c>
      <c r="AX270" t="s">
        <v>74</v>
      </c>
      <c r="AY270">
        <v>0</v>
      </c>
      <c r="AZ270" t="s">
        <v>76</v>
      </c>
      <c r="BA270">
        <v>-1.5707963267949001</v>
      </c>
      <c r="BB270">
        <v>0.99199999999999999</v>
      </c>
      <c r="BC270">
        <v>0</v>
      </c>
      <c r="BD270">
        <v>5.8245346242475203E-2</v>
      </c>
      <c r="BE270">
        <v>0</v>
      </c>
      <c r="BF270">
        <v>1.6E-2</v>
      </c>
      <c r="BG270">
        <v>0</v>
      </c>
      <c r="BH270">
        <v>0</v>
      </c>
      <c r="BI270">
        <v>0</v>
      </c>
      <c r="BJ270">
        <v>0</v>
      </c>
      <c r="BK270">
        <v>1</v>
      </c>
      <c r="BL270" s="1">
        <v>9.0161691687545801E-5</v>
      </c>
      <c r="BM270">
        <v>3.3560868151550998E-4</v>
      </c>
      <c r="BN270" s="1">
        <v>3.3543428181390099E-7</v>
      </c>
      <c r="BO270" s="1">
        <v>5.2717288416504203E-6</v>
      </c>
      <c r="BP270">
        <v>0</v>
      </c>
      <c r="BQ270">
        <v>0</v>
      </c>
      <c r="BR270" s="1">
        <v>5.0072583008813302E-5</v>
      </c>
      <c r="BS270">
        <v>1.9227254222580999E-4</v>
      </c>
    </row>
    <row r="271" spans="1:71" x14ac:dyDescent="0.25">
      <c r="A271">
        <v>268</v>
      </c>
      <c r="B271" s="1">
        <v>1.9721375728964902E-5</v>
      </c>
      <c r="C271">
        <v>0.13302570306129599</v>
      </c>
      <c r="D271">
        <v>-4.9290224239536098E-4</v>
      </c>
      <c r="E271">
        <v>6.1312499999999995E-4</v>
      </c>
      <c r="F271">
        <v>-1.3302570306129599E-3</v>
      </c>
      <c r="G271" s="1">
        <v>1.0842021724855E-19</v>
      </c>
      <c r="H271" t="s">
        <v>74</v>
      </c>
      <c r="I271">
        <v>0</v>
      </c>
      <c r="J271" t="s">
        <v>75</v>
      </c>
      <c r="K271">
        <v>3.14159265358979</v>
      </c>
      <c r="L271">
        <v>0.54576543758364704</v>
      </c>
      <c r="M271">
        <v>0</v>
      </c>
      <c r="N271">
        <v>3.2044654112132601E-2</v>
      </c>
      <c r="O271">
        <v>0</v>
      </c>
      <c r="P271">
        <v>1.6E-2</v>
      </c>
      <c r="Q271">
        <v>0</v>
      </c>
      <c r="R271">
        <v>0</v>
      </c>
      <c r="S271">
        <v>0</v>
      </c>
      <c r="T271">
        <v>0</v>
      </c>
      <c r="U271">
        <v>0.55016677175159301</v>
      </c>
      <c r="V271" t="s">
        <v>78</v>
      </c>
      <c r="W271">
        <v>3895692.1726366002</v>
      </c>
      <c r="X271" t="s">
        <v>76</v>
      </c>
      <c r="Y271">
        <v>-1.5707963267949001</v>
      </c>
      <c r="Z271">
        <v>0.545102640288195</v>
      </c>
      <c r="AA271">
        <v>0</v>
      </c>
      <c r="AB271">
        <v>3.1623000695973201E-2</v>
      </c>
      <c r="AC271">
        <v>0</v>
      </c>
      <c r="AD271" s="1">
        <v>7.5422033705405204E-5</v>
      </c>
      <c r="AE271">
        <v>1.7922162095824999E-2</v>
      </c>
      <c r="AF271">
        <v>0</v>
      </c>
      <c r="AG271">
        <v>1.5255350596591E-2</v>
      </c>
      <c r="AH271">
        <v>0.65804731262375005</v>
      </c>
      <c r="AI271">
        <v>0.23883628354053399</v>
      </c>
      <c r="AJ271" t="s">
        <v>74</v>
      </c>
      <c r="AK271">
        <v>0</v>
      </c>
      <c r="AL271" t="s">
        <v>77</v>
      </c>
      <c r="AM271">
        <v>0</v>
      </c>
      <c r="AN271">
        <v>0.99199999999999999</v>
      </c>
      <c r="AO271">
        <v>0</v>
      </c>
      <c r="AP271">
        <v>5.8245346242475203E-2</v>
      </c>
      <c r="AQ271">
        <v>0</v>
      </c>
      <c r="AR271">
        <v>1.6E-2</v>
      </c>
      <c r="AS271">
        <v>0</v>
      </c>
      <c r="AT271">
        <v>0</v>
      </c>
      <c r="AU271">
        <v>0</v>
      </c>
      <c r="AV271">
        <v>0</v>
      </c>
      <c r="AW271">
        <v>1</v>
      </c>
      <c r="AX271" t="s">
        <v>74</v>
      </c>
      <c r="AY271">
        <v>0</v>
      </c>
      <c r="AZ271" t="s">
        <v>76</v>
      </c>
      <c r="BA271">
        <v>-1.5707963267949001</v>
      </c>
      <c r="BB271">
        <v>0.99199999999999999</v>
      </c>
      <c r="BC271">
        <v>0</v>
      </c>
      <c r="BD271">
        <v>5.8245346242475203E-2</v>
      </c>
      <c r="BE271">
        <v>0</v>
      </c>
      <c r="BF271">
        <v>1.6E-2</v>
      </c>
      <c r="BG271">
        <v>0</v>
      </c>
      <c r="BH271">
        <v>0</v>
      </c>
      <c r="BI271">
        <v>0</v>
      </c>
      <c r="BJ271">
        <v>0</v>
      </c>
      <c r="BK271">
        <v>1</v>
      </c>
      <c r="BL271" s="1">
        <v>9.0079173646528095E-5</v>
      </c>
      <c r="BM271">
        <v>3.3665133161016997E-4</v>
      </c>
      <c r="BN271" s="1">
        <v>3.3511905168901598E-7</v>
      </c>
      <c r="BO271" s="1">
        <v>5.2881067510386601E-6</v>
      </c>
      <c r="BP271">
        <v>0</v>
      </c>
      <c r="BQ271">
        <v>0</v>
      </c>
      <c r="BR271" s="1">
        <v>5.0020983421965097E-5</v>
      </c>
      <c r="BS271">
        <v>1.9287352240207601E-4</v>
      </c>
    </row>
    <row r="272" spans="1:71" x14ac:dyDescent="0.25">
      <c r="A272">
        <v>269</v>
      </c>
      <c r="B272" s="1">
        <v>2.7710601561878799E-5</v>
      </c>
      <c r="C272">
        <v>0.133053413662858</v>
      </c>
      <c r="D272">
        <v>-4.9302610500982704E-4</v>
      </c>
      <c r="E272">
        <v>6.1312499999999995E-4</v>
      </c>
      <c r="F272">
        <v>-1.3305341366285799E-3</v>
      </c>
      <c r="G272" s="1">
        <v>2.1684043449710098E-19</v>
      </c>
      <c r="H272" t="s">
        <v>74</v>
      </c>
      <c r="I272">
        <v>0</v>
      </c>
      <c r="J272" t="s">
        <v>75</v>
      </c>
      <c r="K272">
        <v>3.14159265358979</v>
      </c>
      <c r="L272">
        <v>0.54448703710662205</v>
      </c>
      <c r="M272">
        <v>0</v>
      </c>
      <c r="N272">
        <v>3.1969592742756701E-2</v>
      </c>
      <c r="O272">
        <v>0</v>
      </c>
      <c r="P272">
        <v>1.6E-2</v>
      </c>
      <c r="Q272">
        <v>0</v>
      </c>
      <c r="R272">
        <v>0</v>
      </c>
      <c r="S272">
        <v>0</v>
      </c>
      <c r="T272">
        <v>0</v>
      </c>
      <c r="U272">
        <v>0.54887806159470098</v>
      </c>
      <c r="V272" t="s">
        <v>78</v>
      </c>
      <c r="W272">
        <v>3896761.0468773502</v>
      </c>
      <c r="X272" t="s">
        <v>76</v>
      </c>
      <c r="Y272">
        <v>-1.5707963267949001</v>
      </c>
      <c r="Z272">
        <v>0.54381740868213602</v>
      </c>
      <c r="AA272">
        <v>0</v>
      </c>
      <c r="AB272">
        <v>3.1543593550724801E-2</v>
      </c>
      <c r="AC272">
        <v>0</v>
      </c>
      <c r="AD272" s="1">
        <v>3.7486647030337003E-5</v>
      </c>
      <c r="AE272">
        <v>1.79654439331061E-2</v>
      </c>
      <c r="AF272">
        <v>0</v>
      </c>
      <c r="AG272">
        <v>8.1235884940158293E-3</v>
      </c>
      <c r="AH272">
        <v>0.667107993995111</v>
      </c>
      <c r="AI272">
        <v>0.23713529498074101</v>
      </c>
      <c r="AJ272" t="s">
        <v>74</v>
      </c>
      <c r="AK272">
        <v>0</v>
      </c>
      <c r="AL272" t="s">
        <v>77</v>
      </c>
      <c r="AM272">
        <v>0</v>
      </c>
      <c r="AN272">
        <v>0.99199999999999999</v>
      </c>
      <c r="AO272">
        <v>0</v>
      </c>
      <c r="AP272">
        <v>5.8245346242475203E-2</v>
      </c>
      <c r="AQ272">
        <v>0</v>
      </c>
      <c r="AR272">
        <v>1.6E-2</v>
      </c>
      <c r="AS272">
        <v>0</v>
      </c>
      <c r="AT272">
        <v>0</v>
      </c>
      <c r="AU272">
        <v>0</v>
      </c>
      <c r="AV272">
        <v>0</v>
      </c>
      <c r="AW272">
        <v>1</v>
      </c>
      <c r="AX272" t="s">
        <v>74</v>
      </c>
      <c r="AY272">
        <v>0</v>
      </c>
      <c r="AZ272" t="s">
        <v>76</v>
      </c>
      <c r="BA272">
        <v>-1.5707963267949001</v>
      </c>
      <c r="BB272">
        <v>0.99199999999999999</v>
      </c>
      <c r="BC272">
        <v>0</v>
      </c>
      <c r="BD272">
        <v>5.8245346242475203E-2</v>
      </c>
      <c r="BE272">
        <v>0</v>
      </c>
      <c r="BF272">
        <v>1.6E-2</v>
      </c>
      <c r="BG272">
        <v>0</v>
      </c>
      <c r="BH272">
        <v>0</v>
      </c>
      <c r="BI272">
        <v>0</v>
      </c>
      <c r="BJ272">
        <v>0</v>
      </c>
      <c r="BK272">
        <v>1</v>
      </c>
      <c r="BL272" s="1">
        <v>9.0001939389215999E-5</v>
      </c>
      <c r="BM272">
        <v>3.3761579124456302E-4</v>
      </c>
      <c r="BN272" s="1">
        <v>3.3481932160094103E-7</v>
      </c>
      <c r="BO272" s="1">
        <v>5.3032564475491304E-6</v>
      </c>
      <c r="BP272">
        <v>0</v>
      </c>
      <c r="BQ272">
        <v>0</v>
      </c>
      <c r="BR272" s="1">
        <v>4.9973129930348399E-5</v>
      </c>
      <c r="BS272">
        <v>1.93431205760055E-4</v>
      </c>
    </row>
    <row r="273" spans="1:71" x14ac:dyDescent="0.25">
      <c r="A273">
        <v>270</v>
      </c>
      <c r="B273" s="1">
        <v>4.6327784727298399E-5</v>
      </c>
      <c r="C273">
        <v>0.13309974144758499</v>
      </c>
      <c r="D273">
        <v>-4.9323315520575595E-4</v>
      </c>
      <c r="E273">
        <v>6.1312499999999995E-4</v>
      </c>
      <c r="F273">
        <v>-1.3309974144758499E-3</v>
      </c>
      <c r="G273" s="1">
        <v>2.1684043449710098E-19</v>
      </c>
      <c r="H273" t="s">
        <v>74</v>
      </c>
      <c r="I273">
        <v>0</v>
      </c>
      <c r="J273" t="s">
        <v>75</v>
      </c>
      <c r="K273">
        <v>3.14159265358979</v>
      </c>
      <c r="L273">
        <v>0.54333853182626102</v>
      </c>
      <c r="M273">
        <v>0</v>
      </c>
      <c r="N273">
        <v>3.1902158178526901E-2</v>
      </c>
      <c r="O273">
        <v>0</v>
      </c>
      <c r="P273">
        <v>1.6E-2</v>
      </c>
      <c r="Q273">
        <v>0</v>
      </c>
      <c r="R273">
        <v>0</v>
      </c>
      <c r="S273">
        <v>0</v>
      </c>
      <c r="T273">
        <v>0</v>
      </c>
      <c r="U273">
        <v>0.54772029417643098</v>
      </c>
      <c r="V273" t="s">
        <v>78</v>
      </c>
      <c r="W273">
        <v>3898547.78956743</v>
      </c>
      <c r="X273" t="s">
        <v>76</v>
      </c>
      <c r="Y273">
        <v>-1.5707963267949001</v>
      </c>
      <c r="Z273">
        <v>0.54265630652973396</v>
      </c>
      <c r="AA273">
        <v>0</v>
      </c>
      <c r="AB273">
        <v>3.1468145204069299E-2</v>
      </c>
      <c r="AC273" s="1">
        <v>1.1581719618551799E-6</v>
      </c>
      <c r="AD273" s="1">
        <v>1.01088178020213E-5</v>
      </c>
      <c r="AE273">
        <v>1.80003055194915E-2</v>
      </c>
      <c r="AF273">
        <v>0</v>
      </c>
      <c r="AG273">
        <v>2.2601206534878099E-3</v>
      </c>
      <c r="AH273">
        <v>0.67470438825846502</v>
      </c>
      <c r="AI273">
        <v>0.23560972534183899</v>
      </c>
      <c r="AJ273" t="s">
        <v>74</v>
      </c>
      <c r="AK273">
        <v>0</v>
      </c>
      <c r="AL273" t="s">
        <v>77</v>
      </c>
      <c r="AM273">
        <v>0</v>
      </c>
      <c r="AN273">
        <v>0.99199999999999999</v>
      </c>
      <c r="AO273">
        <v>0</v>
      </c>
      <c r="AP273">
        <v>5.8245346242475203E-2</v>
      </c>
      <c r="AQ273">
        <v>0</v>
      </c>
      <c r="AR273">
        <v>1.6E-2</v>
      </c>
      <c r="AS273">
        <v>0</v>
      </c>
      <c r="AT273">
        <v>0</v>
      </c>
      <c r="AU273">
        <v>0</v>
      </c>
      <c r="AV273">
        <v>0</v>
      </c>
      <c r="AW273">
        <v>1</v>
      </c>
      <c r="AX273" t="s">
        <v>74</v>
      </c>
      <c r="AY273">
        <v>0</v>
      </c>
      <c r="AZ273" t="s">
        <v>76</v>
      </c>
      <c r="BA273">
        <v>-1.5707963267949001</v>
      </c>
      <c r="BB273">
        <v>0.99199999999999999</v>
      </c>
      <c r="BC273">
        <v>0</v>
      </c>
      <c r="BD273">
        <v>5.8245346242475203E-2</v>
      </c>
      <c r="BE273">
        <v>0</v>
      </c>
      <c r="BF273">
        <v>1.6E-2</v>
      </c>
      <c r="BG273">
        <v>0</v>
      </c>
      <c r="BH273">
        <v>0</v>
      </c>
      <c r="BI273">
        <v>0</v>
      </c>
      <c r="BJ273">
        <v>0</v>
      </c>
      <c r="BK273">
        <v>1</v>
      </c>
      <c r="BL273" s="1">
        <v>8.9931077019754307E-5</v>
      </c>
      <c r="BM273">
        <v>3.3848225445597601E-4</v>
      </c>
      <c r="BN273" s="1">
        <v>3.3454308948781698E-7</v>
      </c>
      <c r="BO273" s="1">
        <v>5.3168668198470303E-6</v>
      </c>
      <c r="BP273">
        <v>0</v>
      </c>
      <c r="BQ273">
        <v>0</v>
      </c>
      <c r="BR273" s="1">
        <v>4.9930188405753697E-5</v>
      </c>
      <c r="BS273">
        <v>1.9393622503941001E-4</v>
      </c>
    </row>
    <row r="274" spans="1:71" x14ac:dyDescent="0.25">
      <c r="A274">
        <v>271</v>
      </c>
      <c r="B274">
        <v>1.1404009894776999E-4</v>
      </c>
      <c r="C274">
        <v>0.13321378154653299</v>
      </c>
      <c r="D274">
        <v>-4.9374271022777701E-4</v>
      </c>
      <c r="E274">
        <v>6.1312499999999995E-4</v>
      </c>
      <c r="F274">
        <v>-1.33213781546533E-3</v>
      </c>
      <c r="G274" s="1">
        <v>1.0842021724855E-19</v>
      </c>
      <c r="H274" t="s">
        <v>74</v>
      </c>
      <c r="I274">
        <v>0</v>
      </c>
      <c r="J274" t="s">
        <v>75</v>
      </c>
      <c r="K274">
        <v>3.14159265358979</v>
      </c>
      <c r="L274">
        <v>0.54333853182626102</v>
      </c>
      <c r="M274">
        <v>0</v>
      </c>
      <c r="N274">
        <v>3.1902158178526901E-2</v>
      </c>
      <c r="O274">
        <v>0</v>
      </c>
      <c r="P274">
        <v>1.6E-2</v>
      </c>
      <c r="Q274">
        <v>0</v>
      </c>
      <c r="R274">
        <v>0</v>
      </c>
      <c r="S274">
        <v>0</v>
      </c>
      <c r="T274">
        <v>0</v>
      </c>
      <c r="U274">
        <v>0.54772029417969803</v>
      </c>
      <c r="V274" t="s">
        <v>79</v>
      </c>
      <c r="W274">
        <v>3902945.00207286</v>
      </c>
      <c r="X274" t="s">
        <v>76</v>
      </c>
      <c r="Y274">
        <v>-1.5707963267949001</v>
      </c>
      <c r="Z274">
        <v>0.54262169792471804</v>
      </c>
      <c r="AA274" s="1">
        <v>1.9721218134429498E-5</v>
      </c>
      <c r="AB274">
        <v>3.1446128165749598E-2</v>
      </c>
      <c r="AC274" s="1">
        <v>1.6647180464596502E-5</v>
      </c>
      <c r="AD274" s="1">
        <v>3.8497457376677897E-6</v>
      </c>
      <c r="AE274">
        <v>1.80300802932543E-2</v>
      </c>
      <c r="AF274">
        <v>0</v>
      </c>
      <c r="AG274">
        <v>1.6402687713749499E-4</v>
      </c>
      <c r="AH274">
        <v>0.67680048203481502</v>
      </c>
      <c r="AI274">
        <v>0.23560972534183899</v>
      </c>
      <c r="AJ274" t="s">
        <v>74</v>
      </c>
      <c r="AK274">
        <v>0</v>
      </c>
      <c r="AL274" t="s">
        <v>77</v>
      </c>
      <c r="AM274">
        <v>0</v>
      </c>
      <c r="AN274">
        <v>0.99199999999999999</v>
      </c>
      <c r="AO274">
        <v>0</v>
      </c>
      <c r="AP274">
        <v>5.8245346242475203E-2</v>
      </c>
      <c r="AQ274">
        <v>0</v>
      </c>
      <c r="AR274">
        <v>1.6E-2</v>
      </c>
      <c r="AS274">
        <v>0</v>
      </c>
      <c r="AT274">
        <v>0</v>
      </c>
      <c r="AU274">
        <v>0</v>
      </c>
      <c r="AV274">
        <v>0</v>
      </c>
      <c r="AW274">
        <v>1</v>
      </c>
      <c r="AX274" t="s">
        <v>74</v>
      </c>
      <c r="AY274">
        <v>0</v>
      </c>
      <c r="AZ274" t="s">
        <v>76</v>
      </c>
      <c r="BA274">
        <v>-1.5707963267949001</v>
      </c>
      <c r="BB274">
        <v>0.99199999999999999</v>
      </c>
      <c r="BC274">
        <v>0</v>
      </c>
      <c r="BD274">
        <v>5.8245346242475203E-2</v>
      </c>
      <c r="BE274">
        <v>0</v>
      </c>
      <c r="BF274">
        <v>1.6E-2</v>
      </c>
      <c r="BG274">
        <v>0</v>
      </c>
      <c r="BH274">
        <v>0</v>
      </c>
      <c r="BI274">
        <v>0</v>
      </c>
      <c r="BJ274">
        <v>0</v>
      </c>
      <c r="BK274">
        <v>1</v>
      </c>
      <c r="BL274" s="1">
        <v>8.99278130048458E-5</v>
      </c>
      <c r="BM274">
        <v>3.3848225445597601E-4</v>
      </c>
      <c r="BN274" s="1">
        <v>3.34521457867082E-7</v>
      </c>
      <c r="BO274" s="1">
        <v>5.3168668198470303E-6</v>
      </c>
      <c r="BP274">
        <v>0</v>
      </c>
      <c r="BQ274">
        <v>0</v>
      </c>
      <c r="BR274" s="1">
        <v>4.9933103469278099E-5</v>
      </c>
      <c r="BS274">
        <v>1.9395738079482601E-4</v>
      </c>
    </row>
    <row r="275" spans="1:71" x14ac:dyDescent="0.25">
      <c r="A275">
        <v>272</v>
      </c>
      <c r="B275">
        <v>1.5304707173592001E-4</v>
      </c>
      <c r="C275">
        <v>0.13336682861826901</v>
      </c>
      <c r="D275">
        <v>-4.9442616663589005E-4</v>
      </c>
      <c r="E275">
        <v>6.1312499999999995E-4</v>
      </c>
      <c r="F275">
        <v>-1.3336682861826901E-3</v>
      </c>
      <c r="G275" s="1">
        <v>1.0842021724855E-19</v>
      </c>
      <c r="H275" t="s">
        <v>74</v>
      </c>
      <c r="I275">
        <v>0</v>
      </c>
      <c r="J275" t="s">
        <v>75</v>
      </c>
      <c r="K275">
        <v>3.14159265358979</v>
      </c>
      <c r="L275">
        <v>0.54226027592869697</v>
      </c>
      <c r="M275">
        <v>0</v>
      </c>
      <c r="N275">
        <v>3.18388483114991E-2</v>
      </c>
      <c r="O275">
        <v>0</v>
      </c>
      <c r="P275">
        <v>1.6E-2</v>
      </c>
      <c r="Q275">
        <v>0</v>
      </c>
      <c r="R275">
        <v>0</v>
      </c>
      <c r="S275">
        <v>0</v>
      </c>
      <c r="T275">
        <v>0</v>
      </c>
      <c r="U275">
        <v>0.54663334266743102</v>
      </c>
      <c r="V275" t="s">
        <v>79</v>
      </c>
      <c r="W275">
        <v>3908842.8991296901</v>
      </c>
      <c r="X275" t="s">
        <v>76</v>
      </c>
      <c r="Y275">
        <v>-1.5707963267949001</v>
      </c>
      <c r="Z275">
        <v>0.54149823077208203</v>
      </c>
      <c r="AA275" s="1">
        <v>3.6177408629158E-5</v>
      </c>
      <c r="AB275">
        <v>3.1354056153750302E-2</v>
      </c>
      <c r="AC275" s="1">
        <v>3.26821233178681E-5</v>
      </c>
      <c r="AD275" s="1">
        <v>1.81693039610638E-6</v>
      </c>
      <c r="AE275">
        <v>1.8070280474794601E-2</v>
      </c>
      <c r="AF275">
        <v>0</v>
      </c>
      <c r="AG275" s="1">
        <v>7.7445700901073401E-5</v>
      </c>
      <c r="AH275">
        <v>0.67851399359387898</v>
      </c>
      <c r="AI275">
        <v>0.23417997862822401</v>
      </c>
      <c r="AJ275" t="s">
        <v>74</v>
      </c>
      <c r="AK275">
        <v>0</v>
      </c>
      <c r="AL275" t="s">
        <v>77</v>
      </c>
      <c r="AM275">
        <v>0</v>
      </c>
      <c r="AN275">
        <v>0.99199999999999999</v>
      </c>
      <c r="AO275">
        <v>0</v>
      </c>
      <c r="AP275">
        <v>5.8245346242475203E-2</v>
      </c>
      <c r="AQ275">
        <v>0</v>
      </c>
      <c r="AR275">
        <v>1.6E-2</v>
      </c>
      <c r="AS275">
        <v>0</v>
      </c>
      <c r="AT275">
        <v>0</v>
      </c>
      <c r="AU275">
        <v>0</v>
      </c>
      <c r="AV275">
        <v>0</v>
      </c>
      <c r="AW275">
        <v>1</v>
      </c>
      <c r="AX275" t="s">
        <v>74</v>
      </c>
      <c r="AY275">
        <v>0</v>
      </c>
      <c r="AZ275" t="s">
        <v>76</v>
      </c>
      <c r="BA275">
        <v>-1.5707963267949001</v>
      </c>
      <c r="BB275">
        <v>0.99199999999999999</v>
      </c>
      <c r="BC275">
        <v>0</v>
      </c>
      <c r="BD275">
        <v>5.8245346242475203E-2</v>
      </c>
      <c r="BE275">
        <v>0</v>
      </c>
      <c r="BF275">
        <v>1.6E-2</v>
      </c>
      <c r="BG275">
        <v>0</v>
      </c>
      <c r="BH275">
        <v>0</v>
      </c>
      <c r="BI275">
        <v>0</v>
      </c>
      <c r="BJ275">
        <v>0</v>
      </c>
      <c r="BK275">
        <v>1</v>
      </c>
      <c r="BL275" s="1">
        <v>8.9858139536758795E-5</v>
      </c>
      <c r="BM275">
        <v>3.3929571964739E-4</v>
      </c>
      <c r="BN275" s="1">
        <v>3.3424132909686199E-7</v>
      </c>
      <c r="BO275" s="1">
        <v>5.3296447011935098E-6</v>
      </c>
      <c r="BP275">
        <v>0</v>
      </c>
      <c r="BQ275">
        <v>0</v>
      </c>
      <c r="BR275" s="1">
        <v>4.9895563488890201E-5</v>
      </c>
      <c r="BS275">
        <v>1.9445197030873399E-4</v>
      </c>
    </row>
    <row r="276" spans="1:71" x14ac:dyDescent="0.25">
      <c r="A276">
        <v>273</v>
      </c>
      <c r="B276">
        <v>1.5270846538389501E-4</v>
      </c>
      <c r="C276">
        <v>0.13351953708365299</v>
      </c>
      <c r="D276">
        <v>-4.9510758909477302E-4</v>
      </c>
      <c r="E276">
        <v>6.1312499999999995E-4</v>
      </c>
      <c r="F276">
        <v>-1.3351953708365301E-3</v>
      </c>
      <c r="G276" s="1">
        <v>1.0842021724855E-19</v>
      </c>
      <c r="H276" t="s">
        <v>74</v>
      </c>
      <c r="I276">
        <v>0</v>
      </c>
      <c r="J276" t="s">
        <v>75</v>
      </c>
      <c r="K276">
        <v>3.14159265358979</v>
      </c>
      <c r="L276">
        <v>0.541158769311337</v>
      </c>
      <c r="M276">
        <v>0</v>
      </c>
      <c r="N276">
        <v>3.17741732769058E-2</v>
      </c>
      <c r="O276">
        <v>0</v>
      </c>
      <c r="P276">
        <v>1.6E-2</v>
      </c>
      <c r="Q276">
        <v>0</v>
      </c>
      <c r="R276">
        <v>0</v>
      </c>
      <c r="S276">
        <v>0</v>
      </c>
      <c r="T276">
        <v>0</v>
      </c>
      <c r="U276">
        <v>0.54552295293197794</v>
      </c>
      <c r="V276" t="s">
        <v>79</v>
      </c>
      <c r="W276">
        <v>3914723.2441919302</v>
      </c>
      <c r="X276" t="s">
        <v>76</v>
      </c>
      <c r="Y276">
        <v>-1.5707963267949001</v>
      </c>
      <c r="Z276">
        <v>0.54035151507721202</v>
      </c>
      <c r="AA276" s="1">
        <v>5.2473422473449701E-5</v>
      </c>
      <c r="AB276">
        <v>3.12606203737038E-2</v>
      </c>
      <c r="AC276" s="1">
        <v>4.8672500878757901E-5</v>
      </c>
      <c r="AD276" s="1">
        <v>8.53621500987346E-7</v>
      </c>
      <c r="AE276">
        <v>1.81104238353277E-2</v>
      </c>
      <c r="AF276">
        <v>0</v>
      </c>
      <c r="AG276" s="1">
        <v>3.6218245600170997E-5</v>
      </c>
      <c r="AH276">
        <v>0.68021723336621598</v>
      </c>
      <c r="AI276">
        <v>0.23272244008753301</v>
      </c>
      <c r="AJ276" t="s">
        <v>74</v>
      </c>
      <c r="AK276">
        <v>0</v>
      </c>
      <c r="AL276" t="s">
        <v>77</v>
      </c>
      <c r="AM276">
        <v>0</v>
      </c>
      <c r="AN276">
        <v>0.99199999999999999</v>
      </c>
      <c r="AO276">
        <v>0</v>
      </c>
      <c r="AP276">
        <v>5.8245346242475203E-2</v>
      </c>
      <c r="AQ276">
        <v>0</v>
      </c>
      <c r="AR276">
        <v>1.6E-2</v>
      </c>
      <c r="AS276">
        <v>0</v>
      </c>
      <c r="AT276">
        <v>0</v>
      </c>
      <c r="AU276">
        <v>0</v>
      </c>
      <c r="AV276">
        <v>0</v>
      </c>
      <c r="AW276">
        <v>1</v>
      </c>
      <c r="AX276" t="s">
        <v>74</v>
      </c>
      <c r="AY276">
        <v>0</v>
      </c>
      <c r="AZ276" t="s">
        <v>76</v>
      </c>
      <c r="BA276">
        <v>-1.5707963267949001</v>
      </c>
      <c r="BB276">
        <v>0.99199999999999999</v>
      </c>
      <c r="BC276">
        <v>0</v>
      </c>
      <c r="BD276">
        <v>5.8245346242475203E-2</v>
      </c>
      <c r="BE276">
        <v>0</v>
      </c>
      <c r="BF276">
        <v>1.6E-2</v>
      </c>
      <c r="BG276">
        <v>0</v>
      </c>
      <c r="BH276">
        <v>0</v>
      </c>
      <c r="BI276">
        <v>0</v>
      </c>
      <c r="BJ276">
        <v>0</v>
      </c>
      <c r="BK276">
        <v>1</v>
      </c>
      <c r="BL276" s="1">
        <v>8.9787079318219405E-5</v>
      </c>
      <c r="BM276">
        <v>3.40126725805908E-4</v>
      </c>
      <c r="BN276" s="1">
        <v>3.3395603563319199E-7</v>
      </c>
      <c r="BO276" s="1">
        <v>5.3426981154069601E-6</v>
      </c>
      <c r="BP276">
        <v>0</v>
      </c>
      <c r="BQ276">
        <v>0</v>
      </c>
      <c r="BR276" s="1">
        <v>4.9857107164752997E-5</v>
      </c>
      <c r="BS276">
        <v>1.94956680556275E-4</v>
      </c>
    </row>
    <row r="277" spans="1:71" x14ac:dyDescent="0.25">
      <c r="A277">
        <v>274</v>
      </c>
      <c r="B277">
        <v>1.5321899906665099E-4</v>
      </c>
      <c r="C277">
        <v>0.133672756082719</v>
      </c>
      <c r="D277">
        <v>-4.9579076764526904E-4</v>
      </c>
      <c r="E277">
        <v>6.1312499999999995E-4</v>
      </c>
      <c r="F277">
        <v>-1.33672756082719E-3</v>
      </c>
      <c r="G277" s="1">
        <v>2.1684043449710098E-19</v>
      </c>
      <c r="H277" t="s">
        <v>74</v>
      </c>
      <c r="I277">
        <v>0</v>
      </c>
      <c r="J277" t="s">
        <v>75</v>
      </c>
      <c r="K277">
        <v>3.14159265358979</v>
      </c>
      <c r="L277">
        <v>0.54004378616931403</v>
      </c>
      <c r="M277">
        <v>0</v>
      </c>
      <c r="N277">
        <v>3.1708706967267103E-2</v>
      </c>
      <c r="O277">
        <v>0</v>
      </c>
      <c r="P277">
        <v>1.6E-2</v>
      </c>
      <c r="Q277">
        <v>0</v>
      </c>
      <c r="R277">
        <v>0</v>
      </c>
      <c r="S277">
        <v>0</v>
      </c>
      <c r="T277">
        <v>0</v>
      </c>
      <c r="U277">
        <v>0.54439897799029202</v>
      </c>
      <c r="V277" t="s">
        <v>79</v>
      </c>
      <c r="W277">
        <v>3920618.7434724001</v>
      </c>
      <c r="X277" t="s">
        <v>76</v>
      </c>
      <c r="Y277">
        <v>-1.5707963267949001</v>
      </c>
      <c r="Z277">
        <v>0.53919105688663205</v>
      </c>
      <c r="AA277" s="1">
        <v>6.8848429149811501E-5</v>
      </c>
      <c r="AB277">
        <v>3.1166224145455799E-2</v>
      </c>
      <c r="AC277" s="1">
        <v>6.4778425838371098E-5</v>
      </c>
      <c r="AD277" s="1">
        <v>4.0051612650585101E-7</v>
      </c>
      <c r="AE277">
        <v>1.8150725662101099E-2</v>
      </c>
      <c r="AF277">
        <v>0</v>
      </c>
      <c r="AG277" s="1">
        <v>1.6910890487915501E-5</v>
      </c>
      <c r="AH277">
        <v>0.68191888714224302</v>
      </c>
      <c r="AI277">
        <v>0.23125014791821</v>
      </c>
      <c r="AJ277" t="s">
        <v>74</v>
      </c>
      <c r="AK277">
        <v>0</v>
      </c>
      <c r="AL277" t="s">
        <v>77</v>
      </c>
      <c r="AM277">
        <v>0</v>
      </c>
      <c r="AN277">
        <v>0.99199999999999999</v>
      </c>
      <c r="AO277">
        <v>0</v>
      </c>
      <c r="AP277">
        <v>5.8245346242475203E-2</v>
      </c>
      <c r="AQ277">
        <v>0</v>
      </c>
      <c r="AR277">
        <v>1.6E-2</v>
      </c>
      <c r="AS277">
        <v>0</v>
      </c>
      <c r="AT277">
        <v>0</v>
      </c>
      <c r="AU277">
        <v>0</v>
      </c>
      <c r="AV277">
        <v>0</v>
      </c>
      <c r="AW277">
        <v>1</v>
      </c>
      <c r="AX277" t="s">
        <v>74</v>
      </c>
      <c r="AY277">
        <v>0</v>
      </c>
      <c r="AZ277" t="s">
        <v>76</v>
      </c>
      <c r="BA277">
        <v>-1.5707963267949001</v>
      </c>
      <c r="BB277">
        <v>0.99199999999999999</v>
      </c>
      <c r="BC277">
        <v>0</v>
      </c>
      <c r="BD277">
        <v>5.8245346242475203E-2</v>
      </c>
      <c r="BE277">
        <v>0</v>
      </c>
      <c r="BF277">
        <v>1.6E-2</v>
      </c>
      <c r="BG277">
        <v>0</v>
      </c>
      <c r="BH277">
        <v>0</v>
      </c>
      <c r="BI277">
        <v>0</v>
      </c>
      <c r="BJ277">
        <v>0</v>
      </c>
      <c r="BK277">
        <v>1</v>
      </c>
      <c r="BL277" s="1">
        <v>8.9715201011755801E-5</v>
      </c>
      <c r="BM277">
        <v>3.4096789901636598E-4</v>
      </c>
      <c r="BN277" s="1">
        <v>3.3366770431070998E-7</v>
      </c>
      <c r="BO277" s="1">
        <v>5.3559112332987996E-6</v>
      </c>
      <c r="BP277">
        <v>0</v>
      </c>
      <c r="BQ277">
        <v>0</v>
      </c>
      <c r="BR277" s="1">
        <v>4.9818132016775099E-5</v>
      </c>
      <c r="BS277">
        <v>1.9546744684224699E-4</v>
      </c>
    </row>
    <row r="278" spans="1:71" x14ac:dyDescent="0.25">
      <c r="A278">
        <v>275</v>
      </c>
      <c r="B278">
        <v>1.5378663173069799E-4</v>
      </c>
      <c r="C278">
        <v>0.13382654271444999</v>
      </c>
      <c r="D278">
        <v>-4.9647595185868E-4</v>
      </c>
      <c r="E278">
        <v>6.1312499999999995E-4</v>
      </c>
      <c r="F278">
        <v>-1.3382654271445E-3</v>
      </c>
      <c r="G278" s="1">
        <v>1.0842021724855E-19</v>
      </c>
      <c r="H278" t="s">
        <v>74</v>
      </c>
      <c r="I278">
        <v>0</v>
      </c>
      <c r="J278" t="s">
        <v>75</v>
      </c>
      <c r="K278">
        <v>3.14159265358979</v>
      </c>
      <c r="L278">
        <v>0.53892292666132602</v>
      </c>
      <c r="M278">
        <v>0</v>
      </c>
      <c r="N278">
        <v>3.1642895626408298E-2</v>
      </c>
      <c r="O278">
        <v>0</v>
      </c>
      <c r="P278">
        <v>1.6E-2</v>
      </c>
      <c r="Q278">
        <v>0</v>
      </c>
      <c r="R278">
        <v>0</v>
      </c>
      <c r="S278">
        <v>0</v>
      </c>
      <c r="T278">
        <v>0</v>
      </c>
      <c r="U278">
        <v>0.54326907929266099</v>
      </c>
      <c r="V278" t="s">
        <v>79</v>
      </c>
      <c r="W278">
        <v>3926531.5506502902</v>
      </c>
      <c r="X278" t="s">
        <v>76</v>
      </c>
      <c r="Y278">
        <v>-1.5707963267949001</v>
      </c>
      <c r="Z278">
        <v>0.53802442843763298</v>
      </c>
      <c r="AA278" s="1">
        <v>8.5385970611671395E-5</v>
      </c>
      <c r="AB278">
        <v>3.1071295984232E-2</v>
      </c>
      <c r="AC278" s="1">
        <v>8.1043795648833402E-5</v>
      </c>
      <c r="AD278" s="1">
        <v>1.8767072353265099E-7</v>
      </c>
      <c r="AE278">
        <v>1.8191196765548E-2</v>
      </c>
      <c r="AF278">
        <v>0</v>
      </c>
      <c r="AG278" s="1">
        <v>7.8842722746606095E-6</v>
      </c>
      <c r="AH278">
        <v>0.68361912675780501</v>
      </c>
      <c r="AI278">
        <v>0.229773184346097</v>
      </c>
      <c r="AJ278" t="s">
        <v>74</v>
      </c>
      <c r="AK278">
        <v>0</v>
      </c>
      <c r="AL278" t="s">
        <v>77</v>
      </c>
      <c r="AM278">
        <v>0</v>
      </c>
      <c r="AN278">
        <v>0.99199999999999999</v>
      </c>
      <c r="AO278">
        <v>0</v>
      </c>
      <c r="AP278">
        <v>5.8245346242475203E-2</v>
      </c>
      <c r="AQ278">
        <v>0</v>
      </c>
      <c r="AR278">
        <v>1.6E-2</v>
      </c>
      <c r="AS278">
        <v>0</v>
      </c>
      <c r="AT278">
        <v>0</v>
      </c>
      <c r="AU278">
        <v>0</v>
      </c>
      <c r="AV278">
        <v>0</v>
      </c>
      <c r="AW278">
        <v>1</v>
      </c>
      <c r="AX278" t="s">
        <v>74</v>
      </c>
      <c r="AY278">
        <v>0</v>
      </c>
      <c r="AZ278" t="s">
        <v>76</v>
      </c>
      <c r="BA278">
        <v>-1.5707963267949001</v>
      </c>
      <c r="BB278">
        <v>0.99199999999999999</v>
      </c>
      <c r="BC278">
        <v>0</v>
      </c>
      <c r="BD278">
        <v>5.8245346242475203E-2</v>
      </c>
      <c r="BE278">
        <v>0</v>
      </c>
      <c r="BF278">
        <v>1.6E-2</v>
      </c>
      <c r="BG278">
        <v>0</v>
      </c>
      <c r="BH278">
        <v>0</v>
      </c>
      <c r="BI278">
        <v>0</v>
      </c>
      <c r="BJ278">
        <v>0</v>
      </c>
      <c r="BK278">
        <v>1</v>
      </c>
      <c r="BL278" s="1">
        <v>8.9642963945619797E-5</v>
      </c>
      <c r="BM278">
        <v>3.4181350551503999E-4</v>
      </c>
      <c r="BN278" s="1">
        <v>3.3337810267289799E-7</v>
      </c>
      <c r="BO278" s="1">
        <v>5.3691939891191202E-6</v>
      </c>
      <c r="BP278">
        <v>0</v>
      </c>
      <c r="BQ278">
        <v>0</v>
      </c>
      <c r="BR278" s="1">
        <v>4.9778931826818401E-5</v>
      </c>
      <c r="BS278">
        <v>1.95980995510454E-4</v>
      </c>
    </row>
    <row r="279" spans="1:71" x14ac:dyDescent="0.25">
      <c r="A279">
        <v>276</v>
      </c>
      <c r="B279">
        <v>1.5438433294977401E-4</v>
      </c>
      <c r="C279">
        <v>0.1339809270474</v>
      </c>
      <c r="D279">
        <v>-4.9716327017421201E-4</v>
      </c>
      <c r="E279">
        <v>6.1312499999999995E-4</v>
      </c>
      <c r="F279">
        <v>-1.3398092704739999E-3</v>
      </c>
      <c r="G279" s="1">
        <v>2.1684043449710098E-19</v>
      </c>
      <c r="H279" t="s">
        <v>74</v>
      </c>
      <c r="I279">
        <v>0</v>
      </c>
      <c r="J279" t="s">
        <v>75</v>
      </c>
      <c r="K279">
        <v>3.14159265358979</v>
      </c>
      <c r="L279">
        <v>0.53779976510782002</v>
      </c>
      <c r="M279">
        <v>0</v>
      </c>
      <c r="N279">
        <v>3.1576949120793098E-2</v>
      </c>
      <c r="O279">
        <v>0</v>
      </c>
      <c r="P279">
        <v>1.6E-2</v>
      </c>
      <c r="Q279">
        <v>0</v>
      </c>
      <c r="R279">
        <v>0</v>
      </c>
      <c r="S279">
        <v>0</v>
      </c>
      <c r="T279">
        <v>0</v>
      </c>
      <c r="U279">
        <v>0.54213685998466299</v>
      </c>
      <c r="V279" t="s">
        <v>79</v>
      </c>
      <c r="W279">
        <v>3932462.7740936</v>
      </c>
      <c r="X279" t="s">
        <v>76</v>
      </c>
      <c r="Y279">
        <v>-1.5707963267949001</v>
      </c>
      <c r="Z279">
        <v>0.53685518834553903</v>
      </c>
      <c r="AA279">
        <v>1.02127595432821E-4</v>
      </c>
      <c r="AB279">
        <v>3.0976035838401299E-2</v>
      </c>
      <c r="AC279" s="1">
        <v>9.7491058026252401E-5</v>
      </c>
      <c r="AD279" s="1">
        <v>8.7819107018991105E-8</v>
      </c>
      <c r="AE279">
        <v>1.8231842862524501E-2</v>
      </c>
      <c r="AF279">
        <v>0</v>
      </c>
      <c r="AG279" s="1">
        <v>3.6706080484638399E-6</v>
      </c>
      <c r="AH279">
        <v>0.68531802686923804</v>
      </c>
      <c r="AI279">
        <v>0.22829628304899599</v>
      </c>
      <c r="AJ279" t="s">
        <v>74</v>
      </c>
      <c r="AK279">
        <v>0</v>
      </c>
      <c r="AL279" t="s">
        <v>77</v>
      </c>
      <c r="AM279">
        <v>0</v>
      </c>
      <c r="AN279">
        <v>0.99199999999999999</v>
      </c>
      <c r="AO279">
        <v>0</v>
      </c>
      <c r="AP279">
        <v>5.8245346242475203E-2</v>
      </c>
      <c r="AQ279">
        <v>0</v>
      </c>
      <c r="AR279">
        <v>1.6E-2</v>
      </c>
      <c r="AS279">
        <v>0</v>
      </c>
      <c r="AT279">
        <v>0</v>
      </c>
      <c r="AU279">
        <v>0</v>
      </c>
      <c r="AV279">
        <v>0</v>
      </c>
      <c r="AW279">
        <v>1</v>
      </c>
      <c r="AX279" t="s">
        <v>74</v>
      </c>
      <c r="AY279">
        <v>0</v>
      </c>
      <c r="AZ279" t="s">
        <v>76</v>
      </c>
      <c r="BA279">
        <v>-1.5707963267949001</v>
      </c>
      <c r="BB279">
        <v>0.99199999999999999</v>
      </c>
      <c r="BC279">
        <v>0</v>
      </c>
      <c r="BD279">
        <v>5.8245346242475203E-2</v>
      </c>
      <c r="BE279">
        <v>0</v>
      </c>
      <c r="BF279">
        <v>1.6E-2</v>
      </c>
      <c r="BG279">
        <v>0</v>
      </c>
      <c r="BH279">
        <v>0</v>
      </c>
      <c r="BI279">
        <v>0</v>
      </c>
      <c r="BJ279">
        <v>0</v>
      </c>
      <c r="BK279">
        <v>1</v>
      </c>
      <c r="BL279" s="1">
        <v>8.9570584251085498E-5</v>
      </c>
      <c r="BM279">
        <v>3.4266084873864301E-4</v>
      </c>
      <c r="BN279" s="1">
        <v>3.3308806405842202E-7</v>
      </c>
      <c r="BO279" s="1">
        <v>5.3825040253508303E-6</v>
      </c>
      <c r="BP279">
        <v>0</v>
      </c>
      <c r="BQ279">
        <v>0</v>
      </c>
      <c r="BR279" s="1">
        <v>4.9739644939437297E-5</v>
      </c>
      <c r="BS279">
        <v>1.9649578766124499E-4</v>
      </c>
    </row>
    <row r="280" spans="1:71" x14ac:dyDescent="0.25">
      <c r="A280">
        <v>277</v>
      </c>
      <c r="B280">
        <v>1.54999321951723E-4</v>
      </c>
      <c r="C280">
        <v>0.13413592636935101</v>
      </c>
      <c r="D280">
        <v>-4.9785279374848905E-4</v>
      </c>
      <c r="E280">
        <v>6.1312499999999995E-4</v>
      </c>
      <c r="F280">
        <v>-1.34135926369352E-3</v>
      </c>
      <c r="G280" s="1">
        <v>1.0842021724855E-19</v>
      </c>
      <c r="H280" t="s">
        <v>74</v>
      </c>
      <c r="I280">
        <v>0</v>
      </c>
      <c r="J280" t="s">
        <v>75</v>
      </c>
      <c r="K280">
        <v>3.14159265358979</v>
      </c>
      <c r="L280">
        <v>0.53667598154408602</v>
      </c>
      <c r="M280">
        <v>0</v>
      </c>
      <c r="N280">
        <v>3.1510966093805999E-2</v>
      </c>
      <c r="O280">
        <v>0</v>
      </c>
      <c r="P280">
        <v>1.6E-2</v>
      </c>
      <c r="Q280">
        <v>0</v>
      </c>
      <c r="R280">
        <v>0</v>
      </c>
      <c r="S280">
        <v>0</v>
      </c>
      <c r="T280">
        <v>0</v>
      </c>
      <c r="U280">
        <v>0.54100401365024098</v>
      </c>
      <c r="V280" t="s">
        <v>79</v>
      </c>
      <c r="W280">
        <v>3938413.02784946</v>
      </c>
      <c r="X280" t="s">
        <v>76</v>
      </c>
      <c r="Y280">
        <v>-1.5707963267949001</v>
      </c>
      <c r="Z280">
        <v>0.53568500686005804</v>
      </c>
      <c r="AA280">
        <v>1.19094930883031E-4</v>
      </c>
      <c r="AB280">
        <v>3.0880536282214498E-2</v>
      </c>
      <c r="AC280">
        <v>1.1413246577954601E-4</v>
      </c>
      <c r="AD280" s="1">
        <v>4.1038496340466097E-8</v>
      </c>
      <c r="AE280">
        <v>1.8272667255829302E-2</v>
      </c>
      <c r="AF280">
        <v>0</v>
      </c>
      <c r="AG280" s="1">
        <v>1.7064920709855399E-6</v>
      </c>
      <c r="AH280">
        <v>0.68701561595484595</v>
      </c>
      <c r="AI280">
        <v>0.22682166632335399</v>
      </c>
      <c r="AJ280" t="s">
        <v>74</v>
      </c>
      <c r="AK280">
        <v>0</v>
      </c>
      <c r="AL280" t="s">
        <v>77</v>
      </c>
      <c r="AM280">
        <v>0</v>
      </c>
      <c r="AN280">
        <v>0.99199999999999999</v>
      </c>
      <c r="AO280">
        <v>0</v>
      </c>
      <c r="AP280">
        <v>5.8245346242475203E-2</v>
      </c>
      <c r="AQ280">
        <v>0</v>
      </c>
      <c r="AR280">
        <v>1.6E-2</v>
      </c>
      <c r="AS280">
        <v>0</v>
      </c>
      <c r="AT280">
        <v>0</v>
      </c>
      <c r="AU280">
        <v>0</v>
      </c>
      <c r="AV280">
        <v>0</v>
      </c>
      <c r="AW280">
        <v>1</v>
      </c>
      <c r="AX280" t="s">
        <v>74</v>
      </c>
      <c r="AY280">
        <v>0</v>
      </c>
      <c r="AZ280" t="s">
        <v>76</v>
      </c>
      <c r="BA280">
        <v>-1.5707963267949001</v>
      </c>
      <c r="BB280">
        <v>0.99199999999999999</v>
      </c>
      <c r="BC280">
        <v>0</v>
      </c>
      <c r="BD280">
        <v>5.8245346242475203E-2</v>
      </c>
      <c r="BE280">
        <v>0</v>
      </c>
      <c r="BF280">
        <v>1.6E-2</v>
      </c>
      <c r="BG280">
        <v>0</v>
      </c>
      <c r="BH280">
        <v>0</v>
      </c>
      <c r="BI280">
        <v>0</v>
      </c>
      <c r="BJ280">
        <v>0</v>
      </c>
      <c r="BK280">
        <v>1</v>
      </c>
      <c r="BL280" s="1">
        <v>8.94981636633752E-5</v>
      </c>
      <c r="BM280">
        <v>3.43508661223458E-4</v>
      </c>
      <c r="BN280" s="1">
        <v>3.32797982680188E-7</v>
      </c>
      <c r="BO280" s="1">
        <v>5.3958214327204099E-6</v>
      </c>
      <c r="BP280">
        <v>0</v>
      </c>
      <c r="BQ280">
        <v>0</v>
      </c>
      <c r="BR280" s="1">
        <v>4.97003365600879E-5</v>
      </c>
      <c r="BS280">
        <v>1.97011100759123E-4</v>
      </c>
    </row>
    <row r="281" spans="1:71" x14ac:dyDescent="0.25">
      <c r="A281">
        <v>278</v>
      </c>
      <c r="B281">
        <v>1.5562558715848199E-4</v>
      </c>
      <c r="C281">
        <v>0.13429155195650999</v>
      </c>
      <c r="D281">
        <v>-4.98544566762713E-4</v>
      </c>
      <c r="E281">
        <v>6.1312499999999995E-4</v>
      </c>
      <c r="F281">
        <v>-1.3429155195651E-3</v>
      </c>
      <c r="G281" s="1">
        <v>2.1684043449710098E-19</v>
      </c>
      <c r="H281" t="s">
        <v>74</v>
      </c>
      <c r="I281">
        <v>0</v>
      </c>
      <c r="J281" t="s">
        <v>75</v>
      </c>
      <c r="K281">
        <v>3.14159265358979</v>
      </c>
      <c r="L281">
        <v>0.53667598154408602</v>
      </c>
      <c r="M281">
        <v>0</v>
      </c>
      <c r="N281">
        <v>3.1510966093805999E-2</v>
      </c>
      <c r="O281">
        <v>0</v>
      </c>
      <c r="P281">
        <v>1.6E-2</v>
      </c>
      <c r="Q281">
        <v>0</v>
      </c>
      <c r="R281">
        <v>0</v>
      </c>
      <c r="S281">
        <v>0</v>
      </c>
      <c r="T281">
        <v>0</v>
      </c>
      <c r="U281">
        <v>0.54100401365331197</v>
      </c>
      <c r="V281" t="s">
        <v>80</v>
      </c>
      <c r="W281">
        <v>3944382.69318021</v>
      </c>
      <c r="X281" t="s">
        <v>76</v>
      </c>
      <c r="Y281">
        <v>-1.5707963267949001</v>
      </c>
      <c r="Z281">
        <v>0.53563610546681295</v>
      </c>
      <c r="AA281">
        <v>1.47493896749192E-4</v>
      </c>
      <c r="AB281">
        <v>3.0849427745990601E-2</v>
      </c>
      <c r="AC281">
        <v>1.36436961413215E-4</v>
      </c>
      <c r="AD281">
        <v>0</v>
      </c>
      <c r="AE281">
        <v>1.8272667255829302E-2</v>
      </c>
      <c r="AF281">
        <v>0</v>
      </c>
      <c r="AG281">
        <v>0</v>
      </c>
      <c r="AH281">
        <v>0.68701732244691704</v>
      </c>
      <c r="AI281">
        <v>0.22682166632335399</v>
      </c>
      <c r="AJ281" t="s">
        <v>74</v>
      </c>
      <c r="AK281">
        <v>0</v>
      </c>
      <c r="AL281" t="s">
        <v>77</v>
      </c>
      <c r="AM281">
        <v>0</v>
      </c>
      <c r="AN281">
        <v>0.99199999999999999</v>
      </c>
      <c r="AO281">
        <v>0</v>
      </c>
      <c r="AP281">
        <v>5.8245346242475203E-2</v>
      </c>
      <c r="AQ281">
        <v>0</v>
      </c>
      <c r="AR281">
        <v>1.6E-2</v>
      </c>
      <c r="AS281">
        <v>0</v>
      </c>
      <c r="AT281">
        <v>0</v>
      </c>
      <c r="AU281">
        <v>0</v>
      </c>
      <c r="AV281">
        <v>0</v>
      </c>
      <c r="AW281">
        <v>1</v>
      </c>
      <c r="AX281" t="s">
        <v>74</v>
      </c>
      <c r="AY281">
        <v>0</v>
      </c>
      <c r="AZ281" t="s">
        <v>76</v>
      </c>
      <c r="BA281">
        <v>-1.5707963267949001</v>
      </c>
      <c r="BB281">
        <v>0.99199999999999999</v>
      </c>
      <c r="BC281">
        <v>0</v>
      </c>
      <c r="BD281">
        <v>5.8245346242475203E-2</v>
      </c>
      <c r="BE281">
        <v>0</v>
      </c>
      <c r="BF281">
        <v>1.6E-2</v>
      </c>
      <c r="BG281">
        <v>0</v>
      </c>
      <c r="BH281">
        <v>0</v>
      </c>
      <c r="BI281">
        <v>0</v>
      </c>
      <c r="BJ281">
        <v>0</v>
      </c>
      <c r="BK281">
        <v>1</v>
      </c>
      <c r="BL281" s="1">
        <v>8.9493761643080099E-5</v>
      </c>
      <c r="BM281">
        <v>3.43508661223458E-4</v>
      </c>
      <c r="BN281" s="1">
        <v>3.3276951897776997E-7</v>
      </c>
      <c r="BO281" s="1">
        <v>5.3958214327204099E-6</v>
      </c>
      <c r="BP281">
        <v>0</v>
      </c>
      <c r="BQ281">
        <v>0</v>
      </c>
      <c r="BR281" s="1">
        <v>4.9704288573006498E-5</v>
      </c>
      <c r="BS281">
        <v>1.9704035400718901E-4</v>
      </c>
    </row>
    <row r="282" spans="1:71" x14ac:dyDescent="0.25">
      <c r="A282">
        <v>279</v>
      </c>
      <c r="B282">
        <v>9.4816728599237607E-2</v>
      </c>
      <c r="C282">
        <v>0.229108280555748</v>
      </c>
      <c r="D282">
        <v>-9.1968749473622798E-4</v>
      </c>
      <c r="E282">
        <v>6.1312499999999995E-4</v>
      </c>
      <c r="F282">
        <v>-2.2910828055574799E-3</v>
      </c>
      <c r="G282" s="1">
        <v>2.1684043449710098E-19</v>
      </c>
      <c r="H282" t="s">
        <v>74</v>
      </c>
      <c r="I282">
        <v>0</v>
      </c>
      <c r="J282" t="s">
        <v>75</v>
      </c>
      <c r="K282">
        <v>3.14159265358979</v>
      </c>
      <c r="L282">
        <v>0.53667598154408602</v>
      </c>
      <c r="M282">
        <v>0</v>
      </c>
      <c r="N282">
        <v>3.1510966093805999E-2</v>
      </c>
      <c r="O282">
        <v>0</v>
      </c>
      <c r="P282">
        <v>1.6E-2</v>
      </c>
      <c r="Q282">
        <v>0</v>
      </c>
      <c r="R282">
        <v>0</v>
      </c>
      <c r="S282">
        <v>0</v>
      </c>
      <c r="T282">
        <v>0</v>
      </c>
      <c r="U282">
        <v>0.54100401365331197</v>
      </c>
      <c r="V282" t="s">
        <v>80</v>
      </c>
      <c r="W282">
        <v>7578641.7416217905</v>
      </c>
      <c r="X282" t="s">
        <v>76</v>
      </c>
      <c r="Y282">
        <v>-1.5707963267949001</v>
      </c>
      <c r="Z282">
        <v>0.53563610546681295</v>
      </c>
      <c r="AA282">
        <v>1.47493896749192E-4</v>
      </c>
      <c r="AB282">
        <v>3.0849427745990601E-2</v>
      </c>
      <c r="AC282">
        <v>1.36436961413215E-4</v>
      </c>
      <c r="AD282">
        <v>0</v>
      </c>
      <c r="AE282">
        <v>1.8272667255829302E-2</v>
      </c>
      <c r="AF282">
        <v>0</v>
      </c>
      <c r="AG282">
        <v>0</v>
      </c>
      <c r="AH282">
        <v>0.68701732244691704</v>
      </c>
      <c r="AI282">
        <v>0.22682166632335399</v>
      </c>
      <c r="AJ282" t="s">
        <v>74</v>
      </c>
      <c r="AK282">
        <v>0</v>
      </c>
      <c r="AL282" t="s">
        <v>77</v>
      </c>
      <c r="AM282">
        <v>0</v>
      </c>
      <c r="AN282">
        <v>0.99199999999999999</v>
      </c>
      <c r="AO282">
        <v>0</v>
      </c>
      <c r="AP282">
        <v>5.8245346242475203E-2</v>
      </c>
      <c r="AQ282">
        <v>0</v>
      </c>
      <c r="AR282">
        <v>1.6E-2</v>
      </c>
      <c r="AS282">
        <v>0</v>
      </c>
      <c r="AT282">
        <v>0</v>
      </c>
      <c r="AU282">
        <v>0</v>
      </c>
      <c r="AV282">
        <v>0</v>
      </c>
      <c r="AW282">
        <v>1</v>
      </c>
      <c r="AX282" t="s">
        <v>74</v>
      </c>
      <c r="AY282">
        <v>0</v>
      </c>
      <c r="AZ282" t="s">
        <v>76</v>
      </c>
      <c r="BA282">
        <v>-1.5707963267949001</v>
      </c>
      <c r="BB282">
        <v>0.99199999999999999</v>
      </c>
      <c r="BC282">
        <v>0</v>
      </c>
      <c r="BD282">
        <v>5.8245346242475203E-2</v>
      </c>
      <c r="BE282">
        <v>0</v>
      </c>
      <c r="BF282">
        <v>1.6E-2</v>
      </c>
      <c r="BG282">
        <v>0</v>
      </c>
      <c r="BH282">
        <v>0</v>
      </c>
      <c r="BI282">
        <v>0</v>
      </c>
      <c r="BJ282">
        <v>0</v>
      </c>
      <c r="BK282">
        <v>1</v>
      </c>
      <c r="BL282" s="1">
        <v>8.9493761643080099E-5</v>
      </c>
      <c r="BM282">
        <v>3.43508661223458E-4</v>
      </c>
      <c r="BN282" s="1">
        <v>3.3276951897776997E-7</v>
      </c>
      <c r="BO282" s="1">
        <v>5.3958214327204099E-6</v>
      </c>
      <c r="BP282">
        <v>0</v>
      </c>
      <c r="BQ282">
        <v>0</v>
      </c>
      <c r="BR282" s="1">
        <v>5.9163930487108001E-5</v>
      </c>
      <c r="BS282">
        <v>2.1857043119491901E-4</v>
      </c>
    </row>
    <row r="283" spans="1:71" x14ac:dyDescent="0.25">
      <c r="A283">
        <v>280</v>
      </c>
      <c r="B283" s="1">
        <v>2.2533873267384799E-9</v>
      </c>
      <c r="C283">
        <v>0.22910828280913501</v>
      </c>
      <c r="D283">
        <v>-9.1968750000000004E-4</v>
      </c>
      <c r="E283">
        <v>6.1312499999999995E-4</v>
      </c>
      <c r="F283">
        <v>-2.2910828280913501E-3</v>
      </c>
      <c r="G283" s="1">
        <v>2.1684043449710098E-19</v>
      </c>
      <c r="H283" t="s">
        <v>74</v>
      </c>
      <c r="I283">
        <v>0</v>
      </c>
      <c r="J283" t="s">
        <v>75</v>
      </c>
      <c r="K283">
        <v>3.14159265358979</v>
      </c>
      <c r="L283">
        <v>0.53667598154408602</v>
      </c>
      <c r="M283">
        <v>0</v>
      </c>
      <c r="N283">
        <v>3.1510966093805999E-2</v>
      </c>
      <c r="O283">
        <v>0</v>
      </c>
      <c r="P283">
        <v>1.6E-2</v>
      </c>
      <c r="Q283">
        <v>0</v>
      </c>
      <c r="R283">
        <v>0</v>
      </c>
      <c r="S283">
        <v>0</v>
      </c>
      <c r="T283">
        <v>0</v>
      </c>
      <c r="U283">
        <v>0.54100401365331197</v>
      </c>
      <c r="V283" t="s">
        <v>80</v>
      </c>
      <c r="W283">
        <v>7578641.7870455803</v>
      </c>
      <c r="X283" t="s">
        <v>76</v>
      </c>
      <c r="Y283">
        <v>-1.5707963267949001</v>
      </c>
      <c r="Z283">
        <v>0.53563610546681295</v>
      </c>
      <c r="AA283">
        <v>1.47493896749192E-4</v>
      </c>
      <c r="AB283">
        <v>3.0849427745990601E-2</v>
      </c>
      <c r="AC283">
        <v>1.36436961413215E-4</v>
      </c>
      <c r="AD283">
        <v>0</v>
      </c>
      <c r="AE283">
        <v>1.8272667255829302E-2</v>
      </c>
      <c r="AF283">
        <v>0</v>
      </c>
      <c r="AG283">
        <v>0</v>
      </c>
      <c r="AH283">
        <v>0.68701732244691704</v>
      </c>
      <c r="AI283">
        <v>0.22682166632335399</v>
      </c>
      <c r="AJ283" t="s">
        <v>74</v>
      </c>
      <c r="AK283">
        <v>0</v>
      </c>
      <c r="AL283" t="s">
        <v>77</v>
      </c>
      <c r="AM283">
        <v>0</v>
      </c>
      <c r="AN283">
        <v>0.99199999999999999</v>
      </c>
      <c r="AO283">
        <v>0</v>
      </c>
      <c r="AP283">
        <v>5.8245346242475203E-2</v>
      </c>
      <c r="AQ283">
        <v>0</v>
      </c>
      <c r="AR283">
        <v>1.6E-2</v>
      </c>
      <c r="AS283">
        <v>0</v>
      </c>
      <c r="AT283">
        <v>0</v>
      </c>
      <c r="AU283">
        <v>0</v>
      </c>
      <c r="AV283">
        <v>0</v>
      </c>
      <c r="AW283">
        <v>1</v>
      </c>
      <c r="AX283" t="s">
        <v>74</v>
      </c>
      <c r="AY283">
        <v>0</v>
      </c>
      <c r="AZ283" t="s">
        <v>76</v>
      </c>
      <c r="BA283">
        <v>-1.5707963267949001</v>
      </c>
      <c r="BB283">
        <v>0.99199999999999999</v>
      </c>
      <c r="BC283">
        <v>0</v>
      </c>
      <c r="BD283">
        <v>5.8245346242475203E-2</v>
      </c>
      <c r="BE283">
        <v>0</v>
      </c>
      <c r="BF283">
        <v>1.6E-2</v>
      </c>
      <c r="BG283">
        <v>0</v>
      </c>
      <c r="BH283">
        <v>0</v>
      </c>
      <c r="BI283">
        <v>0</v>
      </c>
      <c r="BJ283">
        <v>0</v>
      </c>
      <c r="BK283">
        <v>1</v>
      </c>
      <c r="BL283" s="1">
        <v>8.9493761643080099E-5</v>
      </c>
      <c r="BM283">
        <v>3.43508661223458E-4</v>
      </c>
      <c r="BN283" s="1">
        <v>3.3276951897776997E-7</v>
      </c>
      <c r="BO283" s="1">
        <v>5.3958214327204099E-6</v>
      </c>
      <c r="BP283">
        <v>0</v>
      </c>
      <c r="BQ283">
        <v>0</v>
      </c>
      <c r="BR283" s="1">
        <v>5.9163930510323202E-5</v>
      </c>
      <c r="BS283">
        <v>2.1857043152433901E-4</v>
      </c>
    </row>
    <row r="284" spans="1:71" x14ac:dyDescent="0.25">
      <c r="A284">
        <v>281</v>
      </c>
      <c r="B284">
        <v>0.15394904695207401</v>
      </c>
      <c r="C284">
        <v>0.38305732976120799</v>
      </c>
      <c r="D284">
        <v>-1.2793028518646101E-3</v>
      </c>
      <c r="E284">
        <v>6.1312499999999995E-4</v>
      </c>
      <c r="F284">
        <v>-3.8305732976120898E-3</v>
      </c>
      <c r="G284" s="1">
        <v>4.3368086899420197E-19</v>
      </c>
      <c r="H284" t="s">
        <v>78</v>
      </c>
      <c r="I284">
        <v>3835897.0865558302</v>
      </c>
      <c r="J284" t="s">
        <v>75</v>
      </c>
      <c r="K284">
        <v>3.14159265358979</v>
      </c>
      <c r="L284">
        <v>0.532550312013088</v>
      </c>
      <c r="M284">
        <v>0</v>
      </c>
      <c r="N284">
        <v>3.11353904668242E-2</v>
      </c>
      <c r="O284">
        <v>0</v>
      </c>
      <c r="P284">
        <v>1.6465181948967299E-2</v>
      </c>
      <c r="Q284">
        <v>0</v>
      </c>
      <c r="R284">
        <v>0</v>
      </c>
      <c r="S284">
        <v>2.4994812228917099E-3</v>
      </c>
      <c r="T284">
        <v>0</v>
      </c>
      <c r="U284">
        <v>6.2066341342621102E-2</v>
      </c>
      <c r="V284" t="s">
        <v>80</v>
      </c>
      <c r="W284">
        <v>10681947.7187426</v>
      </c>
      <c r="X284" t="s">
        <v>76</v>
      </c>
      <c r="Y284">
        <v>-1.5707963267949001</v>
      </c>
      <c r="Z284">
        <v>0.53174888554212796</v>
      </c>
      <c r="AA284">
        <v>1.47493896749192E-4</v>
      </c>
      <c r="AB284">
        <v>3.0625547187948601E-2</v>
      </c>
      <c r="AC284">
        <v>1.36436961413215E-4</v>
      </c>
      <c r="AD284">
        <v>0</v>
      </c>
      <c r="AE284">
        <v>1.8272667255829302E-2</v>
      </c>
      <c r="AF284">
        <v>0</v>
      </c>
      <c r="AG284">
        <v>0</v>
      </c>
      <c r="AH284">
        <v>0.68701732244691704</v>
      </c>
      <c r="AI284">
        <v>0.22041459607071201</v>
      </c>
      <c r="AJ284" t="s">
        <v>74</v>
      </c>
      <c r="AK284">
        <v>0</v>
      </c>
      <c r="AL284" t="s">
        <v>77</v>
      </c>
      <c r="AM284">
        <v>0</v>
      </c>
      <c r="AN284">
        <v>0.99199999999999999</v>
      </c>
      <c r="AO284">
        <v>0</v>
      </c>
      <c r="AP284">
        <v>5.8245346242475203E-2</v>
      </c>
      <c r="AQ284">
        <v>0</v>
      </c>
      <c r="AR284">
        <v>1.6E-2</v>
      </c>
      <c r="AS284">
        <v>0</v>
      </c>
      <c r="AT284">
        <v>0</v>
      </c>
      <c r="AU284">
        <v>0</v>
      </c>
      <c r="AV284">
        <v>0</v>
      </c>
      <c r="AW284">
        <v>1</v>
      </c>
      <c r="AX284" t="s">
        <v>74</v>
      </c>
      <c r="AY284">
        <v>0</v>
      </c>
      <c r="AZ284" t="s">
        <v>76</v>
      </c>
      <c r="BA284">
        <v>-1.5707963267949001</v>
      </c>
      <c r="BB284">
        <v>0.99199999999999999</v>
      </c>
      <c r="BC284">
        <v>0</v>
      </c>
      <c r="BD284">
        <v>5.8245346242475203E-2</v>
      </c>
      <c r="BE284">
        <v>0</v>
      </c>
      <c r="BF284">
        <v>1.6E-2</v>
      </c>
      <c r="BG284">
        <v>0</v>
      </c>
      <c r="BH284">
        <v>0</v>
      </c>
      <c r="BI284">
        <v>0</v>
      </c>
      <c r="BJ284">
        <v>0</v>
      </c>
      <c r="BK284">
        <v>1</v>
      </c>
      <c r="BL284" s="1">
        <v>8.9194033550568194E-5</v>
      </c>
      <c r="BM284">
        <v>3.4475840183490402E-4</v>
      </c>
      <c r="BN284" s="1">
        <v>3.3127652282885802E-7</v>
      </c>
      <c r="BO284" s="1">
        <v>5.4154523123394704E-6</v>
      </c>
      <c r="BP284" s="1">
        <v>2.6429139279352302E-6</v>
      </c>
      <c r="BQ284" s="1">
        <v>1.41191313632369E-6</v>
      </c>
      <c r="BR284" s="1">
        <v>6.0754417837180703E-5</v>
      </c>
      <c r="BS284">
        <v>2.49021173095182E-4</v>
      </c>
    </row>
    <row r="285" spans="1:71" x14ac:dyDescent="0.25">
      <c r="A285">
        <v>282</v>
      </c>
      <c r="B285">
        <v>2.7854274304887802E-4</v>
      </c>
      <c r="C285">
        <v>0.38333587250425699</v>
      </c>
      <c r="D285">
        <v>-1.2794526690707E-3</v>
      </c>
      <c r="E285">
        <v>6.1312499999999995E-4</v>
      </c>
      <c r="F285">
        <v>-3.8333587250425701E-3</v>
      </c>
      <c r="G285" s="1">
        <v>4.3368086899420197E-19</v>
      </c>
      <c r="H285" t="s">
        <v>78</v>
      </c>
      <c r="I285">
        <v>3837495.13675409</v>
      </c>
      <c r="J285" t="s">
        <v>75</v>
      </c>
      <c r="K285">
        <v>3.14159265358979</v>
      </c>
      <c r="L285">
        <v>0.52866817543739597</v>
      </c>
      <c r="M285" s="1">
        <v>6.1453574585234497E-7</v>
      </c>
      <c r="N285">
        <v>3.08867299607129E-2</v>
      </c>
      <c r="O285" s="1">
        <v>1.1063822055407401E-5</v>
      </c>
      <c r="P285">
        <v>1.5602067246575599E-2</v>
      </c>
      <c r="Q285">
        <v>8.7165122793168002E-4</v>
      </c>
      <c r="R285">
        <v>0</v>
      </c>
      <c r="S285">
        <v>4.7684619117145102E-3</v>
      </c>
      <c r="T285">
        <v>1.9936751181377901E-4</v>
      </c>
      <c r="U285">
        <v>5.9047481613469399E-2</v>
      </c>
      <c r="V285" t="s">
        <v>80</v>
      </c>
      <c r="W285">
        <v>10683240.568510899</v>
      </c>
      <c r="X285" t="s">
        <v>76</v>
      </c>
      <c r="Y285">
        <v>-1.5707963267949001</v>
      </c>
      <c r="Z285">
        <v>0.52791008402655804</v>
      </c>
      <c r="AA285">
        <v>1.47493896749192E-4</v>
      </c>
      <c r="AB285">
        <v>3.04044552399318E-2</v>
      </c>
      <c r="AC285">
        <v>1.36436961413215E-4</v>
      </c>
      <c r="AD285">
        <v>0</v>
      </c>
      <c r="AE285">
        <v>1.8272667255829302E-2</v>
      </c>
      <c r="AF285">
        <v>0</v>
      </c>
      <c r="AG285">
        <v>0</v>
      </c>
      <c r="AH285">
        <v>0.68701732244691704</v>
      </c>
      <c r="AI285">
        <v>0.21597918715016401</v>
      </c>
      <c r="AJ285" t="s">
        <v>74</v>
      </c>
      <c r="AK285">
        <v>0</v>
      </c>
      <c r="AL285" t="s">
        <v>77</v>
      </c>
      <c r="AM285">
        <v>0</v>
      </c>
      <c r="AN285">
        <v>0.99199999999999999</v>
      </c>
      <c r="AO285">
        <v>0</v>
      </c>
      <c r="AP285">
        <v>5.8245346242475203E-2</v>
      </c>
      <c r="AQ285">
        <v>0</v>
      </c>
      <c r="AR285">
        <v>1.6E-2</v>
      </c>
      <c r="AS285">
        <v>0</v>
      </c>
      <c r="AT285">
        <v>0</v>
      </c>
      <c r="AU285">
        <v>0</v>
      </c>
      <c r="AV285">
        <v>0</v>
      </c>
      <c r="AW285">
        <v>1</v>
      </c>
      <c r="AX285" t="s">
        <v>74</v>
      </c>
      <c r="AY285">
        <v>0</v>
      </c>
      <c r="AZ285" t="s">
        <v>76</v>
      </c>
      <c r="BA285">
        <v>-1.5707963267949001</v>
      </c>
      <c r="BB285">
        <v>0.99199999999999999</v>
      </c>
      <c r="BC285">
        <v>0</v>
      </c>
      <c r="BD285">
        <v>5.8245346242475203E-2</v>
      </c>
      <c r="BE285">
        <v>0</v>
      </c>
      <c r="BF285">
        <v>1.6E-2</v>
      </c>
      <c r="BG285">
        <v>0</v>
      </c>
      <c r="BH285">
        <v>0</v>
      </c>
      <c r="BI285">
        <v>0</v>
      </c>
      <c r="BJ285">
        <v>0</v>
      </c>
      <c r="BK285">
        <v>1</v>
      </c>
      <c r="BL285" s="1">
        <v>8.8964689234531899E-5</v>
      </c>
      <c r="BM285">
        <v>3.4599257593522301E-4</v>
      </c>
      <c r="BN285" s="1">
        <v>3.3042580708041203E-7</v>
      </c>
      <c r="BO285" s="1">
        <v>5.4348386737735198E-6</v>
      </c>
      <c r="BP285" s="1">
        <v>2.6233754536304902E-6</v>
      </c>
      <c r="BQ285" s="1">
        <v>2.8074088648287899E-6</v>
      </c>
      <c r="BR285" s="1">
        <v>6.0533164564508801E-5</v>
      </c>
      <c r="BS285">
        <v>2.5051806173559599E-4</v>
      </c>
    </row>
    <row r="286" spans="1:71" x14ac:dyDescent="0.25">
      <c r="A286">
        <v>283</v>
      </c>
      <c r="B286">
        <v>2.42531225599245E-4</v>
      </c>
      <c r="C286">
        <v>0.38357840372985702</v>
      </c>
      <c r="D286">
        <v>-1.2795829354185801E-3</v>
      </c>
      <c r="E286">
        <v>6.1312499999999995E-4</v>
      </c>
      <c r="F286">
        <v>-3.8357840372985701E-3</v>
      </c>
      <c r="G286" s="1">
        <v>4.3368086899420197E-19</v>
      </c>
      <c r="H286" t="s">
        <v>78</v>
      </c>
      <c r="I286">
        <v>3838884.6444648602</v>
      </c>
      <c r="J286" t="s">
        <v>75</v>
      </c>
      <c r="K286">
        <v>3.14159265358979</v>
      </c>
      <c r="L286">
        <v>0.52479830933222404</v>
      </c>
      <c r="M286" s="1">
        <v>6.1453574585234497E-7</v>
      </c>
      <c r="N286">
        <v>3.06473412048048E-2</v>
      </c>
      <c r="O286" s="1">
        <v>1.1902454346830601E-5</v>
      </c>
      <c r="P286">
        <v>1.47469726731675E-2</v>
      </c>
      <c r="Q286">
        <v>1.73174897589569E-3</v>
      </c>
      <c r="R286">
        <v>0</v>
      </c>
      <c r="S286">
        <v>6.9056185820889002E-3</v>
      </c>
      <c r="T286">
        <v>5.3218784339779295E-4</v>
      </c>
      <c r="U286">
        <v>5.6089373845835698E-2</v>
      </c>
      <c r="V286" t="s">
        <v>80</v>
      </c>
      <c r="W286">
        <v>10684364.703862701</v>
      </c>
      <c r="X286" t="s">
        <v>76</v>
      </c>
      <c r="Y286">
        <v>-1.5707963267949001</v>
      </c>
      <c r="Z286">
        <v>0.52406874938175596</v>
      </c>
      <c r="AA286">
        <v>1.47493896749192E-4</v>
      </c>
      <c r="AB286">
        <v>3.0183217398861099E-2</v>
      </c>
      <c r="AC286">
        <v>1.36436961413215E-4</v>
      </c>
      <c r="AD286">
        <v>0</v>
      </c>
      <c r="AE286">
        <v>1.8272667255829302E-2</v>
      </c>
      <c r="AF286">
        <v>0</v>
      </c>
      <c r="AG286">
        <v>0</v>
      </c>
      <c r="AH286">
        <v>0.68701732244691704</v>
      </c>
      <c r="AI286">
        <v>0.21155943845220701</v>
      </c>
      <c r="AJ286" t="s">
        <v>74</v>
      </c>
      <c r="AK286">
        <v>0</v>
      </c>
      <c r="AL286" t="s">
        <v>77</v>
      </c>
      <c r="AM286">
        <v>0</v>
      </c>
      <c r="AN286">
        <v>0.99199999999999999</v>
      </c>
      <c r="AO286">
        <v>0</v>
      </c>
      <c r="AP286">
        <v>5.8245346242475203E-2</v>
      </c>
      <c r="AQ286">
        <v>0</v>
      </c>
      <c r="AR286">
        <v>1.6E-2</v>
      </c>
      <c r="AS286">
        <v>0</v>
      </c>
      <c r="AT286">
        <v>0</v>
      </c>
      <c r="AU286">
        <v>0</v>
      </c>
      <c r="AV286">
        <v>0</v>
      </c>
      <c r="AW286">
        <v>1</v>
      </c>
      <c r="AX286" t="s">
        <v>74</v>
      </c>
      <c r="AY286">
        <v>0</v>
      </c>
      <c r="AZ286" t="s">
        <v>76</v>
      </c>
      <c r="BA286">
        <v>-1.5707963267949001</v>
      </c>
      <c r="BB286">
        <v>0.99199999999999999</v>
      </c>
      <c r="BC286">
        <v>0</v>
      </c>
      <c r="BD286">
        <v>5.8245346242475203E-2</v>
      </c>
      <c r="BE286">
        <v>0</v>
      </c>
      <c r="BF286">
        <v>1.6E-2</v>
      </c>
      <c r="BG286">
        <v>0</v>
      </c>
      <c r="BH286">
        <v>0</v>
      </c>
      <c r="BI286">
        <v>0</v>
      </c>
      <c r="BJ286">
        <v>0</v>
      </c>
      <c r="BK286">
        <v>1</v>
      </c>
      <c r="BL286" s="1">
        <v>8.8734795252188206E-5</v>
      </c>
      <c r="BM286">
        <v>3.4722756443620202E-4</v>
      </c>
      <c r="BN286" s="1">
        <v>3.29565896015299E-7</v>
      </c>
      <c r="BO286" s="1">
        <v>5.4542378277832398E-6</v>
      </c>
      <c r="BP286" s="1">
        <v>2.6032690873494201E-6</v>
      </c>
      <c r="BQ286" s="1">
        <v>4.2047587873442E-6</v>
      </c>
      <c r="BR286" s="1">
        <v>6.0311151909892603E-5</v>
      </c>
      <c r="BS286">
        <v>2.5201385911378E-4</v>
      </c>
    </row>
    <row r="287" spans="1:71" x14ac:dyDescent="0.25">
      <c r="A287">
        <v>284</v>
      </c>
      <c r="B287">
        <v>2.1645463799526199E-4</v>
      </c>
      <c r="C287">
        <v>0.38379485836785199</v>
      </c>
      <c r="D287">
        <v>-1.2796990547435699E-3</v>
      </c>
      <c r="E287">
        <v>6.1312499999999995E-4</v>
      </c>
      <c r="F287">
        <v>-3.8379485836785199E-3</v>
      </c>
      <c r="G287" s="1">
        <v>4.3368086899420197E-19</v>
      </c>
      <c r="H287" t="s">
        <v>78</v>
      </c>
      <c r="I287">
        <v>3840123.2505981298</v>
      </c>
      <c r="J287" t="s">
        <v>75</v>
      </c>
      <c r="K287">
        <v>3.14159265358979</v>
      </c>
      <c r="L287">
        <v>0.52093658532458798</v>
      </c>
      <c r="M287" s="1">
        <v>6.1453574585234497E-7</v>
      </c>
      <c r="N287">
        <v>3.0412068863019202E-2</v>
      </c>
      <c r="O287" s="1">
        <v>1.1902454346830601E-5</v>
      </c>
      <c r="P287">
        <v>1.39034895641708E-2</v>
      </c>
      <c r="Q287">
        <v>2.57873815130087E-3</v>
      </c>
      <c r="R287">
        <v>0</v>
      </c>
      <c r="S287">
        <v>8.9048610448910805E-3</v>
      </c>
      <c r="T287">
        <v>1.001740618891E-3</v>
      </c>
      <c r="U287">
        <v>5.3196372188754198E-2</v>
      </c>
      <c r="V287" t="s">
        <v>80</v>
      </c>
      <c r="W287">
        <v>10685366.757273801</v>
      </c>
      <c r="X287" t="s">
        <v>76</v>
      </c>
      <c r="Y287">
        <v>-1.5707963267949001</v>
      </c>
      <c r="Z287">
        <v>0.520229252628439</v>
      </c>
      <c r="AA287">
        <v>1.47493896749192E-4</v>
      </c>
      <c r="AB287">
        <v>2.9962085409319099E-2</v>
      </c>
      <c r="AC287">
        <v>1.36436961413215E-4</v>
      </c>
      <c r="AD287">
        <v>0</v>
      </c>
      <c r="AE287">
        <v>1.8272667255829302E-2</v>
      </c>
      <c r="AF287">
        <v>0</v>
      </c>
      <c r="AG287">
        <v>0</v>
      </c>
      <c r="AH287">
        <v>0.68701732244691704</v>
      </c>
      <c r="AI287">
        <v>0.20716074266811901</v>
      </c>
      <c r="AJ287" t="s">
        <v>74</v>
      </c>
      <c r="AK287">
        <v>0</v>
      </c>
      <c r="AL287" t="s">
        <v>77</v>
      </c>
      <c r="AM287">
        <v>0</v>
      </c>
      <c r="AN287">
        <v>0.99199999999999999</v>
      </c>
      <c r="AO287">
        <v>0</v>
      </c>
      <c r="AP287">
        <v>5.8245346242475203E-2</v>
      </c>
      <c r="AQ287">
        <v>0</v>
      </c>
      <c r="AR287">
        <v>1.6E-2</v>
      </c>
      <c r="AS287">
        <v>0</v>
      </c>
      <c r="AT287">
        <v>0</v>
      </c>
      <c r="AU287">
        <v>0</v>
      </c>
      <c r="AV287">
        <v>0</v>
      </c>
      <c r="AW287">
        <v>1</v>
      </c>
      <c r="AX287" t="s">
        <v>74</v>
      </c>
      <c r="AY287">
        <v>0</v>
      </c>
      <c r="AZ287" t="s">
        <v>76</v>
      </c>
      <c r="BA287">
        <v>-1.5707963267949001</v>
      </c>
      <c r="BB287">
        <v>0.99199999999999999</v>
      </c>
      <c r="BC287">
        <v>0</v>
      </c>
      <c r="BD287">
        <v>5.8245346242475203E-2</v>
      </c>
      <c r="BE287">
        <v>0</v>
      </c>
      <c r="BF287">
        <v>1.6E-2</v>
      </c>
      <c r="BG287">
        <v>0</v>
      </c>
      <c r="BH287">
        <v>0</v>
      </c>
      <c r="BI287">
        <v>0</v>
      </c>
      <c r="BJ287">
        <v>0</v>
      </c>
      <c r="BK287">
        <v>1</v>
      </c>
      <c r="BL287" s="1">
        <v>8.85065930865244E-5</v>
      </c>
      <c r="BM287">
        <v>3.4846196205534999E-4</v>
      </c>
      <c r="BN287" s="1">
        <v>3.2870277958890198E-7</v>
      </c>
      <c r="BO287" s="1">
        <v>5.4736277002428601E-6</v>
      </c>
      <c r="BP287" s="1">
        <v>2.5828902657748598E-6</v>
      </c>
      <c r="BQ287" s="1">
        <v>5.6022310679100196E-6</v>
      </c>
      <c r="BR287" s="1">
        <v>6.0091045537774897E-5</v>
      </c>
      <c r="BS287">
        <v>2.5350745045598402E-4</v>
      </c>
    </row>
    <row r="288" spans="1:71" x14ac:dyDescent="0.25">
      <c r="A288">
        <v>285</v>
      </c>
      <c r="B288">
        <v>1.9694923615014301E-4</v>
      </c>
      <c r="C288">
        <v>0.38399180760400198</v>
      </c>
      <c r="D288">
        <v>-1.27980459584633E-3</v>
      </c>
      <c r="E288">
        <v>6.1312499999999995E-4</v>
      </c>
      <c r="F288">
        <v>-3.8399180760400201E-3</v>
      </c>
      <c r="G288" s="1">
        <v>4.3368086899420197E-19</v>
      </c>
      <c r="H288" t="s">
        <v>78</v>
      </c>
      <c r="I288">
        <v>3841249.0223609</v>
      </c>
      <c r="J288" t="s">
        <v>75</v>
      </c>
      <c r="K288">
        <v>3.14159265358979</v>
      </c>
      <c r="L288">
        <v>0.51708183210187098</v>
      </c>
      <c r="M288" s="1">
        <v>6.1453574585234497E-7</v>
      </c>
      <c r="N288">
        <v>3.01792334439904E-2</v>
      </c>
      <c r="O288" s="1">
        <v>1.1902454346830601E-5</v>
      </c>
      <c r="P288">
        <v>1.3073088495268099E-2</v>
      </c>
      <c r="Q288">
        <v>3.41181265343956E-3</v>
      </c>
      <c r="R288">
        <v>0</v>
      </c>
      <c r="S288">
        <v>1.0761758010780499E-2</v>
      </c>
      <c r="T288">
        <v>1.6114187607245E-3</v>
      </c>
      <c r="U288">
        <v>5.0370588888729403E-2</v>
      </c>
      <c r="V288" t="s">
        <v>80</v>
      </c>
      <c r="W288">
        <v>10686277.525761699</v>
      </c>
      <c r="X288" t="s">
        <v>76</v>
      </c>
      <c r="Y288">
        <v>-1.5707963267949001</v>
      </c>
      <c r="Z288">
        <v>0.51639320864592797</v>
      </c>
      <c r="AA288">
        <v>1.47493896749192E-4</v>
      </c>
      <c r="AB288">
        <v>2.9741152278670999E-2</v>
      </c>
      <c r="AC288">
        <v>1.36436961413215E-4</v>
      </c>
      <c r="AD288">
        <v>0</v>
      </c>
      <c r="AE288">
        <v>1.8272667255829302E-2</v>
      </c>
      <c r="AF288">
        <v>0</v>
      </c>
      <c r="AG288">
        <v>0</v>
      </c>
      <c r="AH288">
        <v>0.68701732244691704</v>
      </c>
      <c r="AI288">
        <v>0.20278528552121</v>
      </c>
      <c r="AJ288" t="s">
        <v>74</v>
      </c>
      <c r="AK288">
        <v>0</v>
      </c>
      <c r="AL288" t="s">
        <v>77</v>
      </c>
      <c r="AM288">
        <v>0</v>
      </c>
      <c r="AN288">
        <v>0.99199999999999999</v>
      </c>
      <c r="AO288">
        <v>0</v>
      </c>
      <c r="AP288">
        <v>5.8245346242475203E-2</v>
      </c>
      <c r="AQ288">
        <v>0</v>
      </c>
      <c r="AR288">
        <v>1.6E-2</v>
      </c>
      <c r="AS288">
        <v>0</v>
      </c>
      <c r="AT288">
        <v>0</v>
      </c>
      <c r="AU288">
        <v>0</v>
      </c>
      <c r="AV288">
        <v>0</v>
      </c>
      <c r="AW288">
        <v>1</v>
      </c>
      <c r="AX288" t="s">
        <v>74</v>
      </c>
      <c r="AY288">
        <v>0</v>
      </c>
      <c r="AZ288" t="s">
        <v>76</v>
      </c>
      <c r="BA288">
        <v>-1.5707963267949001</v>
      </c>
      <c r="BB288">
        <v>0.99199999999999999</v>
      </c>
      <c r="BC288">
        <v>0</v>
      </c>
      <c r="BD288">
        <v>5.8245346242475203E-2</v>
      </c>
      <c r="BE288">
        <v>0</v>
      </c>
      <c r="BF288">
        <v>1.6E-2</v>
      </c>
      <c r="BG288">
        <v>0</v>
      </c>
      <c r="BH288">
        <v>0</v>
      </c>
      <c r="BI288">
        <v>0</v>
      </c>
      <c r="BJ288">
        <v>0</v>
      </c>
      <c r="BK288">
        <v>1</v>
      </c>
      <c r="BL288" s="1">
        <v>8.8279708811685994E-5</v>
      </c>
      <c r="BM288">
        <v>3.4969524960921098E-4</v>
      </c>
      <c r="BN288" s="1">
        <v>3.2784951959591798E-7</v>
      </c>
      <c r="BO288" s="1">
        <v>5.4930001358377299E-6</v>
      </c>
      <c r="BP288" s="1">
        <v>2.5628579172883501E-6</v>
      </c>
      <c r="BQ288" s="1">
        <v>6.9991424689444899E-6</v>
      </c>
      <c r="BR288" s="1">
        <v>5.98723983876956E-5</v>
      </c>
      <c r="BS288">
        <v>2.5499859031658298E-4</v>
      </c>
    </row>
    <row r="289" spans="1:71" x14ac:dyDescent="0.25">
      <c r="A289">
        <v>286</v>
      </c>
      <c r="B289">
        <v>1.8199945284670199E-4</v>
      </c>
      <c r="C289">
        <v>0.384173807056849</v>
      </c>
      <c r="D289">
        <v>-1.2799020296211899E-3</v>
      </c>
      <c r="E289">
        <v>6.1312499999999995E-4</v>
      </c>
      <c r="F289">
        <v>-3.8417380705684902E-3</v>
      </c>
      <c r="G289" s="1">
        <v>4.3368086899420197E-19</v>
      </c>
      <c r="H289" t="s">
        <v>78</v>
      </c>
      <c r="I289">
        <v>3842288.3159594098</v>
      </c>
      <c r="J289" t="s">
        <v>75</v>
      </c>
      <c r="K289">
        <v>3.14159265358979</v>
      </c>
      <c r="L289">
        <v>0.51323375192845799</v>
      </c>
      <c r="M289" s="1">
        <v>6.1453574585234497E-7</v>
      </c>
      <c r="N289">
        <v>2.99480824287786E-2</v>
      </c>
      <c r="O289" s="1">
        <v>1.1902454346830601E-5</v>
      </c>
      <c r="P289">
        <v>1.2256692670156499E-2</v>
      </c>
      <c r="Q289">
        <v>4.2303508930350798E-3</v>
      </c>
      <c r="R289">
        <v>0</v>
      </c>
      <c r="S289">
        <v>1.24721125294192E-2</v>
      </c>
      <c r="T289">
        <v>2.3647934129077701E-3</v>
      </c>
      <c r="U289">
        <v>4.7613593273312799E-2</v>
      </c>
      <c r="V289" t="s">
        <v>80</v>
      </c>
      <c r="W289">
        <v>10687118.331945</v>
      </c>
      <c r="X289" t="s">
        <v>76</v>
      </c>
      <c r="Y289">
        <v>-1.5707963267949001</v>
      </c>
      <c r="Z289">
        <v>0.51256159069491702</v>
      </c>
      <c r="AA289">
        <v>1.47493896749192E-4</v>
      </c>
      <c r="AB289">
        <v>2.9520474060896799E-2</v>
      </c>
      <c r="AC289">
        <v>1.36436961413215E-4</v>
      </c>
      <c r="AD289">
        <v>0</v>
      </c>
      <c r="AE289">
        <v>1.8272667255829302E-2</v>
      </c>
      <c r="AF289">
        <v>0</v>
      </c>
      <c r="AG289">
        <v>0</v>
      </c>
      <c r="AH289">
        <v>0.68701732244691704</v>
      </c>
      <c r="AI289">
        <v>0.198434497045612</v>
      </c>
      <c r="AJ289" t="s">
        <v>74</v>
      </c>
      <c r="AK289">
        <v>0</v>
      </c>
      <c r="AL289" t="s">
        <v>77</v>
      </c>
      <c r="AM289">
        <v>0</v>
      </c>
      <c r="AN289">
        <v>0.99199999999999999</v>
      </c>
      <c r="AO289">
        <v>0</v>
      </c>
      <c r="AP289">
        <v>5.8245346242475203E-2</v>
      </c>
      <c r="AQ289">
        <v>0</v>
      </c>
      <c r="AR289">
        <v>1.6E-2</v>
      </c>
      <c r="AS289">
        <v>0</v>
      </c>
      <c r="AT289">
        <v>0</v>
      </c>
      <c r="AU289">
        <v>0</v>
      </c>
      <c r="AV289">
        <v>0</v>
      </c>
      <c r="AW289">
        <v>1</v>
      </c>
      <c r="AX289" t="s">
        <v>74</v>
      </c>
      <c r="AY289">
        <v>0</v>
      </c>
      <c r="AZ289" t="s">
        <v>76</v>
      </c>
      <c r="BA289">
        <v>-1.5707963267949001</v>
      </c>
      <c r="BB289">
        <v>0.99199999999999999</v>
      </c>
      <c r="BC289">
        <v>0</v>
      </c>
      <c r="BD289">
        <v>5.8245346242475203E-2</v>
      </c>
      <c r="BE289">
        <v>0</v>
      </c>
      <c r="BF289">
        <v>1.6E-2</v>
      </c>
      <c r="BG289">
        <v>0</v>
      </c>
      <c r="BH289">
        <v>0</v>
      </c>
      <c r="BI289">
        <v>0</v>
      </c>
      <c r="BJ289">
        <v>0</v>
      </c>
      <c r="BK289">
        <v>1</v>
      </c>
      <c r="BL289" s="1">
        <v>8.8053794195192906E-5</v>
      </c>
      <c r="BM289">
        <v>3.5092711419462198E-4</v>
      </c>
      <c r="BN289" s="1">
        <v>3.2700361500651198E-7</v>
      </c>
      <c r="BO289" s="1">
        <v>5.5123502194964501E-6</v>
      </c>
      <c r="BP289" s="1">
        <v>2.5430723419419301E-6</v>
      </c>
      <c r="BQ289" s="1">
        <v>8.3950724231721297E-6</v>
      </c>
      <c r="BR289" s="1">
        <v>5.96547957267754E-5</v>
      </c>
      <c r="BS289">
        <v>2.5648716469142999E-4</v>
      </c>
    </row>
    <row r="290" spans="1:71" x14ac:dyDescent="0.25">
      <c r="A290">
        <v>287</v>
      </c>
      <c r="B290">
        <v>1.7035615539689301E-4</v>
      </c>
      <c r="C290">
        <v>0.38434416321224601</v>
      </c>
      <c r="D290">
        <v>-1.27999314714102E-3</v>
      </c>
      <c r="E290">
        <v>6.1312499999999995E-4</v>
      </c>
      <c r="F290">
        <v>-3.8434416321224598E-3</v>
      </c>
      <c r="G290" s="1">
        <v>4.3368086899420197E-19</v>
      </c>
      <c r="H290" t="s">
        <v>78</v>
      </c>
      <c r="I290">
        <v>3843260.23617088</v>
      </c>
      <c r="J290" t="s">
        <v>75</v>
      </c>
      <c r="K290">
        <v>3.14159265358979</v>
      </c>
      <c r="L290">
        <v>0.50939243405170598</v>
      </c>
      <c r="M290" s="1">
        <v>6.1453574585234497E-7</v>
      </c>
      <c r="N290">
        <v>2.97182216385041E-2</v>
      </c>
      <c r="O290" s="1">
        <v>1.1902454346830601E-5</v>
      </c>
      <c r="P290">
        <v>1.14550244324112E-2</v>
      </c>
      <c r="Q290">
        <v>5.0337933266879102E-3</v>
      </c>
      <c r="R290">
        <v>0</v>
      </c>
      <c r="S290">
        <v>1.4031629454558299E-2</v>
      </c>
      <c r="T290">
        <v>3.2656585549448698E-3</v>
      </c>
      <c r="U290">
        <v>4.4926766745039599E-2</v>
      </c>
      <c r="V290" t="s">
        <v>80</v>
      </c>
      <c r="W290">
        <v>10687904.631913301</v>
      </c>
      <c r="X290" t="s">
        <v>76</v>
      </c>
      <c r="Y290">
        <v>-1.5707963267949001</v>
      </c>
      <c r="Z290">
        <v>0.50873517819528702</v>
      </c>
      <c r="AA290">
        <v>1.47493896749192E-4</v>
      </c>
      <c r="AB290">
        <v>2.9300095645907701E-2</v>
      </c>
      <c r="AC290">
        <v>1.36436961413215E-4</v>
      </c>
      <c r="AD290">
        <v>0</v>
      </c>
      <c r="AE290">
        <v>1.8272667255829302E-2</v>
      </c>
      <c r="AF290">
        <v>0</v>
      </c>
      <c r="AG290">
        <v>0</v>
      </c>
      <c r="AH290">
        <v>0.68701732244691704</v>
      </c>
      <c r="AI290">
        <v>0.194109565818711</v>
      </c>
      <c r="AJ290" t="s">
        <v>74</v>
      </c>
      <c r="AK290">
        <v>0</v>
      </c>
      <c r="AL290" t="s">
        <v>77</v>
      </c>
      <c r="AM290">
        <v>0</v>
      </c>
      <c r="AN290">
        <v>0.99199999999999999</v>
      </c>
      <c r="AO290">
        <v>0</v>
      </c>
      <c r="AP290">
        <v>5.8245346242475203E-2</v>
      </c>
      <c r="AQ290">
        <v>0</v>
      </c>
      <c r="AR290">
        <v>1.6E-2</v>
      </c>
      <c r="AS290">
        <v>0</v>
      </c>
      <c r="AT290">
        <v>0</v>
      </c>
      <c r="AU290">
        <v>0</v>
      </c>
      <c r="AV290">
        <v>0</v>
      </c>
      <c r="AW290">
        <v>1</v>
      </c>
      <c r="AX290" t="s">
        <v>74</v>
      </c>
      <c r="AY290">
        <v>0</v>
      </c>
      <c r="AZ290" t="s">
        <v>76</v>
      </c>
      <c r="BA290">
        <v>-1.5707963267949001</v>
      </c>
      <c r="BB290">
        <v>0.99199999999999999</v>
      </c>
      <c r="BC290">
        <v>0</v>
      </c>
      <c r="BD290">
        <v>5.8245346242475203E-2</v>
      </c>
      <c r="BE290">
        <v>0</v>
      </c>
      <c r="BF290">
        <v>1.6E-2</v>
      </c>
      <c r="BG290">
        <v>0</v>
      </c>
      <c r="BH290">
        <v>0</v>
      </c>
      <c r="BI290">
        <v>0</v>
      </c>
      <c r="BJ290">
        <v>0</v>
      </c>
      <c r="BK290">
        <v>1</v>
      </c>
      <c r="BL290" s="1">
        <v>8.7828674592561106E-5</v>
      </c>
      <c r="BM290">
        <v>3.5215730522821003E-4</v>
      </c>
      <c r="BN290" s="1">
        <v>3.2616325249670499E-7</v>
      </c>
      <c r="BO290" s="1">
        <v>5.5316740150646203E-6</v>
      </c>
      <c r="BP290" s="1">
        <v>2.5234608093063198E-6</v>
      </c>
      <c r="BQ290" s="1">
        <v>9.7896905194614996E-6</v>
      </c>
      <c r="BR290" s="1">
        <v>5.9438029232004799E-5</v>
      </c>
      <c r="BS290">
        <v>2.57973062464074E-4</v>
      </c>
    </row>
    <row r="291" spans="1:71" x14ac:dyDescent="0.25">
      <c r="A291">
        <v>288</v>
      </c>
      <c r="B291">
        <v>1.6121277418504101E-4</v>
      </c>
      <c r="C291">
        <v>0.38450537598643098</v>
      </c>
      <c r="D291">
        <v>-1.28007930074107E-3</v>
      </c>
      <c r="E291">
        <v>6.1312499999999995E-4</v>
      </c>
      <c r="F291">
        <v>-3.8450537598643101E-3</v>
      </c>
      <c r="G291" s="1">
        <v>4.3368086899420197E-19</v>
      </c>
      <c r="H291" t="s">
        <v>78</v>
      </c>
      <c r="I291">
        <v>3844179.2079047202</v>
      </c>
      <c r="J291" t="s">
        <v>75</v>
      </c>
      <c r="K291">
        <v>3.14159265358979</v>
      </c>
      <c r="L291">
        <v>0.50555819728978302</v>
      </c>
      <c r="M291" s="1">
        <v>6.1453574585234497E-7</v>
      </c>
      <c r="N291">
        <v>2.9489427140950101E-2</v>
      </c>
      <c r="O291" s="1">
        <v>1.1902454346830601E-5</v>
      </c>
      <c r="P291">
        <v>1.06687206093078E-2</v>
      </c>
      <c r="Q291">
        <v>5.8216011472163598E-3</v>
      </c>
      <c r="R291">
        <v>0</v>
      </c>
      <c r="S291">
        <v>1.54357724654875E-2</v>
      </c>
      <c r="T291">
        <v>4.3180762353493499E-3</v>
      </c>
      <c r="U291">
        <v>4.2311416628187798E-2</v>
      </c>
      <c r="V291" t="s">
        <v>80</v>
      </c>
      <c r="W291">
        <v>10688648.0956633</v>
      </c>
      <c r="X291" t="s">
        <v>76</v>
      </c>
      <c r="Y291">
        <v>-1.5707963267949001</v>
      </c>
      <c r="Z291">
        <v>0.50491470874022804</v>
      </c>
      <c r="AA291">
        <v>1.47493896749192E-4</v>
      </c>
      <c r="AB291">
        <v>2.90800595146486E-2</v>
      </c>
      <c r="AC291">
        <v>1.36436961413215E-4</v>
      </c>
      <c r="AD291">
        <v>0</v>
      </c>
      <c r="AE291">
        <v>1.8272667255829302E-2</v>
      </c>
      <c r="AF291">
        <v>0</v>
      </c>
      <c r="AG291">
        <v>0</v>
      </c>
      <c r="AH291">
        <v>0.68701732244691704</v>
      </c>
      <c r="AI291">
        <v>0.18981160966119401</v>
      </c>
      <c r="AJ291" t="s">
        <v>74</v>
      </c>
      <c r="AK291">
        <v>0</v>
      </c>
      <c r="AL291" t="s">
        <v>77</v>
      </c>
      <c r="AM291">
        <v>0</v>
      </c>
      <c r="AN291">
        <v>0.99199999999999999</v>
      </c>
      <c r="AO291">
        <v>0</v>
      </c>
      <c r="AP291">
        <v>5.8245346242475203E-2</v>
      </c>
      <c r="AQ291">
        <v>0</v>
      </c>
      <c r="AR291">
        <v>1.6E-2</v>
      </c>
      <c r="AS291">
        <v>0</v>
      </c>
      <c r="AT291">
        <v>0</v>
      </c>
      <c r="AU291">
        <v>0</v>
      </c>
      <c r="AV291">
        <v>0</v>
      </c>
      <c r="AW291">
        <v>1</v>
      </c>
      <c r="AX291" t="s">
        <v>74</v>
      </c>
      <c r="AY291">
        <v>0</v>
      </c>
      <c r="AZ291" t="s">
        <v>76</v>
      </c>
      <c r="BA291">
        <v>-1.5707963267949001</v>
      </c>
      <c r="BB291">
        <v>0.99199999999999999</v>
      </c>
      <c r="BC291">
        <v>0</v>
      </c>
      <c r="BD291">
        <v>5.8245346242475203E-2</v>
      </c>
      <c r="BE291">
        <v>0</v>
      </c>
      <c r="BF291">
        <v>1.6E-2</v>
      </c>
      <c r="BG291">
        <v>0</v>
      </c>
      <c r="BH291">
        <v>0</v>
      </c>
      <c r="BI291">
        <v>0</v>
      </c>
      <c r="BJ291">
        <v>0</v>
      </c>
      <c r="BK291">
        <v>1</v>
      </c>
      <c r="BL291" s="1">
        <v>8.7604259278154594E-5</v>
      </c>
      <c r="BM291">
        <v>3.5338558557387699E-4</v>
      </c>
      <c r="BN291" s="1">
        <v>3.2532738697324801E-7</v>
      </c>
      <c r="BO291" s="1">
        <v>5.5509677976170896E-6</v>
      </c>
      <c r="BP291" s="1">
        <v>2.50398247117355E-6</v>
      </c>
      <c r="BQ291" s="1">
        <v>1.11826955647093E-5</v>
      </c>
      <c r="BR291" s="1">
        <v>5.9221988898396602E-5</v>
      </c>
      <c r="BS291">
        <v>2.5945614225147598E-4</v>
      </c>
    </row>
    <row r="292" spans="1:71" x14ac:dyDescent="0.25">
      <c r="A292">
        <v>289</v>
      </c>
      <c r="B292">
        <v>1.5403177917302301E-4</v>
      </c>
      <c r="C292">
        <v>0.38465940776560398</v>
      </c>
      <c r="D292">
        <v>-1.28016155039889E-3</v>
      </c>
      <c r="E292">
        <v>6.1312499999999995E-4</v>
      </c>
      <c r="F292">
        <v>-3.8465940776560401E-3</v>
      </c>
      <c r="G292" s="1">
        <v>4.3368086899420197E-19</v>
      </c>
      <c r="H292" t="s">
        <v>78</v>
      </c>
      <c r="I292">
        <v>3845056.53758818</v>
      </c>
      <c r="J292" t="s">
        <v>75</v>
      </c>
      <c r="K292">
        <v>3.14159265358979</v>
      </c>
      <c r="L292">
        <v>0.50173153457865105</v>
      </c>
      <c r="M292" s="1">
        <v>6.1453574585234497E-7</v>
      </c>
      <c r="N292">
        <v>2.9261568272255199E-2</v>
      </c>
      <c r="O292" s="1">
        <v>1.1902454346830601E-5</v>
      </c>
      <c r="P292">
        <v>9.8983811935817404E-3</v>
      </c>
      <c r="Q292">
        <v>6.5932380401130201E-3</v>
      </c>
      <c r="R292">
        <v>0</v>
      </c>
      <c r="S292">
        <v>1.6679665409734701E-2</v>
      </c>
      <c r="T292">
        <v>5.5264288852142204E-3</v>
      </c>
      <c r="U292">
        <v>3.9768822626066701E-2</v>
      </c>
      <c r="V292" t="s">
        <v>80</v>
      </c>
      <c r="W292">
        <v>10689357.870286901</v>
      </c>
      <c r="X292" t="s">
        <v>76</v>
      </c>
      <c r="Y292">
        <v>-1.5707963267949001</v>
      </c>
      <c r="Z292">
        <v>0.50110095017050904</v>
      </c>
      <c r="AA292">
        <v>1.47493896749192E-4</v>
      </c>
      <c r="AB292">
        <v>2.8860409890143501E-2</v>
      </c>
      <c r="AC292">
        <v>1.36436961413215E-4</v>
      </c>
      <c r="AD292">
        <v>0</v>
      </c>
      <c r="AE292">
        <v>1.8272667255829302E-2</v>
      </c>
      <c r="AF292">
        <v>0</v>
      </c>
      <c r="AG292">
        <v>0</v>
      </c>
      <c r="AH292">
        <v>0.68701732244691704</v>
      </c>
      <c r="AI292">
        <v>0.18554175238523701</v>
      </c>
      <c r="AJ292" t="s">
        <v>74</v>
      </c>
      <c r="AK292">
        <v>0</v>
      </c>
      <c r="AL292" t="s">
        <v>77</v>
      </c>
      <c r="AM292">
        <v>0</v>
      </c>
      <c r="AN292">
        <v>0.99199999999999999</v>
      </c>
      <c r="AO292">
        <v>0</v>
      </c>
      <c r="AP292">
        <v>5.8245346242475203E-2</v>
      </c>
      <c r="AQ292">
        <v>0</v>
      </c>
      <c r="AR292">
        <v>1.6E-2</v>
      </c>
      <c r="AS292">
        <v>0</v>
      </c>
      <c r="AT292">
        <v>0</v>
      </c>
      <c r="AU292">
        <v>0</v>
      </c>
      <c r="AV292">
        <v>0</v>
      </c>
      <c r="AW292">
        <v>1</v>
      </c>
      <c r="AX292" t="s">
        <v>74</v>
      </c>
      <c r="AY292">
        <v>0</v>
      </c>
      <c r="AZ292" t="s">
        <v>76</v>
      </c>
      <c r="BA292">
        <v>-1.5707963267949001</v>
      </c>
      <c r="BB292">
        <v>0.99199999999999999</v>
      </c>
      <c r="BC292">
        <v>0</v>
      </c>
      <c r="BD292">
        <v>5.8245346242475203E-2</v>
      </c>
      <c r="BE292">
        <v>0</v>
      </c>
      <c r="BF292">
        <v>1.6E-2</v>
      </c>
      <c r="BG292">
        <v>0</v>
      </c>
      <c r="BH292">
        <v>0</v>
      </c>
      <c r="BI292">
        <v>0</v>
      </c>
      <c r="BJ292">
        <v>0</v>
      </c>
      <c r="BK292">
        <v>1</v>
      </c>
      <c r="BL292" s="1">
        <v>8.7380505031554507E-5</v>
      </c>
      <c r="BM292">
        <v>3.5461170837093299E-4</v>
      </c>
      <c r="BN292" s="1">
        <v>3.2449539151684202E-7</v>
      </c>
      <c r="BO292" s="1">
        <v>5.5702276894752503E-6</v>
      </c>
      <c r="BP292" s="1">
        <v>2.4846131439615E-6</v>
      </c>
      <c r="BQ292" s="1">
        <v>1.25737859574648E-5</v>
      </c>
      <c r="BR292" s="1">
        <v>5.9006619324936201E-5</v>
      </c>
      <c r="BS292">
        <v>2.6093622007958701E-4</v>
      </c>
    </row>
    <row r="293" spans="1:71" x14ac:dyDescent="0.25">
      <c r="A293">
        <v>290</v>
      </c>
      <c r="B293">
        <v>1.48447973787622E-4</v>
      </c>
      <c r="C293">
        <v>0.38480785573939102</v>
      </c>
      <c r="D293">
        <v>-1.28024075737574E-3</v>
      </c>
      <c r="E293">
        <v>6.1312499999999995E-4</v>
      </c>
      <c r="F293">
        <v>-3.8480785573939101E-3</v>
      </c>
      <c r="G293" s="1">
        <v>4.3368086899420197E-19</v>
      </c>
      <c r="H293" t="s">
        <v>78</v>
      </c>
      <c r="I293">
        <v>3845901.4120078702</v>
      </c>
      <c r="J293" t="s">
        <v>75</v>
      </c>
      <c r="K293">
        <v>3.14159265358979</v>
      </c>
      <c r="L293">
        <v>0.49791309925027399</v>
      </c>
      <c r="M293" s="1">
        <v>6.1453574585234497E-7</v>
      </c>
      <c r="N293">
        <v>2.9034571749273701E-2</v>
      </c>
      <c r="O293" s="1">
        <v>1.1902454346830601E-5</v>
      </c>
      <c r="P293">
        <v>9.1445938365152905E-3</v>
      </c>
      <c r="Q293">
        <v>7.3481601220337098E-3</v>
      </c>
      <c r="R293">
        <v>0</v>
      </c>
      <c r="S293">
        <v>1.77579984891564E-2</v>
      </c>
      <c r="T293">
        <v>6.8954829500043396E-3</v>
      </c>
      <c r="U293">
        <v>3.7300259547603402E-2</v>
      </c>
      <c r="V293" t="s">
        <v>80</v>
      </c>
      <c r="W293">
        <v>10690041.388050601</v>
      </c>
      <c r="X293" t="s">
        <v>76</v>
      </c>
      <c r="Y293">
        <v>-1.5707963267949001</v>
      </c>
      <c r="Z293">
        <v>0.49729474751402702</v>
      </c>
      <c r="AA293">
        <v>1.47493896749192E-4</v>
      </c>
      <c r="AB293">
        <v>2.86411954409319E-2</v>
      </c>
      <c r="AC293">
        <v>1.36436961413215E-4</v>
      </c>
      <c r="AD293">
        <v>0</v>
      </c>
      <c r="AE293">
        <v>1.8272667255829302E-2</v>
      </c>
      <c r="AF293">
        <v>0</v>
      </c>
      <c r="AG293">
        <v>0</v>
      </c>
      <c r="AH293">
        <v>0.68701732244691704</v>
      </c>
      <c r="AI293">
        <v>0.181301169739396</v>
      </c>
      <c r="AJ293" t="s">
        <v>74</v>
      </c>
      <c r="AK293">
        <v>0</v>
      </c>
      <c r="AL293" t="s">
        <v>77</v>
      </c>
      <c r="AM293">
        <v>0</v>
      </c>
      <c r="AN293">
        <v>0.99199999999999999</v>
      </c>
      <c r="AO293">
        <v>0</v>
      </c>
      <c r="AP293">
        <v>5.8245346242475203E-2</v>
      </c>
      <c r="AQ293">
        <v>0</v>
      </c>
      <c r="AR293">
        <v>1.6E-2</v>
      </c>
      <c r="AS293">
        <v>0</v>
      </c>
      <c r="AT293">
        <v>0</v>
      </c>
      <c r="AU293">
        <v>0</v>
      </c>
      <c r="AV293">
        <v>0</v>
      </c>
      <c r="AW293">
        <v>1</v>
      </c>
      <c r="AX293" t="s">
        <v>74</v>
      </c>
      <c r="AY293">
        <v>0</v>
      </c>
      <c r="AZ293" t="s">
        <v>76</v>
      </c>
      <c r="BA293">
        <v>-1.5707963267949001</v>
      </c>
      <c r="BB293">
        <v>0.99199999999999999</v>
      </c>
      <c r="BC293">
        <v>0</v>
      </c>
      <c r="BD293">
        <v>5.8245346242475203E-2</v>
      </c>
      <c r="BE293">
        <v>0</v>
      </c>
      <c r="BF293">
        <v>1.6E-2</v>
      </c>
      <c r="BG293">
        <v>0</v>
      </c>
      <c r="BH293">
        <v>0</v>
      </c>
      <c r="BI293">
        <v>0</v>
      </c>
      <c r="BJ293">
        <v>0</v>
      </c>
      <c r="BK293">
        <v>1</v>
      </c>
      <c r="BL293" s="1">
        <v>8.7157399545458004E-5</v>
      </c>
      <c r="BM293">
        <v>3.55835401943039E-4</v>
      </c>
      <c r="BN293" s="1">
        <v>3.2366689350778301E-7</v>
      </c>
      <c r="BO293" s="1">
        <v>5.5894494231571098E-6</v>
      </c>
      <c r="BP293" s="1">
        <v>2.4653383147759298E-6</v>
      </c>
      <c r="BQ293" s="1">
        <v>1.3962640534214E-5</v>
      </c>
      <c r="BR293" s="1">
        <v>5.8791899780462499E-5</v>
      </c>
      <c r="BS293">
        <v>2.6241306118037302E-4</v>
      </c>
    </row>
    <row r="294" spans="1:71" x14ac:dyDescent="0.25">
      <c r="A294">
        <v>291</v>
      </c>
      <c r="B294">
        <v>1.4421252505363E-4</v>
      </c>
      <c r="C294">
        <v>0.384952068264445</v>
      </c>
      <c r="D294">
        <v>-1.2803176473426699E-3</v>
      </c>
      <c r="E294">
        <v>6.1312499999999995E-4</v>
      </c>
      <c r="F294">
        <v>-3.84952068264445E-3</v>
      </c>
      <c r="G294" s="1">
        <v>4.3368086899420197E-19</v>
      </c>
      <c r="H294" t="s">
        <v>78</v>
      </c>
      <c r="I294">
        <v>3846721.5716551198</v>
      </c>
      <c r="J294" t="s">
        <v>75</v>
      </c>
      <c r="K294">
        <v>3.14159265358979</v>
      </c>
      <c r="L294">
        <v>0.49410371386950103</v>
      </c>
      <c r="M294" s="1">
        <v>6.1453574585234497E-7</v>
      </c>
      <c r="N294">
        <v>2.8808403661083198E-2</v>
      </c>
      <c r="O294" s="1">
        <v>1.1902454346830601E-5</v>
      </c>
      <c r="P294">
        <v>8.4079483306969908E-3</v>
      </c>
      <c r="Q294">
        <v>8.0858090329914804E-3</v>
      </c>
      <c r="R294">
        <v>0</v>
      </c>
      <c r="S294">
        <v>1.86649226551737E-2</v>
      </c>
      <c r="T294">
        <v>8.4304682329623196E-3</v>
      </c>
      <c r="U294">
        <v>3.4907010723883899E-2</v>
      </c>
      <c r="V294" t="s">
        <v>80</v>
      </c>
      <c r="W294">
        <v>10690704.911143299</v>
      </c>
      <c r="X294" t="s">
        <v>76</v>
      </c>
      <c r="Y294">
        <v>-1.5707963267949001</v>
      </c>
      <c r="Z294">
        <v>0.49349706382774899</v>
      </c>
      <c r="AA294">
        <v>1.47493896749192E-4</v>
      </c>
      <c r="AB294">
        <v>2.84224716333203E-2</v>
      </c>
      <c r="AC294">
        <v>1.36436961413215E-4</v>
      </c>
      <c r="AD294">
        <v>0</v>
      </c>
      <c r="AE294">
        <v>1.8272667255829302E-2</v>
      </c>
      <c r="AF294">
        <v>0</v>
      </c>
      <c r="AG294">
        <v>0</v>
      </c>
      <c r="AH294">
        <v>0.68701732244691704</v>
      </c>
      <c r="AI294">
        <v>0.17709112617224901</v>
      </c>
      <c r="AJ294" t="s">
        <v>74</v>
      </c>
      <c r="AK294">
        <v>0</v>
      </c>
      <c r="AL294" t="s">
        <v>77</v>
      </c>
      <c r="AM294">
        <v>0</v>
      </c>
      <c r="AN294">
        <v>0.99199999999999999</v>
      </c>
      <c r="AO294">
        <v>0</v>
      </c>
      <c r="AP294">
        <v>5.8245346242475203E-2</v>
      </c>
      <c r="AQ294">
        <v>0</v>
      </c>
      <c r="AR294">
        <v>1.6E-2</v>
      </c>
      <c r="AS294">
        <v>0</v>
      </c>
      <c r="AT294">
        <v>0</v>
      </c>
      <c r="AU294">
        <v>0</v>
      </c>
      <c r="AV294">
        <v>0</v>
      </c>
      <c r="AW294">
        <v>1</v>
      </c>
      <c r="AX294" t="s">
        <v>74</v>
      </c>
      <c r="AY294">
        <v>0</v>
      </c>
      <c r="AZ294" t="s">
        <v>76</v>
      </c>
      <c r="BA294">
        <v>-1.5707963267949001</v>
      </c>
      <c r="BB294">
        <v>0.99199999999999999</v>
      </c>
      <c r="BC294">
        <v>0</v>
      </c>
      <c r="BD294">
        <v>5.8245346242475203E-2</v>
      </c>
      <c r="BE294">
        <v>0</v>
      </c>
      <c r="BF294">
        <v>1.6E-2</v>
      </c>
      <c r="BG294">
        <v>0</v>
      </c>
      <c r="BH294">
        <v>0</v>
      </c>
      <c r="BI294">
        <v>0</v>
      </c>
      <c r="BJ294">
        <v>0</v>
      </c>
      <c r="BK294">
        <v>1</v>
      </c>
      <c r="BL294" s="1">
        <v>8.6934953597557003E-5</v>
      </c>
      <c r="BM294">
        <v>3.5705635666752599E-4</v>
      </c>
      <c r="BN294" s="1">
        <v>3.22841691516929E-7</v>
      </c>
      <c r="BO294" s="1">
        <v>5.6086281351211902E-6</v>
      </c>
      <c r="BP294" s="1">
        <v>2.4461496313265798E-6</v>
      </c>
      <c r="BQ294" s="1">
        <v>1.5348902488460099E-5</v>
      </c>
      <c r="BR294" s="1">
        <v>5.8577834665589803E-5</v>
      </c>
      <c r="BS294">
        <v>2.6388637091513797E-4</v>
      </c>
    </row>
    <row r="295" spans="1:71" x14ac:dyDescent="0.25">
      <c r="A295">
        <v>292</v>
      </c>
      <c r="B295">
        <v>1.4115986493328799E-4</v>
      </c>
      <c r="C295">
        <v>0.38509322812937802</v>
      </c>
      <c r="D295">
        <v>-1.28039285545021E-3</v>
      </c>
      <c r="E295">
        <v>6.1312499999999995E-4</v>
      </c>
      <c r="F295">
        <v>-3.85093228129378E-3</v>
      </c>
      <c r="G295" s="1">
        <v>4.3368086899420197E-19</v>
      </c>
      <c r="H295" t="s">
        <v>78</v>
      </c>
      <c r="I295">
        <v>3847523.7914689202</v>
      </c>
      <c r="J295" t="s">
        <v>75</v>
      </c>
      <c r="K295">
        <v>3.14159265358979</v>
      </c>
      <c r="L295">
        <v>0.49030439581975299</v>
      </c>
      <c r="M295" s="1">
        <v>6.1453574585234497E-7</v>
      </c>
      <c r="N295">
        <v>2.8583060347861001E-2</v>
      </c>
      <c r="O295" s="1">
        <v>1.1902454346830601E-5</v>
      </c>
      <c r="P295">
        <v>7.6890468062153399E-3</v>
      </c>
      <c r="Q295">
        <v>8.8056060342538E-3</v>
      </c>
      <c r="R295">
        <v>0</v>
      </c>
      <c r="S295">
        <v>1.93939208560952E-2</v>
      </c>
      <c r="T295">
        <v>1.01371784218334E-2</v>
      </c>
      <c r="U295">
        <v>3.25903780651636E-2</v>
      </c>
      <c r="V295" t="s">
        <v>80</v>
      </c>
      <c r="W295">
        <v>10691353.9206059</v>
      </c>
      <c r="X295" t="s">
        <v>76</v>
      </c>
      <c r="Y295">
        <v>-1.5707963267949001</v>
      </c>
      <c r="Z295">
        <v>0.48970902409501998</v>
      </c>
      <c r="AA295">
        <v>1.47493896749192E-4</v>
      </c>
      <c r="AB295">
        <v>2.8204303259603301E-2</v>
      </c>
      <c r="AC295">
        <v>1.36436961413215E-4</v>
      </c>
      <c r="AD295">
        <v>0</v>
      </c>
      <c r="AE295">
        <v>1.8272667255829302E-2</v>
      </c>
      <c r="AF295">
        <v>0</v>
      </c>
      <c r="AG295">
        <v>0</v>
      </c>
      <c r="AH295">
        <v>0.68701732244691704</v>
      </c>
      <c r="AI295">
        <v>0.17268383016619199</v>
      </c>
      <c r="AJ295" t="s">
        <v>74</v>
      </c>
      <c r="AK295">
        <v>0</v>
      </c>
      <c r="AL295" t="s">
        <v>77</v>
      </c>
      <c r="AM295">
        <v>0</v>
      </c>
      <c r="AN295">
        <v>0.99199999999999999</v>
      </c>
      <c r="AO295">
        <v>0</v>
      </c>
      <c r="AP295">
        <v>5.8245346242475203E-2</v>
      </c>
      <c r="AQ295">
        <v>0</v>
      </c>
      <c r="AR295">
        <v>1.6E-2</v>
      </c>
      <c r="AS295">
        <v>0</v>
      </c>
      <c r="AT295">
        <v>0</v>
      </c>
      <c r="AU295">
        <v>0</v>
      </c>
      <c r="AV295">
        <v>0</v>
      </c>
      <c r="AW295">
        <v>1</v>
      </c>
      <c r="AX295" t="s">
        <v>74</v>
      </c>
      <c r="AY295">
        <v>0</v>
      </c>
      <c r="AZ295" t="s">
        <v>76</v>
      </c>
      <c r="BA295">
        <v>-1.5707963267949001</v>
      </c>
      <c r="BB295">
        <v>0.99199999999999999</v>
      </c>
      <c r="BC295">
        <v>0</v>
      </c>
      <c r="BD295">
        <v>5.8245346242475203E-2</v>
      </c>
      <c r="BE295">
        <v>0</v>
      </c>
      <c r="BF295">
        <v>1.6E-2</v>
      </c>
      <c r="BG295">
        <v>0</v>
      </c>
      <c r="BH295">
        <v>0</v>
      </c>
      <c r="BI295">
        <v>0</v>
      </c>
      <c r="BJ295">
        <v>0</v>
      </c>
      <c r="BK295">
        <v>1</v>
      </c>
      <c r="BL295" s="1">
        <v>8.6713197754087406E-5</v>
      </c>
      <c r="BM295">
        <v>3.5827421086242301E-4</v>
      </c>
      <c r="BN295" s="1">
        <v>3.2201971203491198E-7</v>
      </c>
      <c r="BO295" s="1">
        <v>5.6277581440803397E-6</v>
      </c>
      <c r="BP295" s="1">
        <v>2.42704305654241E-6</v>
      </c>
      <c r="BQ295" s="1">
        <v>1.6732162782607199E-5</v>
      </c>
      <c r="BR295" s="1">
        <v>5.8364449248368302E-5</v>
      </c>
      <c r="BS295">
        <v>2.6535578261037602E-4</v>
      </c>
    </row>
    <row r="296" spans="1:71" x14ac:dyDescent="0.25">
      <c r="A296">
        <v>293</v>
      </c>
      <c r="B296">
        <v>1.3918834410180599E-4</v>
      </c>
      <c r="C296">
        <v>0.38523241647348</v>
      </c>
      <c r="D296">
        <v>-1.28046696081709E-3</v>
      </c>
      <c r="E296">
        <v>6.1312499999999995E-4</v>
      </c>
      <c r="F296">
        <v>-3.8523241647347999E-3</v>
      </c>
      <c r="G296" s="1">
        <v>4.3368086899420197E-19</v>
      </c>
      <c r="H296" t="s">
        <v>78</v>
      </c>
      <c r="I296">
        <v>3848314.2487156601</v>
      </c>
      <c r="J296" t="s">
        <v>75</v>
      </c>
      <c r="K296">
        <v>3.14159265358979</v>
      </c>
      <c r="L296">
        <v>0.48651639964891102</v>
      </c>
      <c r="M296" s="1">
        <v>6.1453574585234497E-7</v>
      </c>
      <c r="N296">
        <v>2.83585643421626E-2</v>
      </c>
      <c r="O296" s="1">
        <v>1.1902454346830601E-5</v>
      </c>
      <c r="P296">
        <v>6.9885124368998502E-3</v>
      </c>
      <c r="Q296">
        <v>9.5069458894696292E-3</v>
      </c>
      <c r="R296">
        <v>0</v>
      </c>
      <c r="S296">
        <v>1.9937644605469099E-2</v>
      </c>
      <c r="T296">
        <v>1.20221000710656E-2</v>
      </c>
      <c r="U296">
        <v>3.0351691955153599E-2</v>
      </c>
      <c r="V296" t="s">
        <v>80</v>
      </c>
      <c r="W296">
        <v>10691993.413951799</v>
      </c>
      <c r="X296" t="s">
        <v>76</v>
      </c>
      <c r="Y296">
        <v>-1.5707963267949001</v>
      </c>
      <c r="Z296">
        <v>0.48593196880170803</v>
      </c>
      <c r="AA296">
        <v>1.47493896749192E-4</v>
      </c>
      <c r="AB296">
        <v>2.79867675237289E-2</v>
      </c>
      <c r="AC296">
        <v>1.36436961413215E-4</v>
      </c>
      <c r="AD296">
        <v>0</v>
      </c>
      <c r="AE296">
        <v>1.8272667255829302E-2</v>
      </c>
      <c r="AF296">
        <v>0</v>
      </c>
      <c r="AG296">
        <v>0</v>
      </c>
      <c r="AH296">
        <v>0.68701732244691704</v>
      </c>
      <c r="AI296">
        <v>0.16840417277848699</v>
      </c>
      <c r="AJ296" t="s">
        <v>74</v>
      </c>
      <c r="AK296">
        <v>0</v>
      </c>
      <c r="AL296" t="s">
        <v>77</v>
      </c>
      <c r="AM296">
        <v>0</v>
      </c>
      <c r="AN296">
        <v>0.99199999999999999</v>
      </c>
      <c r="AO296">
        <v>0</v>
      </c>
      <c r="AP296">
        <v>5.8245346242475203E-2</v>
      </c>
      <c r="AQ296">
        <v>0</v>
      </c>
      <c r="AR296">
        <v>1.6E-2</v>
      </c>
      <c r="AS296">
        <v>0</v>
      </c>
      <c r="AT296">
        <v>0</v>
      </c>
      <c r="AU296">
        <v>0</v>
      </c>
      <c r="AV296">
        <v>0</v>
      </c>
      <c r="AW296">
        <v>1</v>
      </c>
      <c r="AX296" t="s">
        <v>74</v>
      </c>
      <c r="AY296">
        <v>0</v>
      </c>
      <c r="AZ296" t="s">
        <v>76</v>
      </c>
      <c r="BA296">
        <v>-1.5707963267949001</v>
      </c>
      <c r="BB296">
        <v>0.99199999999999999</v>
      </c>
      <c r="BC296">
        <v>0</v>
      </c>
      <c r="BD296">
        <v>5.8245346242475203E-2</v>
      </c>
      <c r="BE296">
        <v>0</v>
      </c>
      <c r="BF296">
        <v>1.6E-2</v>
      </c>
      <c r="BG296">
        <v>0</v>
      </c>
      <c r="BH296">
        <v>0</v>
      </c>
      <c r="BI296">
        <v>0</v>
      </c>
      <c r="BJ296">
        <v>0</v>
      </c>
      <c r="BK296">
        <v>1</v>
      </c>
      <c r="BL296" s="1">
        <v>8.6492181883300994E-5</v>
      </c>
      <c r="BM296">
        <v>3.5948853356172598E-4</v>
      </c>
      <c r="BN296" s="1">
        <v>3.2120098849142001E-7</v>
      </c>
      <c r="BO296" s="1">
        <v>5.6468326804364302E-6</v>
      </c>
      <c r="BP296" s="1">
        <v>2.4080179110589399E-6</v>
      </c>
      <c r="BQ296" s="1">
        <v>1.81119405220021E-5</v>
      </c>
      <c r="BR296" s="1">
        <v>5.8151788565613699E-5</v>
      </c>
      <c r="BS296">
        <v>2.6682084054162699E-4</v>
      </c>
    </row>
    <row r="297" spans="1:71" x14ac:dyDescent="0.25">
      <c r="A297">
        <v>294</v>
      </c>
      <c r="B297">
        <v>1.3824996841066699E-4</v>
      </c>
      <c r="C297">
        <v>0.385370666441891</v>
      </c>
      <c r="D297">
        <v>-1.28054051535737E-3</v>
      </c>
      <c r="E297">
        <v>6.1312499999999995E-4</v>
      </c>
      <c r="F297">
        <v>-3.8537066644189098E-3</v>
      </c>
      <c r="G297" s="1">
        <v>4.3368086899420197E-19</v>
      </c>
      <c r="H297" t="s">
        <v>78</v>
      </c>
      <c r="I297">
        <v>3849098.83047863</v>
      </c>
      <c r="J297" t="s">
        <v>75</v>
      </c>
      <c r="K297">
        <v>3.14159265358979</v>
      </c>
      <c r="L297">
        <v>0.482741280026389</v>
      </c>
      <c r="M297" s="1">
        <v>6.1453574585234497E-7</v>
      </c>
      <c r="N297">
        <v>2.8134963732163801E-2</v>
      </c>
      <c r="O297" s="1">
        <v>1.1902454346830601E-5</v>
      </c>
      <c r="P297">
        <v>6.3069984254129404E-3</v>
      </c>
      <c r="Q297">
        <v>1.0189189519586901E-2</v>
      </c>
      <c r="R297">
        <v>0</v>
      </c>
      <c r="S297">
        <v>2.0287701402682198E-2</v>
      </c>
      <c r="T297">
        <v>1.40925799624945E-2</v>
      </c>
      <c r="U297">
        <v>2.81923234402136E-2</v>
      </c>
      <c r="V297" t="s">
        <v>80</v>
      </c>
      <c r="W297">
        <v>10692628.1539315</v>
      </c>
      <c r="X297" t="s">
        <v>76</v>
      </c>
      <c r="Y297">
        <v>-1.5707963267949001</v>
      </c>
      <c r="Z297">
        <v>0.48216752426083898</v>
      </c>
      <c r="AA297">
        <v>1.47493896749192E-4</v>
      </c>
      <c r="AB297">
        <v>2.7769958091575099E-2</v>
      </c>
      <c r="AC297">
        <v>1.36436961413215E-4</v>
      </c>
      <c r="AD297">
        <v>0</v>
      </c>
      <c r="AE297">
        <v>1.8272667255829302E-2</v>
      </c>
      <c r="AF297">
        <v>0</v>
      </c>
      <c r="AG297">
        <v>0</v>
      </c>
      <c r="AH297">
        <v>0.68701732244691704</v>
      </c>
      <c r="AI297">
        <v>0.164171590104979</v>
      </c>
      <c r="AJ297" t="s">
        <v>74</v>
      </c>
      <c r="AK297">
        <v>0</v>
      </c>
      <c r="AL297" t="s">
        <v>77</v>
      </c>
      <c r="AM297">
        <v>0</v>
      </c>
      <c r="AN297">
        <v>0.99199999999999999</v>
      </c>
      <c r="AO297">
        <v>0</v>
      </c>
      <c r="AP297">
        <v>5.8245346242475203E-2</v>
      </c>
      <c r="AQ297">
        <v>0</v>
      </c>
      <c r="AR297">
        <v>1.6E-2</v>
      </c>
      <c r="AS297">
        <v>0</v>
      </c>
      <c r="AT297">
        <v>0</v>
      </c>
      <c r="AU297">
        <v>0</v>
      </c>
      <c r="AV297">
        <v>0</v>
      </c>
      <c r="AW297">
        <v>1</v>
      </c>
      <c r="AX297" t="s">
        <v>74</v>
      </c>
      <c r="AY297">
        <v>0</v>
      </c>
      <c r="AZ297" t="s">
        <v>76</v>
      </c>
      <c r="BA297">
        <v>-1.5707963267949001</v>
      </c>
      <c r="BB297">
        <v>0.99199999999999999</v>
      </c>
      <c r="BC297">
        <v>0</v>
      </c>
      <c r="BD297">
        <v>5.8245346242475203E-2</v>
      </c>
      <c r="BE297">
        <v>0</v>
      </c>
      <c r="BF297">
        <v>1.6E-2</v>
      </c>
      <c r="BG297">
        <v>0</v>
      </c>
      <c r="BH297">
        <v>0</v>
      </c>
      <c r="BI297">
        <v>0</v>
      </c>
      <c r="BJ297">
        <v>0</v>
      </c>
      <c r="BK297">
        <v>1</v>
      </c>
      <c r="BL297" s="1">
        <v>8.6271976862224603E-5</v>
      </c>
      <c r="BM297">
        <v>3.60698801906047E-4</v>
      </c>
      <c r="BN297" s="1">
        <v>3.20385654824102E-7</v>
      </c>
      <c r="BO297" s="1">
        <v>5.6658435311333802E-6</v>
      </c>
      <c r="BP297" s="1">
        <v>2.3890764529026701E-6</v>
      </c>
      <c r="BQ297" s="1">
        <v>1.9487657685089201E-5</v>
      </c>
      <c r="BR297" s="1">
        <v>5.7939918684519498E-5</v>
      </c>
      <c r="BS297">
        <v>2.68280975858634E-4</v>
      </c>
    </row>
    <row r="298" spans="1:71" x14ac:dyDescent="0.25">
      <c r="A298">
        <v>295</v>
      </c>
      <c r="B298">
        <v>1.3834705769567201E-4</v>
      </c>
      <c r="C298">
        <v>0.385509013499586</v>
      </c>
      <c r="D298">
        <v>-1.2806140706727799E-3</v>
      </c>
      <c r="E298">
        <v>6.1312499999999995E-4</v>
      </c>
      <c r="F298">
        <v>-3.8550901349958702E-3</v>
      </c>
      <c r="G298" s="1">
        <v>4.3368086899420197E-19</v>
      </c>
      <c r="H298" t="s">
        <v>78</v>
      </c>
      <c r="I298">
        <v>3849883.4205096602</v>
      </c>
      <c r="J298" t="s">
        <v>75</v>
      </c>
      <c r="K298">
        <v>3.14159265358979</v>
      </c>
      <c r="L298">
        <v>0.47898098319413501</v>
      </c>
      <c r="M298" s="1">
        <v>6.1453574585234497E-7</v>
      </c>
      <c r="N298">
        <v>2.7912334410319501E-2</v>
      </c>
      <c r="O298" s="1">
        <v>1.1902454346830601E-5</v>
      </c>
      <c r="P298">
        <v>5.6451988415414699E-3</v>
      </c>
      <c r="Q298">
        <v>1.0851654251598101E-2</v>
      </c>
      <c r="R298">
        <v>0</v>
      </c>
      <c r="S298">
        <v>2.04343731219176E-2</v>
      </c>
      <c r="T298">
        <v>1.6357044558973799E-2</v>
      </c>
      <c r="U298">
        <v>2.6113701436596401E-2</v>
      </c>
      <c r="V298" t="s">
        <v>80</v>
      </c>
      <c r="W298">
        <v>10693262.900600299</v>
      </c>
      <c r="X298" t="s">
        <v>76</v>
      </c>
      <c r="Y298">
        <v>-1.5707963267949001</v>
      </c>
      <c r="Z298">
        <v>0.47841769928046401</v>
      </c>
      <c r="AA298">
        <v>1.47493896749192E-4</v>
      </c>
      <c r="AB298">
        <v>2.75539906584399E-2</v>
      </c>
      <c r="AC298">
        <v>1.36436961413215E-4</v>
      </c>
      <c r="AD298">
        <v>0</v>
      </c>
      <c r="AE298">
        <v>1.8272667255829302E-2</v>
      </c>
      <c r="AF298">
        <v>0</v>
      </c>
      <c r="AG298">
        <v>0</v>
      </c>
      <c r="AH298">
        <v>0.68701732244691704</v>
      </c>
      <c r="AI298">
        <v>0.159989326755066</v>
      </c>
      <c r="AJ298" t="s">
        <v>74</v>
      </c>
      <c r="AK298">
        <v>0</v>
      </c>
      <c r="AL298" t="s">
        <v>77</v>
      </c>
      <c r="AM298">
        <v>0</v>
      </c>
      <c r="AN298">
        <v>0.99199999999999999</v>
      </c>
      <c r="AO298">
        <v>0</v>
      </c>
      <c r="AP298">
        <v>5.8245346242475203E-2</v>
      </c>
      <c r="AQ298">
        <v>0</v>
      </c>
      <c r="AR298">
        <v>1.6E-2</v>
      </c>
      <c r="AS298">
        <v>0</v>
      </c>
      <c r="AT298">
        <v>0</v>
      </c>
      <c r="AU298">
        <v>0</v>
      </c>
      <c r="AV298">
        <v>0</v>
      </c>
      <c r="AW298">
        <v>1</v>
      </c>
      <c r="AX298" t="s">
        <v>74</v>
      </c>
      <c r="AY298">
        <v>0</v>
      </c>
      <c r="AZ298" t="s">
        <v>76</v>
      </c>
      <c r="BA298">
        <v>-1.5707963267949001</v>
      </c>
      <c r="BB298">
        <v>0.99199999999999999</v>
      </c>
      <c r="BC298">
        <v>0</v>
      </c>
      <c r="BD298">
        <v>5.8245346242475203E-2</v>
      </c>
      <c r="BE298">
        <v>0</v>
      </c>
      <c r="BF298">
        <v>1.6E-2</v>
      </c>
      <c r="BG298">
        <v>0</v>
      </c>
      <c r="BH298">
        <v>0</v>
      </c>
      <c r="BI298">
        <v>0</v>
      </c>
      <c r="BJ298">
        <v>0</v>
      </c>
      <c r="BK298">
        <v>1</v>
      </c>
      <c r="BL298" s="1">
        <v>8.6052678484734902E-5</v>
      </c>
      <c r="BM298">
        <v>3.6190437006390402E-4</v>
      </c>
      <c r="BN298" s="1">
        <v>3.1957395069617202E-7</v>
      </c>
      <c r="BO298" s="1">
        <v>5.6847805514740196E-6</v>
      </c>
      <c r="BP298" s="1">
        <v>2.3702238430519299E-6</v>
      </c>
      <c r="BQ298" s="1">
        <v>2.0858604759273502E-5</v>
      </c>
      <c r="BR298" s="1">
        <v>5.7728930225561402E-5</v>
      </c>
      <c r="BS298">
        <v>2.6973547214513598E-4</v>
      </c>
    </row>
    <row r="299" spans="1:71" x14ac:dyDescent="0.25">
      <c r="A299">
        <v>296</v>
      </c>
      <c r="B299">
        <v>1.3953538711577101E-4</v>
      </c>
      <c r="C299">
        <v>0.38564854888670203</v>
      </c>
      <c r="D299">
        <v>-1.28068820647233E-3</v>
      </c>
      <c r="E299">
        <v>6.1312499999999995E-4</v>
      </c>
      <c r="F299">
        <v>-3.85648548886702E-3</v>
      </c>
      <c r="G299" s="1">
        <v>4.3368086899420197E-19</v>
      </c>
      <c r="H299" t="s">
        <v>78</v>
      </c>
      <c r="I299">
        <v>3850674.2023714702</v>
      </c>
      <c r="J299" t="s">
        <v>75</v>
      </c>
      <c r="K299">
        <v>3.14159265358979</v>
      </c>
      <c r="L299">
        <v>0.47523798056250199</v>
      </c>
      <c r="M299" s="1">
        <v>6.1453574585234497E-7</v>
      </c>
      <c r="N299">
        <v>2.7690785409502899E-2</v>
      </c>
      <c r="O299" s="1">
        <v>1.1902454346830601E-5</v>
      </c>
      <c r="P299">
        <v>5.0038632456873896E-3</v>
      </c>
      <c r="Q299">
        <v>1.1493599947406801E-2</v>
      </c>
      <c r="R299">
        <v>0</v>
      </c>
      <c r="S299">
        <v>2.0366236892484801E-2</v>
      </c>
      <c r="T299">
        <v>1.8825290601192202E-2</v>
      </c>
      <c r="U299">
        <v>2.41173388016904E-2</v>
      </c>
      <c r="V299" t="s">
        <v>80</v>
      </c>
      <c r="W299">
        <v>10693902.656565299</v>
      </c>
      <c r="X299" t="s">
        <v>76</v>
      </c>
      <c r="Y299">
        <v>-1.5707963267949001</v>
      </c>
      <c r="Z299">
        <v>0.47468502283535002</v>
      </c>
      <c r="AA299">
        <v>1.47493896749192E-4</v>
      </c>
      <c r="AB299">
        <v>2.7339010878104999E-2</v>
      </c>
      <c r="AC299">
        <v>1.36436961413215E-4</v>
      </c>
      <c r="AD299">
        <v>0</v>
      </c>
      <c r="AE299">
        <v>1.8272667255829302E-2</v>
      </c>
      <c r="AF299">
        <v>0</v>
      </c>
      <c r="AG299">
        <v>0</v>
      </c>
      <c r="AH299">
        <v>0.68701732244691704</v>
      </c>
      <c r="AI299">
        <v>0.15586103967116399</v>
      </c>
      <c r="AJ299" t="s">
        <v>74</v>
      </c>
      <c r="AK299">
        <v>0</v>
      </c>
      <c r="AL299" t="s">
        <v>77</v>
      </c>
      <c r="AM299">
        <v>0</v>
      </c>
      <c r="AN299">
        <v>0.99199999999999999</v>
      </c>
      <c r="AO299">
        <v>0</v>
      </c>
      <c r="AP299">
        <v>5.8245346242475203E-2</v>
      </c>
      <c r="AQ299">
        <v>0</v>
      </c>
      <c r="AR299">
        <v>1.6E-2</v>
      </c>
      <c r="AS299">
        <v>0</v>
      </c>
      <c r="AT299">
        <v>0</v>
      </c>
      <c r="AU299">
        <v>0</v>
      </c>
      <c r="AV299">
        <v>0</v>
      </c>
      <c r="AW299">
        <v>1</v>
      </c>
      <c r="AX299" t="s">
        <v>74</v>
      </c>
      <c r="AY299">
        <v>0</v>
      </c>
      <c r="AZ299" t="s">
        <v>76</v>
      </c>
      <c r="BA299">
        <v>-1.5707963267949001</v>
      </c>
      <c r="BB299">
        <v>0.99199999999999999</v>
      </c>
      <c r="BC299">
        <v>0</v>
      </c>
      <c r="BD299">
        <v>5.8245346242475203E-2</v>
      </c>
      <c r="BE299">
        <v>0</v>
      </c>
      <c r="BF299">
        <v>1.6E-2</v>
      </c>
      <c r="BG299">
        <v>0</v>
      </c>
      <c r="BH299">
        <v>0</v>
      </c>
      <c r="BI299">
        <v>0</v>
      </c>
      <c r="BJ299">
        <v>0</v>
      </c>
      <c r="BK299">
        <v>1</v>
      </c>
      <c r="BL299" s="1">
        <v>8.5834414094159195E-5</v>
      </c>
      <c r="BM299">
        <v>3.6310442497029702E-4</v>
      </c>
      <c r="BN299" s="1">
        <v>3.18766238528652E-7</v>
      </c>
      <c r="BO299" s="1">
        <v>5.7036309698631604E-6</v>
      </c>
      <c r="BP299" s="1">
        <v>2.3514684584809699E-6</v>
      </c>
      <c r="BQ299" s="1">
        <v>2.22238920734901E-5</v>
      </c>
      <c r="BR299" s="1">
        <v>5.75189445935752E-5</v>
      </c>
      <c r="BS299">
        <v>2.7118341532478599E-4</v>
      </c>
    </row>
    <row r="300" spans="1:71" x14ac:dyDescent="0.25">
      <c r="A300">
        <v>297</v>
      </c>
      <c r="B300">
        <v>1.4193501188988999E-4</v>
      </c>
      <c r="C300">
        <v>0.385790483898592</v>
      </c>
      <c r="D300">
        <v>-1.2807635645913399E-3</v>
      </c>
      <c r="E300">
        <v>6.1312499999999995E-4</v>
      </c>
      <c r="F300">
        <v>-3.8579048389859199E-3</v>
      </c>
      <c r="G300" s="1">
        <v>4.3368086899420197E-19</v>
      </c>
      <c r="H300" t="s">
        <v>78</v>
      </c>
      <c r="I300">
        <v>3851478.0223075701</v>
      </c>
      <c r="J300" t="s">
        <v>75</v>
      </c>
      <c r="K300">
        <v>3.14159265358979</v>
      </c>
      <c r="L300">
        <v>0.471515467663081</v>
      </c>
      <c r="M300" s="1">
        <v>6.1453574585234497E-7</v>
      </c>
      <c r="N300">
        <v>2.7470468260918798E-2</v>
      </c>
      <c r="O300" s="1">
        <v>1.1902454346830601E-5</v>
      </c>
      <c r="P300">
        <v>4.3838180135466198E-3</v>
      </c>
      <c r="Q300">
        <v>1.21142082254116E-2</v>
      </c>
      <c r="R300">
        <v>0</v>
      </c>
      <c r="S300">
        <v>2.0069646758815899E-2</v>
      </c>
      <c r="T300">
        <v>2.1508873186603099E-2</v>
      </c>
      <c r="U300">
        <v>2.22048734280509E-2</v>
      </c>
      <c r="V300" t="s">
        <v>80</v>
      </c>
      <c r="W300">
        <v>10694552.960554</v>
      </c>
      <c r="X300" t="s">
        <v>76</v>
      </c>
      <c r="Y300">
        <v>-1.5707963267949001</v>
      </c>
      <c r="Z300">
        <v>0.47097274665039401</v>
      </c>
      <c r="AA300">
        <v>1.47493896749192E-4</v>
      </c>
      <c r="AB300">
        <v>2.7125206030425501E-2</v>
      </c>
      <c r="AC300">
        <v>1.36436961413215E-4</v>
      </c>
      <c r="AD300">
        <v>0</v>
      </c>
      <c r="AE300">
        <v>1.8272667255829302E-2</v>
      </c>
      <c r="AF300">
        <v>0</v>
      </c>
      <c r="AG300">
        <v>0</v>
      </c>
      <c r="AH300">
        <v>0.68701732244691704</v>
      </c>
      <c r="AI300">
        <v>0.15179097931201399</v>
      </c>
      <c r="AJ300" t="s">
        <v>74</v>
      </c>
      <c r="AK300">
        <v>0</v>
      </c>
      <c r="AL300" t="s">
        <v>77</v>
      </c>
      <c r="AM300">
        <v>0</v>
      </c>
      <c r="AN300">
        <v>0.99199999999999999</v>
      </c>
      <c r="AO300">
        <v>0</v>
      </c>
      <c r="AP300">
        <v>5.8245346242475203E-2</v>
      </c>
      <c r="AQ300">
        <v>0</v>
      </c>
      <c r="AR300">
        <v>1.6E-2</v>
      </c>
      <c r="AS300">
        <v>0</v>
      </c>
      <c r="AT300">
        <v>0</v>
      </c>
      <c r="AU300">
        <v>0</v>
      </c>
      <c r="AV300">
        <v>0</v>
      </c>
      <c r="AW300">
        <v>1</v>
      </c>
      <c r="AX300" t="s">
        <v>74</v>
      </c>
      <c r="AY300">
        <v>0</v>
      </c>
      <c r="AZ300" t="s">
        <v>76</v>
      </c>
      <c r="BA300">
        <v>-1.5707963267949001</v>
      </c>
      <c r="BB300">
        <v>0.99199999999999999</v>
      </c>
      <c r="BC300">
        <v>0</v>
      </c>
      <c r="BD300">
        <v>5.8245346242475203E-2</v>
      </c>
      <c r="BE300">
        <v>0</v>
      </c>
      <c r="BF300">
        <v>1.6E-2</v>
      </c>
      <c r="BG300">
        <v>0</v>
      </c>
      <c r="BH300">
        <v>0</v>
      </c>
      <c r="BI300">
        <v>0</v>
      </c>
      <c r="BJ300">
        <v>0</v>
      </c>
      <c r="BK300">
        <v>1</v>
      </c>
      <c r="BL300" s="1">
        <v>8.5617353096027396E-5</v>
      </c>
      <c r="BM300">
        <v>3.6429792119616798E-4</v>
      </c>
      <c r="BN300" s="1">
        <v>3.1796303533937198E-7</v>
      </c>
      <c r="BO300" s="1">
        <v>5.7223783647395702E-6</v>
      </c>
      <c r="BP300" s="1">
        <v>2.3328226022447802E-6</v>
      </c>
      <c r="BQ300" s="1">
        <v>2.3582378375699901E-5</v>
      </c>
      <c r="BR300" s="1">
        <v>5.7310123998079598E-5</v>
      </c>
      <c r="BS300">
        <v>2.7262361912249101E-4</v>
      </c>
    </row>
    <row r="301" spans="1:71" x14ac:dyDescent="0.25">
      <c r="A301">
        <v>298</v>
      </c>
      <c r="B301">
        <v>1.4575224284879801E-4</v>
      </c>
      <c r="C301">
        <v>0.38593623614144101</v>
      </c>
      <c r="D301">
        <v>-1.2808408944898499E-3</v>
      </c>
      <c r="E301">
        <v>6.1312499999999995E-4</v>
      </c>
      <c r="F301">
        <v>-3.85936236141441E-3</v>
      </c>
      <c r="G301" s="1">
        <v>2.1684043449710098E-19</v>
      </c>
      <c r="H301" t="s">
        <v>78</v>
      </c>
      <c r="I301">
        <v>3852302.8745583901</v>
      </c>
      <c r="J301" t="s">
        <v>75</v>
      </c>
      <c r="K301">
        <v>3.14159265358979</v>
      </c>
      <c r="L301">
        <v>0.467817668776772</v>
      </c>
      <c r="M301" s="1">
        <v>6.1453574585234497E-7</v>
      </c>
      <c r="N301">
        <v>2.7251592340324801E-2</v>
      </c>
      <c r="O301" s="1">
        <v>1.1902454346830601E-5</v>
      </c>
      <c r="P301">
        <v>3.7859992972843902E-3</v>
      </c>
      <c r="Q301">
        <v>1.2712549921246E-2</v>
      </c>
      <c r="R301">
        <v>0</v>
      </c>
      <c r="S301">
        <v>1.95280142501024E-2</v>
      </c>
      <c r="T301">
        <v>2.44216268807111E-2</v>
      </c>
      <c r="U301">
        <v>2.0378134944229701E-2</v>
      </c>
      <c r="V301" t="s">
        <v>80</v>
      </c>
      <c r="W301">
        <v>10695220.280042799</v>
      </c>
      <c r="X301" t="s">
        <v>76</v>
      </c>
      <c r="Y301">
        <v>-1.5707963267949001</v>
      </c>
      <c r="Z301">
        <v>0.46728515362857298</v>
      </c>
      <c r="AA301">
        <v>1.47493896749192E-4</v>
      </c>
      <c r="AB301">
        <v>2.6912822784930599E-2</v>
      </c>
      <c r="AC301">
        <v>1.36436961413215E-4</v>
      </c>
      <c r="AD301">
        <v>0</v>
      </c>
      <c r="AE301">
        <v>1.8272667255829302E-2</v>
      </c>
      <c r="AF301">
        <v>0</v>
      </c>
      <c r="AG301">
        <v>0</v>
      </c>
      <c r="AH301">
        <v>0.68701732244691704</v>
      </c>
      <c r="AI301">
        <v>0.14778427291263899</v>
      </c>
      <c r="AJ301" t="s">
        <v>74</v>
      </c>
      <c r="AK301">
        <v>0</v>
      </c>
      <c r="AL301" t="s">
        <v>77</v>
      </c>
      <c r="AM301">
        <v>0</v>
      </c>
      <c r="AN301">
        <v>0.99199999999999999</v>
      </c>
      <c r="AO301">
        <v>0</v>
      </c>
      <c r="AP301">
        <v>5.8245346242475203E-2</v>
      </c>
      <c r="AQ301">
        <v>0</v>
      </c>
      <c r="AR301">
        <v>1.6E-2</v>
      </c>
      <c r="AS301">
        <v>0</v>
      </c>
      <c r="AT301">
        <v>0</v>
      </c>
      <c r="AU301">
        <v>0</v>
      </c>
      <c r="AV301">
        <v>0</v>
      </c>
      <c r="AW301">
        <v>1</v>
      </c>
      <c r="AX301" t="s">
        <v>74</v>
      </c>
      <c r="AY301">
        <v>0</v>
      </c>
      <c r="AZ301" t="s">
        <v>76</v>
      </c>
      <c r="BA301">
        <v>-1.5707963267949001</v>
      </c>
      <c r="BB301">
        <v>0.99199999999999999</v>
      </c>
      <c r="BC301">
        <v>0</v>
      </c>
      <c r="BD301">
        <v>5.8245346242475203E-2</v>
      </c>
      <c r="BE301">
        <v>0</v>
      </c>
      <c r="BF301">
        <v>1.6E-2</v>
      </c>
      <c r="BG301">
        <v>0</v>
      </c>
      <c r="BH301">
        <v>0</v>
      </c>
      <c r="BI301">
        <v>0</v>
      </c>
      <c r="BJ301">
        <v>0</v>
      </c>
      <c r="BK301">
        <v>1</v>
      </c>
      <c r="BL301" s="1">
        <v>8.5401723512982996E-5</v>
      </c>
      <c r="BM301">
        <v>3.6548348178886499E-4</v>
      </c>
      <c r="BN301" s="1">
        <v>3.1716506616270399E-7</v>
      </c>
      <c r="BO301" s="1">
        <v>5.7410011069815902E-6</v>
      </c>
      <c r="BP301" s="1">
        <v>2.3143037624417098E-6</v>
      </c>
      <c r="BQ301" s="1">
        <v>2.4932562213665001E-5</v>
      </c>
      <c r="BR301" s="1">
        <v>5.7102687326586898E-5</v>
      </c>
      <c r="BS301">
        <v>2.7405451091515797E-4</v>
      </c>
    </row>
    <row r="302" spans="1:71" x14ac:dyDescent="0.25">
      <c r="A302">
        <v>299</v>
      </c>
      <c r="B302">
        <v>1.5132030949207E-4</v>
      </c>
      <c r="C302">
        <v>0.38608755645093301</v>
      </c>
      <c r="D302">
        <v>-1.28092112005816E-3</v>
      </c>
      <c r="E302">
        <v>6.1312499999999995E-4</v>
      </c>
      <c r="F302">
        <v>-3.8608755645093301E-3</v>
      </c>
      <c r="G302" s="1">
        <v>4.3368086899420197E-19</v>
      </c>
      <c r="H302" t="s">
        <v>78</v>
      </c>
      <c r="I302">
        <v>3853158.6139537198</v>
      </c>
      <c r="J302" t="s">
        <v>75</v>
      </c>
      <c r="K302">
        <v>3.14159265358979</v>
      </c>
      <c r="L302">
        <v>0.46415031994564998</v>
      </c>
      <c r="M302" s="1">
        <v>6.1453574585234497E-7</v>
      </c>
      <c r="N302">
        <v>2.70344499607287E-2</v>
      </c>
      <c r="O302" s="1">
        <v>1.1902454346830601E-5</v>
      </c>
      <c r="P302">
        <v>3.2115066182483599E-3</v>
      </c>
      <c r="Q302">
        <v>1.32875318512532E-2</v>
      </c>
      <c r="R302">
        <v>0</v>
      </c>
      <c r="S302">
        <v>1.87207960454179E-2</v>
      </c>
      <c r="T302">
        <v>2.75803644460666E-2</v>
      </c>
      <c r="U302">
        <v>1.8639256216393001E-2</v>
      </c>
      <c r="V302" t="s">
        <v>80</v>
      </c>
      <c r="W302">
        <v>10695912.587756401</v>
      </c>
      <c r="X302" t="s">
        <v>76</v>
      </c>
      <c r="Y302">
        <v>-1.5707963267949001</v>
      </c>
      <c r="Z302">
        <v>0.46362804557416398</v>
      </c>
      <c r="AA302">
        <v>1.47493896749192E-4</v>
      </c>
      <c r="AB302">
        <v>2.6702195290756299E-2</v>
      </c>
      <c r="AC302">
        <v>1.36436961413215E-4</v>
      </c>
      <c r="AD302">
        <v>0</v>
      </c>
      <c r="AE302">
        <v>1.8272667255829302E-2</v>
      </c>
      <c r="AF302">
        <v>0</v>
      </c>
      <c r="AG302">
        <v>0</v>
      </c>
      <c r="AH302">
        <v>0.68701732244691704</v>
      </c>
      <c r="AI302">
        <v>0.14384738083934101</v>
      </c>
      <c r="AJ302" t="s">
        <v>74</v>
      </c>
      <c r="AK302">
        <v>0</v>
      </c>
      <c r="AL302" t="s">
        <v>77</v>
      </c>
      <c r="AM302">
        <v>0</v>
      </c>
      <c r="AN302">
        <v>0.99199999999999999</v>
      </c>
      <c r="AO302">
        <v>0</v>
      </c>
      <c r="AP302">
        <v>5.8245346242475203E-2</v>
      </c>
      <c r="AQ302">
        <v>0</v>
      </c>
      <c r="AR302">
        <v>1.6E-2</v>
      </c>
      <c r="AS302">
        <v>0</v>
      </c>
      <c r="AT302">
        <v>0</v>
      </c>
      <c r="AU302">
        <v>0</v>
      </c>
      <c r="AV302">
        <v>0</v>
      </c>
      <c r="AW302">
        <v>1</v>
      </c>
      <c r="AX302" t="s">
        <v>74</v>
      </c>
      <c r="AY302">
        <v>0</v>
      </c>
      <c r="AZ302" t="s">
        <v>76</v>
      </c>
      <c r="BA302">
        <v>-1.5707963267949001</v>
      </c>
      <c r="BB302">
        <v>0.99199999999999999</v>
      </c>
      <c r="BC302">
        <v>0</v>
      </c>
      <c r="BD302">
        <v>5.8245346242475203E-2</v>
      </c>
      <c r="BE302">
        <v>0</v>
      </c>
      <c r="BF302">
        <v>1.6E-2</v>
      </c>
      <c r="BG302">
        <v>0</v>
      </c>
      <c r="BH302">
        <v>0</v>
      </c>
      <c r="BI302">
        <v>0</v>
      </c>
      <c r="BJ302">
        <v>0</v>
      </c>
      <c r="BK302">
        <v>1</v>
      </c>
      <c r="BL302" s="1">
        <v>8.5187838576097704E-5</v>
      </c>
      <c r="BM302">
        <v>3.66659241469201E-4</v>
      </c>
      <c r="BN302" s="1">
        <v>3.1637335223761302E-7</v>
      </c>
      <c r="BO302" s="1">
        <v>5.7594698968522301E-6</v>
      </c>
      <c r="BP302" s="1">
        <v>2.2959367340360399E-6</v>
      </c>
      <c r="BQ302" s="1">
        <v>2.6272410225385801E-5</v>
      </c>
      <c r="BR302" s="1">
        <v>5.6896935706900097E-5</v>
      </c>
      <c r="BS302">
        <v>2.7547395068119803E-4</v>
      </c>
    </row>
    <row r="303" spans="1:71" x14ac:dyDescent="0.25">
      <c r="A303">
        <v>300</v>
      </c>
      <c r="B303">
        <v>1.59174750254817E-4</v>
      </c>
      <c r="C303">
        <v>0.38624673120118802</v>
      </c>
      <c r="D303">
        <v>-1.2810054459700499E-3</v>
      </c>
      <c r="E303">
        <v>6.1312499999999995E-4</v>
      </c>
      <c r="F303">
        <v>-3.8624673120118799E-3</v>
      </c>
      <c r="G303" s="1">
        <v>4.3368086899420197E-19</v>
      </c>
      <c r="H303" t="s">
        <v>78</v>
      </c>
      <c r="I303">
        <v>3854058.09034723</v>
      </c>
      <c r="J303" t="s">
        <v>75</v>
      </c>
      <c r="K303">
        <v>3.14159265358979</v>
      </c>
      <c r="L303">
        <v>0.46052146790318998</v>
      </c>
      <c r="M303" s="1">
        <v>6.1453574585234497E-7</v>
      </c>
      <c r="N303">
        <v>2.6819458450352801E-2</v>
      </c>
      <c r="O303" s="1">
        <v>1.1902454346830601E-5</v>
      </c>
      <c r="P303">
        <v>2.6616945706506301E-3</v>
      </c>
      <c r="Q303">
        <v>1.38378054508893E-2</v>
      </c>
      <c r="R303">
        <v>0</v>
      </c>
      <c r="S303">
        <v>1.76220560369982E-2</v>
      </c>
      <c r="T303">
        <v>3.1005796693267699E-2</v>
      </c>
      <c r="U303">
        <v>1.6990866351431499E-2</v>
      </c>
      <c r="V303" t="s">
        <v>80</v>
      </c>
      <c r="W303">
        <v>10696640.2794447</v>
      </c>
      <c r="X303" t="s">
        <v>76</v>
      </c>
      <c r="Y303">
        <v>-1.5707963267949001</v>
      </c>
      <c r="Z303">
        <v>0.46000954892519202</v>
      </c>
      <c r="AA303">
        <v>1.47493896749192E-4</v>
      </c>
      <c r="AB303">
        <v>2.6493791582002799E-2</v>
      </c>
      <c r="AC303">
        <v>1.36436961413215E-4</v>
      </c>
      <c r="AD303">
        <v>0</v>
      </c>
      <c r="AE303">
        <v>1.8272667255829302E-2</v>
      </c>
      <c r="AF303">
        <v>0</v>
      </c>
      <c r="AG303">
        <v>0</v>
      </c>
      <c r="AH303">
        <v>0.68701732244691704</v>
      </c>
      <c r="AI303">
        <v>0.13998885976623601</v>
      </c>
      <c r="AJ303" t="s">
        <v>74</v>
      </c>
      <c r="AK303">
        <v>0</v>
      </c>
      <c r="AL303" t="s">
        <v>77</v>
      </c>
      <c r="AM303">
        <v>0</v>
      </c>
      <c r="AN303">
        <v>0.99199999999999999</v>
      </c>
      <c r="AO303">
        <v>0</v>
      </c>
      <c r="AP303">
        <v>5.8245346242475203E-2</v>
      </c>
      <c r="AQ303">
        <v>0</v>
      </c>
      <c r="AR303">
        <v>1.6E-2</v>
      </c>
      <c r="AS303">
        <v>0</v>
      </c>
      <c r="AT303">
        <v>0</v>
      </c>
      <c r="AU303">
        <v>0</v>
      </c>
      <c r="AV303">
        <v>0</v>
      </c>
      <c r="AW303">
        <v>1</v>
      </c>
      <c r="AX303" t="s">
        <v>74</v>
      </c>
      <c r="AY303">
        <v>0</v>
      </c>
      <c r="AZ303" t="s">
        <v>76</v>
      </c>
      <c r="BA303">
        <v>-1.5707963267949001</v>
      </c>
      <c r="BB303">
        <v>0.99199999999999999</v>
      </c>
      <c r="BC303">
        <v>0</v>
      </c>
      <c r="BD303">
        <v>5.8245346242475203E-2</v>
      </c>
      <c r="BE303">
        <v>0</v>
      </c>
      <c r="BF303">
        <v>1.6E-2</v>
      </c>
      <c r="BG303">
        <v>0</v>
      </c>
      <c r="BH303">
        <v>0</v>
      </c>
      <c r="BI303">
        <v>0</v>
      </c>
      <c r="BJ303">
        <v>0</v>
      </c>
      <c r="BK303">
        <v>1</v>
      </c>
      <c r="BL303" s="1">
        <v>8.4976140966532996E-5</v>
      </c>
      <c r="BM303">
        <v>3.6782258758859103E-4</v>
      </c>
      <c r="BN303" s="1">
        <v>3.1558935950535101E-7</v>
      </c>
      <c r="BO303" s="1">
        <v>5.7777436949635399E-6</v>
      </c>
      <c r="BP303" s="1">
        <v>2.27775722281122E-6</v>
      </c>
      <c r="BQ303" s="1">
        <v>2.7599073462784299E-5</v>
      </c>
      <c r="BR303" s="1">
        <v>5.66932950853441E-5</v>
      </c>
      <c r="BS303">
        <v>2.7687893147609199E-4</v>
      </c>
    </row>
    <row r="304" spans="1:71" x14ac:dyDescent="0.25">
      <c r="A304">
        <v>301</v>
      </c>
      <c r="B304">
        <v>1.7019933381103299E-4</v>
      </c>
      <c r="C304">
        <v>0.38641693053499898</v>
      </c>
      <c r="D304">
        <v>-1.2810955406078899E-3</v>
      </c>
      <c r="E304">
        <v>6.1312500000000104E-4</v>
      </c>
      <c r="F304">
        <v>-3.8641693053499898E-3</v>
      </c>
      <c r="G304" s="1">
        <v>4.3368086899420197E-19</v>
      </c>
      <c r="H304" t="s">
        <v>78</v>
      </c>
      <c r="I304">
        <v>3855019.0998174502</v>
      </c>
      <c r="J304" t="s">
        <v>75</v>
      </c>
      <c r="K304">
        <v>3.14159265358979</v>
      </c>
      <c r="L304">
        <v>0.456942860302821</v>
      </c>
      <c r="M304" s="1">
        <v>6.1453574585234497E-7</v>
      </c>
      <c r="N304">
        <v>2.66072337666498E-2</v>
      </c>
      <c r="O304" s="1">
        <v>1.1902454346830601E-5</v>
      </c>
      <c r="P304">
        <v>2.1383389979233699E-3</v>
      </c>
      <c r="Q304">
        <v>1.4361600987197E-2</v>
      </c>
      <c r="R304">
        <v>0</v>
      </c>
      <c r="S304">
        <v>1.6198429664218202E-2</v>
      </c>
      <c r="T304">
        <v>3.4723667056939002E-2</v>
      </c>
      <c r="U304">
        <v>1.54364396068401E-2</v>
      </c>
      <c r="V304" t="s">
        <v>80</v>
      </c>
      <c r="W304">
        <v>10697417.752437901</v>
      </c>
      <c r="X304" t="s">
        <v>76</v>
      </c>
      <c r="Y304">
        <v>-1.5707963267949001</v>
      </c>
      <c r="Z304">
        <v>0.45644151613830702</v>
      </c>
      <c r="AA304">
        <v>1.47493896749192E-4</v>
      </c>
      <c r="AB304">
        <v>2.6288294289100098E-2</v>
      </c>
      <c r="AC304">
        <v>1.36436961413215E-4</v>
      </c>
      <c r="AD304">
        <v>0</v>
      </c>
      <c r="AE304">
        <v>1.8272667255829302E-2</v>
      </c>
      <c r="AF304">
        <v>0</v>
      </c>
      <c r="AG304">
        <v>0</v>
      </c>
      <c r="AH304">
        <v>0.68701732244691704</v>
      </c>
      <c r="AI304">
        <v>0.136220701343854</v>
      </c>
      <c r="AJ304" t="s">
        <v>74</v>
      </c>
      <c r="AK304">
        <v>0</v>
      </c>
      <c r="AL304" t="s">
        <v>77</v>
      </c>
      <c r="AM304">
        <v>0</v>
      </c>
      <c r="AN304">
        <v>0.99199999999999999</v>
      </c>
      <c r="AO304">
        <v>0</v>
      </c>
      <c r="AP304">
        <v>5.8245346242475203E-2</v>
      </c>
      <c r="AQ304">
        <v>0</v>
      </c>
      <c r="AR304">
        <v>1.6E-2</v>
      </c>
      <c r="AS304">
        <v>0</v>
      </c>
      <c r="AT304">
        <v>0</v>
      </c>
      <c r="AU304">
        <v>0</v>
      </c>
      <c r="AV304">
        <v>0</v>
      </c>
      <c r="AW304">
        <v>1</v>
      </c>
      <c r="AX304" t="s">
        <v>74</v>
      </c>
      <c r="AY304">
        <v>0</v>
      </c>
      <c r="AZ304" t="s">
        <v>76</v>
      </c>
      <c r="BA304">
        <v>-1.5707963267949001</v>
      </c>
      <c r="BB304">
        <v>0.99199999999999999</v>
      </c>
      <c r="BC304">
        <v>0</v>
      </c>
      <c r="BD304">
        <v>5.8245346242475203E-2</v>
      </c>
      <c r="BE304">
        <v>0</v>
      </c>
      <c r="BF304">
        <v>1.6E-2</v>
      </c>
      <c r="BG304">
        <v>0</v>
      </c>
      <c r="BH304">
        <v>0</v>
      </c>
      <c r="BI304">
        <v>0</v>
      </c>
      <c r="BJ304">
        <v>0</v>
      </c>
      <c r="BK304">
        <v>1</v>
      </c>
      <c r="BL304" s="1">
        <v>8.4767279978230199E-5</v>
      </c>
      <c r="BM304">
        <v>3.6896970958403701E-4</v>
      </c>
      <c r="BN304" s="1">
        <v>3.1481525881794299E-7</v>
      </c>
      <c r="BO304" s="1">
        <v>5.7957626451318504E-6</v>
      </c>
      <c r="BP304" s="1">
        <v>2.2598181863722499E-6</v>
      </c>
      <c r="BQ304" s="1">
        <v>2.8908393987192299E-5</v>
      </c>
      <c r="BR304" s="1">
        <v>5.6492390526171101E-5</v>
      </c>
      <c r="BS304">
        <v>2.7826505826400401E-4</v>
      </c>
    </row>
    <row r="305" spans="1:71" x14ac:dyDescent="0.25">
      <c r="A305">
        <v>302</v>
      </c>
      <c r="B305">
        <v>1.8592924742085899E-4</v>
      </c>
      <c r="C305">
        <v>0.38660285978241898</v>
      </c>
      <c r="D305">
        <v>-1.2811938780842699E-3</v>
      </c>
      <c r="E305">
        <v>6.1312499999999995E-4</v>
      </c>
      <c r="F305">
        <v>-3.8660285978242E-3</v>
      </c>
      <c r="G305" s="1">
        <v>4.3368086899420197E-19</v>
      </c>
      <c r="H305" t="s">
        <v>78</v>
      </c>
      <c r="I305">
        <v>3856068.0328989099</v>
      </c>
      <c r="J305" t="s">
        <v>75</v>
      </c>
      <c r="K305">
        <v>3.14159265358979</v>
      </c>
      <c r="L305">
        <v>0.453432516183357</v>
      </c>
      <c r="M305" s="1">
        <v>6.1453574585234497E-7</v>
      </c>
      <c r="N305">
        <v>2.63987266836666E-2</v>
      </c>
      <c r="O305" s="1">
        <v>1.1902454346830601E-5</v>
      </c>
      <c r="P305">
        <v>1.6439595311276999E-3</v>
      </c>
      <c r="Q305">
        <v>1.48564055518742E-2</v>
      </c>
      <c r="R305">
        <v>0</v>
      </c>
      <c r="S305">
        <v>1.4406361846654499E-2</v>
      </c>
      <c r="T305">
        <v>3.8765847678062203E-2</v>
      </c>
      <c r="U305">
        <v>1.3980961431686201E-2</v>
      </c>
      <c r="V305" t="s">
        <v>80</v>
      </c>
      <c r="W305">
        <v>10698266.3571268</v>
      </c>
      <c r="X305" t="s">
        <v>76</v>
      </c>
      <c r="Y305">
        <v>-1.5707963267949001</v>
      </c>
      <c r="Z305">
        <v>0.45294211664585299</v>
      </c>
      <c r="AA305">
        <v>1.47493896749192E-4</v>
      </c>
      <c r="AB305">
        <v>2.6086749862398902E-2</v>
      </c>
      <c r="AC305">
        <v>1.36436961413215E-4</v>
      </c>
      <c r="AD305">
        <v>0</v>
      </c>
      <c r="AE305">
        <v>1.8272667255829302E-2</v>
      </c>
      <c r="AF305">
        <v>0</v>
      </c>
      <c r="AG305">
        <v>0</v>
      </c>
      <c r="AH305">
        <v>0.68701732244691704</v>
      </c>
      <c r="AI305">
        <v>0.13256082291815499</v>
      </c>
      <c r="AJ305" t="s">
        <v>74</v>
      </c>
      <c r="AK305">
        <v>0</v>
      </c>
      <c r="AL305" t="s">
        <v>77</v>
      </c>
      <c r="AM305">
        <v>0</v>
      </c>
      <c r="AN305">
        <v>0.99199999999999999</v>
      </c>
      <c r="AO305">
        <v>0</v>
      </c>
      <c r="AP305">
        <v>5.8245346242475203E-2</v>
      </c>
      <c r="AQ305">
        <v>0</v>
      </c>
      <c r="AR305">
        <v>1.6E-2</v>
      </c>
      <c r="AS305">
        <v>0</v>
      </c>
      <c r="AT305">
        <v>0</v>
      </c>
      <c r="AU305">
        <v>0</v>
      </c>
      <c r="AV305">
        <v>0</v>
      </c>
      <c r="AW305">
        <v>1</v>
      </c>
      <c r="AX305" t="s">
        <v>74</v>
      </c>
      <c r="AY305">
        <v>0</v>
      </c>
      <c r="AZ305" t="s">
        <v>76</v>
      </c>
      <c r="BA305">
        <v>-1.5707963267949001</v>
      </c>
      <c r="BB305">
        <v>0.99199999999999999</v>
      </c>
      <c r="BC305">
        <v>0</v>
      </c>
      <c r="BD305">
        <v>5.8245346242475203E-2</v>
      </c>
      <c r="BE305">
        <v>0</v>
      </c>
      <c r="BF305">
        <v>1.6E-2</v>
      </c>
      <c r="BG305">
        <v>0</v>
      </c>
      <c r="BH305">
        <v>0</v>
      </c>
      <c r="BI305">
        <v>0</v>
      </c>
      <c r="BJ305">
        <v>0</v>
      </c>
      <c r="BK305">
        <v>1</v>
      </c>
      <c r="BL305" s="1">
        <v>8.45622542233879E-5</v>
      </c>
      <c r="BM305">
        <v>3.70094765985817E-4</v>
      </c>
      <c r="BN305" s="1">
        <v>3.1405440741171797E-7</v>
      </c>
      <c r="BO305" s="1">
        <v>5.8134349897653797E-6</v>
      </c>
      <c r="BP305" s="1">
        <v>2.2422015983685101E-6</v>
      </c>
      <c r="BQ305" s="1">
        <v>3.01939928892433E-5</v>
      </c>
      <c r="BR305" s="1">
        <v>5.6295183654625303E-5</v>
      </c>
      <c r="BS305">
        <v>2.7962558476472301E-4</v>
      </c>
    </row>
    <row r="306" spans="1:71" x14ac:dyDescent="0.25">
      <c r="A306">
        <v>303</v>
      </c>
      <c r="B306">
        <v>2.0924641916439499E-4</v>
      </c>
      <c r="C306">
        <v>0.38681210620158402</v>
      </c>
      <c r="D306">
        <v>-1.2813044450659401E-3</v>
      </c>
      <c r="E306">
        <v>6.1312500000000104E-4</v>
      </c>
      <c r="F306">
        <v>-3.8681210620158399E-3</v>
      </c>
      <c r="G306" s="1">
        <v>4.3368086899420197E-19</v>
      </c>
      <c r="H306" t="s">
        <v>78</v>
      </c>
      <c r="I306">
        <v>3857247.4140367401</v>
      </c>
      <c r="J306" t="s">
        <v>75</v>
      </c>
      <c r="K306">
        <v>3.14159265358979</v>
      </c>
      <c r="L306">
        <v>0.45001983167391602</v>
      </c>
      <c r="M306" s="1">
        <v>6.1453574585234497E-7</v>
      </c>
      <c r="N306">
        <v>2.61954923669999E-2</v>
      </c>
      <c r="O306" s="1">
        <v>1.1902454346830601E-5</v>
      </c>
      <c r="P306">
        <v>1.18250142421083E-3</v>
      </c>
      <c r="Q306">
        <v>1.53182820877731E-2</v>
      </c>
      <c r="R306">
        <v>0</v>
      </c>
      <c r="S306">
        <v>1.21890356660767E-2</v>
      </c>
      <c r="T306">
        <v>4.3170100546244601E-2</v>
      </c>
      <c r="U306">
        <v>1.26322875901238E-2</v>
      </c>
      <c r="V306" t="s">
        <v>80</v>
      </c>
      <c r="W306">
        <v>10699220.4965101</v>
      </c>
      <c r="X306" t="s">
        <v>76</v>
      </c>
      <c r="Y306">
        <v>-1.5707963267949001</v>
      </c>
      <c r="Z306">
        <v>0.44954098487657801</v>
      </c>
      <c r="AA306">
        <v>1.47493896749192E-4</v>
      </c>
      <c r="AB306">
        <v>2.5890865067292702E-2</v>
      </c>
      <c r="AC306">
        <v>1.36436961413215E-4</v>
      </c>
      <c r="AD306">
        <v>0</v>
      </c>
      <c r="AE306">
        <v>1.8272667255829302E-2</v>
      </c>
      <c r="AF306">
        <v>0</v>
      </c>
      <c r="AG306">
        <v>0</v>
      </c>
      <c r="AH306">
        <v>0.68701732244691704</v>
      </c>
      <c r="AI306">
        <v>0.12903804115442299</v>
      </c>
      <c r="AJ306" t="s">
        <v>74</v>
      </c>
      <c r="AK306">
        <v>0</v>
      </c>
      <c r="AL306" t="s">
        <v>77</v>
      </c>
      <c r="AM306">
        <v>0</v>
      </c>
      <c r="AN306">
        <v>0.99199999999999999</v>
      </c>
      <c r="AO306">
        <v>0</v>
      </c>
      <c r="AP306">
        <v>5.8245346242475203E-2</v>
      </c>
      <c r="AQ306">
        <v>0</v>
      </c>
      <c r="AR306">
        <v>1.6E-2</v>
      </c>
      <c r="AS306">
        <v>0</v>
      </c>
      <c r="AT306">
        <v>0</v>
      </c>
      <c r="AU306">
        <v>0</v>
      </c>
      <c r="AV306">
        <v>0</v>
      </c>
      <c r="AW306">
        <v>1</v>
      </c>
      <c r="AX306" t="s">
        <v>74</v>
      </c>
      <c r="AY306">
        <v>0</v>
      </c>
      <c r="AZ306" t="s">
        <v>76</v>
      </c>
      <c r="BA306">
        <v>-1.5707963267949001</v>
      </c>
      <c r="BB306">
        <v>0.99199999999999999</v>
      </c>
      <c r="BC306">
        <v>0</v>
      </c>
      <c r="BD306">
        <v>5.8245346242475203E-2</v>
      </c>
      <c r="BE306">
        <v>0</v>
      </c>
      <c r="BF306">
        <v>1.6E-2</v>
      </c>
      <c r="BG306">
        <v>0</v>
      </c>
      <c r="BH306">
        <v>0</v>
      </c>
      <c r="BI306">
        <v>0</v>
      </c>
      <c r="BJ306">
        <v>0</v>
      </c>
      <c r="BK306">
        <v>1</v>
      </c>
      <c r="BL306" s="1">
        <v>8.4362694667501598E-5</v>
      </c>
      <c r="BM306">
        <v>3.7118822932961899E-4</v>
      </c>
      <c r="BN306" s="1">
        <v>3.1331230097391602E-7</v>
      </c>
      <c r="BO306" s="1">
        <v>5.83061107180467E-6</v>
      </c>
      <c r="BP306" s="1">
        <v>2.2250417820313102E-6</v>
      </c>
      <c r="BQ306" s="1">
        <v>3.1445460206395102E-5</v>
      </c>
      <c r="BR306" s="1">
        <v>5.6103245294627398E-5</v>
      </c>
      <c r="BS306">
        <v>2.8094950265925098E-4</v>
      </c>
    </row>
    <row r="307" spans="1:71" x14ac:dyDescent="0.25">
      <c r="A307">
        <v>304</v>
      </c>
      <c r="B307">
        <v>2.4620476458488101E-4</v>
      </c>
      <c r="C307">
        <v>0.38705831096616899</v>
      </c>
      <c r="D307">
        <v>-1.2814344049340699E-3</v>
      </c>
      <c r="E307">
        <v>6.1312499999999995E-4</v>
      </c>
      <c r="F307">
        <v>-3.8705831096616898E-3</v>
      </c>
      <c r="G307" s="1">
        <v>4.3368086899420197E-19</v>
      </c>
      <c r="H307" t="s">
        <v>78</v>
      </c>
      <c r="I307">
        <v>3858633.6526300502</v>
      </c>
      <c r="J307" t="s">
        <v>75</v>
      </c>
      <c r="K307">
        <v>3.14159265358979</v>
      </c>
      <c r="L307">
        <v>0.446756557680277</v>
      </c>
      <c r="M307" s="1">
        <v>6.1453574585234497E-7</v>
      </c>
      <c r="N307">
        <v>2.6000264344740499E-2</v>
      </c>
      <c r="O307" s="1">
        <v>1.1902454346830601E-5</v>
      </c>
      <c r="P307">
        <v>7.6094116293469796E-4</v>
      </c>
      <c r="Q307">
        <v>1.5740265406256001E-2</v>
      </c>
      <c r="R307">
        <v>0</v>
      </c>
      <c r="S307">
        <v>9.4766620867764804E-3</v>
      </c>
      <c r="T307">
        <v>4.7972664363606102E-2</v>
      </c>
      <c r="U307">
        <v>1.1404134481156901E-2</v>
      </c>
      <c r="V307" t="s">
        <v>80</v>
      </c>
      <c r="W307">
        <v>10700341.987090399</v>
      </c>
      <c r="X307" t="s">
        <v>76</v>
      </c>
      <c r="Y307">
        <v>-1.5707963267949001</v>
      </c>
      <c r="Z307">
        <v>0.44629029866803199</v>
      </c>
      <c r="AA307">
        <v>1.47493896749192E-4</v>
      </c>
      <c r="AB307">
        <v>2.5703645034341301E-2</v>
      </c>
      <c r="AC307">
        <v>1.36436961413215E-4</v>
      </c>
      <c r="AD307">
        <v>0</v>
      </c>
      <c r="AE307">
        <v>1.8272667255829302E-2</v>
      </c>
      <c r="AF307">
        <v>0</v>
      </c>
      <c r="AG307">
        <v>0</v>
      </c>
      <c r="AH307">
        <v>0.68701732244691704</v>
      </c>
      <c r="AI307">
        <v>0.1257028177782</v>
      </c>
      <c r="AJ307" t="s">
        <v>74</v>
      </c>
      <c r="AK307">
        <v>0</v>
      </c>
      <c r="AL307" t="s">
        <v>77</v>
      </c>
      <c r="AM307">
        <v>0</v>
      </c>
      <c r="AN307">
        <v>0.99199999999999999</v>
      </c>
      <c r="AO307">
        <v>0</v>
      </c>
      <c r="AP307">
        <v>5.8245346242475203E-2</v>
      </c>
      <c r="AQ307">
        <v>0</v>
      </c>
      <c r="AR307">
        <v>1.6E-2</v>
      </c>
      <c r="AS307">
        <v>0</v>
      </c>
      <c r="AT307">
        <v>0</v>
      </c>
      <c r="AU307">
        <v>0</v>
      </c>
      <c r="AV307">
        <v>0</v>
      </c>
      <c r="AW307">
        <v>1</v>
      </c>
      <c r="AX307" t="s">
        <v>74</v>
      </c>
      <c r="AY307">
        <v>0</v>
      </c>
      <c r="AZ307" t="s">
        <v>76</v>
      </c>
      <c r="BA307">
        <v>-1.5707963267949001</v>
      </c>
      <c r="BB307">
        <v>0.99199999999999999</v>
      </c>
      <c r="BC307">
        <v>0</v>
      </c>
      <c r="BD307">
        <v>5.8245346242475203E-2</v>
      </c>
      <c r="BE307">
        <v>0</v>
      </c>
      <c r="BF307">
        <v>1.6E-2</v>
      </c>
      <c r="BG307">
        <v>0</v>
      </c>
      <c r="BH307">
        <v>0</v>
      </c>
      <c r="BI307">
        <v>0</v>
      </c>
      <c r="BJ307">
        <v>0</v>
      </c>
      <c r="BK307">
        <v>1</v>
      </c>
      <c r="BL307" s="1">
        <v>8.4171470639896105E-5</v>
      </c>
      <c r="BM307">
        <v>3.7223332444864999E-4</v>
      </c>
      <c r="BN307" s="1">
        <v>3.12598594801868E-7</v>
      </c>
      <c r="BO307" s="1">
        <v>5.84702738754592E-6</v>
      </c>
      <c r="BP307" s="1">
        <v>2.2085752266010301E-6</v>
      </c>
      <c r="BQ307" s="1">
        <v>3.2644471529189698E-5</v>
      </c>
      <c r="BR307" s="1">
        <v>5.5919339316801102E-5</v>
      </c>
      <c r="BS307">
        <v>2.8221744487713499E-4</v>
      </c>
    </row>
    <row r="308" spans="1:71" x14ac:dyDescent="0.25">
      <c r="A308">
        <v>305</v>
      </c>
      <c r="B308">
        <v>3.1183002205259199E-4</v>
      </c>
      <c r="C308">
        <v>0.38737014098822098</v>
      </c>
      <c r="D308">
        <v>-1.28159880264949E-3</v>
      </c>
      <c r="E308">
        <v>6.1312499999999995E-4</v>
      </c>
      <c r="F308">
        <v>-3.87370140988222E-3</v>
      </c>
      <c r="G308" s="1">
        <v>2.1684043449710098E-19</v>
      </c>
      <c r="H308" t="s">
        <v>78</v>
      </c>
      <c r="I308">
        <v>3860387.22826123</v>
      </c>
      <c r="J308" t="s">
        <v>75</v>
      </c>
      <c r="K308">
        <v>3.14159265358979</v>
      </c>
      <c r="L308">
        <v>0.44374179627169003</v>
      </c>
      <c r="M308" s="1">
        <v>6.1453574585234497E-7</v>
      </c>
      <c r="N308">
        <v>2.5818225416540601E-2</v>
      </c>
      <c r="O308" s="1">
        <v>1.1902454346830601E-5</v>
      </c>
      <c r="P308">
        <v>3.9360273962995798E-4</v>
      </c>
      <c r="Q308">
        <v>1.6108049581496101E-2</v>
      </c>
      <c r="R308">
        <v>0</v>
      </c>
      <c r="S308">
        <v>6.2128881937670204E-3</v>
      </c>
      <c r="T308">
        <v>5.3165586117317899E-2</v>
      </c>
      <c r="U308">
        <v>1.03230127522071E-2</v>
      </c>
      <c r="V308" t="s">
        <v>80</v>
      </c>
      <c r="W308">
        <v>10701760.6595769</v>
      </c>
      <c r="X308" t="s">
        <v>76</v>
      </c>
      <c r="Y308">
        <v>-1.5707963267949001</v>
      </c>
      <c r="Z308">
        <v>0.443290067286774</v>
      </c>
      <c r="AA308">
        <v>1.47493896749192E-4</v>
      </c>
      <c r="AB308">
        <v>2.55308496975955E-2</v>
      </c>
      <c r="AC308">
        <v>1.36436961413215E-4</v>
      </c>
      <c r="AD308">
        <v>0</v>
      </c>
      <c r="AE308">
        <v>1.8272667255829302E-2</v>
      </c>
      <c r="AF308">
        <v>0</v>
      </c>
      <c r="AG308">
        <v>0</v>
      </c>
      <c r="AH308">
        <v>0.68701732244691704</v>
      </c>
      <c r="AI308">
        <v>0.122651855788643</v>
      </c>
      <c r="AJ308" t="s">
        <v>74</v>
      </c>
      <c r="AK308">
        <v>0</v>
      </c>
      <c r="AL308" t="s">
        <v>77</v>
      </c>
      <c r="AM308">
        <v>0</v>
      </c>
      <c r="AN308">
        <v>0.99199999999999999</v>
      </c>
      <c r="AO308">
        <v>0</v>
      </c>
      <c r="AP308">
        <v>5.8245346242475203E-2</v>
      </c>
      <c r="AQ308">
        <v>0</v>
      </c>
      <c r="AR308">
        <v>1.6E-2</v>
      </c>
      <c r="AS308">
        <v>0</v>
      </c>
      <c r="AT308">
        <v>0</v>
      </c>
      <c r="AU308">
        <v>0</v>
      </c>
      <c r="AV308">
        <v>0</v>
      </c>
      <c r="AW308">
        <v>1</v>
      </c>
      <c r="AX308" t="s">
        <v>74</v>
      </c>
      <c r="AY308">
        <v>0</v>
      </c>
      <c r="AZ308" t="s">
        <v>76</v>
      </c>
      <c r="BA308">
        <v>-1.5707963267949001</v>
      </c>
      <c r="BB308">
        <v>0.99199999999999999</v>
      </c>
      <c r="BC308">
        <v>0</v>
      </c>
      <c r="BD308">
        <v>5.8245346242475203E-2</v>
      </c>
      <c r="BE308">
        <v>0</v>
      </c>
      <c r="BF308">
        <v>1.6E-2</v>
      </c>
      <c r="BG308">
        <v>0</v>
      </c>
      <c r="BH308">
        <v>0</v>
      </c>
      <c r="BI308">
        <v>0</v>
      </c>
      <c r="BJ308">
        <v>0</v>
      </c>
      <c r="BK308">
        <v>1</v>
      </c>
      <c r="BL308" s="1">
        <v>8.3994053507423301E-5</v>
      </c>
      <c r="BM308">
        <v>3.7319789837900099E-4</v>
      </c>
      <c r="BN308" s="1">
        <v>3.1193154071233601E-7</v>
      </c>
      <c r="BO308" s="1">
        <v>5.8621788794131002E-6</v>
      </c>
      <c r="BP308" s="1">
        <v>2.1932516312881799E-6</v>
      </c>
      <c r="BQ308" s="1">
        <v>3.3756006206568103E-5</v>
      </c>
      <c r="BR308" s="1">
        <v>5.5748736967095397E-5</v>
      </c>
      <c r="BS308">
        <v>2.8339243093259098E-4</v>
      </c>
    </row>
    <row r="309" spans="1:71" x14ac:dyDescent="0.25">
      <c r="A309">
        <v>306</v>
      </c>
      <c r="B309">
        <v>4.5472487700699599E-4</v>
      </c>
      <c r="C309">
        <v>0.38782486586522802</v>
      </c>
      <c r="D309">
        <v>-1.2818381611789499E-3</v>
      </c>
      <c r="E309">
        <v>6.1312499999999995E-4</v>
      </c>
      <c r="F309">
        <v>-3.8782486586522902E-3</v>
      </c>
      <c r="G309" s="1">
        <v>4.3368086899420197E-19</v>
      </c>
      <c r="H309" t="s">
        <v>78</v>
      </c>
      <c r="I309">
        <v>3862940.3859088002</v>
      </c>
      <c r="J309" t="s">
        <v>75</v>
      </c>
      <c r="K309">
        <v>3.14159265358979</v>
      </c>
      <c r="L309">
        <v>0.44116773952735699</v>
      </c>
      <c r="M309" s="1">
        <v>6.1453574585234497E-7</v>
      </c>
      <c r="N309">
        <v>2.5658981770912598E-2</v>
      </c>
      <c r="O309" s="1">
        <v>1.3672761770479199E-5</v>
      </c>
      <c r="P309">
        <v>1.15176027485253E-4</v>
      </c>
      <c r="Q309">
        <v>1.6386982734707099E-2</v>
      </c>
      <c r="R309">
        <v>0</v>
      </c>
      <c r="S309">
        <v>2.5573606924941699E-3</v>
      </c>
      <c r="T309">
        <v>5.8464013844350099E-2</v>
      </c>
      <c r="U309">
        <v>9.4407816871049603E-3</v>
      </c>
      <c r="V309" t="s">
        <v>80</v>
      </c>
      <c r="W309">
        <v>10703826.207503101</v>
      </c>
      <c r="X309" t="s">
        <v>76</v>
      </c>
      <c r="Y309">
        <v>-1.5707963267949001</v>
      </c>
      <c r="Z309">
        <v>0.44073501128821202</v>
      </c>
      <c r="AA309">
        <v>1.47493896749192E-4</v>
      </c>
      <c r="AB309">
        <v>2.5383693793409601E-2</v>
      </c>
      <c r="AC309">
        <v>1.36436961413215E-4</v>
      </c>
      <c r="AD309">
        <v>0</v>
      </c>
      <c r="AE309">
        <v>1.8272667255829302E-2</v>
      </c>
      <c r="AF309">
        <v>0</v>
      </c>
      <c r="AG309">
        <v>0</v>
      </c>
      <c r="AH309">
        <v>0.68701732244691704</v>
      </c>
      <c r="AI309">
        <v>0.120073565264691</v>
      </c>
      <c r="AJ309" t="s">
        <v>74</v>
      </c>
      <c r="AK309">
        <v>0</v>
      </c>
      <c r="AL309" t="s">
        <v>77</v>
      </c>
      <c r="AM309">
        <v>0</v>
      </c>
      <c r="AN309">
        <v>0.99199999999999999</v>
      </c>
      <c r="AO309">
        <v>0</v>
      </c>
      <c r="AP309">
        <v>5.8245346242475203E-2</v>
      </c>
      <c r="AQ309">
        <v>0</v>
      </c>
      <c r="AR309">
        <v>1.6E-2</v>
      </c>
      <c r="AS309">
        <v>0</v>
      </c>
      <c r="AT309">
        <v>0</v>
      </c>
      <c r="AU309">
        <v>0</v>
      </c>
      <c r="AV309">
        <v>0</v>
      </c>
      <c r="AW309">
        <v>1</v>
      </c>
      <c r="AX309" t="s">
        <v>74</v>
      </c>
      <c r="AY309">
        <v>0</v>
      </c>
      <c r="AZ309" t="s">
        <v>76</v>
      </c>
      <c r="BA309">
        <v>-1.5707963267949001</v>
      </c>
      <c r="BB309">
        <v>0.99199999999999999</v>
      </c>
      <c r="BC309">
        <v>0</v>
      </c>
      <c r="BD309">
        <v>5.8245346242475203E-2</v>
      </c>
      <c r="BE309">
        <v>0</v>
      </c>
      <c r="BF309">
        <v>1.6E-2</v>
      </c>
      <c r="BG309">
        <v>0</v>
      </c>
      <c r="BH309">
        <v>0</v>
      </c>
      <c r="BI309">
        <v>0</v>
      </c>
      <c r="BJ309">
        <v>0</v>
      </c>
      <c r="BK309">
        <v>1</v>
      </c>
      <c r="BL309" s="1">
        <v>8.3841738886228202E-5</v>
      </c>
      <c r="BM309">
        <v>3.7401934849188098E-4</v>
      </c>
      <c r="BN309" s="1">
        <v>3.1136590470781798E-7</v>
      </c>
      <c r="BO309" s="1">
        <v>5.8750821876126604E-6</v>
      </c>
      <c r="BP309" s="1">
        <v>2.1809008759145699E-6</v>
      </c>
      <c r="BQ309" s="1">
        <v>3.4712919852270399E-5</v>
      </c>
      <c r="BR309" s="1">
        <v>5.5602536674620102E-5</v>
      </c>
      <c r="BS309">
        <v>2.8440365667356001E-4</v>
      </c>
    </row>
    <row r="310" spans="1:71" x14ac:dyDescent="0.25">
      <c r="A310">
        <v>307</v>
      </c>
      <c r="B310">
        <v>9.2619501264047297E-4</v>
      </c>
      <c r="C310">
        <v>0.38875106087786898</v>
      </c>
      <c r="D310">
        <v>-1.28232458416025E-3</v>
      </c>
      <c r="E310">
        <v>6.1312499999999995E-4</v>
      </c>
      <c r="F310">
        <v>-3.8875106087786901E-3</v>
      </c>
      <c r="G310" s="1">
        <v>4.3368086899420197E-19</v>
      </c>
      <c r="H310" t="s">
        <v>78</v>
      </c>
      <c r="I310">
        <v>3868128.8977093101</v>
      </c>
      <c r="J310" t="s">
        <v>75</v>
      </c>
      <c r="K310">
        <v>3.14159265358979</v>
      </c>
      <c r="L310">
        <v>0.43911908018451301</v>
      </c>
      <c r="M310" s="1">
        <v>1.4748903483650101E-5</v>
      </c>
      <c r="N310">
        <v>2.5520769853500901E-2</v>
      </c>
      <c r="O310" s="1">
        <v>3.04829239861558E-5</v>
      </c>
      <c r="P310" s="1">
        <v>1.94901271843061E-6</v>
      </c>
      <c r="Q310">
        <v>1.6501001551829798E-2</v>
      </c>
      <c r="R310">
        <v>0</v>
      </c>
      <c r="S310" s="1">
        <v>8.5418025680666796E-5</v>
      </c>
      <c r="T310">
        <v>6.2230770876320098E-2</v>
      </c>
      <c r="U310">
        <v>8.7696943522764803E-3</v>
      </c>
      <c r="V310" t="s">
        <v>80</v>
      </c>
      <c r="W310">
        <v>10708023.8017253</v>
      </c>
      <c r="X310" t="s">
        <v>76</v>
      </c>
      <c r="Y310">
        <v>-1.5707963267949001</v>
      </c>
      <c r="Z310">
        <v>0.43872130214212701</v>
      </c>
      <c r="AA310">
        <v>1.47493896749192E-4</v>
      </c>
      <c r="AB310">
        <v>2.5267716221753101E-2</v>
      </c>
      <c r="AC310">
        <v>1.36436961413215E-4</v>
      </c>
      <c r="AD310">
        <v>0</v>
      </c>
      <c r="AE310">
        <v>1.8272667255829302E-2</v>
      </c>
      <c r="AF310">
        <v>0</v>
      </c>
      <c r="AG310">
        <v>0</v>
      </c>
      <c r="AH310">
        <v>0.68701732244691704</v>
      </c>
      <c r="AI310">
        <v>0.118054133041333</v>
      </c>
      <c r="AJ310" t="s">
        <v>74</v>
      </c>
      <c r="AK310">
        <v>0</v>
      </c>
      <c r="AL310" t="s">
        <v>77</v>
      </c>
      <c r="AM310">
        <v>0</v>
      </c>
      <c r="AN310">
        <v>0.99199999999999999</v>
      </c>
      <c r="AO310">
        <v>0</v>
      </c>
      <c r="AP310">
        <v>5.8245346242475203E-2</v>
      </c>
      <c r="AQ310">
        <v>0</v>
      </c>
      <c r="AR310">
        <v>1.6E-2</v>
      </c>
      <c r="AS310">
        <v>0</v>
      </c>
      <c r="AT310">
        <v>0</v>
      </c>
      <c r="AU310">
        <v>0</v>
      </c>
      <c r="AV310">
        <v>0</v>
      </c>
      <c r="AW310">
        <v>1</v>
      </c>
      <c r="AX310" t="s">
        <v>74</v>
      </c>
      <c r="AY310">
        <v>0</v>
      </c>
      <c r="AZ310" t="s">
        <v>76</v>
      </c>
      <c r="BA310">
        <v>-1.5707963267949001</v>
      </c>
      <c r="BB310">
        <v>0.99199999999999999</v>
      </c>
      <c r="BC310">
        <v>0</v>
      </c>
      <c r="BD310">
        <v>5.8245346242475203E-2</v>
      </c>
      <c r="BE310">
        <v>0</v>
      </c>
      <c r="BF310">
        <v>1.6E-2</v>
      </c>
      <c r="BG310">
        <v>0</v>
      </c>
      <c r="BH310">
        <v>0</v>
      </c>
      <c r="BI310">
        <v>0</v>
      </c>
      <c r="BJ310">
        <v>0</v>
      </c>
      <c r="BK310">
        <v>1</v>
      </c>
      <c r="BL310" s="1">
        <v>8.3723049222801898E-5</v>
      </c>
      <c r="BM310">
        <v>3.74666755674459E-4</v>
      </c>
      <c r="BN310" s="1">
        <v>3.1094003977054798E-7</v>
      </c>
      <c r="BO310" s="1">
        <v>5.88525163585601E-6</v>
      </c>
      <c r="BP310" s="1">
        <v>2.17385848623304E-6</v>
      </c>
      <c r="BQ310" s="1">
        <v>3.5497108353010303E-5</v>
      </c>
      <c r="BR310" s="1">
        <v>5.5490609299534403E-5</v>
      </c>
      <c r="BS310">
        <v>2.85232373427582E-4</v>
      </c>
    </row>
    <row r="311" spans="1:71" x14ac:dyDescent="0.25">
      <c r="A311">
        <v>308</v>
      </c>
      <c r="B311">
        <v>4.6814375144331403E-3</v>
      </c>
      <c r="C311">
        <v>0.39343249839230199</v>
      </c>
      <c r="D311">
        <v>-1.28477181535456E-3</v>
      </c>
      <c r="E311">
        <v>6.1312499999999995E-4</v>
      </c>
      <c r="F311">
        <v>-3.9343249839230198E-3</v>
      </c>
      <c r="G311" s="1">
        <v>4.3368086899420197E-19</v>
      </c>
      <c r="H311" t="s">
        <v>79</v>
      </c>
      <c r="I311">
        <v>3894232.6971152802</v>
      </c>
      <c r="J311" t="s">
        <v>75</v>
      </c>
      <c r="K311">
        <v>3.14159265358979</v>
      </c>
      <c r="L311">
        <v>0.43895243453391197</v>
      </c>
      <c r="M311">
        <v>1.7809649011549101E-4</v>
      </c>
      <c r="N311">
        <v>2.5414754491235699E-2</v>
      </c>
      <c r="O311">
        <v>1.5877581852220899E-4</v>
      </c>
      <c r="P311" s="1">
        <v>7.9471718394271604E-9</v>
      </c>
      <c r="Q311">
        <v>1.6507597679768098E-2</v>
      </c>
      <c r="R311">
        <v>0</v>
      </c>
      <c r="S311" s="1">
        <v>4.2434942335954797E-8</v>
      </c>
      <c r="T311">
        <v>6.2316146467058499E-2</v>
      </c>
      <c r="U311">
        <v>8.7696943522764803E-3</v>
      </c>
      <c r="V311" t="s">
        <v>80</v>
      </c>
      <c r="W311">
        <v>10729142.219062399</v>
      </c>
      <c r="X311" t="s">
        <v>76</v>
      </c>
      <c r="Y311">
        <v>-1.5707963267949001</v>
      </c>
      <c r="Z311">
        <v>0.43872130214212701</v>
      </c>
      <c r="AA311">
        <v>1.47493896749192E-4</v>
      </c>
      <c r="AB311">
        <v>2.5267716221753101E-2</v>
      </c>
      <c r="AC311">
        <v>1.36436961413215E-4</v>
      </c>
      <c r="AD311">
        <v>0</v>
      </c>
      <c r="AE311">
        <v>1.8272667255829302E-2</v>
      </c>
      <c r="AF311">
        <v>0</v>
      </c>
      <c r="AG311">
        <v>0</v>
      </c>
      <c r="AH311">
        <v>0.68701732244691704</v>
      </c>
      <c r="AI311">
        <v>0.11805413305233101</v>
      </c>
      <c r="AJ311" t="s">
        <v>74</v>
      </c>
      <c r="AK311">
        <v>0</v>
      </c>
      <c r="AL311" t="s">
        <v>77</v>
      </c>
      <c r="AM311">
        <v>0</v>
      </c>
      <c r="AN311">
        <v>0.99199999999999999</v>
      </c>
      <c r="AO311">
        <v>0</v>
      </c>
      <c r="AP311">
        <v>5.8245346242475203E-2</v>
      </c>
      <c r="AQ311">
        <v>0</v>
      </c>
      <c r="AR311">
        <v>1.6E-2</v>
      </c>
      <c r="AS311">
        <v>0</v>
      </c>
      <c r="AT311">
        <v>0</v>
      </c>
      <c r="AU311">
        <v>0</v>
      </c>
      <c r="AV311">
        <v>0</v>
      </c>
      <c r="AW311">
        <v>1</v>
      </c>
      <c r="AX311" t="s">
        <v>74</v>
      </c>
      <c r="AY311">
        <v>0</v>
      </c>
      <c r="AZ311" t="s">
        <v>76</v>
      </c>
      <c r="BA311">
        <v>-1.5707963267949001</v>
      </c>
      <c r="BB311">
        <v>0.99199999999999999</v>
      </c>
      <c r="BC311">
        <v>0</v>
      </c>
      <c r="BD311">
        <v>5.8245346242475203E-2</v>
      </c>
      <c r="BE311">
        <v>0</v>
      </c>
      <c r="BF311">
        <v>1.6E-2</v>
      </c>
      <c r="BG311">
        <v>0</v>
      </c>
      <c r="BH311">
        <v>0</v>
      </c>
      <c r="BI311">
        <v>0</v>
      </c>
      <c r="BJ311">
        <v>0</v>
      </c>
      <c r="BK311">
        <v>1</v>
      </c>
      <c r="BL311" s="1">
        <v>8.3734187988937305E-5</v>
      </c>
      <c r="BM311">
        <v>3.74666755674459E-4</v>
      </c>
      <c r="BN311" s="1">
        <v>3.1110443515058702E-7</v>
      </c>
      <c r="BO311" s="1">
        <v>5.88525163585601E-6</v>
      </c>
      <c r="BP311" s="1">
        <v>2.19617037070672E-6</v>
      </c>
      <c r="BQ311" s="1">
        <v>3.5736658125120398E-5</v>
      </c>
      <c r="BR311" s="1">
        <v>5.5517809987216897E-5</v>
      </c>
      <c r="BS311">
        <v>2.85493868803433E-4</v>
      </c>
    </row>
    <row r="312" spans="1:71" x14ac:dyDescent="0.25">
      <c r="A312">
        <v>309</v>
      </c>
      <c r="B312">
        <v>7.7847067413754304E-3</v>
      </c>
      <c r="C312">
        <v>0.40121720513367698</v>
      </c>
      <c r="D312">
        <v>-1.2887460321036801E-3</v>
      </c>
      <c r="E312">
        <v>6.1312499999999995E-4</v>
      </c>
      <c r="F312">
        <v>-4.0121720513367799E-3</v>
      </c>
      <c r="G312" s="1">
        <v>4.3368086899420197E-19</v>
      </c>
      <c r="H312" t="s">
        <v>80</v>
      </c>
      <c r="I312">
        <v>3936624.3424392901</v>
      </c>
      <c r="J312" t="s">
        <v>75</v>
      </c>
      <c r="K312">
        <v>3.14159265358979</v>
      </c>
      <c r="L312">
        <v>0.43866981239025798</v>
      </c>
      <c r="M312">
        <v>4.5512529301622399E-4</v>
      </c>
      <c r="N312">
        <v>2.5234962828725799E-2</v>
      </c>
      <c r="O312">
        <v>3.7635373152863802E-4</v>
      </c>
      <c r="P312">
        <v>0</v>
      </c>
      <c r="Q312">
        <v>1.6507597679768098E-2</v>
      </c>
      <c r="R312">
        <v>0</v>
      </c>
      <c r="S312">
        <v>0</v>
      </c>
      <c r="T312">
        <v>6.2316188902000802E-2</v>
      </c>
      <c r="U312">
        <v>8.7696943522764803E-3</v>
      </c>
      <c r="V312" t="s">
        <v>80</v>
      </c>
      <c r="W312">
        <v>10763437.7805491</v>
      </c>
      <c r="X312" t="s">
        <v>76</v>
      </c>
      <c r="Y312">
        <v>-1.5707963267949001</v>
      </c>
      <c r="Z312">
        <v>0.43872130214212701</v>
      </c>
      <c r="AA312">
        <v>1.47493896749192E-4</v>
      </c>
      <c r="AB312">
        <v>2.5267716221753101E-2</v>
      </c>
      <c r="AC312">
        <v>1.36436961413215E-4</v>
      </c>
      <c r="AD312">
        <v>0</v>
      </c>
      <c r="AE312">
        <v>1.8272667255829302E-2</v>
      </c>
      <c r="AF312">
        <v>0</v>
      </c>
      <c r="AG312">
        <v>0</v>
      </c>
      <c r="AH312">
        <v>0.68701732244691704</v>
      </c>
      <c r="AI312">
        <v>0.11805413305233101</v>
      </c>
      <c r="AJ312" t="s">
        <v>74</v>
      </c>
      <c r="AK312">
        <v>0</v>
      </c>
      <c r="AL312" t="s">
        <v>77</v>
      </c>
      <c r="AM312">
        <v>0</v>
      </c>
      <c r="AN312">
        <v>0.99199999999999999</v>
      </c>
      <c r="AO312">
        <v>0</v>
      </c>
      <c r="AP312">
        <v>5.8245346242475203E-2</v>
      </c>
      <c r="AQ312">
        <v>0</v>
      </c>
      <c r="AR312">
        <v>1.6E-2</v>
      </c>
      <c r="AS312">
        <v>0</v>
      </c>
      <c r="AT312">
        <v>0</v>
      </c>
      <c r="AU312">
        <v>0</v>
      </c>
      <c r="AV312">
        <v>0</v>
      </c>
      <c r="AW312">
        <v>1</v>
      </c>
      <c r="AX312" t="s">
        <v>74</v>
      </c>
      <c r="AY312">
        <v>0</v>
      </c>
      <c r="AZ312" t="s">
        <v>76</v>
      </c>
      <c r="BA312">
        <v>-1.5707963267949001</v>
      </c>
      <c r="BB312">
        <v>0.99199999999999999</v>
      </c>
      <c r="BC312">
        <v>0</v>
      </c>
      <c r="BD312">
        <v>5.8245346242475203E-2</v>
      </c>
      <c r="BE312">
        <v>0</v>
      </c>
      <c r="BF312">
        <v>1.6E-2</v>
      </c>
      <c r="BG312">
        <v>0</v>
      </c>
      <c r="BH312">
        <v>0</v>
      </c>
      <c r="BI312">
        <v>0</v>
      </c>
      <c r="BJ312">
        <v>0</v>
      </c>
      <c r="BK312">
        <v>1</v>
      </c>
      <c r="BL312" s="1">
        <v>8.3753081114185595E-5</v>
      </c>
      <c r="BM312">
        <v>3.74666755674459E-4</v>
      </c>
      <c r="BN312" s="1">
        <v>3.1138327122569397E-7</v>
      </c>
      <c r="BO312" s="1">
        <v>5.88525163585601E-6</v>
      </c>
      <c r="BP312" s="1">
        <v>2.2331798381676799E-6</v>
      </c>
      <c r="BQ312" s="1">
        <v>3.6125678467286297E-5</v>
      </c>
      <c r="BR312" s="1">
        <v>5.5563050930876497E-5</v>
      </c>
      <c r="BS312">
        <v>2.8592119680783399E-4</v>
      </c>
    </row>
    <row r="313" spans="1:71" x14ac:dyDescent="0.25">
      <c r="A313">
        <v>310</v>
      </c>
      <c r="B313">
        <v>0.2</v>
      </c>
      <c r="C313">
        <v>0.60121720513367705</v>
      </c>
      <c r="D313">
        <v>-1.3868750000000001E-3</v>
      </c>
      <c r="E313">
        <v>6.1312499999999995E-4</v>
      </c>
      <c r="F313">
        <v>-6.01217205133678E-3</v>
      </c>
      <c r="G313" s="1">
        <v>4.3368086899420197E-19</v>
      </c>
      <c r="H313" t="s">
        <v>80</v>
      </c>
      <c r="I313">
        <v>4983333.3333333395</v>
      </c>
      <c r="J313" t="s">
        <v>75</v>
      </c>
      <c r="K313">
        <v>3.14159265358979</v>
      </c>
      <c r="L313">
        <v>0.43866981239025798</v>
      </c>
      <c r="M313">
        <v>4.5512529301622399E-4</v>
      </c>
      <c r="N313">
        <v>2.5234962828725799E-2</v>
      </c>
      <c r="O313">
        <v>3.7635373152863802E-4</v>
      </c>
      <c r="P313">
        <v>0</v>
      </c>
      <c r="Q313">
        <v>1.6507597679768098E-2</v>
      </c>
      <c r="R313">
        <v>0</v>
      </c>
      <c r="S313">
        <v>0</v>
      </c>
      <c r="T313">
        <v>6.2316188902000802E-2</v>
      </c>
      <c r="U313">
        <v>8.7696943522764803E-3</v>
      </c>
      <c r="V313" t="s">
        <v>80</v>
      </c>
      <c r="W313">
        <v>11610243.142347399</v>
      </c>
      <c r="X313" t="s">
        <v>76</v>
      </c>
      <c r="Y313">
        <v>-1.5707963267949001</v>
      </c>
      <c r="Z313">
        <v>0.43872130214212701</v>
      </c>
      <c r="AA313">
        <v>1.47493896749192E-4</v>
      </c>
      <c r="AB313">
        <v>2.5267716221753101E-2</v>
      </c>
      <c r="AC313">
        <v>1.36436961413215E-4</v>
      </c>
      <c r="AD313">
        <v>0</v>
      </c>
      <c r="AE313">
        <v>1.8272667255829302E-2</v>
      </c>
      <c r="AF313">
        <v>0</v>
      </c>
      <c r="AG313">
        <v>0</v>
      </c>
      <c r="AH313">
        <v>0.68701732244691704</v>
      </c>
      <c r="AI313">
        <v>0.11805413305233101</v>
      </c>
      <c r="AJ313" t="s">
        <v>74</v>
      </c>
      <c r="AK313">
        <v>0</v>
      </c>
      <c r="AL313" t="s">
        <v>77</v>
      </c>
      <c r="AM313">
        <v>0</v>
      </c>
      <c r="AN313">
        <v>0.99199999999999999</v>
      </c>
      <c r="AO313">
        <v>0</v>
      </c>
      <c r="AP313">
        <v>5.8245346242475203E-2</v>
      </c>
      <c r="AQ313">
        <v>0</v>
      </c>
      <c r="AR313">
        <v>1.6E-2</v>
      </c>
      <c r="AS313">
        <v>0</v>
      </c>
      <c r="AT313">
        <v>0</v>
      </c>
      <c r="AU313">
        <v>0</v>
      </c>
      <c r="AV313">
        <v>0</v>
      </c>
      <c r="AW313">
        <v>1</v>
      </c>
      <c r="AX313" t="s">
        <v>74</v>
      </c>
      <c r="AY313">
        <v>0</v>
      </c>
      <c r="AZ313" t="s">
        <v>76</v>
      </c>
      <c r="BA313">
        <v>-1.5707963267949001</v>
      </c>
      <c r="BB313">
        <v>0.99199999999999999</v>
      </c>
      <c r="BC313">
        <v>0</v>
      </c>
      <c r="BD313">
        <v>5.8245346242475203E-2</v>
      </c>
      <c r="BE313">
        <v>0</v>
      </c>
      <c r="BF313">
        <v>1.6E-2</v>
      </c>
      <c r="BG313">
        <v>0</v>
      </c>
      <c r="BH313">
        <v>0</v>
      </c>
      <c r="BI313">
        <v>0</v>
      </c>
      <c r="BJ313">
        <v>0</v>
      </c>
      <c r="BK313">
        <v>1</v>
      </c>
      <c r="BL313" s="1">
        <v>8.3753081114185595E-5</v>
      </c>
      <c r="BM313">
        <v>3.74666755674459E-4</v>
      </c>
      <c r="BN313" s="1">
        <v>3.1138327122569397E-7</v>
      </c>
      <c r="BO313" s="1">
        <v>5.88525163585601E-6</v>
      </c>
      <c r="BP313" s="1">
        <v>2.8269599938441601E-6</v>
      </c>
      <c r="BQ313" s="1">
        <v>4.5731134605482501E-5</v>
      </c>
      <c r="BR313" s="1">
        <v>5.6166976641153797E-5</v>
      </c>
      <c r="BS313">
        <v>2.9768795156166202E-4</v>
      </c>
    </row>
    <row r="314" spans="1:71" x14ac:dyDescent="0.25">
      <c r="A314">
        <v>311</v>
      </c>
      <c r="B314">
        <v>0</v>
      </c>
      <c r="C314">
        <v>0.60121720513367705</v>
      </c>
      <c r="D314">
        <v>-1.3868750000000001E-3</v>
      </c>
      <c r="E314">
        <v>6.1312499999999995E-4</v>
      </c>
      <c r="F314">
        <v>-6.01217205133678E-3</v>
      </c>
      <c r="G314" s="1">
        <v>4.3368086899420197E-19</v>
      </c>
      <c r="H314" t="s">
        <v>80</v>
      </c>
      <c r="I314">
        <v>4983333.3333333395</v>
      </c>
      <c r="J314" t="s">
        <v>75</v>
      </c>
      <c r="K314">
        <v>3.14159265358979</v>
      </c>
      <c r="L314">
        <v>0.43866981239025798</v>
      </c>
      <c r="M314">
        <v>4.5512529301622399E-4</v>
      </c>
      <c r="N314">
        <v>2.5234962828725799E-2</v>
      </c>
      <c r="O314">
        <v>3.7635373152863802E-4</v>
      </c>
      <c r="P314">
        <v>0</v>
      </c>
      <c r="Q314">
        <v>1.6507597679768098E-2</v>
      </c>
      <c r="R314">
        <v>0</v>
      </c>
      <c r="S314">
        <v>0</v>
      </c>
      <c r="T314">
        <v>6.2316188902000802E-2</v>
      </c>
      <c r="U314">
        <v>8.7696943522764803E-3</v>
      </c>
      <c r="V314" t="s">
        <v>80</v>
      </c>
      <c r="W314">
        <v>11610243.142347399</v>
      </c>
      <c r="X314" t="s">
        <v>76</v>
      </c>
      <c r="Y314">
        <v>-1.5707963267949001</v>
      </c>
      <c r="Z314">
        <v>0.43872130214212701</v>
      </c>
      <c r="AA314">
        <v>1.47493896749192E-4</v>
      </c>
      <c r="AB314">
        <v>2.5267716221753101E-2</v>
      </c>
      <c r="AC314">
        <v>1.36436961413215E-4</v>
      </c>
      <c r="AD314">
        <v>0</v>
      </c>
      <c r="AE314">
        <v>1.8272667255829302E-2</v>
      </c>
      <c r="AF314">
        <v>0</v>
      </c>
      <c r="AG314">
        <v>0</v>
      </c>
      <c r="AH314">
        <v>0.68701732244691704</v>
      </c>
      <c r="AI314">
        <v>0.11805413305233101</v>
      </c>
      <c r="AJ314" t="s">
        <v>74</v>
      </c>
      <c r="AK314">
        <v>0</v>
      </c>
      <c r="AL314" t="s">
        <v>77</v>
      </c>
      <c r="AM314">
        <v>0</v>
      </c>
      <c r="AN314">
        <v>0.99199999999999999</v>
      </c>
      <c r="AO314">
        <v>0</v>
      </c>
      <c r="AP314">
        <v>5.8245346242475203E-2</v>
      </c>
      <c r="AQ314">
        <v>0</v>
      </c>
      <c r="AR314">
        <v>1.6E-2</v>
      </c>
      <c r="AS314">
        <v>0</v>
      </c>
      <c r="AT314">
        <v>0</v>
      </c>
      <c r="AU314">
        <v>0</v>
      </c>
      <c r="AV314">
        <v>0</v>
      </c>
      <c r="AW314">
        <v>1</v>
      </c>
      <c r="AX314" t="s">
        <v>74</v>
      </c>
      <c r="AY314">
        <v>0</v>
      </c>
      <c r="AZ314" t="s">
        <v>76</v>
      </c>
      <c r="BA314">
        <v>-1.5707963267949001</v>
      </c>
      <c r="BB314">
        <v>0.99199999999999999</v>
      </c>
      <c r="BC314">
        <v>0</v>
      </c>
      <c r="BD314">
        <v>5.8245346242475203E-2</v>
      </c>
      <c r="BE314">
        <v>0</v>
      </c>
      <c r="BF314">
        <v>1.6E-2</v>
      </c>
      <c r="BG314">
        <v>0</v>
      </c>
      <c r="BH314">
        <v>0</v>
      </c>
      <c r="BI314">
        <v>0</v>
      </c>
      <c r="BJ314">
        <v>0</v>
      </c>
      <c r="BK314">
        <v>1</v>
      </c>
      <c r="BL314" s="1">
        <v>8.3753081114185595E-5</v>
      </c>
      <c r="BM314">
        <v>3.74666755674459E-4</v>
      </c>
      <c r="BN314" s="1">
        <v>3.1138327122569397E-7</v>
      </c>
      <c r="BO314" s="1">
        <v>5.88525163585601E-6</v>
      </c>
      <c r="BP314" s="1">
        <v>2.8269599938441601E-6</v>
      </c>
      <c r="BQ314" s="1">
        <v>4.5731134605482501E-5</v>
      </c>
      <c r="BR314" s="1">
        <v>5.6166976641153797E-5</v>
      </c>
      <c r="BS314">
        <v>2.9768795156166202E-4</v>
      </c>
    </row>
    <row r="315" spans="1:71" x14ac:dyDescent="0.25">
      <c r="A315" t="s">
        <v>81</v>
      </c>
    </row>
    <row r="316" spans="1:71" x14ac:dyDescent="0.25">
      <c r="A316" t="s">
        <v>9</v>
      </c>
      <c r="B316">
        <v>0</v>
      </c>
      <c r="C316">
        <v>0.25955190384466498</v>
      </c>
      <c r="D316">
        <v>0.58647099847871997</v>
      </c>
      <c r="E316">
        <v>0.99824256652821797</v>
      </c>
      <c r="F316">
        <v>1.51689022901407</v>
      </c>
      <c r="G316">
        <v>2.1701538797227</v>
      </c>
      <c r="H316">
        <v>2.9929733546852799</v>
      </c>
      <c r="I316">
        <v>4.02935719089486</v>
      </c>
      <c r="J316">
        <v>5.3347364249064801</v>
      </c>
      <c r="K316">
        <v>6.9789293243451</v>
      </c>
      <c r="L316">
        <v>9.0498756211208899</v>
      </c>
      <c r="M316">
        <v>11.658339971984899</v>
      </c>
      <c r="N316">
        <v>14.9438362112266</v>
      </c>
      <c r="O316">
        <v>19.082089254437999</v>
      </c>
      <c r="P316">
        <v>24.294433753605801</v>
      </c>
      <c r="Q316">
        <v>30.859652191026999</v>
      </c>
      <c r="R316">
        <v>39.128885573036897</v>
      </c>
      <c r="S316">
        <v>49.544414222683301</v>
      </c>
      <c r="T316">
        <v>62.663313162894099</v>
      </c>
      <c r="U316">
        <v>79.187247299382406</v>
      </c>
      <c r="V316">
        <v>100</v>
      </c>
    </row>
    <row r="317" spans="1:71" x14ac:dyDescent="0.25">
      <c r="A317" t="s">
        <v>6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</row>
    <row r="318" spans="1:71" x14ac:dyDescent="0.25">
      <c r="A318" t="s">
        <v>7</v>
      </c>
      <c r="B318">
        <v>1.6507597679768098E-2</v>
      </c>
      <c r="C318">
        <v>1.5894579852917201E-2</v>
      </c>
      <c r="D318">
        <v>1.4190779641172701E-2</v>
      </c>
      <c r="E318">
        <v>1.2354446986565799E-2</v>
      </c>
      <c r="F318">
        <v>1.04541802666207E-2</v>
      </c>
      <c r="G318">
        <v>8.5490437336431403E-3</v>
      </c>
      <c r="H318">
        <v>6.7328022095891199E-3</v>
      </c>
      <c r="I318">
        <v>5.0671912781541798E-3</v>
      </c>
      <c r="J318">
        <v>3.6380154359730802E-3</v>
      </c>
      <c r="K318">
        <v>2.4674233211891298E-3</v>
      </c>
      <c r="L318">
        <v>1.55928570301786E-3</v>
      </c>
      <c r="M318">
        <v>9.1794943605251098E-4</v>
      </c>
      <c r="N318">
        <v>4.8675951235783099E-4</v>
      </c>
      <c r="O318">
        <v>2.5025347204726898E-4</v>
      </c>
      <c r="P318">
        <v>1.02566132393038E-4</v>
      </c>
      <c r="Q318" s="1">
        <v>6.8786156107140495E-5</v>
      </c>
      <c r="R318" s="1">
        <v>2.6357712739326101E-5</v>
      </c>
      <c r="S318" s="1">
        <v>6.1607396115185602E-10</v>
      </c>
      <c r="T318" s="1">
        <v>5.2797998468546198E-11</v>
      </c>
      <c r="U318" s="1">
        <v>2.39142182106307E-12</v>
      </c>
      <c r="V318" s="1">
        <v>4.8514014061216398E-14</v>
      </c>
    </row>
    <row r="319" spans="1:71" x14ac:dyDescent="0.25">
      <c r="A319" t="s">
        <v>8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</row>
    <row r="320" spans="1:71" x14ac:dyDescent="0.25">
      <c r="A320" t="s">
        <v>41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</row>
    <row r="321" spans="1:24" x14ac:dyDescent="0.25">
      <c r="A321" t="s">
        <v>42</v>
      </c>
      <c r="B321">
        <v>6.2316188902000802E-2</v>
      </c>
      <c r="C321">
        <v>6.2190415464588499E-2</v>
      </c>
      <c r="D321">
        <v>6.1476898225459202E-2</v>
      </c>
      <c r="E321">
        <v>6.0032968580303998E-2</v>
      </c>
      <c r="F321">
        <v>5.76611919409072E-2</v>
      </c>
      <c r="G321">
        <v>5.41761895753501E-2</v>
      </c>
      <c r="H321">
        <v>4.9527601924279699E-2</v>
      </c>
      <c r="I321">
        <v>4.3730862517004497E-2</v>
      </c>
      <c r="J321">
        <v>3.7104779257655603E-2</v>
      </c>
      <c r="K321">
        <v>2.99809351292071E-2</v>
      </c>
      <c r="L321">
        <v>2.2794990675256699E-2</v>
      </c>
      <c r="M321">
        <v>1.6246234914306299E-2</v>
      </c>
      <c r="N321">
        <v>1.0601872994717799E-2</v>
      </c>
      <c r="O321">
        <v>6.6765770061828498E-3</v>
      </c>
      <c r="P321">
        <v>3.5983440757778899E-3</v>
      </c>
      <c r="Q321">
        <v>2.6681152858757701E-3</v>
      </c>
      <c r="R321">
        <v>1.1838640589507199E-3</v>
      </c>
      <c r="S321" s="1">
        <v>3.3853367638592902E-8</v>
      </c>
      <c r="T321" s="1">
        <v>3.59474501287074E-9</v>
      </c>
      <c r="U321" s="1">
        <v>2.0238295675124301E-10</v>
      </c>
      <c r="V321" s="1">
        <v>5.1166053900264096E-12</v>
      </c>
    </row>
    <row r="322" spans="1:24" x14ac:dyDescent="0.25">
      <c r="A322" t="s">
        <v>10</v>
      </c>
      <c r="B322">
        <v>0</v>
      </c>
      <c r="C322">
        <v>0.05</v>
      </c>
      <c r="D322">
        <v>0.1</v>
      </c>
      <c r="E322">
        <v>0.15</v>
      </c>
      <c r="F322">
        <v>0.2</v>
      </c>
      <c r="G322">
        <v>0.25</v>
      </c>
      <c r="H322">
        <v>0.3</v>
      </c>
      <c r="I322">
        <v>0.35</v>
      </c>
      <c r="J322">
        <v>0.4</v>
      </c>
      <c r="K322">
        <v>0.45</v>
      </c>
      <c r="L322">
        <v>0.5</v>
      </c>
    </row>
    <row r="323" spans="1:24" x14ac:dyDescent="0.25">
      <c r="A323" t="s">
        <v>2</v>
      </c>
      <c r="B323">
        <v>0.43866981239025798</v>
      </c>
      <c r="C323">
        <v>0.43866981239025798</v>
      </c>
      <c r="D323">
        <v>0.43866981239025798</v>
      </c>
      <c r="E323">
        <v>0.12684605359404899</v>
      </c>
      <c r="F323">
        <v>5.0941585992339798E-2</v>
      </c>
      <c r="G323">
        <v>2.39113896377421E-2</v>
      </c>
      <c r="H323">
        <v>1.19636161428137E-2</v>
      </c>
      <c r="I323">
        <v>5.8869524375629902E-3</v>
      </c>
      <c r="J323">
        <v>2.47555769260004E-3</v>
      </c>
      <c r="K323">
        <v>4.1462396940886701E-4</v>
      </c>
      <c r="L323">
        <v>0</v>
      </c>
    </row>
    <row r="324" spans="1:24" x14ac:dyDescent="0.25">
      <c r="A324" t="s">
        <v>3</v>
      </c>
      <c r="B324">
        <v>4.5512529301622399E-4</v>
      </c>
      <c r="C324">
        <v>-1.4010253296963999E-4</v>
      </c>
      <c r="D324">
        <v>-1.4010253296963999E-4</v>
      </c>
      <c r="E324">
        <v>-1.4010253296963999E-4</v>
      </c>
      <c r="F324">
        <v>-1.4010253296963999E-4</v>
      </c>
      <c r="G324">
        <v>-1.4010253296963999E-4</v>
      </c>
      <c r="H324">
        <v>-1.4010253296963999E-4</v>
      </c>
      <c r="I324">
        <v>-1.4010253296963999E-4</v>
      </c>
      <c r="J324">
        <v>-1.4010253296963999E-4</v>
      </c>
      <c r="K324">
        <v>9.3409269798788502E-4</v>
      </c>
      <c r="L324">
        <v>7.1255964583893797E-4</v>
      </c>
    </row>
    <row r="325" spans="1:24" x14ac:dyDescent="0.25">
      <c r="A325" t="s">
        <v>11</v>
      </c>
      <c r="B325">
        <v>2.5234962828725799E-2</v>
      </c>
      <c r="C325">
        <v>2.5234962828725799E-2</v>
      </c>
      <c r="D325">
        <v>2.5234962828725799E-2</v>
      </c>
      <c r="E325">
        <v>1.54387305302365E-2</v>
      </c>
      <c r="F325">
        <v>1.00733598799126E-2</v>
      </c>
      <c r="G325">
        <v>6.6766452282048397E-3</v>
      </c>
      <c r="H325">
        <v>4.3307053883034604E-3</v>
      </c>
      <c r="I325">
        <v>2.6125692033758499E-3</v>
      </c>
      <c r="J325">
        <v>1.2997106513902301E-3</v>
      </c>
      <c r="K325">
        <v>2.6377237230016998E-4</v>
      </c>
      <c r="L325">
        <v>0</v>
      </c>
    </row>
    <row r="326" spans="1:24" x14ac:dyDescent="0.25">
      <c r="A326" t="s">
        <v>12</v>
      </c>
      <c r="B326">
        <v>3.7635373152863802E-4</v>
      </c>
      <c r="C326">
        <v>1.60626860132049E-4</v>
      </c>
      <c r="D326">
        <v>1.60626860132049E-4</v>
      </c>
      <c r="E326">
        <v>1.60626860132049E-4</v>
      </c>
      <c r="F326">
        <v>1.60626860132049E-4</v>
      </c>
      <c r="G326">
        <v>1.60626860132049E-4</v>
      </c>
      <c r="H326">
        <v>1.60626860132049E-4</v>
      </c>
      <c r="I326">
        <v>1.60626860132049E-4</v>
      </c>
      <c r="J326">
        <v>1.60626860132049E-4</v>
      </c>
      <c r="K326">
        <v>7.0057627550762502E-4</v>
      </c>
      <c r="L326">
        <v>5.5964303715303799E-4</v>
      </c>
    </row>
    <row r="327" spans="1:24" x14ac:dyDescent="0.25">
      <c r="A327" t="s">
        <v>4</v>
      </c>
      <c r="B327">
        <v>4.5582709455587603E-3</v>
      </c>
      <c r="C327">
        <v>4.5582709455587603E-3</v>
      </c>
      <c r="D327">
        <v>4.5582709455587603E-3</v>
      </c>
      <c r="E327">
        <v>3.5786477157098298E-3</v>
      </c>
      <c r="F327">
        <v>2.7738421181612502E-3</v>
      </c>
      <c r="G327">
        <v>2.0944991878197E-3</v>
      </c>
      <c r="H327">
        <v>1.50801422784435E-3</v>
      </c>
      <c r="I327">
        <v>9.9257337236606795E-4</v>
      </c>
      <c r="J327">
        <v>5.3307287917109898E-4</v>
      </c>
      <c r="K327">
        <v>1.18697567535077E-4</v>
      </c>
      <c r="L327">
        <v>0</v>
      </c>
    </row>
    <row r="328" spans="1:24" x14ac:dyDescent="0.25">
      <c r="A328" t="s">
        <v>5</v>
      </c>
      <c r="B328">
        <v>1.94187515258924E-4</v>
      </c>
      <c r="C328">
        <v>1.2726170968585301E-4</v>
      </c>
      <c r="D328">
        <v>1.2726170968585301E-4</v>
      </c>
      <c r="E328">
        <v>1.2726170968585301E-4</v>
      </c>
      <c r="F328">
        <v>1.2726170968585301E-4</v>
      </c>
      <c r="G328">
        <v>1.2726170968585301E-4</v>
      </c>
      <c r="H328">
        <v>1.2726170968585301E-4</v>
      </c>
      <c r="I328">
        <v>1.2726170968585301E-4</v>
      </c>
      <c r="J328">
        <v>1.2726170968585301E-4</v>
      </c>
      <c r="K328">
        <v>3.4324147583608298E-4</v>
      </c>
      <c r="L328">
        <v>2.79821518576519E-4</v>
      </c>
    </row>
    <row r="329" spans="1:24" x14ac:dyDescent="0.25">
      <c r="A329" t="s">
        <v>82</v>
      </c>
    </row>
    <row r="330" spans="1:24" x14ac:dyDescent="0.25">
      <c r="A330" t="s">
        <v>9</v>
      </c>
      <c r="B330">
        <v>0</v>
      </c>
      <c r="C330">
        <v>0.25955190384466498</v>
      </c>
      <c r="D330">
        <v>0.58647099847871997</v>
      </c>
      <c r="E330">
        <v>0.99824256652821797</v>
      </c>
      <c r="F330">
        <v>1.51689022901407</v>
      </c>
      <c r="G330">
        <v>2.1701538797227</v>
      </c>
      <c r="H330">
        <v>2.9929733546852799</v>
      </c>
      <c r="I330">
        <v>4.02935719089486</v>
      </c>
      <c r="J330">
        <v>5.3347364249064801</v>
      </c>
      <c r="K330">
        <v>6.9789293243451</v>
      </c>
      <c r="L330">
        <v>9.0498756211208899</v>
      </c>
      <c r="M330">
        <v>11.658339971984899</v>
      </c>
      <c r="N330">
        <v>14.9438362112266</v>
      </c>
      <c r="O330">
        <v>19.082089254437999</v>
      </c>
      <c r="P330">
        <v>24.294433753605801</v>
      </c>
      <c r="Q330">
        <v>30.859652191026999</v>
      </c>
      <c r="R330">
        <v>39.128885573036897</v>
      </c>
      <c r="S330">
        <v>49.544414222683301</v>
      </c>
      <c r="T330">
        <v>62.663313162894099</v>
      </c>
      <c r="U330">
        <v>79.187247299382406</v>
      </c>
      <c r="V330">
        <v>100</v>
      </c>
    </row>
    <row r="331" spans="1:24" x14ac:dyDescent="0.25">
      <c r="A331" t="s">
        <v>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 s="1"/>
    </row>
    <row r="332" spans="1:24" x14ac:dyDescent="0.25">
      <c r="A332" t="s">
        <v>7</v>
      </c>
      <c r="B332">
        <v>1.8272667255829302E-2</v>
      </c>
      <c r="C332">
        <v>1.8211817317632301E-2</v>
      </c>
      <c r="D332">
        <v>1.80457345466149E-2</v>
      </c>
      <c r="E332">
        <v>1.78373822747037E-2</v>
      </c>
      <c r="F332">
        <v>1.7577383260608599E-2</v>
      </c>
      <c r="G332">
        <v>1.7254639698204299E-2</v>
      </c>
      <c r="H332">
        <v>1.6856105638178302E-2</v>
      </c>
      <c r="I332">
        <v>1.6367153320435E-2</v>
      </c>
      <c r="J332">
        <v>1.5772087044767801E-2</v>
      </c>
      <c r="K332">
        <v>1.5054995031423799E-2</v>
      </c>
      <c r="L332">
        <v>1.4200969533538299E-2</v>
      </c>
      <c r="M332">
        <v>1.3198761075602E-2</v>
      </c>
      <c r="N332">
        <v>1.2043822702044999E-2</v>
      </c>
      <c r="O332">
        <v>1.0742395125699401E-2</v>
      </c>
      <c r="P332">
        <v>9.3158444118082301E-3</v>
      </c>
      <c r="Q332">
        <v>7.8040947089450504E-3</v>
      </c>
      <c r="R332">
        <v>6.2661535496633799E-3</v>
      </c>
      <c r="S332">
        <v>4.77694700974844E-3</v>
      </c>
      <c r="T332">
        <v>3.4174927477050102E-3</v>
      </c>
      <c r="U332">
        <v>2.2610142572012798E-3</v>
      </c>
      <c r="V332">
        <v>1.35720827961617E-3</v>
      </c>
      <c r="W332" s="1"/>
    </row>
    <row r="333" spans="1:24" x14ac:dyDescent="0.25">
      <c r="A333" t="s">
        <v>8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</row>
    <row r="334" spans="1:24" x14ac:dyDescent="0.25">
      <c r="A334" t="s">
        <v>41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 s="1"/>
      <c r="X334" s="1"/>
    </row>
    <row r="335" spans="1:24" x14ac:dyDescent="0.25">
      <c r="A335" t="s">
        <v>42</v>
      </c>
      <c r="B335">
        <v>0.68701732244691704</v>
      </c>
      <c r="C335">
        <v>0.68695835125667004</v>
      </c>
      <c r="D335">
        <v>0.686888202170573</v>
      </c>
      <c r="E335">
        <v>0.68672340997133097</v>
      </c>
      <c r="F335">
        <v>0.68639706433721903</v>
      </c>
      <c r="G335">
        <v>0.685803264964438</v>
      </c>
      <c r="H335">
        <v>0.68477659739832697</v>
      </c>
      <c r="I335">
        <v>0.683063651572688</v>
      </c>
      <c r="J335">
        <v>0.68028422294287005</v>
      </c>
      <c r="K335">
        <v>0.67588081138244405</v>
      </c>
      <c r="L335">
        <v>0.66905612685250304</v>
      </c>
      <c r="M335">
        <v>0.65871259936178705</v>
      </c>
      <c r="N335">
        <v>0.64340650622150097</v>
      </c>
      <c r="O335">
        <v>0.62135707499487003</v>
      </c>
      <c r="P335">
        <v>0.59056496049610196</v>
      </c>
      <c r="Q335">
        <v>0.54910546590086196</v>
      </c>
      <c r="R335">
        <v>0.49563241667028202</v>
      </c>
      <c r="S335">
        <v>0.43010213406543701</v>
      </c>
      <c r="T335">
        <v>0.35450192643818401</v>
      </c>
      <c r="U335">
        <v>0.27330370347135802</v>
      </c>
      <c r="V335">
        <v>0.193310291272528</v>
      </c>
      <c r="W335" s="1"/>
    </row>
    <row r="336" spans="1:24" x14ac:dyDescent="0.25">
      <c r="A336" t="s">
        <v>10</v>
      </c>
      <c r="B336">
        <v>0</v>
      </c>
      <c r="C336">
        <v>0.05</v>
      </c>
      <c r="D336">
        <v>0.1</v>
      </c>
      <c r="E336">
        <v>0.15</v>
      </c>
      <c r="F336">
        <v>0.2</v>
      </c>
      <c r="G336">
        <v>0.25</v>
      </c>
      <c r="H336">
        <v>0.3</v>
      </c>
      <c r="I336">
        <v>0.35</v>
      </c>
      <c r="J336">
        <v>0.4</v>
      </c>
      <c r="K336">
        <v>0.45</v>
      </c>
      <c r="L336">
        <v>0.5</v>
      </c>
    </row>
    <row r="337" spans="1:22" x14ac:dyDescent="0.25">
      <c r="A337" t="s">
        <v>2</v>
      </c>
      <c r="B337">
        <v>0.43872130214212701</v>
      </c>
      <c r="C337">
        <v>0.43872130214212701</v>
      </c>
      <c r="D337">
        <v>0.43872130214212701</v>
      </c>
      <c r="E337">
        <v>0.12689754334591799</v>
      </c>
      <c r="F337">
        <v>5.0993075744208603E-2</v>
      </c>
      <c r="G337">
        <v>2.3962879389610801E-2</v>
      </c>
      <c r="H337">
        <v>1.2015105894682399E-2</v>
      </c>
      <c r="I337">
        <v>5.9384421894317198E-3</v>
      </c>
      <c r="J337">
        <v>2.5270474444687701E-3</v>
      </c>
      <c r="K337">
        <v>4.66091463706658E-4</v>
      </c>
      <c r="L337">
        <v>0</v>
      </c>
    </row>
    <row r="338" spans="1:22" x14ac:dyDescent="0.25">
      <c r="A338" t="s">
        <v>3</v>
      </c>
      <c r="B338">
        <v>1.47493896749192E-4</v>
      </c>
      <c r="C338">
        <v>-3.7996766433771702E-3</v>
      </c>
      <c r="D338">
        <v>-3.7996766433771702E-3</v>
      </c>
      <c r="E338">
        <v>-3.7996766433771702E-3</v>
      </c>
      <c r="F338">
        <v>-3.7996766433771702E-3</v>
      </c>
      <c r="G338">
        <v>-3.7996766433771702E-3</v>
      </c>
      <c r="H338">
        <v>-3.7996766433771702E-3</v>
      </c>
      <c r="I338">
        <v>-3.7996766433771702E-3</v>
      </c>
      <c r="J338">
        <v>-3.7996766433771702E-3</v>
      </c>
      <c r="K338">
        <v>1.23731637349319E-3</v>
      </c>
      <c r="L338">
        <v>3.1324314976163403E-4</v>
      </c>
    </row>
    <row r="339" spans="1:22" x14ac:dyDescent="0.25">
      <c r="A339" t="s">
        <v>11</v>
      </c>
      <c r="B339">
        <v>2.5267716221753101E-2</v>
      </c>
      <c r="C339">
        <v>2.5267716221753101E-2</v>
      </c>
      <c r="D339">
        <v>2.5267716221753101E-2</v>
      </c>
      <c r="E339">
        <v>1.54714839232638E-2</v>
      </c>
      <c r="F339">
        <v>1.01061132729399E-2</v>
      </c>
      <c r="G339">
        <v>6.7093986212321396E-3</v>
      </c>
      <c r="H339">
        <v>4.3634587813307603E-3</v>
      </c>
      <c r="I339">
        <v>2.6453225964031498E-3</v>
      </c>
      <c r="J339">
        <v>1.33246404441753E-3</v>
      </c>
      <c r="K339">
        <v>2.9651457745205498E-4</v>
      </c>
      <c r="L339">
        <v>0</v>
      </c>
    </row>
    <row r="340" spans="1:22" x14ac:dyDescent="0.25">
      <c r="A340" t="s">
        <v>12</v>
      </c>
      <c r="B340">
        <v>1.36436961413215E-4</v>
      </c>
      <c r="C340">
        <v>-1.69797826241921E-3</v>
      </c>
      <c r="D340">
        <v>-1.69797826241921E-3</v>
      </c>
      <c r="E340">
        <v>-1.69797826241921E-3</v>
      </c>
      <c r="F340">
        <v>-1.69797826241921E-3</v>
      </c>
      <c r="G340">
        <v>-1.69797826241921E-3</v>
      </c>
      <c r="H340">
        <v>-1.69797826241921E-3</v>
      </c>
      <c r="I340">
        <v>-1.69797826241921E-3</v>
      </c>
      <c r="J340">
        <v>-1.69797826241921E-3</v>
      </c>
      <c r="K340">
        <v>8.3389057885807302E-4</v>
      </c>
      <c r="L340">
        <v>2.4602059451961898E-4</v>
      </c>
    </row>
    <row r="341" spans="1:22" x14ac:dyDescent="0.25">
      <c r="A341" t="s">
        <v>4</v>
      </c>
      <c r="B341">
        <v>4.5730094130272698E-3</v>
      </c>
      <c r="C341">
        <v>4.5730094130272802E-3</v>
      </c>
      <c r="D341">
        <v>4.5730094130272802E-3</v>
      </c>
      <c r="E341">
        <v>3.5933861831783502E-3</v>
      </c>
      <c r="F341">
        <v>2.7885805856297601E-3</v>
      </c>
      <c r="G341">
        <v>2.1092376552882099E-3</v>
      </c>
      <c r="H341">
        <v>1.52275269531287E-3</v>
      </c>
      <c r="I341">
        <v>1.00731183983458E-3</v>
      </c>
      <c r="J341">
        <v>5.47811346639613E-4</v>
      </c>
      <c r="K341">
        <v>1.33431559853425E-4</v>
      </c>
      <c r="L341">
        <v>0</v>
      </c>
    </row>
    <row r="342" spans="1:22" x14ac:dyDescent="0.25">
      <c r="A342" t="s">
        <v>5</v>
      </c>
      <c r="B342" s="1">
        <v>7.2198940854082701E-5</v>
      </c>
      <c r="C342">
        <v>-6.2519574629880004E-4</v>
      </c>
      <c r="D342">
        <v>-6.2519574629880004E-4</v>
      </c>
      <c r="E342">
        <v>-6.2519574629880004E-4</v>
      </c>
      <c r="F342">
        <v>-6.2519574629880004E-4</v>
      </c>
      <c r="G342">
        <v>-6.2519574629880004E-4</v>
      </c>
      <c r="H342">
        <v>-6.2519574629880004E-4</v>
      </c>
      <c r="I342">
        <v>-6.2519574629880004E-4</v>
      </c>
      <c r="J342">
        <v>-6.2519574629880004E-4</v>
      </c>
      <c r="K342">
        <v>3.8755179021211398E-4</v>
      </c>
      <c r="L342">
        <v>1.2301029725981E-4</v>
      </c>
    </row>
    <row r="343" spans="1:22" x14ac:dyDescent="0.25">
      <c r="A343" t="s">
        <v>83</v>
      </c>
    </row>
    <row r="344" spans="1:22" x14ac:dyDescent="0.25">
      <c r="A344" t="s">
        <v>9</v>
      </c>
      <c r="B344">
        <v>0</v>
      </c>
      <c r="C344">
        <v>0.25955190384466498</v>
      </c>
      <c r="D344">
        <v>0.58647099847871997</v>
      </c>
      <c r="E344">
        <v>0.99824256652821797</v>
      </c>
      <c r="F344">
        <v>1.51689022901407</v>
      </c>
      <c r="G344">
        <v>2.1701538797227</v>
      </c>
      <c r="H344">
        <v>2.9929733546852799</v>
      </c>
      <c r="I344">
        <v>4.02935719089486</v>
      </c>
      <c r="J344">
        <v>5.3347364249064801</v>
      </c>
      <c r="K344">
        <v>6.9789293243451</v>
      </c>
      <c r="L344">
        <v>9.0498756211208899</v>
      </c>
      <c r="M344">
        <v>11.658339971984899</v>
      </c>
      <c r="N344">
        <v>14.9438362112266</v>
      </c>
      <c r="O344">
        <v>19.082089254437999</v>
      </c>
      <c r="P344">
        <v>24.294433753605801</v>
      </c>
      <c r="Q344">
        <v>30.859652191026999</v>
      </c>
      <c r="R344">
        <v>39.128885573036897</v>
      </c>
      <c r="S344">
        <v>49.544414222683301</v>
      </c>
      <c r="T344">
        <v>62.663313162894099</v>
      </c>
      <c r="U344">
        <v>79.187247299382406</v>
      </c>
      <c r="V344">
        <v>100</v>
      </c>
    </row>
    <row r="345" spans="1:22" x14ac:dyDescent="0.25">
      <c r="A345" t="s">
        <v>6</v>
      </c>
      <c r="B345">
        <v>1.6E-2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</row>
    <row r="346" spans="1:22" x14ac:dyDescent="0.25">
      <c r="A346" t="s">
        <v>7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</row>
    <row r="347" spans="1:22" x14ac:dyDescent="0.25">
      <c r="A347" t="s">
        <v>8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</row>
    <row r="348" spans="1:22" x14ac:dyDescent="0.25">
      <c r="A348" t="s">
        <v>41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</row>
    <row r="349" spans="1:22" x14ac:dyDescent="0.25">
      <c r="A349" t="s">
        <v>42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</row>
    <row r="350" spans="1:22" x14ac:dyDescent="0.25">
      <c r="A350" t="s">
        <v>10</v>
      </c>
      <c r="B350">
        <v>0</v>
      </c>
      <c r="C350">
        <v>0.05</v>
      </c>
      <c r="D350">
        <v>0.1</v>
      </c>
      <c r="E350">
        <v>0.15</v>
      </c>
      <c r="F350">
        <v>0.2</v>
      </c>
      <c r="G350">
        <v>0.25</v>
      </c>
      <c r="H350">
        <v>0.3</v>
      </c>
      <c r="I350">
        <v>0.35</v>
      </c>
      <c r="J350">
        <v>0.4</v>
      </c>
      <c r="K350">
        <v>0.45</v>
      </c>
      <c r="L350">
        <v>0.5</v>
      </c>
    </row>
    <row r="351" spans="1:22" x14ac:dyDescent="0.25">
      <c r="A351" t="s">
        <v>2</v>
      </c>
      <c r="B351">
        <v>0.99199999999999999</v>
      </c>
      <c r="C351">
        <v>0.99199999999999999</v>
      </c>
      <c r="D351">
        <v>0.99199999999999999</v>
      </c>
      <c r="E351">
        <v>0.288296296296296</v>
      </c>
      <c r="F351">
        <v>0.11700000000000001</v>
      </c>
      <c r="G351">
        <v>5.6000000000000001E-2</v>
      </c>
      <c r="H351">
        <v>2.9037037037037E-2</v>
      </c>
      <c r="I351">
        <v>1.5323615160349901E-2</v>
      </c>
      <c r="J351">
        <v>7.6249999999999998E-3</v>
      </c>
      <c r="K351">
        <v>2.97393689986283E-3</v>
      </c>
      <c r="L351">
        <v>0</v>
      </c>
    </row>
    <row r="352" spans="1:22" x14ac:dyDescent="0.25">
      <c r="A352" t="s">
        <v>3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</row>
    <row r="353" spans="1:22" x14ac:dyDescent="0.25">
      <c r="A353" t="s">
        <v>11</v>
      </c>
      <c r="B353">
        <v>5.8245346242475203E-2</v>
      </c>
      <c r="C353">
        <v>5.8245346242475203E-2</v>
      </c>
      <c r="D353">
        <v>5.8245346242475203E-2</v>
      </c>
      <c r="E353">
        <v>3.6137842383880403E-2</v>
      </c>
      <c r="F353">
        <v>2.4029620698169701E-2</v>
      </c>
      <c r="G353">
        <v>1.63641346234106E-2</v>
      </c>
      <c r="H353">
        <v>1.10699692256945E-2</v>
      </c>
      <c r="I353">
        <v>7.1925905375904596E-3</v>
      </c>
      <c r="J353">
        <v>4.22981621584562E-3</v>
      </c>
      <c r="K353">
        <v>1.8919369091618501E-3</v>
      </c>
      <c r="L353">
        <v>0</v>
      </c>
    </row>
    <row r="354" spans="1:22" x14ac:dyDescent="0.25">
      <c r="A354" t="s">
        <v>12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</row>
    <row r="355" spans="1:22" x14ac:dyDescent="0.25">
      <c r="A355" t="s">
        <v>4</v>
      </c>
      <c r="B355">
        <v>1.0870330153935201E-2</v>
      </c>
      <c r="C355">
        <v>1.0870330153935201E-2</v>
      </c>
      <c r="D355">
        <v>1.0870330153935201E-2</v>
      </c>
      <c r="E355">
        <v>8.6595797680756904E-3</v>
      </c>
      <c r="F355">
        <v>6.8433465152190898E-3</v>
      </c>
      <c r="G355">
        <v>5.3102493002672698E-3</v>
      </c>
      <c r="H355">
        <v>3.9867079508382397E-3</v>
      </c>
      <c r="I355">
        <v>2.82349434440703E-3</v>
      </c>
      <c r="J355">
        <v>1.7865233317963399E-3</v>
      </c>
      <c r="K355">
        <v>8.5137160912283395E-4</v>
      </c>
      <c r="L355">
        <v>0</v>
      </c>
    </row>
    <row r="356" spans="1:22" x14ac:dyDescent="0.25">
      <c r="A356" t="s">
        <v>5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</row>
    <row r="357" spans="1:22" x14ac:dyDescent="0.25">
      <c r="A357" t="s">
        <v>84</v>
      </c>
    </row>
    <row r="358" spans="1:22" x14ac:dyDescent="0.25">
      <c r="A358" t="s">
        <v>9</v>
      </c>
      <c r="B358">
        <v>0</v>
      </c>
      <c r="C358">
        <v>0.25955190384466498</v>
      </c>
      <c r="D358">
        <v>0.58647099847871997</v>
      </c>
      <c r="E358">
        <v>0.99824256652821797</v>
      </c>
      <c r="F358">
        <v>1.51689022901407</v>
      </c>
      <c r="G358">
        <v>2.1701538797227</v>
      </c>
      <c r="H358">
        <v>2.9929733546852799</v>
      </c>
      <c r="I358">
        <v>4.02935719089486</v>
      </c>
      <c r="J358">
        <v>5.3347364249064801</v>
      </c>
      <c r="K358">
        <v>6.9789293243451</v>
      </c>
      <c r="L358">
        <v>9.0498756211208899</v>
      </c>
      <c r="M358">
        <v>11.658339971984899</v>
      </c>
      <c r="N358">
        <v>14.9438362112266</v>
      </c>
      <c r="O358">
        <v>19.082089254437999</v>
      </c>
      <c r="P358">
        <v>24.294433753605801</v>
      </c>
      <c r="Q358">
        <v>30.859652191026999</v>
      </c>
      <c r="R358">
        <v>39.128885573036897</v>
      </c>
      <c r="S358">
        <v>49.544414222683301</v>
      </c>
      <c r="T358">
        <v>62.663313162894099</v>
      </c>
      <c r="U358">
        <v>79.187247299382406</v>
      </c>
      <c r="V358">
        <v>100</v>
      </c>
    </row>
    <row r="359" spans="1:22" x14ac:dyDescent="0.25">
      <c r="A359" t="s">
        <v>6</v>
      </c>
      <c r="B359">
        <v>1.6E-2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</row>
    <row r="360" spans="1:22" x14ac:dyDescent="0.25">
      <c r="A360" t="s">
        <v>7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</row>
    <row r="361" spans="1:22" x14ac:dyDescent="0.25">
      <c r="A361" t="s">
        <v>8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</row>
    <row r="362" spans="1:22" x14ac:dyDescent="0.25">
      <c r="A362" t="s">
        <v>41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</row>
    <row r="363" spans="1:22" x14ac:dyDescent="0.25">
      <c r="A363" t="s">
        <v>42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</row>
    <row r="364" spans="1:22" x14ac:dyDescent="0.25">
      <c r="A364" t="s">
        <v>10</v>
      </c>
      <c r="B364">
        <v>0</v>
      </c>
      <c r="C364">
        <v>0.05</v>
      </c>
      <c r="D364">
        <v>0.1</v>
      </c>
      <c r="E364">
        <v>0.15</v>
      </c>
      <c r="F364">
        <v>0.2</v>
      </c>
      <c r="G364">
        <v>0.25</v>
      </c>
      <c r="H364">
        <v>0.3</v>
      </c>
      <c r="I364">
        <v>0.35</v>
      </c>
      <c r="J364">
        <v>0.4</v>
      </c>
      <c r="K364">
        <v>0.45</v>
      </c>
      <c r="L364">
        <v>0.5</v>
      </c>
    </row>
    <row r="365" spans="1:22" x14ac:dyDescent="0.25">
      <c r="A365" t="s">
        <v>2</v>
      </c>
      <c r="B365">
        <v>0.99199999999999999</v>
      </c>
      <c r="C365">
        <v>0.99199999999999999</v>
      </c>
      <c r="D365">
        <v>0.99199999999999999</v>
      </c>
      <c r="E365">
        <v>0.288296296296296</v>
      </c>
      <c r="F365">
        <v>0.11700000000000001</v>
      </c>
      <c r="G365">
        <v>5.6000000000000001E-2</v>
      </c>
      <c r="H365">
        <v>2.9037037037037E-2</v>
      </c>
      <c r="I365">
        <v>1.5323615160349901E-2</v>
      </c>
      <c r="J365">
        <v>7.6249999999999998E-3</v>
      </c>
      <c r="K365">
        <v>2.97393689986283E-3</v>
      </c>
      <c r="L365">
        <v>0</v>
      </c>
    </row>
    <row r="366" spans="1:22" x14ac:dyDescent="0.25">
      <c r="A366" t="s">
        <v>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</row>
    <row r="367" spans="1:22" x14ac:dyDescent="0.25">
      <c r="A367" t="s">
        <v>11</v>
      </c>
      <c r="B367">
        <v>5.8245346242475203E-2</v>
      </c>
      <c r="C367">
        <v>5.8245346242475203E-2</v>
      </c>
      <c r="D367">
        <v>5.8245346242475203E-2</v>
      </c>
      <c r="E367">
        <v>3.6137842383880403E-2</v>
      </c>
      <c r="F367">
        <v>2.4029620698169701E-2</v>
      </c>
      <c r="G367">
        <v>1.63641346234106E-2</v>
      </c>
      <c r="H367">
        <v>1.10699692256945E-2</v>
      </c>
      <c r="I367">
        <v>7.1925905375904596E-3</v>
      </c>
      <c r="J367">
        <v>4.22981621584562E-3</v>
      </c>
      <c r="K367">
        <v>1.8919369091618501E-3</v>
      </c>
      <c r="L367">
        <v>0</v>
      </c>
    </row>
    <row r="368" spans="1:22" x14ac:dyDescent="0.25">
      <c r="A368" t="s">
        <v>12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</row>
    <row r="369" spans="1:22" x14ac:dyDescent="0.25">
      <c r="A369" t="s">
        <v>4</v>
      </c>
      <c r="B369">
        <v>1.0870330153935201E-2</v>
      </c>
      <c r="C369">
        <v>1.0870330153935201E-2</v>
      </c>
      <c r="D369">
        <v>1.0870330153935201E-2</v>
      </c>
      <c r="E369">
        <v>8.6595797680756904E-3</v>
      </c>
      <c r="F369">
        <v>6.8433465152190898E-3</v>
      </c>
      <c r="G369">
        <v>5.3102493002672698E-3</v>
      </c>
      <c r="H369">
        <v>3.9867079508382397E-3</v>
      </c>
      <c r="I369">
        <v>2.82349434440703E-3</v>
      </c>
      <c r="J369">
        <v>1.7865233317963399E-3</v>
      </c>
      <c r="K369">
        <v>8.5137160912283395E-4</v>
      </c>
      <c r="L369">
        <v>0</v>
      </c>
    </row>
    <row r="370" spans="1:22" x14ac:dyDescent="0.25">
      <c r="A370" t="s">
        <v>5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</row>
    <row r="372" spans="1:22" x14ac:dyDescent="0.25">
      <c r="A372" t="s">
        <v>28</v>
      </c>
    </row>
    <row r="373" spans="1:22" x14ac:dyDescent="0.25">
      <c r="A373" t="str">
        <f>A316</f>
        <v>Half-length</v>
      </c>
      <c r="B373">
        <f>MAX(B316,B330)</f>
        <v>0</v>
      </c>
      <c r="C373">
        <f t="shared" ref="C373:V373" si="0">MAX(C316,C330)</f>
        <v>0.25955190384466498</v>
      </c>
      <c r="D373">
        <f t="shared" si="0"/>
        <v>0.58647099847871997</v>
      </c>
      <c r="E373">
        <f t="shared" si="0"/>
        <v>0.99824256652821797</v>
      </c>
      <c r="F373">
        <f t="shared" si="0"/>
        <v>1.51689022901407</v>
      </c>
      <c r="G373">
        <f t="shared" si="0"/>
        <v>2.1701538797227</v>
      </c>
      <c r="H373">
        <f t="shared" si="0"/>
        <v>2.9929733546852799</v>
      </c>
      <c r="I373">
        <f t="shared" si="0"/>
        <v>4.02935719089486</v>
      </c>
      <c r="J373">
        <f t="shared" si="0"/>
        <v>5.3347364249064801</v>
      </c>
      <c r="K373">
        <f t="shared" si="0"/>
        <v>6.9789293243451</v>
      </c>
      <c r="L373">
        <f t="shared" si="0"/>
        <v>9.0498756211208899</v>
      </c>
      <c r="M373">
        <f t="shared" si="0"/>
        <v>11.658339971984899</v>
      </c>
      <c r="N373">
        <f t="shared" si="0"/>
        <v>14.9438362112266</v>
      </c>
      <c r="O373">
        <f t="shared" si="0"/>
        <v>19.082089254437999</v>
      </c>
      <c r="P373">
        <f t="shared" si="0"/>
        <v>24.294433753605801</v>
      </c>
      <c r="Q373">
        <f t="shared" si="0"/>
        <v>30.859652191026999</v>
      </c>
      <c r="R373">
        <f t="shared" si="0"/>
        <v>39.128885573036897</v>
      </c>
      <c r="S373">
        <f t="shared" si="0"/>
        <v>49.544414222683301</v>
      </c>
      <c r="T373">
        <f t="shared" si="0"/>
        <v>62.663313162894099</v>
      </c>
      <c r="U373">
        <f t="shared" si="0"/>
        <v>79.187247299382406</v>
      </c>
      <c r="V373">
        <f t="shared" si="0"/>
        <v>100</v>
      </c>
    </row>
    <row r="374" spans="1:22" x14ac:dyDescent="0.25">
      <c r="A374" t="s">
        <v>57</v>
      </c>
      <c r="B374">
        <f>SUM(B317,B331)</f>
        <v>0</v>
      </c>
      <c r="C374">
        <f t="shared" ref="C374:V374" si="1">SUM(C317,C331)</f>
        <v>0</v>
      </c>
      <c r="D374">
        <f t="shared" si="1"/>
        <v>0</v>
      </c>
      <c r="E374">
        <f t="shared" si="1"/>
        <v>0</v>
      </c>
      <c r="F374">
        <f t="shared" si="1"/>
        <v>0</v>
      </c>
      <c r="G374">
        <f t="shared" si="1"/>
        <v>0</v>
      </c>
      <c r="H374">
        <f t="shared" si="1"/>
        <v>0</v>
      </c>
      <c r="I374">
        <f t="shared" si="1"/>
        <v>0</v>
      </c>
      <c r="J374">
        <f t="shared" si="1"/>
        <v>0</v>
      </c>
      <c r="K374">
        <f t="shared" si="1"/>
        <v>0</v>
      </c>
      <c r="L374">
        <f t="shared" si="1"/>
        <v>0</v>
      </c>
      <c r="M374">
        <f t="shared" si="1"/>
        <v>0</v>
      </c>
      <c r="N374">
        <f t="shared" si="1"/>
        <v>0</v>
      </c>
      <c r="O374">
        <f t="shared" si="1"/>
        <v>0</v>
      </c>
      <c r="P374">
        <f t="shared" si="1"/>
        <v>0</v>
      </c>
      <c r="Q374">
        <f t="shared" si="1"/>
        <v>0</v>
      </c>
      <c r="R374">
        <f t="shared" si="1"/>
        <v>0</v>
      </c>
      <c r="S374">
        <f t="shared" si="1"/>
        <v>0</v>
      </c>
      <c r="T374">
        <f t="shared" si="1"/>
        <v>0</v>
      </c>
      <c r="U374">
        <f t="shared" si="1"/>
        <v>0</v>
      </c>
      <c r="V374">
        <f t="shared" si="1"/>
        <v>0</v>
      </c>
    </row>
    <row r="375" spans="1:22" x14ac:dyDescent="0.25">
      <c r="A375" t="s">
        <v>56</v>
      </c>
      <c r="B375">
        <f>SUM(B317:B319,B331:B333)</f>
        <v>3.4780264935597396E-2</v>
      </c>
      <c r="C375">
        <f t="shared" ref="C375:V375" si="2">SUM(C317:C319,C331:C333)</f>
        <v>3.4106397170549502E-2</v>
      </c>
      <c r="D375">
        <f t="shared" si="2"/>
        <v>3.2236514187787599E-2</v>
      </c>
      <c r="E375">
        <f t="shared" si="2"/>
        <v>3.0191829261269499E-2</v>
      </c>
      <c r="F375">
        <f t="shared" si="2"/>
        <v>2.8031563527229297E-2</v>
      </c>
      <c r="G375">
        <f t="shared" si="2"/>
        <v>2.5803683431847441E-2</v>
      </c>
      <c r="H375">
        <f t="shared" si="2"/>
        <v>2.3588907847767421E-2</v>
      </c>
      <c r="I375">
        <f t="shared" si="2"/>
        <v>2.1434344598589179E-2</v>
      </c>
      <c r="J375">
        <f t="shared" si="2"/>
        <v>1.9410102480740883E-2</v>
      </c>
      <c r="K375">
        <f t="shared" si="2"/>
        <v>1.752241835261293E-2</v>
      </c>
      <c r="L375">
        <f t="shared" si="2"/>
        <v>1.5760255236556161E-2</v>
      </c>
      <c r="M375">
        <f t="shared" si="2"/>
        <v>1.4116710511654511E-2</v>
      </c>
      <c r="N375">
        <f t="shared" si="2"/>
        <v>1.2530582214402831E-2</v>
      </c>
      <c r="O375">
        <f t="shared" si="2"/>
        <v>1.0992648597746669E-2</v>
      </c>
      <c r="P375">
        <f t="shared" si="2"/>
        <v>9.4184105442012677E-3</v>
      </c>
      <c r="Q375">
        <f t="shared" si="2"/>
        <v>7.8728808650521901E-3</v>
      </c>
      <c r="R375">
        <f t="shared" si="2"/>
        <v>6.2925112624027061E-3</v>
      </c>
      <c r="S375">
        <f t="shared" si="2"/>
        <v>4.776947625822401E-3</v>
      </c>
      <c r="T375">
        <f t="shared" si="2"/>
        <v>3.4174928005030088E-3</v>
      </c>
      <c r="U375">
        <f t="shared" si="2"/>
        <v>2.2610142595927015E-3</v>
      </c>
      <c r="V375">
        <f t="shared" si="2"/>
        <v>1.3572082796646839E-3</v>
      </c>
    </row>
    <row r="376" spans="1:22" x14ac:dyDescent="0.25">
      <c r="A376" t="s">
        <v>58</v>
      </c>
      <c r="B376">
        <f>SUM(B320,B334)</f>
        <v>0</v>
      </c>
      <c r="C376">
        <f t="shared" ref="C376:V376" si="3">SUM(C320,C334)</f>
        <v>0</v>
      </c>
      <c r="D376">
        <f t="shared" si="3"/>
        <v>0</v>
      </c>
      <c r="E376">
        <f t="shared" si="3"/>
        <v>0</v>
      </c>
      <c r="F376">
        <f t="shared" si="3"/>
        <v>0</v>
      </c>
      <c r="G376">
        <f t="shared" si="3"/>
        <v>0</v>
      </c>
      <c r="H376">
        <f t="shared" si="3"/>
        <v>0</v>
      </c>
      <c r="I376">
        <f t="shared" si="3"/>
        <v>0</v>
      </c>
      <c r="J376">
        <f t="shared" si="3"/>
        <v>0</v>
      </c>
      <c r="K376">
        <f t="shared" si="3"/>
        <v>0</v>
      </c>
      <c r="L376">
        <f t="shared" si="3"/>
        <v>0</v>
      </c>
      <c r="M376">
        <f t="shared" si="3"/>
        <v>0</v>
      </c>
      <c r="N376">
        <f t="shared" si="3"/>
        <v>0</v>
      </c>
      <c r="O376">
        <f t="shared" si="3"/>
        <v>0</v>
      </c>
      <c r="P376">
        <f t="shared" si="3"/>
        <v>0</v>
      </c>
      <c r="Q376">
        <f t="shared" si="3"/>
        <v>0</v>
      </c>
      <c r="R376">
        <f t="shared" si="3"/>
        <v>0</v>
      </c>
      <c r="S376">
        <f t="shared" si="3"/>
        <v>0</v>
      </c>
      <c r="T376">
        <f t="shared" si="3"/>
        <v>0</v>
      </c>
      <c r="U376">
        <f t="shared" si="3"/>
        <v>0</v>
      </c>
      <c r="V376">
        <f t="shared" si="3"/>
        <v>0</v>
      </c>
    </row>
    <row r="377" spans="1:22" x14ac:dyDescent="0.25">
      <c r="A377" t="s">
        <v>59</v>
      </c>
      <c r="B377">
        <f>SUM(B320:B321,B334:B335)</f>
        <v>0.7493335113489179</v>
      </c>
      <c r="C377">
        <f t="shared" ref="C377:V377" si="4">SUM(C320:C321,C334:C335)</f>
        <v>0.74914876672125852</v>
      </c>
      <c r="D377">
        <f t="shared" si="4"/>
        <v>0.74836510039603221</v>
      </c>
      <c r="E377">
        <f t="shared" si="4"/>
        <v>0.74675637855163501</v>
      </c>
      <c r="F377">
        <f t="shared" si="4"/>
        <v>0.74405825627812627</v>
      </c>
      <c r="G377">
        <f t="shared" si="4"/>
        <v>0.73997945453978808</v>
      </c>
      <c r="H377">
        <f t="shared" si="4"/>
        <v>0.73430419932260671</v>
      </c>
      <c r="I377">
        <f t="shared" si="4"/>
        <v>0.72679451408969253</v>
      </c>
      <c r="J377">
        <f t="shared" si="4"/>
        <v>0.7173890022005257</v>
      </c>
      <c r="K377">
        <f t="shared" si="4"/>
        <v>0.70586174651165112</v>
      </c>
      <c r="L377">
        <f t="shared" si="4"/>
        <v>0.69185111752775974</v>
      </c>
      <c r="M377">
        <f t="shared" si="4"/>
        <v>0.67495883427609338</v>
      </c>
      <c r="N377">
        <f t="shared" si="4"/>
        <v>0.65400837921621879</v>
      </c>
      <c r="O377">
        <f t="shared" si="4"/>
        <v>0.62803365200105288</v>
      </c>
      <c r="P377">
        <f t="shared" si="4"/>
        <v>0.59416330457187982</v>
      </c>
      <c r="Q377">
        <f t="shared" si="4"/>
        <v>0.55177358118673769</v>
      </c>
      <c r="R377">
        <f t="shared" si="4"/>
        <v>0.49681628072923273</v>
      </c>
      <c r="S377">
        <f t="shared" si="4"/>
        <v>0.43010216791880468</v>
      </c>
      <c r="T377">
        <f t="shared" si="4"/>
        <v>0.35450193003292901</v>
      </c>
      <c r="U377">
        <f t="shared" si="4"/>
        <v>0.27330370367374096</v>
      </c>
      <c r="V377">
        <f t="shared" si="4"/>
        <v>0.1933102912776446</v>
      </c>
    </row>
    <row r="378" spans="1:22" x14ac:dyDescent="0.25">
      <c r="A378" t="s">
        <v>36</v>
      </c>
      <c r="B378">
        <f>SUM(B317,B331)/B375</f>
        <v>0</v>
      </c>
      <c r="C378">
        <f t="shared" ref="C378:V378" si="5">SUM(C317,C331)/C375</f>
        <v>0</v>
      </c>
      <c r="D378">
        <f t="shared" si="5"/>
        <v>0</v>
      </c>
      <c r="E378">
        <f t="shared" si="5"/>
        <v>0</v>
      </c>
      <c r="F378">
        <f t="shared" si="5"/>
        <v>0</v>
      </c>
      <c r="G378">
        <f t="shared" si="5"/>
        <v>0</v>
      </c>
      <c r="H378">
        <f t="shared" si="5"/>
        <v>0</v>
      </c>
      <c r="I378">
        <f t="shared" si="5"/>
        <v>0</v>
      </c>
      <c r="J378">
        <f t="shared" si="5"/>
        <v>0</v>
      </c>
      <c r="K378">
        <f t="shared" si="5"/>
        <v>0</v>
      </c>
      <c r="L378">
        <f t="shared" si="5"/>
        <v>0</v>
      </c>
      <c r="M378">
        <f t="shared" si="5"/>
        <v>0</v>
      </c>
      <c r="N378">
        <f t="shared" si="5"/>
        <v>0</v>
      </c>
      <c r="O378">
        <f t="shared" si="5"/>
        <v>0</v>
      </c>
      <c r="P378">
        <f t="shared" si="5"/>
        <v>0</v>
      </c>
      <c r="Q378">
        <f t="shared" si="5"/>
        <v>0</v>
      </c>
      <c r="R378">
        <f t="shared" si="5"/>
        <v>0</v>
      </c>
      <c r="S378">
        <f t="shared" si="5"/>
        <v>0</v>
      </c>
      <c r="T378">
        <f t="shared" si="5"/>
        <v>0</v>
      </c>
      <c r="U378">
        <f t="shared" si="5"/>
        <v>0</v>
      </c>
      <c r="V378">
        <f t="shared" si="5"/>
        <v>0</v>
      </c>
    </row>
    <row r="379" spans="1:22" x14ac:dyDescent="0.25">
      <c r="A379" t="s">
        <v>39</v>
      </c>
      <c r="B379">
        <f>SUM(B317:B318,B331:B332)/B375</f>
        <v>1</v>
      </c>
      <c r="C379">
        <f t="shared" ref="C379:V379" si="6">SUM(C317:C318,C331:C332)/C375</f>
        <v>1</v>
      </c>
      <c r="D379">
        <f t="shared" si="6"/>
        <v>1</v>
      </c>
      <c r="E379">
        <f t="shared" si="6"/>
        <v>1</v>
      </c>
      <c r="F379">
        <f t="shared" si="6"/>
        <v>1</v>
      </c>
      <c r="G379">
        <f t="shared" si="6"/>
        <v>1</v>
      </c>
      <c r="H379">
        <f t="shared" si="6"/>
        <v>1</v>
      </c>
      <c r="I379">
        <f t="shared" si="6"/>
        <v>1</v>
      </c>
      <c r="J379">
        <f t="shared" si="6"/>
        <v>1</v>
      </c>
      <c r="K379">
        <f t="shared" si="6"/>
        <v>1</v>
      </c>
      <c r="L379">
        <f t="shared" si="6"/>
        <v>1</v>
      </c>
      <c r="M379">
        <f t="shared" si="6"/>
        <v>1</v>
      </c>
      <c r="N379">
        <f t="shared" si="6"/>
        <v>1</v>
      </c>
      <c r="O379">
        <f t="shared" si="6"/>
        <v>1</v>
      </c>
      <c r="P379">
        <f t="shared" si="6"/>
        <v>1</v>
      </c>
      <c r="Q379">
        <f t="shared" si="6"/>
        <v>1</v>
      </c>
      <c r="R379">
        <f t="shared" si="6"/>
        <v>1</v>
      </c>
      <c r="S379">
        <f t="shared" si="6"/>
        <v>1</v>
      </c>
      <c r="T379">
        <f t="shared" si="6"/>
        <v>1</v>
      </c>
      <c r="U379">
        <f t="shared" si="6"/>
        <v>1</v>
      </c>
      <c r="V379">
        <f t="shared" si="6"/>
        <v>1</v>
      </c>
    </row>
    <row r="380" spans="1:22" x14ac:dyDescent="0.25">
      <c r="A380" t="s">
        <v>37</v>
      </c>
      <c r="B380">
        <f>SUM(B318,B332)/B375</f>
        <v>1</v>
      </c>
      <c r="C380">
        <f t="shared" ref="C380:V380" si="7">SUM(C318,C332)/C375</f>
        <v>1</v>
      </c>
      <c r="D380">
        <f t="shared" si="7"/>
        <v>1</v>
      </c>
      <c r="E380">
        <f t="shared" si="7"/>
        <v>1</v>
      </c>
      <c r="F380">
        <f t="shared" si="7"/>
        <v>1</v>
      </c>
      <c r="G380">
        <f t="shared" si="7"/>
        <v>1</v>
      </c>
      <c r="H380">
        <f t="shared" si="7"/>
        <v>1</v>
      </c>
      <c r="I380">
        <f t="shared" si="7"/>
        <v>1</v>
      </c>
      <c r="J380">
        <f t="shared" si="7"/>
        <v>1</v>
      </c>
      <c r="K380">
        <f t="shared" si="7"/>
        <v>1</v>
      </c>
      <c r="L380">
        <f t="shared" si="7"/>
        <v>1</v>
      </c>
      <c r="M380">
        <f t="shared" si="7"/>
        <v>1</v>
      </c>
      <c r="N380">
        <f t="shared" si="7"/>
        <v>1</v>
      </c>
      <c r="O380">
        <f t="shared" si="7"/>
        <v>1</v>
      </c>
      <c r="P380">
        <f t="shared" si="7"/>
        <v>1</v>
      </c>
      <c r="Q380">
        <f t="shared" si="7"/>
        <v>1</v>
      </c>
      <c r="R380">
        <f t="shared" si="7"/>
        <v>1</v>
      </c>
      <c r="S380">
        <f t="shared" si="7"/>
        <v>1</v>
      </c>
      <c r="T380">
        <f t="shared" si="7"/>
        <v>1</v>
      </c>
      <c r="U380">
        <f t="shared" si="7"/>
        <v>1</v>
      </c>
      <c r="V380">
        <f t="shared" si="7"/>
        <v>1</v>
      </c>
    </row>
    <row r="381" spans="1:22" x14ac:dyDescent="0.25">
      <c r="A381" t="s">
        <v>38</v>
      </c>
      <c r="B381">
        <f>SUM(B319,B333)/B375</f>
        <v>0</v>
      </c>
      <c r="C381">
        <f t="shared" ref="C381:V381" si="8">SUM(C319,C333)/C375</f>
        <v>0</v>
      </c>
      <c r="D381">
        <f t="shared" si="8"/>
        <v>0</v>
      </c>
      <c r="E381">
        <f t="shared" si="8"/>
        <v>0</v>
      </c>
      <c r="F381">
        <f t="shared" si="8"/>
        <v>0</v>
      </c>
      <c r="G381">
        <f t="shared" si="8"/>
        <v>0</v>
      </c>
      <c r="H381">
        <f t="shared" si="8"/>
        <v>0</v>
      </c>
      <c r="I381">
        <f t="shared" si="8"/>
        <v>0</v>
      </c>
      <c r="J381">
        <f t="shared" si="8"/>
        <v>0</v>
      </c>
      <c r="K381">
        <f t="shared" si="8"/>
        <v>0</v>
      </c>
      <c r="L381">
        <f t="shared" si="8"/>
        <v>0</v>
      </c>
      <c r="M381">
        <f t="shared" si="8"/>
        <v>0</v>
      </c>
      <c r="N381">
        <f t="shared" si="8"/>
        <v>0</v>
      </c>
      <c r="O381">
        <f t="shared" si="8"/>
        <v>0</v>
      </c>
      <c r="P381">
        <f t="shared" si="8"/>
        <v>0</v>
      </c>
      <c r="Q381">
        <f t="shared" si="8"/>
        <v>0</v>
      </c>
      <c r="R381">
        <f t="shared" si="8"/>
        <v>0</v>
      </c>
      <c r="S381">
        <f t="shared" si="8"/>
        <v>0</v>
      </c>
      <c r="T381">
        <f t="shared" si="8"/>
        <v>0</v>
      </c>
      <c r="U381">
        <f t="shared" si="8"/>
        <v>0</v>
      </c>
      <c r="V381">
        <f t="shared" si="8"/>
        <v>0</v>
      </c>
    </row>
    <row r="383" spans="1:22" x14ac:dyDescent="0.25">
      <c r="A383" t="s">
        <v>29</v>
      </c>
    </row>
    <row r="384" spans="1:22" x14ac:dyDescent="0.25">
      <c r="A384" t="str">
        <f>A344</f>
        <v>Half-length</v>
      </c>
      <c r="B384">
        <f>MAX(B344,B358)</f>
        <v>0</v>
      </c>
      <c r="C384">
        <f t="shared" ref="C384:V384" si="9">MAX(C344,C358)</f>
        <v>0.25955190384466498</v>
      </c>
      <c r="D384">
        <f t="shared" si="9"/>
        <v>0.58647099847871997</v>
      </c>
      <c r="E384">
        <f t="shared" si="9"/>
        <v>0.99824256652821797</v>
      </c>
      <c r="F384">
        <f t="shared" si="9"/>
        <v>1.51689022901407</v>
      </c>
      <c r="G384">
        <f t="shared" si="9"/>
        <v>2.1701538797227</v>
      </c>
      <c r="H384">
        <f t="shared" si="9"/>
        <v>2.9929733546852799</v>
      </c>
      <c r="I384">
        <f t="shared" si="9"/>
        <v>4.02935719089486</v>
      </c>
      <c r="J384">
        <f t="shared" si="9"/>
        <v>5.3347364249064801</v>
      </c>
      <c r="K384">
        <f t="shared" si="9"/>
        <v>6.9789293243451</v>
      </c>
      <c r="L384">
        <f t="shared" si="9"/>
        <v>9.0498756211208899</v>
      </c>
      <c r="M384">
        <f t="shared" si="9"/>
        <v>11.658339971984899</v>
      </c>
      <c r="N384">
        <f t="shared" si="9"/>
        <v>14.9438362112266</v>
      </c>
      <c r="O384">
        <f t="shared" si="9"/>
        <v>19.082089254437999</v>
      </c>
      <c r="P384">
        <f t="shared" si="9"/>
        <v>24.294433753605801</v>
      </c>
      <c r="Q384">
        <f t="shared" si="9"/>
        <v>30.859652191026999</v>
      </c>
      <c r="R384">
        <f t="shared" si="9"/>
        <v>39.128885573036897</v>
      </c>
      <c r="S384">
        <f t="shared" si="9"/>
        <v>49.544414222683301</v>
      </c>
      <c r="T384">
        <f t="shared" si="9"/>
        <v>62.663313162894099</v>
      </c>
      <c r="U384">
        <f t="shared" si="9"/>
        <v>79.187247299382406</v>
      </c>
      <c r="V384">
        <f t="shared" si="9"/>
        <v>100</v>
      </c>
    </row>
    <row r="385" spans="1:22" x14ac:dyDescent="0.25">
      <c r="A385" t="s">
        <v>57</v>
      </c>
      <c r="B385">
        <f>SUM(B345,B359)</f>
        <v>3.2000000000000001E-2</v>
      </c>
      <c r="C385">
        <f t="shared" ref="C385:V385" si="10">SUM(C345,C359)</f>
        <v>0</v>
      </c>
      <c r="D385">
        <f t="shared" si="10"/>
        <v>0</v>
      </c>
      <c r="E385">
        <f t="shared" si="10"/>
        <v>0</v>
      </c>
      <c r="F385">
        <f t="shared" si="10"/>
        <v>0</v>
      </c>
      <c r="G385">
        <f t="shared" si="10"/>
        <v>0</v>
      </c>
      <c r="H385">
        <f t="shared" si="10"/>
        <v>0</v>
      </c>
      <c r="I385">
        <f t="shared" si="10"/>
        <v>0</v>
      </c>
      <c r="J385">
        <f t="shared" si="10"/>
        <v>0</v>
      </c>
      <c r="K385">
        <f t="shared" si="10"/>
        <v>0</v>
      </c>
      <c r="L385">
        <f t="shared" si="10"/>
        <v>0</v>
      </c>
      <c r="M385">
        <f t="shared" si="10"/>
        <v>0</v>
      </c>
      <c r="N385">
        <f t="shared" si="10"/>
        <v>0</v>
      </c>
      <c r="O385">
        <f t="shared" si="10"/>
        <v>0</v>
      </c>
      <c r="P385">
        <f t="shared" si="10"/>
        <v>0</v>
      </c>
      <c r="Q385">
        <f t="shared" si="10"/>
        <v>0</v>
      </c>
      <c r="R385">
        <f t="shared" si="10"/>
        <v>0</v>
      </c>
      <c r="S385">
        <f t="shared" si="10"/>
        <v>0</v>
      </c>
      <c r="T385">
        <f t="shared" si="10"/>
        <v>0</v>
      </c>
      <c r="U385">
        <f t="shared" si="10"/>
        <v>0</v>
      </c>
      <c r="V385">
        <f t="shared" si="10"/>
        <v>0</v>
      </c>
    </row>
    <row r="386" spans="1:22" x14ac:dyDescent="0.25">
      <c r="A386" t="s">
        <v>56</v>
      </c>
      <c r="B386">
        <f>SUM(B345:B347,B359:B361)</f>
        <v>3.2000000000000001E-2</v>
      </c>
      <c r="C386">
        <f t="shared" ref="C386:V386" si="11">SUM(C345:C347,C359:C361)</f>
        <v>0</v>
      </c>
      <c r="D386">
        <f t="shared" si="11"/>
        <v>0</v>
      </c>
      <c r="E386">
        <f t="shared" si="11"/>
        <v>0</v>
      </c>
      <c r="F386">
        <f t="shared" si="11"/>
        <v>0</v>
      </c>
      <c r="G386">
        <f t="shared" si="11"/>
        <v>0</v>
      </c>
      <c r="H386">
        <f t="shared" si="11"/>
        <v>0</v>
      </c>
      <c r="I386">
        <f t="shared" si="11"/>
        <v>0</v>
      </c>
      <c r="J386">
        <f t="shared" si="11"/>
        <v>0</v>
      </c>
      <c r="K386">
        <f t="shared" si="11"/>
        <v>0</v>
      </c>
      <c r="L386">
        <f t="shared" si="11"/>
        <v>0</v>
      </c>
      <c r="M386">
        <f t="shared" si="11"/>
        <v>0</v>
      </c>
      <c r="N386">
        <f t="shared" si="11"/>
        <v>0</v>
      </c>
      <c r="O386">
        <f t="shared" si="11"/>
        <v>0</v>
      </c>
      <c r="P386">
        <f t="shared" si="11"/>
        <v>0</v>
      </c>
      <c r="Q386">
        <f t="shared" si="11"/>
        <v>0</v>
      </c>
      <c r="R386">
        <f t="shared" si="11"/>
        <v>0</v>
      </c>
      <c r="S386">
        <f t="shared" si="11"/>
        <v>0</v>
      </c>
      <c r="T386">
        <f t="shared" si="11"/>
        <v>0</v>
      </c>
      <c r="U386">
        <f t="shared" si="11"/>
        <v>0</v>
      </c>
      <c r="V386">
        <f t="shared" si="11"/>
        <v>0</v>
      </c>
    </row>
    <row r="387" spans="1:22" x14ac:dyDescent="0.25">
      <c r="A387" t="s">
        <v>58</v>
      </c>
      <c r="B387">
        <f>SUM(B348,B362)</f>
        <v>0</v>
      </c>
      <c r="C387">
        <f t="shared" ref="C387:V387" si="12">SUM(C348,C362)</f>
        <v>0</v>
      </c>
      <c r="D387">
        <f t="shared" si="12"/>
        <v>0</v>
      </c>
      <c r="E387">
        <f t="shared" si="12"/>
        <v>0</v>
      </c>
      <c r="F387">
        <f t="shared" si="12"/>
        <v>0</v>
      </c>
      <c r="G387">
        <f t="shared" si="12"/>
        <v>0</v>
      </c>
      <c r="H387">
        <f t="shared" si="12"/>
        <v>0</v>
      </c>
      <c r="I387">
        <f t="shared" si="12"/>
        <v>0</v>
      </c>
      <c r="J387">
        <f t="shared" si="12"/>
        <v>0</v>
      </c>
      <c r="K387">
        <f t="shared" si="12"/>
        <v>0</v>
      </c>
      <c r="L387">
        <f t="shared" si="12"/>
        <v>0</v>
      </c>
      <c r="M387">
        <f t="shared" si="12"/>
        <v>0</v>
      </c>
      <c r="N387">
        <f t="shared" si="12"/>
        <v>0</v>
      </c>
      <c r="O387">
        <f t="shared" si="12"/>
        <v>0</v>
      </c>
      <c r="P387">
        <f t="shared" si="12"/>
        <v>0</v>
      </c>
      <c r="Q387">
        <f t="shared" si="12"/>
        <v>0</v>
      </c>
      <c r="R387">
        <f t="shared" si="12"/>
        <v>0</v>
      </c>
      <c r="S387">
        <f t="shared" si="12"/>
        <v>0</v>
      </c>
      <c r="T387">
        <f t="shared" si="12"/>
        <v>0</v>
      </c>
      <c r="U387">
        <f t="shared" si="12"/>
        <v>0</v>
      </c>
      <c r="V387">
        <f t="shared" si="12"/>
        <v>0</v>
      </c>
    </row>
    <row r="388" spans="1:22" x14ac:dyDescent="0.25">
      <c r="A388" t="s">
        <v>59</v>
      </c>
      <c r="B388">
        <f>SUM(B348:B349,B362:B363)</f>
        <v>0</v>
      </c>
      <c r="C388">
        <f t="shared" ref="C388:V388" si="13">SUM(C348:C349,C362:C363)</f>
        <v>0</v>
      </c>
      <c r="D388">
        <f t="shared" si="13"/>
        <v>0</v>
      </c>
      <c r="E388">
        <f t="shared" si="13"/>
        <v>0</v>
      </c>
      <c r="F388">
        <f t="shared" si="13"/>
        <v>0</v>
      </c>
      <c r="G388">
        <f t="shared" si="13"/>
        <v>0</v>
      </c>
      <c r="H388">
        <f t="shared" si="13"/>
        <v>0</v>
      </c>
      <c r="I388">
        <f t="shared" si="13"/>
        <v>0</v>
      </c>
      <c r="J388">
        <f t="shared" si="13"/>
        <v>0</v>
      </c>
      <c r="K388">
        <f t="shared" si="13"/>
        <v>0</v>
      </c>
      <c r="L388">
        <f t="shared" si="13"/>
        <v>0</v>
      </c>
      <c r="M388">
        <f t="shared" si="13"/>
        <v>0</v>
      </c>
      <c r="N388">
        <f t="shared" si="13"/>
        <v>0</v>
      </c>
      <c r="O388">
        <f t="shared" si="13"/>
        <v>0</v>
      </c>
      <c r="P388">
        <f t="shared" si="13"/>
        <v>0</v>
      </c>
      <c r="Q388">
        <f t="shared" si="13"/>
        <v>0</v>
      </c>
      <c r="R388">
        <f t="shared" si="13"/>
        <v>0</v>
      </c>
      <c r="S388">
        <f t="shared" si="13"/>
        <v>0</v>
      </c>
      <c r="T388">
        <f t="shared" si="13"/>
        <v>0</v>
      </c>
      <c r="U388">
        <f t="shared" si="13"/>
        <v>0</v>
      </c>
      <c r="V388">
        <f t="shared" si="13"/>
        <v>0</v>
      </c>
    </row>
    <row r="389" spans="1:22" x14ac:dyDescent="0.25">
      <c r="A389" t="s">
        <v>36</v>
      </c>
      <c r="B389">
        <f>SUM(B345,B359)/B386</f>
        <v>1</v>
      </c>
      <c r="C389" t="e">
        <f t="shared" ref="C389:V389" si="14">SUM(C345,C359)/C386</f>
        <v>#DIV/0!</v>
      </c>
      <c r="D389" t="e">
        <f t="shared" si="14"/>
        <v>#DIV/0!</v>
      </c>
      <c r="E389" t="e">
        <f t="shared" si="14"/>
        <v>#DIV/0!</v>
      </c>
      <c r="F389" t="e">
        <f t="shared" si="14"/>
        <v>#DIV/0!</v>
      </c>
      <c r="G389" t="e">
        <f t="shared" si="14"/>
        <v>#DIV/0!</v>
      </c>
      <c r="H389" t="e">
        <f t="shared" si="14"/>
        <v>#DIV/0!</v>
      </c>
      <c r="I389" t="e">
        <f t="shared" si="14"/>
        <v>#DIV/0!</v>
      </c>
      <c r="J389" t="e">
        <f t="shared" si="14"/>
        <v>#DIV/0!</v>
      </c>
      <c r="K389" t="e">
        <f t="shared" si="14"/>
        <v>#DIV/0!</v>
      </c>
      <c r="L389" t="e">
        <f t="shared" si="14"/>
        <v>#DIV/0!</v>
      </c>
      <c r="M389" t="e">
        <f t="shared" si="14"/>
        <v>#DIV/0!</v>
      </c>
      <c r="N389" t="e">
        <f t="shared" si="14"/>
        <v>#DIV/0!</v>
      </c>
      <c r="O389" t="e">
        <f t="shared" si="14"/>
        <v>#DIV/0!</v>
      </c>
      <c r="P389" t="e">
        <f t="shared" si="14"/>
        <v>#DIV/0!</v>
      </c>
      <c r="Q389" t="e">
        <f t="shared" si="14"/>
        <v>#DIV/0!</v>
      </c>
      <c r="R389" t="e">
        <f t="shared" si="14"/>
        <v>#DIV/0!</v>
      </c>
      <c r="S389" t="e">
        <f t="shared" si="14"/>
        <v>#DIV/0!</v>
      </c>
      <c r="T389" t="e">
        <f t="shared" si="14"/>
        <v>#DIV/0!</v>
      </c>
      <c r="U389" t="e">
        <f t="shared" si="14"/>
        <v>#DIV/0!</v>
      </c>
      <c r="V389" t="e">
        <f t="shared" si="14"/>
        <v>#DIV/0!</v>
      </c>
    </row>
    <row r="390" spans="1:22" x14ac:dyDescent="0.25">
      <c r="A390" t="s">
        <v>39</v>
      </c>
      <c r="B390">
        <f>SUM(B345:B346,B359:B360)/B386</f>
        <v>1</v>
      </c>
      <c r="C390" t="e">
        <f t="shared" ref="C390:V390" si="15">SUM(C345:C346,C359:C360)/C386</f>
        <v>#DIV/0!</v>
      </c>
      <c r="D390" t="e">
        <f t="shared" si="15"/>
        <v>#DIV/0!</v>
      </c>
      <c r="E390" t="e">
        <f t="shared" si="15"/>
        <v>#DIV/0!</v>
      </c>
      <c r="F390" t="e">
        <f t="shared" si="15"/>
        <v>#DIV/0!</v>
      </c>
      <c r="G390" t="e">
        <f t="shared" si="15"/>
        <v>#DIV/0!</v>
      </c>
      <c r="H390" t="e">
        <f t="shared" si="15"/>
        <v>#DIV/0!</v>
      </c>
      <c r="I390" t="e">
        <f t="shared" si="15"/>
        <v>#DIV/0!</v>
      </c>
      <c r="J390" t="e">
        <f t="shared" si="15"/>
        <v>#DIV/0!</v>
      </c>
      <c r="K390" t="e">
        <f t="shared" si="15"/>
        <v>#DIV/0!</v>
      </c>
      <c r="L390" t="e">
        <f t="shared" si="15"/>
        <v>#DIV/0!</v>
      </c>
      <c r="M390" t="e">
        <f t="shared" si="15"/>
        <v>#DIV/0!</v>
      </c>
      <c r="N390" t="e">
        <f t="shared" si="15"/>
        <v>#DIV/0!</v>
      </c>
      <c r="O390" t="e">
        <f t="shared" si="15"/>
        <v>#DIV/0!</v>
      </c>
      <c r="P390" t="e">
        <f t="shared" si="15"/>
        <v>#DIV/0!</v>
      </c>
      <c r="Q390" t="e">
        <f t="shared" si="15"/>
        <v>#DIV/0!</v>
      </c>
      <c r="R390" t="e">
        <f t="shared" si="15"/>
        <v>#DIV/0!</v>
      </c>
      <c r="S390" t="e">
        <f t="shared" si="15"/>
        <v>#DIV/0!</v>
      </c>
      <c r="T390" t="e">
        <f t="shared" si="15"/>
        <v>#DIV/0!</v>
      </c>
      <c r="U390" t="e">
        <f t="shared" si="15"/>
        <v>#DIV/0!</v>
      </c>
      <c r="V390" t="e">
        <f t="shared" si="15"/>
        <v>#DIV/0!</v>
      </c>
    </row>
    <row r="391" spans="1:22" x14ac:dyDescent="0.25">
      <c r="A391" t="s">
        <v>37</v>
      </c>
      <c r="B391">
        <f>SUM(B346,B360)/B386</f>
        <v>0</v>
      </c>
      <c r="C391" t="e">
        <f t="shared" ref="C391:V391" si="16">SUM(C346,C360)/C386</f>
        <v>#DIV/0!</v>
      </c>
      <c r="D391" t="e">
        <f t="shared" si="16"/>
        <v>#DIV/0!</v>
      </c>
      <c r="E391" t="e">
        <f t="shared" si="16"/>
        <v>#DIV/0!</v>
      </c>
      <c r="F391" t="e">
        <f t="shared" si="16"/>
        <v>#DIV/0!</v>
      </c>
      <c r="G391" t="e">
        <f t="shared" si="16"/>
        <v>#DIV/0!</v>
      </c>
      <c r="H391" t="e">
        <f t="shared" si="16"/>
        <v>#DIV/0!</v>
      </c>
      <c r="I391" t="e">
        <f t="shared" si="16"/>
        <v>#DIV/0!</v>
      </c>
      <c r="J391" t="e">
        <f t="shared" si="16"/>
        <v>#DIV/0!</v>
      </c>
      <c r="K391" t="e">
        <f t="shared" si="16"/>
        <v>#DIV/0!</v>
      </c>
      <c r="L391" t="e">
        <f t="shared" si="16"/>
        <v>#DIV/0!</v>
      </c>
      <c r="M391" t="e">
        <f t="shared" si="16"/>
        <v>#DIV/0!</v>
      </c>
      <c r="N391" t="e">
        <f t="shared" si="16"/>
        <v>#DIV/0!</v>
      </c>
      <c r="O391" t="e">
        <f t="shared" si="16"/>
        <v>#DIV/0!</v>
      </c>
      <c r="P391" t="e">
        <f t="shared" si="16"/>
        <v>#DIV/0!</v>
      </c>
      <c r="Q391" t="e">
        <f t="shared" si="16"/>
        <v>#DIV/0!</v>
      </c>
      <c r="R391" t="e">
        <f t="shared" si="16"/>
        <v>#DIV/0!</v>
      </c>
      <c r="S391" t="e">
        <f t="shared" si="16"/>
        <v>#DIV/0!</v>
      </c>
      <c r="T391" t="e">
        <f t="shared" si="16"/>
        <v>#DIV/0!</v>
      </c>
      <c r="U391" t="e">
        <f t="shared" si="16"/>
        <v>#DIV/0!</v>
      </c>
      <c r="V391" t="e">
        <f t="shared" si="16"/>
        <v>#DIV/0!</v>
      </c>
    </row>
    <row r="392" spans="1:22" x14ac:dyDescent="0.25">
      <c r="A392" t="s">
        <v>38</v>
      </c>
      <c r="B392">
        <f>SUM(B347,B361)/B386</f>
        <v>0</v>
      </c>
      <c r="C392" t="e">
        <f t="shared" ref="C392:V392" si="17">SUM(C347,C361)/C386</f>
        <v>#DIV/0!</v>
      </c>
      <c r="D392" t="e">
        <f t="shared" si="17"/>
        <v>#DIV/0!</v>
      </c>
      <c r="E392" t="e">
        <f t="shared" si="17"/>
        <v>#DIV/0!</v>
      </c>
      <c r="F392" t="e">
        <f t="shared" si="17"/>
        <v>#DIV/0!</v>
      </c>
      <c r="G392" t="e">
        <f t="shared" si="17"/>
        <v>#DIV/0!</v>
      </c>
      <c r="H392" t="e">
        <f t="shared" si="17"/>
        <v>#DIV/0!</v>
      </c>
      <c r="I392" t="e">
        <f t="shared" si="17"/>
        <v>#DIV/0!</v>
      </c>
      <c r="J392" t="e">
        <f t="shared" si="17"/>
        <v>#DIV/0!</v>
      </c>
      <c r="K392" t="e">
        <f t="shared" si="17"/>
        <v>#DIV/0!</v>
      </c>
      <c r="L392" t="e">
        <f t="shared" si="17"/>
        <v>#DIV/0!</v>
      </c>
      <c r="M392" t="e">
        <f t="shared" si="17"/>
        <v>#DIV/0!</v>
      </c>
      <c r="N392" t="e">
        <f t="shared" si="17"/>
        <v>#DIV/0!</v>
      </c>
      <c r="O392" t="e">
        <f t="shared" si="17"/>
        <v>#DIV/0!</v>
      </c>
      <c r="P392" t="e">
        <f t="shared" si="17"/>
        <v>#DIV/0!</v>
      </c>
      <c r="Q392" t="e">
        <f t="shared" si="17"/>
        <v>#DIV/0!</v>
      </c>
      <c r="R392" t="e">
        <f t="shared" si="17"/>
        <v>#DIV/0!</v>
      </c>
      <c r="S392" t="e">
        <f t="shared" si="17"/>
        <v>#DIV/0!</v>
      </c>
      <c r="T392" t="e">
        <f t="shared" si="17"/>
        <v>#DIV/0!</v>
      </c>
      <c r="U392" t="e">
        <f t="shared" si="17"/>
        <v>#DIV/0!</v>
      </c>
      <c r="V392" t="e">
        <f t="shared" si="17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4025"/>
  <sheetViews>
    <sheetView tabSelected="1" zoomScaleNormal="100" workbookViewId="0">
      <selection activeCell="AP1" sqref="AP1:AV1048576"/>
    </sheetView>
  </sheetViews>
  <sheetFormatPr defaultRowHeight="15" x14ac:dyDescent="0.25"/>
  <sheetData>
    <row r="1" spans="1:52" x14ac:dyDescent="0.25">
      <c r="A1" t="s">
        <v>15</v>
      </c>
      <c r="B1" t="s">
        <v>32</v>
      </c>
      <c r="C1" t="s">
        <v>25</v>
      </c>
      <c r="D1" t="s">
        <v>26</v>
      </c>
      <c r="E1" t="s">
        <v>14</v>
      </c>
      <c r="F1" t="s">
        <v>13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Z1" t="s">
        <v>34</v>
      </c>
      <c r="AB1" t="s">
        <v>30</v>
      </c>
      <c r="AC1" t="s">
        <v>15</v>
      </c>
      <c r="AD1" t="s">
        <v>27</v>
      </c>
      <c r="AE1" t="s">
        <v>14</v>
      </c>
      <c r="AF1" t="s">
        <v>13</v>
      </c>
      <c r="AG1" t="s">
        <v>89</v>
      </c>
      <c r="AH1" t="s">
        <v>90</v>
      </c>
      <c r="AI1" t="s">
        <v>22</v>
      </c>
      <c r="AK1" t="s">
        <v>23</v>
      </c>
      <c r="AL1" t="s">
        <v>24</v>
      </c>
      <c r="AM1" t="s">
        <v>40</v>
      </c>
      <c r="AO1" t="s">
        <v>31</v>
      </c>
      <c r="AP1" t="s">
        <v>15</v>
      </c>
      <c r="AQ1" t="s">
        <v>27</v>
      </c>
      <c r="AR1" t="s">
        <v>14</v>
      </c>
      <c r="AS1" t="s">
        <v>13</v>
      </c>
      <c r="AT1" t="s">
        <v>89</v>
      </c>
      <c r="AU1" t="s">
        <v>90</v>
      </c>
      <c r="AV1" t="s">
        <v>22</v>
      </c>
      <c r="AX1" t="s">
        <v>23</v>
      </c>
      <c r="AY1" t="s">
        <v>24</v>
      </c>
      <c r="AZ1" t="s">
        <v>40</v>
      </c>
    </row>
    <row r="2" spans="1:52" x14ac:dyDescent="0.25">
      <c r="A2">
        <v>512</v>
      </c>
      <c r="B2">
        <v>0</v>
      </c>
      <c r="C2">
        <v>111.632290992558</v>
      </c>
      <c r="D2">
        <v>89.571485624983794</v>
      </c>
      <c r="E2">
        <v>14</v>
      </c>
      <c r="F2">
        <v>1.01722196789785</v>
      </c>
      <c r="G2" t="s">
        <v>85</v>
      </c>
      <c r="H2" t="s">
        <v>86</v>
      </c>
      <c r="I2">
        <v>0</v>
      </c>
      <c r="J2">
        <v>166</v>
      </c>
      <c r="K2">
        <v>0</v>
      </c>
      <c r="Z2" s="2" t="s">
        <v>16</v>
      </c>
      <c r="AA2" s="2">
        <v>0</v>
      </c>
      <c r="AC2">
        <v>507</v>
      </c>
      <c r="AD2">
        <v>116.134547250493</v>
      </c>
      <c r="AE2">
        <v>10</v>
      </c>
      <c r="AF2">
        <v>1.01722196789785</v>
      </c>
      <c r="AG2" t="s">
        <v>85</v>
      </c>
      <c r="AH2">
        <v>0</v>
      </c>
      <c r="AI2">
        <v>0</v>
      </c>
      <c r="AJ2">
        <v>1</v>
      </c>
      <c r="AK2">
        <f>AJ2/$AA$17</f>
        <v>6.2500000000000001E-4</v>
      </c>
      <c r="AL2">
        <f>AD2*$AA$16</f>
        <v>116.134547250493</v>
      </c>
      <c r="AM2">
        <f>AL2/$AA$17</f>
        <v>7.258409203155812E-2</v>
      </c>
    </row>
    <row r="3" spans="1:52" x14ac:dyDescent="0.25">
      <c r="A3" t="s">
        <v>87</v>
      </c>
      <c r="Z3" s="2" t="s">
        <v>17</v>
      </c>
      <c r="AA3" s="2">
        <v>150</v>
      </c>
      <c r="AC3">
        <v>512</v>
      </c>
      <c r="AD3">
        <v>111.632290992558</v>
      </c>
      <c r="AE3">
        <v>14</v>
      </c>
      <c r="AF3">
        <v>1.01722196789785</v>
      </c>
      <c r="AG3" t="s">
        <v>85</v>
      </c>
      <c r="AH3">
        <v>0</v>
      </c>
      <c r="AI3">
        <v>0</v>
      </c>
      <c r="AJ3">
        <v>2</v>
      </c>
      <c r="AK3">
        <f>AJ3/$AA$17</f>
        <v>1.25E-3</v>
      </c>
      <c r="AL3">
        <f>AD3*$AA$16</f>
        <v>111.632290992558</v>
      </c>
      <c r="AM3">
        <f>AM2+(AL3/$AA$17)</f>
        <v>0.14235427390190686</v>
      </c>
    </row>
    <row r="4" spans="1:52" x14ac:dyDescent="0.25">
      <c r="A4">
        <v>79.388042747228198</v>
      </c>
      <c r="B4">
        <v>79.154457972452406</v>
      </c>
      <c r="C4">
        <v>2000</v>
      </c>
      <c r="Z4" s="2" t="s">
        <v>18</v>
      </c>
      <c r="AA4" s="2">
        <v>0</v>
      </c>
      <c r="AC4">
        <v>506</v>
      </c>
      <c r="AD4">
        <v>106.39472649181801</v>
      </c>
      <c r="AE4">
        <v>14</v>
      </c>
      <c r="AF4">
        <v>1.01722196789785</v>
      </c>
      <c r="AG4" t="s">
        <v>85</v>
      </c>
      <c r="AH4">
        <v>0</v>
      </c>
      <c r="AI4">
        <v>0</v>
      </c>
      <c r="AJ4">
        <v>3</v>
      </c>
      <c r="AK4">
        <f>AJ4/$AA$17</f>
        <v>1.8749999999999999E-3</v>
      </c>
      <c r="AL4">
        <f>AD4*$AA$16</f>
        <v>106.39472649181801</v>
      </c>
      <c r="AM4">
        <f>AM3+(AL4/$AA$17)</f>
        <v>0.20885097795929311</v>
      </c>
    </row>
    <row r="5" spans="1:52" x14ac:dyDescent="0.25">
      <c r="A5">
        <v>50.452092787000197</v>
      </c>
      <c r="B5">
        <v>50.218508012224397</v>
      </c>
      <c r="C5">
        <v>2000</v>
      </c>
      <c r="Z5" s="2" t="s">
        <v>19</v>
      </c>
      <c r="AA5" s="2">
        <v>150</v>
      </c>
      <c r="AC5">
        <v>513</v>
      </c>
      <c r="AD5">
        <v>102.223782658915</v>
      </c>
      <c r="AE5">
        <v>10</v>
      </c>
      <c r="AF5">
        <v>1.01722196789785</v>
      </c>
      <c r="AG5" t="s">
        <v>85</v>
      </c>
      <c r="AH5">
        <v>0</v>
      </c>
      <c r="AI5">
        <v>0</v>
      </c>
      <c r="AJ5">
        <v>4</v>
      </c>
      <c r="AK5">
        <f>AJ5/$AA$17</f>
        <v>2.5000000000000001E-3</v>
      </c>
      <c r="AL5">
        <f>AD5*$AA$16</f>
        <v>102.223782658915</v>
      </c>
      <c r="AM5">
        <f>AM4+(AL5/$AA$17)</f>
        <v>0.27274084212111499</v>
      </c>
    </row>
    <row r="6" spans="1:52" x14ac:dyDescent="0.25">
      <c r="A6">
        <v>49.778561354822898</v>
      </c>
      <c r="B6">
        <v>49.544976580047098</v>
      </c>
      <c r="C6">
        <v>2000</v>
      </c>
      <c r="AC6">
        <v>506</v>
      </c>
      <c r="AD6">
        <v>93.167160569775902</v>
      </c>
      <c r="AE6">
        <v>14</v>
      </c>
      <c r="AF6">
        <v>1.01722196789785</v>
      </c>
      <c r="AG6" t="s">
        <v>85</v>
      </c>
      <c r="AH6">
        <v>0</v>
      </c>
      <c r="AI6">
        <v>0</v>
      </c>
      <c r="AJ6">
        <v>5</v>
      </c>
      <c r="AK6">
        <f>AJ6/$AA$17</f>
        <v>3.1250000000000002E-3</v>
      </c>
      <c r="AL6">
        <f>AD6*$AA$16</f>
        <v>93.167160569775902</v>
      </c>
      <c r="AM6">
        <f>AM5+(AL6/$AA$17)</f>
        <v>0.33097031747722494</v>
      </c>
    </row>
    <row r="7" spans="1:52" x14ac:dyDescent="0.25">
      <c r="A7">
        <v>0.23358477477574999</v>
      </c>
      <c r="B7">
        <v>0</v>
      </c>
      <c r="C7">
        <v>2000</v>
      </c>
      <c r="AC7">
        <v>512</v>
      </c>
      <c r="AD7">
        <v>89.571485624983794</v>
      </c>
      <c r="AE7">
        <v>14</v>
      </c>
      <c r="AF7">
        <v>1.01722196789785</v>
      </c>
      <c r="AG7" t="s">
        <v>86</v>
      </c>
      <c r="AH7">
        <v>166</v>
      </c>
      <c r="AI7">
        <v>0</v>
      </c>
      <c r="AJ7">
        <v>6</v>
      </c>
      <c r="AK7">
        <f>AJ7/$AA$17</f>
        <v>3.7499999999999999E-3</v>
      </c>
      <c r="AL7">
        <f>AD7*$AA$16</f>
        <v>89.571485624983794</v>
      </c>
      <c r="AM7">
        <f>AM6+(AL7/$AA$17)</f>
        <v>0.38695249599283982</v>
      </c>
    </row>
    <row r="8" spans="1:52" x14ac:dyDescent="0.25">
      <c r="A8">
        <v>1.1076168236733901</v>
      </c>
      <c r="B8">
        <v>0</v>
      </c>
      <c r="C8">
        <v>2001</v>
      </c>
      <c r="AC8">
        <v>518</v>
      </c>
      <c r="AD8">
        <v>84.368415850223201</v>
      </c>
      <c r="AE8">
        <v>10</v>
      </c>
      <c r="AF8">
        <v>1.01722196789785</v>
      </c>
      <c r="AG8" t="s">
        <v>85</v>
      </c>
      <c r="AH8">
        <v>0</v>
      </c>
      <c r="AI8">
        <v>0</v>
      </c>
      <c r="AJ8">
        <v>7</v>
      </c>
      <c r="AK8">
        <f>AJ8/$AA$17</f>
        <v>4.3750000000000004E-3</v>
      </c>
      <c r="AL8">
        <f>AD8*$AA$16</f>
        <v>84.368415850223201</v>
      </c>
      <c r="AM8">
        <f>AM7+(AL8/$AA$17)</f>
        <v>0.43968275589922934</v>
      </c>
    </row>
    <row r="9" spans="1:52" x14ac:dyDescent="0.25">
      <c r="A9">
        <v>50.221438645177102</v>
      </c>
      <c r="B9">
        <v>49.113821821503699</v>
      </c>
      <c r="C9">
        <v>2001</v>
      </c>
      <c r="Z9" t="s">
        <v>33</v>
      </c>
      <c r="AA9">
        <f>COUNTIF(A:A,"Start Points")</f>
        <v>380</v>
      </c>
      <c r="AC9">
        <v>516</v>
      </c>
      <c r="AD9">
        <v>71.788483802766393</v>
      </c>
      <c r="AE9">
        <v>14</v>
      </c>
      <c r="AF9">
        <v>1.01722196789785</v>
      </c>
      <c r="AG9" t="s">
        <v>86</v>
      </c>
      <c r="AH9">
        <v>13</v>
      </c>
      <c r="AI9">
        <v>0</v>
      </c>
      <c r="AJ9">
        <v>8</v>
      </c>
      <c r="AK9">
        <f>AJ9/$AA$17</f>
        <v>5.0000000000000001E-3</v>
      </c>
      <c r="AL9">
        <f>AD9*$AA$16</f>
        <v>71.788483802766393</v>
      </c>
      <c r="AM9">
        <f>AM8+(AL9/$AA$17)</f>
        <v>0.48455055827595833</v>
      </c>
    </row>
    <row r="10" spans="1:52" x14ac:dyDescent="0.25">
      <c r="A10">
        <v>50.889108811448999</v>
      </c>
      <c r="B10">
        <v>49.781491987775603</v>
      </c>
      <c r="C10">
        <v>2001</v>
      </c>
      <c r="AC10">
        <v>487</v>
      </c>
      <c r="AD10">
        <v>66.664184808620902</v>
      </c>
      <c r="AE10">
        <v>9</v>
      </c>
      <c r="AF10">
        <v>1.5707963267949001</v>
      </c>
      <c r="AG10" t="s">
        <v>86</v>
      </c>
      <c r="AH10">
        <v>16</v>
      </c>
      <c r="AI10">
        <v>0</v>
      </c>
      <c r="AJ10">
        <v>9</v>
      </c>
      <c r="AK10">
        <f>AJ10/$AA$17</f>
        <v>5.6249999999999998E-3</v>
      </c>
      <c r="AL10">
        <f>AD10*$AA$16</f>
        <v>66.664184808620902</v>
      </c>
      <c r="AM10">
        <f>AM9+(AL10/$AA$17)</f>
        <v>0.52621567378134637</v>
      </c>
    </row>
    <row r="11" spans="1:52" x14ac:dyDescent="0.25">
      <c r="A11">
        <v>79.825058771677107</v>
      </c>
      <c r="B11">
        <v>78.717441948003597</v>
      </c>
      <c r="C11">
        <v>2001</v>
      </c>
      <c r="Z11" t="s">
        <v>35</v>
      </c>
      <c r="AC11">
        <v>517</v>
      </c>
      <c r="AD11">
        <v>52.156844895155601</v>
      </c>
      <c r="AE11">
        <v>10</v>
      </c>
      <c r="AF11">
        <v>1.01722196789785</v>
      </c>
      <c r="AG11" t="s">
        <v>86</v>
      </c>
      <c r="AH11">
        <v>37</v>
      </c>
      <c r="AI11">
        <v>0</v>
      </c>
      <c r="AJ11">
        <v>10</v>
      </c>
      <c r="AK11">
        <f>AJ11/$AA$17</f>
        <v>6.2500000000000003E-3</v>
      </c>
      <c r="AL11">
        <f>AD11*$AA$16</f>
        <v>52.156844895155601</v>
      </c>
      <c r="AM11">
        <f>AM10+(AL11/$AA$17)</f>
        <v>0.55881370184081858</v>
      </c>
    </row>
    <row r="12" spans="1:52" x14ac:dyDescent="0.25">
      <c r="A12">
        <v>100.21850801222401</v>
      </c>
      <c r="B12">
        <v>99.110891188550994</v>
      </c>
      <c r="C12">
        <v>2001</v>
      </c>
      <c r="Z12" s="2" t="s">
        <v>16</v>
      </c>
      <c r="AA12" s="2">
        <v>55</v>
      </c>
      <c r="AC12">
        <v>485</v>
      </c>
      <c r="AD12">
        <v>48.229370416423002</v>
      </c>
      <c r="AE12">
        <v>10</v>
      </c>
      <c r="AF12">
        <v>1.5707963267949001</v>
      </c>
      <c r="AG12" t="s">
        <v>86</v>
      </c>
      <c r="AH12">
        <v>402</v>
      </c>
      <c r="AI12">
        <v>0</v>
      </c>
      <c r="AJ12">
        <v>11</v>
      </c>
      <c r="AK12">
        <f>AJ12/$AA$17</f>
        <v>6.875E-3</v>
      </c>
      <c r="AL12">
        <f>AD12*$AA$16</f>
        <v>48.229370416423002</v>
      </c>
      <c r="AM12">
        <f>AM11+(AL12/$AA$17)</f>
        <v>0.58895705835108292</v>
      </c>
    </row>
    <row r="13" spans="1:52" x14ac:dyDescent="0.25">
      <c r="A13">
        <v>100.88910881144901</v>
      </c>
      <c r="B13">
        <v>99.781491987775595</v>
      </c>
      <c r="C13">
        <v>2001</v>
      </c>
      <c r="Z13" s="2" t="s">
        <v>17</v>
      </c>
      <c r="AA13" s="2">
        <v>95</v>
      </c>
      <c r="AC13">
        <v>502</v>
      </c>
      <c r="AD13">
        <v>46.5667337236669</v>
      </c>
      <c r="AE13">
        <v>10</v>
      </c>
      <c r="AF13">
        <v>1.01722196789785</v>
      </c>
      <c r="AG13" t="s">
        <v>86</v>
      </c>
      <c r="AH13">
        <v>663</v>
      </c>
      <c r="AI13">
        <v>0</v>
      </c>
      <c r="AJ13">
        <v>12</v>
      </c>
      <c r="AK13">
        <f>AJ13/$AA$17</f>
        <v>7.4999999999999997E-3</v>
      </c>
      <c r="AL13">
        <f>AD13*$AA$16</f>
        <v>46.5667337236669</v>
      </c>
      <c r="AM13">
        <f>AM12+(AL13/$AA$17)</f>
        <v>0.61806126692837471</v>
      </c>
    </row>
    <row r="14" spans="1:52" x14ac:dyDescent="0.25">
      <c r="A14">
        <v>143.161663658056</v>
      </c>
      <c r="B14">
        <v>142.054046834383</v>
      </c>
      <c r="C14">
        <v>2001</v>
      </c>
      <c r="Z14" s="2" t="s">
        <v>18</v>
      </c>
      <c r="AA14" s="2">
        <v>55</v>
      </c>
      <c r="AC14">
        <v>502</v>
      </c>
      <c r="AD14">
        <v>45.911006835865699</v>
      </c>
      <c r="AE14">
        <v>10</v>
      </c>
      <c r="AF14">
        <v>1.01722196789785</v>
      </c>
      <c r="AG14" t="s">
        <v>86</v>
      </c>
      <c r="AH14">
        <v>245</v>
      </c>
      <c r="AI14">
        <v>0</v>
      </c>
      <c r="AJ14">
        <v>13</v>
      </c>
      <c r="AK14">
        <f>AJ14/$AA$17</f>
        <v>8.1250000000000003E-3</v>
      </c>
      <c r="AL14">
        <f>AD14*$AA$16</f>
        <v>45.911006835865699</v>
      </c>
      <c r="AM14">
        <f>AM13+(AL14/$AA$17)</f>
        <v>0.64675564620079073</v>
      </c>
    </row>
    <row r="15" spans="1:52" x14ac:dyDescent="0.25">
      <c r="A15">
        <v>142.72464763360799</v>
      </c>
      <c r="B15">
        <v>142.49106285883201</v>
      </c>
      <c r="C15">
        <v>2000</v>
      </c>
      <c r="Z15" s="2" t="s">
        <v>19</v>
      </c>
      <c r="AA15" s="2">
        <v>95</v>
      </c>
      <c r="AC15">
        <v>514</v>
      </c>
      <c r="AD15">
        <v>45.410190882519501</v>
      </c>
      <c r="AE15">
        <v>10</v>
      </c>
      <c r="AF15">
        <v>1.01722196789785</v>
      </c>
      <c r="AG15" t="s">
        <v>86</v>
      </c>
      <c r="AH15">
        <v>172</v>
      </c>
      <c r="AI15">
        <v>0</v>
      </c>
      <c r="AJ15">
        <v>14</v>
      </c>
      <c r="AK15">
        <f>AJ15/$AA$17</f>
        <v>8.7500000000000008E-3</v>
      </c>
      <c r="AL15">
        <f>AD15*$AA$16</f>
        <v>45.410190882519501</v>
      </c>
      <c r="AM15">
        <f>AM14+(AL15/$AA$17)</f>
        <v>0.67513701550236538</v>
      </c>
    </row>
    <row r="16" spans="1:52" x14ac:dyDescent="0.25">
      <c r="A16">
        <v>100.452092787</v>
      </c>
      <c r="B16">
        <v>100.21850801222401</v>
      </c>
      <c r="C16">
        <v>2000</v>
      </c>
      <c r="Z16" s="2" t="s">
        <v>20</v>
      </c>
      <c r="AA16" s="2">
        <v>1</v>
      </c>
      <c r="AC16">
        <v>484</v>
      </c>
      <c r="AD16">
        <v>45.194124175383003</v>
      </c>
      <c r="AE16">
        <v>12</v>
      </c>
      <c r="AF16">
        <v>1.5707963267949001</v>
      </c>
      <c r="AG16" t="s">
        <v>86</v>
      </c>
      <c r="AH16">
        <v>17</v>
      </c>
      <c r="AI16">
        <v>0</v>
      </c>
      <c r="AJ16">
        <v>15</v>
      </c>
      <c r="AK16">
        <f>AJ16/$AA$17</f>
        <v>9.3749999999999997E-3</v>
      </c>
      <c r="AL16">
        <f>AD16*$AA$16</f>
        <v>45.194124175383003</v>
      </c>
      <c r="AM16">
        <f>AM15+(AL16/$AA$17)</f>
        <v>0.70338334311197981</v>
      </c>
    </row>
    <row r="17" spans="1:39" x14ac:dyDescent="0.25">
      <c r="A17">
        <v>99.781491987775595</v>
      </c>
      <c r="B17">
        <v>99.547907212999803</v>
      </c>
      <c r="C17">
        <v>2000</v>
      </c>
      <c r="Z17" t="s">
        <v>21</v>
      </c>
      <c r="AA17">
        <f>(AA13-AA12)*(AA15-AA14)*AA16</f>
        <v>1600</v>
      </c>
      <c r="AC17">
        <v>493</v>
      </c>
      <c r="AD17">
        <v>44.276707844113801</v>
      </c>
      <c r="AE17">
        <v>8</v>
      </c>
      <c r="AF17">
        <v>1.5707963267949001</v>
      </c>
      <c r="AG17" t="s">
        <v>86</v>
      </c>
      <c r="AH17">
        <v>15</v>
      </c>
      <c r="AI17">
        <v>0</v>
      </c>
      <c r="AJ17">
        <v>16</v>
      </c>
      <c r="AK17">
        <f>AJ17/$AA$17</f>
        <v>0.01</v>
      </c>
      <c r="AL17">
        <f>AD17*$AA$16</f>
        <v>44.276707844113801</v>
      </c>
      <c r="AM17">
        <f>AM16+(AL17/$AA$17)</f>
        <v>0.73105628551455093</v>
      </c>
    </row>
    <row r="18" spans="1:39" x14ac:dyDescent="0.25">
      <c r="A18" t="s">
        <v>88</v>
      </c>
      <c r="AC18">
        <v>519</v>
      </c>
      <c r="AD18">
        <v>42.930874833503402</v>
      </c>
      <c r="AE18">
        <v>10</v>
      </c>
      <c r="AF18">
        <v>1.01722196789785</v>
      </c>
      <c r="AG18" t="s">
        <v>86</v>
      </c>
      <c r="AH18">
        <v>184</v>
      </c>
      <c r="AI18">
        <v>0</v>
      </c>
      <c r="AJ18">
        <v>17</v>
      </c>
      <c r="AK18">
        <f>AJ18/$AA$17</f>
        <v>1.0625000000000001E-2</v>
      </c>
      <c r="AL18">
        <f>AD18*$AA$16</f>
        <v>42.930874833503402</v>
      </c>
      <c r="AM18">
        <f>AM17+(AL18/$AA$17)</f>
        <v>0.75788808228549054</v>
      </c>
    </row>
    <row r="19" spans="1:39" x14ac:dyDescent="0.25">
      <c r="A19">
        <v>181</v>
      </c>
      <c r="B19">
        <v>0</v>
      </c>
      <c r="C19">
        <v>168.11392093671901</v>
      </c>
      <c r="D19">
        <v>32.221145747700497</v>
      </c>
      <c r="E19">
        <v>14</v>
      </c>
      <c r="F19">
        <v>1.01722196789785</v>
      </c>
      <c r="G19" t="s">
        <v>85</v>
      </c>
      <c r="H19" t="s">
        <v>85</v>
      </c>
      <c r="I19">
        <v>0</v>
      </c>
      <c r="J19">
        <v>0</v>
      </c>
      <c r="K19">
        <v>0</v>
      </c>
      <c r="AC19">
        <v>503</v>
      </c>
      <c r="AD19">
        <v>39.891303520462301</v>
      </c>
      <c r="AE19">
        <v>12</v>
      </c>
      <c r="AF19">
        <v>1.01722196789785</v>
      </c>
      <c r="AG19" t="s">
        <v>86</v>
      </c>
      <c r="AH19">
        <v>38</v>
      </c>
      <c r="AI19">
        <v>0</v>
      </c>
      <c r="AJ19">
        <v>18</v>
      </c>
      <c r="AK19">
        <f>AJ19/$AA$17</f>
        <v>1.125E-2</v>
      </c>
      <c r="AL19">
        <f>AD19*$AA$16</f>
        <v>39.891303520462301</v>
      </c>
      <c r="AM19">
        <f>AM18+(AL19/$AA$17)</f>
        <v>0.78282014698577951</v>
      </c>
    </row>
    <row r="20" spans="1:39" x14ac:dyDescent="0.25">
      <c r="A20" t="s">
        <v>87</v>
      </c>
      <c r="AC20">
        <v>503</v>
      </c>
      <c r="AD20">
        <v>37.858563375559903</v>
      </c>
      <c r="AE20">
        <v>12</v>
      </c>
      <c r="AF20">
        <v>1.01722196789785</v>
      </c>
      <c r="AG20" t="s">
        <v>86</v>
      </c>
      <c r="AH20">
        <v>182</v>
      </c>
      <c r="AI20">
        <v>0</v>
      </c>
      <c r="AJ20">
        <v>19</v>
      </c>
      <c r="AK20">
        <f>AJ20/$AA$17</f>
        <v>1.1875E-2</v>
      </c>
      <c r="AL20">
        <f>AD20*$AA$16</f>
        <v>37.858563375559903</v>
      </c>
      <c r="AM20">
        <f>AM19+(AL20/$AA$17)</f>
        <v>0.80648174909550441</v>
      </c>
    </row>
    <row r="21" spans="1:39" x14ac:dyDescent="0.25">
      <c r="A21">
        <v>119.192002908935</v>
      </c>
      <c r="B21">
        <v>127.09670272247401</v>
      </c>
      <c r="C21">
        <v>2000</v>
      </c>
      <c r="AC21">
        <v>519</v>
      </c>
      <c r="AD21">
        <v>35.178066117849703</v>
      </c>
      <c r="AE21">
        <v>10</v>
      </c>
      <c r="AF21">
        <v>1.01722196789785</v>
      </c>
      <c r="AG21" t="s">
        <v>86</v>
      </c>
      <c r="AH21">
        <v>22</v>
      </c>
      <c r="AI21">
        <v>0</v>
      </c>
      <c r="AJ21">
        <v>20</v>
      </c>
      <c r="AK21">
        <f>AJ21/$AA$17</f>
        <v>1.2500000000000001E-2</v>
      </c>
      <c r="AL21">
        <f>AD21*$AA$16</f>
        <v>35.178066117849703</v>
      </c>
      <c r="AM21">
        <f>AM20+(AL21/$AA$17)</f>
        <v>0.82846804041916045</v>
      </c>
    </row>
    <row r="22" spans="1:39" x14ac:dyDescent="0.25">
      <c r="A22">
        <v>100.21850801222401</v>
      </c>
      <c r="B22">
        <v>108.123207825764</v>
      </c>
      <c r="C22">
        <v>2000</v>
      </c>
      <c r="AC22">
        <v>516</v>
      </c>
      <c r="AD22">
        <v>33.3725704669477</v>
      </c>
      <c r="AE22">
        <v>14</v>
      </c>
      <c r="AF22">
        <v>1.01722196789785</v>
      </c>
      <c r="AG22" t="s">
        <v>86</v>
      </c>
      <c r="AH22">
        <v>182</v>
      </c>
      <c r="AI22">
        <v>0</v>
      </c>
      <c r="AJ22">
        <v>21</v>
      </c>
      <c r="AK22">
        <f>AJ22/$AA$17</f>
        <v>1.3125E-2</v>
      </c>
      <c r="AL22">
        <f>AD22*$AA$16</f>
        <v>33.3725704669477</v>
      </c>
      <c r="AM22">
        <f>AM21+(AL22/$AA$17)</f>
        <v>0.8493258969610028</v>
      </c>
    </row>
    <row r="23" spans="1:39" x14ac:dyDescent="0.25">
      <c r="A23">
        <v>91.876792174236499</v>
      </c>
      <c r="B23">
        <v>99.781491987775595</v>
      </c>
      <c r="C23">
        <v>2000</v>
      </c>
      <c r="AC23">
        <v>513</v>
      </c>
      <c r="AD23">
        <v>33.143999563933697</v>
      </c>
      <c r="AE23">
        <v>10</v>
      </c>
      <c r="AF23">
        <v>1.01722196789785</v>
      </c>
      <c r="AG23" t="s">
        <v>86</v>
      </c>
      <c r="AH23">
        <v>192</v>
      </c>
      <c r="AI23">
        <v>0</v>
      </c>
      <c r="AJ23">
        <v>22</v>
      </c>
      <c r="AK23">
        <f>AJ23/$AA$17</f>
        <v>1.375E-2</v>
      </c>
      <c r="AL23">
        <f>AD23*$AA$16</f>
        <v>33.143999563933697</v>
      </c>
      <c r="AM23">
        <f>AM22+(AL23/$AA$17)</f>
        <v>0.87004089668846141</v>
      </c>
    </row>
    <row r="24" spans="1:39" x14ac:dyDescent="0.25">
      <c r="A24">
        <v>50.218508012224397</v>
      </c>
      <c r="B24">
        <v>58.1232078257636</v>
      </c>
      <c r="C24">
        <v>2000</v>
      </c>
      <c r="AC24">
        <v>484</v>
      </c>
      <c r="AD24">
        <v>29.247444902318101</v>
      </c>
      <c r="AE24">
        <v>12</v>
      </c>
      <c r="AF24">
        <v>1.5707963267949001</v>
      </c>
      <c r="AG24" t="s">
        <v>86</v>
      </c>
      <c r="AH24">
        <v>726</v>
      </c>
      <c r="AI24">
        <v>0</v>
      </c>
      <c r="AJ24">
        <v>23</v>
      </c>
      <c r="AK24">
        <f>AJ24/$AA$17</f>
        <v>1.4375000000000001E-2</v>
      </c>
      <c r="AL24">
        <f>AD24*$AA$16</f>
        <v>29.247444902318101</v>
      </c>
      <c r="AM24">
        <f>AM23+(AL24/$AA$17)</f>
        <v>0.88832054975241026</v>
      </c>
    </row>
    <row r="25" spans="1:39" x14ac:dyDescent="0.25">
      <c r="A25">
        <v>41.840337539310397</v>
      </c>
      <c r="B25">
        <v>49.7450373528496</v>
      </c>
      <c r="C25">
        <v>2000</v>
      </c>
      <c r="AC25">
        <v>481</v>
      </c>
      <c r="AD25">
        <v>27.762267981163198</v>
      </c>
      <c r="AE25">
        <v>8</v>
      </c>
      <c r="AF25">
        <v>1.5707963267949001</v>
      </c>
      <c r="AG25" t="s">
        <v>86</v>
      </c>
      <c r="AH25">
        <v>408</v>
      </c>
      <c r="AI25">
        <v>0</v>
      </c>
      <c r="AJ25">
        <v>24</v>
      </c>
      <c r="AK25">
        <f>AJ25/$AA$17</f>
        <v>1.4999999999999999E-2</v>
      </c>
      <c r="AL25">
        <f>AD25*$AA$16</f>
        <v>27.762267981163198</v>
      </c>
      <c r="AM25">
        <f>AM24+(AL25/$AA$17)</f>
        <v>0.90567196724063725</v>
      </c>
    </row>
    <row r="26" spans="1:39" x14ac:dyDescent="0.25">
      <c r="A26">
        <v>0</v>
      </c>
      <c r="B26">
        <v>7.9046998135391897</v>
      </c>
      <c r="C26">
        <v>2000</v>
      </c>
      <c r="AC26">
        <v>494</v>
      </c>
      <c r="AD26">
        <v>24.969925930506399</v>
      </c>
      <c r="AE26">
        <v>8</v>
      </c>
      <c r="AF26">
        <v>1.5707963267949001</v>
      </c>
      <c r="AG26" t="s">
        <v>86</v>
      </c>
      <c r="AH26">
        <v>196</v>
      </c>
      <c r="AI26">
        <v>0</v>
      </c>
      <c r="AJ26">
        <v>25</v>
      </c>
      <c r="AK26">
        <f>AJ26/$AA$17</f>
        <v>1.5625E-2</v>
      </c>
      <c r="AL26">
        <f>AD26*$AA$16</f>
        <v>24.969925930506399</v>
      </c>
      <c r="AM26">
        <f>AM25+(AL26/$AA$17)</f>
        <v>0.92127817094720377</v>
      </c>
    </row>
    <row r="27" spans="1:39" x14ac:dyDescent="0.25">
      <c r="A27">
        <v>0</v>
      </c>
      <c r="B27">
        <v>8.7787318624368407</v>
      </c>
      <c r="C27">
        <v>2001</v>
      </c>
      <c r="AC27">
        <v>507</v>
      </c>
      <c r="AD27">
        <v>17.242343260681199</v>
      </c>
      <c r="AE27">
        <v>10</v>
      </c>
      <c r="AF27">
        <v>1.01722196789785</v>
      </c>
      <c r="AG27" t="s">
        <v>86</v>
      </c>
      <c r="AH27">
        <v>19</v>
      </c>
      <c r="AI27">
        <v>0</v>
      </c>
      <c r="AJ27">
        <v>26</v>
      </c>
      <c r="AK27">
        <f>AJ27/$AA$17</f>
        <v>1.6250000000000001E-2</v>
      </c>
      <c r="AL27">
        <f>AD27*$AA$16</f>
        <v>17.242343260681199</v>
      </c>
      <c r="AM27">
        <f>AM26+(AL27/$AA$17)</f>
        <v>0.93205463548512957</v>
      </c>
    </row>
    <row r="28" spans="1:39" x14ac:dyDescent="0.25">
      <c r="A28">
        <v>41.4762307847136</v>
      </c>
      <c r="B28">
        <v>50.2549626471504</v>
      </c>
      <c r="C28">
        <v>2001</v>
      </c>
      <c r="AC28">
        <v>485</v>
      </c>
      <c r="AD28">
        <v>17.2004387798873</v>
      </c>
      <c r="AE28">
        <v>10</v>
      </c>
      <c r="AF28">
        <v>1.5707963267949001</v>
      </c>
      <c r="AG28" t="s">
        <v>86</v>
      </c>
      <c r="AH28">
        <v>29</v>
      </c>
      <c r="AI28">
        <v>0</v>
      </c>
      <c r="AJ28">
        <v>27</v>
      </c>
      <c r="AK28">
        <f>AJ28/$AA$17</f>
        <v>1.6875000000000001E-2</v>
      </c>
      <c r="AL28">
        <f>AD28*$AA$16</f>
        <v>17.2004387798873</v>
      </c>
      <c r="AM28">
        <f>AM27+(AL28/$AA$17)</f>
        <v>0.94280490972255915</v>
      </c>
    </row>
    <row r="29" spans="1:39" x14ac:dyDescent="0.25">
      <c r="A29">
        <v>49.781491987775603</v>
      </c>
      <c r="B29">
        <v>58.560223850212402</v>
      </c>
      <c r="C29">
        <v>2001</v>
      </c>
      <c r="AC29">
        <v>495</v>
      </c>
      <c r="AD29">
        <v>16.498001045349501</v>
      </c>
      <c r="AE29">
        <v>8</v>
      </c>
      <c r="AF29">
        <v>1.5707963267949001</v>
      </c>
      <c r="AG29" t="s">
        <v>86</v>
      </c>
      <c r="AH29">
        <v>34</v>
      </c>
      <c r="AI29">
        <v>0</v>
      </c>
      <c r="AJ29">
        <v>28</v>
      </c>
      <c r="AK29">
        <f>AJ29/$AA$17</f>
        <v>1.7500000000000002E-2</v>
      </c>
      <c r="AL29">
        <f>AD29*$AA$16</f>
        <v>16.498001045349501</v>
      </c>
      <c r="AM29">
        <f>AM28+(AL29/$AA$17)</f>
        <v>0.95311616037590263</v>
      </c>
    </row>
    <row r="30" spans="1:39" x14ac:dyDescent="0.25">
      <c r="A30">
        <v>91.439776149787605</v>
      </c>
      <c r="B30">
        <v>100.21850801222401</v>
      </c>
      <c r="C30">
        <v>2001</v>
      </c>
      <c r="AC30">
        <v>494</v>
      </c>
      <c r="AD30">
        <v>15.8134341163331</v>
      </c>
      <c r="AE30">
        <v>8</v>
      </c>
      <c r="AF30">
        <v>1.5707963267949001</v>
      </c>
      <c r="AG30" t="s">
        <v>86</v>
      </c>
      <c r="AH30">
        <v>649</v>
      </c>
      <c r="AI30">
        <v>0</v>
      </c>
      <c r="AJ30">
        <v>29</v>
      </c>
      <c r="AK30">
        <f>AJ30/$AA$17</f>
        <v>1.8124999999999999E-2</v>
      </c>
      <c r="AL30">
        <f>AD30*$AA$16</f>
        <v>15.8134341163331</v>
      </c>
      <c r="AM30">
        <f>AM29+(AL30/$AA$17)</f>
        <v>0.96299955669861081</v>
      </c>
    </row>
    <row r="31" spans="1:39" x14ac:dyDescent="0.25">
      <c r="A31">
        <v>99.781491987775595</v>
      </c>
      <c r="B31">
        <v>108.560223850212</v>
      </c>
      <c r="C31">
        <v>2001</v>
      </c>
      <c r="AC31">
        <v>505</v>
      </c>
      <c r="AD31">
        <v>15.665897168264401</v>
      </c>
      <c r="AE31">
        <v>8</v>
      </c>
      <c r="AF31">
        <v>1.01722196789785</v>
      </c>
      <c r="AG31" t="s">
        <v>86</v>
      </c>
      <c r="AH31">
        <v>277</v>
      </c>
      <c r="AI31">
        <v>0</v>
      </c>
      <c r="AJ31">
        <v>30</v>
      </c>
      <c r="AK31">
        <f>AJ31/$AA$17</f>
        <v>1.8749999999999999E-2</v>
      </c>
      <c r="AL31">
        <f>AD31*$AA$16</f>
        <v>15.665897168264401</v>
      </c>
      <c r="AM31">
        <f>AM30+(AL31/$AA$17)</f>
        <v>0.97279074242877606</v>
      </c>
    </row>
    <row r="32" spans="1:39" x14ac:dyDescent="0.25">
      <c r="A32">
        <v>118.556984103491</v>
      </c>
      <c r="B32">
        <v>127.335715965928</v>
      </c>
      <c r="C32">
        <v>2001</v>
      </c>
      <c r="AC32">
        <v>517</v>
      </c>
      <c r="AD32">
        <v>15.185941848813099</v>
      </c>
      <c r="AE32">
        <v>10</v>
      </c>
      <c r="AF32">
        <v>1.01722196789785</v>
      </c>
      <c r="AG32" t="s">
        <v>86</v>
      </c>
      <c r="AH32">
        <v>279</v>
      </c>
      <c r="AI32">
        <v>0</v>
      </c>
      <c r="AJ32">
        <v>31</v>
      </c>
      <c r="AK32">
        <f>AJ32/$AA$17</f>
        <v>1.9375E-2</v>
      </c>
      <c r="AL32">
        <f>AD32*$AA$16</f>
        <v>15.185941848813099</v>
      </c>
      <c r="AM32">
        <f>AM31+(AL32/$AA$17)</f>
        <v>0.98228195608428426</v>
      </c>
    </row>
    <row r="33" spans="1:39" x14ac:dyDescent="0.25">
      <c r="A33">
        <v>141.22126813756299</v>
      </c>
      <c r="B33">
        <v>150</v>
      </c>
      <c r="C33">
        <v>2001</v>
      </c>
      <c r="AC33">
        <v>518</v>
      </c>
      <c r="AD33">
        <v>14.374000044014601</v>
      </c>
      <c r="AE33">
        <v>10</v>
      </c>
      <c r="AF33">
        <v>1.01722196789785</v>
      </c>
      <c r="AG33" t="s">
        <v>86</v>
      </c>
      <c r="AH33">
        <v>437</v>
      </c>
      <c r="AI33">
        <v>0</v>
      </c>
      <c r="AJ33">
        <v>32</v>
      </c>
      <c r="AK33">
        <f>AJ33/$AA$17</f>
        <v>0.02</v>
      </c>
      <c r="AL33">
        <f>AD33*$AA$16</f>
        <v>14.374000044014601</v>
      </c>
      <c r="AM33">
        <f>AM32+(AL33/$AA$17)</f>
        <v>0.99126570611179343</v>
      </c>
    </row>
    <row r="34" spans="1:39" x14ac:dyDescent="0.25">
      <c r="A34">
        <v>142.095300186461</v>
      </c>
      <c r="B34">
        <v>150</v>
      </c>
      <c r="C34">
        <v>2000</v>
      </c>
      <c r="AC34">
        <v>493</v>
      </c>
      <c r="AD34">
        <v>12.7624838778771</v>
      </c>
      <c r="AE34">
        <v>8</v>
      </c>
      <c r="AF34">
        <v>1.5707963267949001</v>
      </c>
      <c r="AG34" t="s">
        <v>86</v>
      </c>
      <c r="AH34">
        <v>181</v>
      </c>
      <c r="AI34">
        <v>0</v>
      </c>
      <c r="AJ34">
        <v>33</v>
      </c>
      <c r="AK34">
        <f>AJ34/$AA$17</f>
        <v>2.0625000000000001E-2</v>
      </c>
      <c r="AL34">
        <f>AD34*$AA$16</f>
        <v>12.7624838778771</v>
      </c>
      <c r="AM34">
        <f>AM33+(AL34/$AA$17)</f>
        <v>0.99924225853546667</v>
      </c>
    </row>
    <row r="35" spans="1:39" x14ac:dyDescent="0.25">
      <c r="A35" t="s">
        <v>88</v>
      </c>
      <c r="AC35">
        <v>490</v>
      </c>
      <c r="AD35">
        <v>10.352620773321799</v>
      </c>
      <c r="AE35">
        <v>6</v>
      </c>
      <c r="AF35">
        <v>1.5707963267949001</v>
      </c>
      <c r="AG35" t="s">
        <v>86</v>
      </c>
      <c r="AH35">
        <v>496</v>
      </c>
      <c r="AI35">
        <v>0</v>
      </c>
      <c r="AJ35">
        <v>34</v>
      </c>
      <c r="AK35">
        <f>AJ35/$AA$17</f>
        <v>2.1250000000000002E-2</v>
      </c>
      <c r="AL35">
        <f>AD35*$AA$16</f>
        <v>10.352620773321799</v>
      </c>
      <c r="AM35">
        <f>AM34+(AL35/$AA$17)</f>
        <v>1.0057126465187929</v>
      </c>
    </row>
    <row r="36" spans="1:39" x14ac:dyDescent="0.25">
      <c r="A36">
        <v>506</v>
      </c>
      <c r="B36">
        <v>0</v>
      </c>
      <c r="C36">
        <v>106.39472649181801</v>
      </c>
      <c r="D36">
        <v>93.167160569775902</v>
      </c>
      <c r="E36">
        <v>14</v>
      </c>
      <c r="F36">
        <v>1.01722196789785</v>
      </c>
      <c r="G36" t="s">
        <v>85</v>
      </c>
      <c r="H36" t="s">
        <v>85</v>
      </c>
      <c r="I36">
        <v>0</v>
      </c>
      <c r="J36">
        <v>0</v>
      </c>
      <c r="K36">
        <v>0</v>
      </c>
      <c r="AC36">
        <v>508</v>
      </c>
      <c r="AD36">
        <v>10.0453127401352</v>
      </c>
      <c r="AE36">
        <v>6</v>
      </c>
      <c r="AF36">
        <v>1.01722196789785</v>
      </c>
      <c r="AG36" t="s">
        <v>86</v>
      </c>
      <c r="AH36">
        <v>500</v>
      </c>
      <c r="AI36">
        <v>0</v>
      </c>
      <c r="AJ36">
        <v>35</v>
      </c>
      <c r="AK36">
        <f>AJ36/$AA$17</f>
        <v>2.1874999999999999E-2</v>
      </c>
      <c r="AL36">
        <f>AD36*$AA$16</f>
        <v>10.0453127401352</v>
      </c>
      <c r="AM36">
        <f>AM35+(AL36/$AA$17)</f>
        <v>1.0119909669813774</v>
      </c>
    </row>
    <row r="37" spans="1:39" x14ac:dyDescent="0.25">
      <c r="A37" t="s">
        <v>87</v>
      </c>
      <c r="AC37">
        <v>510</v>
      </c>
      <c r="AD37">
        <v>9.8684273394727509</v>
      </c>
      <c r="AE37">
        <v>8</v>
      </c>
      <c r="AF37">
        <v>1.01722196789785</v>
      </c>
      <c r="AG37" t="s">
        <v>86</v>
      </c>
      <c r="AH37">
        <v>660</v>
      </c>
      <c r="AI37">
        <v>0</v>
      </c>
      <c r="AJ37">
        <v>36</v>
      </c>
      <c r="AK37">
        <f>AJ37/$AA$17</f>
        <v>2.2499999999999999E-2</v>
      </c>
      <c r="AL37">
        <f>AD37*$AA$16</f>
        <v>9.8684273394727509</v>
      </c>
      <c r="AM37">
        <f>AM36+(AL37/$AA$17)</f>
        <v>1.0181587340685478</v>
      </c>
    </row>
    <row r="38" spans="1:39" x14ac:dyDescent="0.25">
      <c r="A38">
        <v>84.339376989439899</v>
      </c>
      <c r="B38">
        <v>75.013924572627801</v>
      </c>
      <c r="C38">
        <v>2000</v>
      </c>
      <c r="AC38">
        <v>495</v>
      </c>
      <c r="AD38">
        <v>9.1097405871526398</v>
      </c>
      <c r="AE38">
        <v>8</v>
      </c>
      <c r="AF38">
        <v>1.5707963267949001</v>
      </c>
      <c r="AG38" t="s">
        <v>86</v>
      </c>
      <c r="AH38">
        <v>726</v>
      </c>
      <c r="AI38">
        <v>0</v>
      </c>
      <c r="AJ38">
        <v>37</v>
      </c>
      <c r="AK38">
        <f>AJ38/$AA$17</f>
        <v>2.3125E-2</v>
      </c>
      <c r="AL38">
        <f>AD38*$AA$16</f>
        <v>9.1097405871526398</v>
      </c>
      <c r="AM38">
        <f>AM37+(AL38/$AA$17)</f>
        <v>1.0238523219355182</v>
      </c>
    </row>
    <row r="39" spans="1:39" x14ac:dyDescent="0.25">
      <c r="A39">
        <v>59.1069444045878</v>
      </c>
      <c r="B39">
        <v>49.781491987775603</v>
      </c>
      <c r="C39">
        <v>2000</v>
      </c>
      <c r="AC39">
        <v>510</v>
      </c>
      <c r="AD39">
        <v>8.8362452260842694</v>
      </c>
      <c r="AE39">
        <v>8</v>
      </c>
      <c r="AF39">
        <v>1.01722196789785</v>
      </c>
      <c r="AG39" t="s">
        <v>86</v>
      </c>
      <c r="AH39">
        <v>514</v>
      </c>
      <c r="AI39">
        <v>0</v>
      </c>
      <c r="AJ39">
        <v>38</v>
      </c>
      <c r="AK39">
        <f>AJ39/$AA$17</f>
        <v>2.375E-2</v>
      </c>
      <c r="AL39">
        <f>AD39*$AA$16</f>
        <v>8.8362452260842694</v>
      </c>
      <c r="AM39">
        <f>AM38+(AL39/$AA$17)</f>
        <v>1.0293749752018209</v>
      </c>
    </row>
    <row r="40" spans="1:39" x14ac:dyDescent="0.25">
      <c r="A40">
        <v>50.257351903581998</v>
      </c>
      <c r="B40">
        <v>40.931899486769801</v>
      </c>
      <c r="C40">
        <v>2000</v>
      </c>
      <c r="AC40">
        <v>514</v>
      </c>
      <c r="AD40">
        <v>8.7744590610329301</v>
      </c>
      <c r="AE40">
        <v>10</v>
      </c>
      <c r="AF40">
        <v>1.01722196789785</v>
      </c>
      <c r="AG40" t="s">
        <v>86</v>
      </c>
      <c r="AH40">
        <v>490</v>
      </c>
      <c r="AI40">
        <v>0</v>
      </c>
      <c r="AJ40">
        <v>39</v>
      </c>
      <c r="AK40">
        <f>AJ40/$AA$17</f>
        <v>2.4375000000000001E-2</v>
      </c>
      <c r="AL40">
        <f>AD40*$AA$16</f>
        <v>8.7744590610329301</v>
      </c>
      <c r="AM40">
        <f>AM39+(AL40/$AA$17)</f>
        <v>1.0348590121149663</v>
      </c>
    </row>
    <row r="41" spans="1:39" x14ac:dyDescent="0.25">
      <c r="A41">
        <v>9.32545241681213</v>
      </c>
      <c r="B41">
        <v>0</v>
      </c>
      <c r="C41">
        <v>2000</v>
      </c>
      <c r="AC41">
        <v>481</v>
      </c>
      <c r="AD41">
        <v>7.55554432140831</v>
      </c>
      <c r="AE41">
        <v>8</v>
      </c>
      <c r="AF41">
        <v>1.5707963267949001</v>
      </c>
      <c r="AG41" t="s">
        <v>86</v>
      </c>
      <c r="AH41">
        <v>500</v>
      </c>
      <c r="AI41">
        <v>0</v>
      </c>
      <c r="AJ41">
        <v>40</v>
      </c>
      <c r="AK41">
        <f>AJ41/$AA$17</f>
        <v>2.5000000000000001E-2</v>
      </c>
      <c r="AL41">
        <f>AD41*$AA$16</f>
        <v>7.55554432140831</v>
      </c>
      <c r="AM41">
        <f>AM40+(AL41/$AA$17)</f>
        <v>1.0395812273158465</v>
      </c>
    </row>
    <row r="42" spans="1:39" x14ac:dyDescent="0.25">
      <c r="A42">
        <v>8.4514203679144906</v>
      </c>
      <c r="B42">
        <v>0</v>
      </c>
      <c r="C42">
        <v>2001</v>
      </c>
      <c r="AC42">
        <v>500</v>
      </c>
      <c r="AD42">
        <v>6.62782984016921</v>
      </c>
      <c r="AE42">
        <v>4</v>
      </c>
      <c r="AF42">
        <v>1.5707963267949001</v>
      </c>
      <c r="AG42" t="s">
        <v>86</v>
      </c>
      <c r="AH42">
        <v>481</v>
      </c>
      <c r="AI42">
        <v>0</v>
      </c>
      <c r="AJ42">
        <v>41</v>
      </c>
      <c r="AK42">
        <f>AJ42/$AA$17</f>
        <v>2.5624999999999998E-2</v>
      </c>
      <c r="AL42">
        <f>AD42*$AA$16</f>
        <v>6.62782984016921</v>
      </c>
      <c r="AM42">
        <f>AM41+(AL42/$AA$17)</f>
        <v>1.0437236209659522</v>
      </c>
    </row>
    <row r="43" spans="1:39" x14ac:dyDescent="0.25">
      <c r="A43">
        <v>49.742648096418002</v>
      </c>
      <c r="B43">
        <v>41.2912277285035</v>
      </c>
      <c r="C43">
        <v>2001</v>
      </c>
      <c r="AC43">
        <v>511</v>
      </c>
      <c r="AD43">
        <v>6.5396436543471896</v>
      </c>
      <c r="AE43">
        <v>6</v>
      </c>
      <c r="AF43">
        <v>1.01722196789785</v>
      </c>
      <c r="AG43" t="s">
        <v>86</v>
      </c>
      <c r="AH43">
        <v>515</v>
      </c>
      <c r="AI43">
        <v>0</v>
      </c>
      <c r="AJ43">
        <v>42</v>
      </c>
      <c r="AK43">
        <f>AJ43/$AA$17</f>
        <v>2.6249999999999999E-2</v>
      </c>
      <c r="AL43">
        <f>AD43*$AA$16</f>
        <v>6.5396436543471896</v>
      </c>
      <c r="AM43">
        <f>AM42+(AL43/$AA$17)</f>
        <v>1.0478108982499192</v>
      </c>
    </row>
    <row r="44" spans="1:39" x14ac:dyDescent="0.25">
      <c r="A44">
        <v>58.669928380138899</v>
      </c>
      <c r="B44">
        <v>50.218508012224397</v>
      </c>
      <c r="C44">
        <v>2001</v>
      </c>
      <c r="AC44">
        <v>505</v>
      </c>
      <c r="AD44">
        <v>6.3510393867395898</v>
      </c>
      <c r="AE44">
        <v>8</v>
      </c>
      <c r="AF44">
        <v>1.01722196789785</v>
      </c>
      <c r="AG44" t="s">
        <v>86</v>
      </c>
      <c r="AH44">
        <v>670</v>
      </c>
      <c r="AI44">
        <v>0</v>
      </c>
      <c r="AJ44">
        <v>43</v>
      </c>
      <c r="AK44">
        <f>AJ44/$AA$17</f>
        <v>2.6875E-2</v>
      </c>
      <c r="AL44">
        <f>AD44*$AA$16</f>
        <v>6.3510393867395898</v>
      </c>
      <c r="AM44">
        <f>AM43+(AL44/$AA$17)</f>
        <v>1.0517802978666315</v>
      </c>
    </row>
    <row r="45" spans="1:39" x14ac:dyDescent="0.25">
      <c r="A45">
        <v>83.902360964991104</v>
      </c>
      <c r="B45">
        <v>75.450940597076595</v>
      </c>
      <c r="C45">
        <v>2001</v>
      </c>
      <c r="AC45">
        <v>508</v>
      </c>
      <c r="AD45">
        <v>5.7897147227441801</v>
      </c>
      <c r="AE45">
        <v>6</v>
      </c>
      <c r="AF45">
        <v>1.01722196789785</v>
      </c>
      <c r="AG45" t="s">
        <v>86</v>
      </c>
      <c r="AH45">
        <v>721</v>
      </c>
      <c r="AI45">
        <v>0</v>
      </c>
      <c r="AJ45">
        <v>44</v>
      </c>
      <c r="AK45">
        <f>AJ45/$AA$17</f>
        <v>2.75E-2</v>
      </c>
      <c r="AL45">
        <f>AD45*$AA$16</f>
        <v>5.7897147227441801</v>
      </c>
      <c r="AM45">
        <f>AM44+(AL45/$AA$17)</f>
        <v>1.0553988695683467</v>
      </c>
    </row>
    <row r="46" spans="1:39" x14ac:dyDescent="0.25">
      <c r="A46">
        <v>99.781491987775595</v>
      </c>
      <c r="B46">
        <v>91.330071619861002</v>
      </c>
      <c r="C46">
        <v>2001</v>
      </c>
      <c r="AC46">
        <v>511</v>
      </c>
      <c r="AD46">
        <v>4.34325828315718</v>
      </c>
      <c r="AE46">
        <v>6</v>
      </c>
      <c r="AF46">
        <v>1.01722196789785</v>
      </c>
      <c r="AG46" t="s">
        <v>86</v>
      </c>
      <c r="AH46">
        <v>488</v>
      </c>
      <c r="AI46">
        <v>0</v>
      </c>
      <c r="AJ46">
        <v>45</v>
      </c>
      <c r="AK46">
        <f>AJ46/$AA$17</f>
        <v>2.8125000000000001E-2</v>
      </c>
      <c r="AL46">
        <f>AD46*$AA$16</f>
        <v>4.34325828315718</v>
      </c>
      <c r="AM46">
        <f>AM45+(AL46/$AA$17)</f>
        <v>1.0581134059953199</v>
      </c>
    </row>
    <row r="47" spans="1:39" x14ac:dyDescent="0.25">
      <c r="A47">
        <v>108.708772271497</v>
      </c>
      <c r="B47">
        <v>100.25735190358201</v>
      </c>
      <c r="C47">
        <v>2001</v>
      </c>
      <c r="AC47">
        <v>490</v>
      </c>
      <c r="AD47">
        <v>2.7888938809998498</v>
      </c>
      <c r="AE47">
        <v>6</v>
      </c>
      <c r="AF47">
        <v>1.5707963267949001</v>
      </c>
      <c r="AG47" t="s">
        <v>86</v>
      </c>
      <c r="AH47">
        <v>242</v>
      </c>
      <c r="AI47">
        <v>0</v>
      </c>
      <c r="AJ47">
        <v>46</v>
      </c>
      <c r="AK47">
        <f>AJ47/$AA$17</f>
        <v>2.8750000000000001E-2</v>
      </c>
      <c r="AL47">
        <f>AD47*$AA$16</f>
        <v>2.7888938809998498</v>
      </c>
      <c r="AM47">
        <f>AM46+(AL47/$AA$17)</f>
        <v>1.0598564646709447</v>
      </c>
    </row>
    <row r="48" spans="1:39" x14ac:dyDescent="0.25">
      <c r="A48">
        <v>150</v>
      </c>
      <c r="B48">
        <v>141.54857963208499</v>
      </c>
      <c r="C48">
        <v>2001</v>
      </c>
      <c r="AC48">
        <v>487</v>
      </c>
      <c r="AD48">
        <v>0</v>
      </c>
      <c r="AE48">
        <v>9</v>
      </c>
      <c r="AF48">
        <v>1.5707963267949001</v>
      </c>
      <c r="AG48" t="s">
        <v>86</v>
      </c>
      <c r="AH48">
        <v>260</v>
      </c>
      <c r="AI48">
        <v>0</v>
      </c>
      <c r="AJ48">
        <v>47</v>
      </c>
      <c r="AK48">
        <f>AJ48/$AA$17</f>
        <v>2.9374999999999998E-2</v>
      </c>
      <c r="AL48">
        <f>AD48*$AA$16</f>
        <v>0</v>
      </c>
      <c r="AM48">
        <f>AM47+(AL48/$AA$17)</f>
        <v>1.0598564646709447</v>
      </c>
    </row>
    <row r="49" spans="1:39" x14ac:dyDescent="0.25">
      <c r="A49">
        <v>150</v>
      </c>
      <c r="B49">
        <v>140.674547583188</v>
      </c>
      <c r="C49">
        <v>2000</v>
      </c>
      <c r="AC49">
        <v>500</v>
      </c>
      <c r="AD49">
        <v>0</v>
      </c>
      <c r="AE49">
        <v>4</v>
      </c>
      <c r="AF49">
        <v>1.5707963267949001</v>
      </c>
      <c r="AG49" t="s">
        <v>86</v>
      </c>
      <c r="AH49">
        <v>508</v>
      </c>
      <c r="AI49">
        <v>0</v>
      </c>
      <c r="AJ49">
        <v>48</v>
      </c>
      <c r="AK49">
        <f>AJ49/$AA$17</f>
        <v>0.03</v>
      </c>
      <c r="AL49">
        <f>AD49*$AA$16</f>
        <v>0</v>
      </c>
      <c r="AM49">
        <f>AM48+(AL49/$AA$17)</f>
        <v>1.0598564646709447</v>
      </c>
    </row>
    <row r="50" spans="1:39" x14ac:dyDescent="0.25">
      <c r="A50">
        <v>109.06810051322999</v>
      </c>
      <c r="B50">
        <v>99.742648096417994</v>
      </c>
      <c r="C50">
        <v>2000</v>
      </c>
    </row>
    <row r="51" spans="1:39" x14ac:dyDescent="0.25">
      <c r="A51">
        <v>100.21850801222401</v>
      </c>
      <c r="B51">
        <v>90.893055595412207</v>
      </c>
      <c r="C51">
        <v>2000</v>
      </c>
    </row>
    <row r="52" spans="1:39" x14ac:dyDescent="0.25">
      <c r="A52" t="s">
        <v>88</v>
      </c>
    </row>
    <row r="53" spans="1:39" x14ac:dyDescent="0.25">
      <c r="A53">
        <v>261</v>
      </c>
      <c r="B53">
        <v>0</v>
      </c>
      <c r="C53">
        <v>114.10736737254599</v>
      </c>
      <c r="D53">
        <v>58.084157504595296</v>
      </c>
      <c r="E53">
        <v>14</v>
      </c>
      <c r="F53">
        <v>1.01722196789785</v>
      </c>
      <c r="G53" t="s">
        <v>85</v>
      </c>
      <c r="H53" t="s">
        <v>85</v>
      </c>
      <c r="I53">
        <v>0</v>
      </c>
      <c r="J53">
        <v>0</v>
      </c>
      <c r="K53">
        <v>0</v>
      </c>
    </row>
    <row r="54" spans="1:39" x14ac:dyDescent="0.25">
      <c r="A54" t="s">
        <v>87</v>
      </c>
    </row>
    <row r="55" spans="1:39" x14ac:dyDescent="0.25">
      <c r="A55">
        <v>80.435101585079806</v>
      </c>
      <c r="B55">
        <v>109.11432270605</v>
      </c>
      <c r="C55">
        <v>2000</v>
      </c>
    </row>
    <row r="56" spans="1:39" x14ac:dyDescent="0.25">
      <c r="A56">
        <v>71.539286891254093</v>
      </c>
      <c r="B56">
        <v>100.21850801222401</v>
      </c>
      <c r="C56">
        <v>2000</v>
      </c>
    </row>
    <row r="57" spans="1:39" x14ac:dyDescent="0.25">
      <c r="A57">
        <v>49.781491987775603</v>
      </c>
      <c r="B57">
        <v>78.460713108745907</v>
      </c>
      <c r="C57">
        <v>2000</v>
      </c>
    </row>
    <row r="58" spans="1:39" x14ac:dyDescent="0.25">
      <c r="A58">
        <v>21.6627098531835</v>
      </c>
      <c r="B58">
        <v>50.341930974153897</v>
      </c>
      <c r="C58">
        <v>2000</v>
      </c>
    </row>
    <row r="59" spans="1:39" x14ac:dyDescent="0.25">
      <c r="A59">
        <v>0</v>
      </c>
      <c r="B59">
        <v>28.6792211209704</v>
      </c>
      <c r="C59">
        <v>2000</v>
      </c>
    </row>
    <row r="60" spans="1:39" x14ac:dyDescent="0.25">
      <c r="A60">
        <v>0</v>
      </c>
      <c r="B60">
        <v>27.8051890720727</v>
      </c>
      <c r="C60">
        <v>2001</v>
      </c>
    </row>
    <row r="61" spans="1:39" x14ac:dyDescent="0.25">
      <c r="A61">
        <v>21.8528799537734</v>
      </c>
      <c r="B61">
        <v>49.658069025846103</v>
      </c>
      <c r="C61">
        <v>2001</v>
      </c>
    </row>
    <row r="62" spans="1:39" x14ac:dyDescent="0.25">
      <c r="A62">
        <v>50.218508012224397</v>
      </c>
      <c r="B62">
        <v>78.023697084297098</v>
      </c>
      <c r="C62">
        <v>2001</v>
      </c>
    </row>
    <row r="63" spans="1:39" x14ac:dyDescent="0.25">
      <c r="A63">
        <v>71.976302915702902</v>
      </c>
      <c r="B63">
        <v>99.781491987775595</v>
      </c>
      <c r="C63">
        <v>2001</v>
      </c>
    </row>
    <row r="64" spans="1:39" x14ac:dyDescent="0.25">
      <c r="A64">
        <v>80.937084919863594</v>
      </c>
      <c r="B64">
        <v>108.742273991936</v>
      </c>
      <c r="C64">
        <v>2001</v>
      </c>
    </row>
    <row r="65" spans="1:11" x14ac:dyDescent="0.25">
      <c r="A65">
        <v>100.321261080689</v>
      </c>
      <c r="B65">
        <v>128.12645015276101</v>
      </c>
      <c r="C65">
        <v>2001</v>
      </c>
    </row>
    <row r="66" spans="1:11" x14ac:dyDescent="0.25">
      <c r="A66">
        <v>122.19481092792699</v>
      </c>
      <c r="B66">
        <v>150</v>
      </c>
      <c r="C66">
        <v>2001</v>
      </c>
    </row>
    <row r="67" spans="1:11" x14ac:dyDescent="0.25">
      <c r="A67">
        <v>121.32077887903</v>
      </c>
      <c r="B67">
        <v>150</v>
      </c>
      <c r="C67">
        <v>2000</v>
      </c>
    </row>
    <row r="68" spans="1:11" x14ac:dyDescent="0.25">
      <c r="A68">
        <v>99.6787389193113</v>
      </c>
      <c r="B68">
        <v>128.35796004028199</v>
      </c>
      <c r="C68">
        <v>2000</v>
      </c>
    </row>
    <row r="69" spans="1:11" x14ac:dyDescent="0.25">
      <c r="A69" t="s">
        <v>88</v>
      </c>
    </row>
    <row r="70" spans="1:11" x14ac:dyDescent="0.25">
      <c r="A70">
        <v>196</v>
      </c>
      <c r="B70">
        <v>0</v>
      </c>
      <c r="C70">
        <v>128.90117607336001</v>
      </c>
      <c r="D70">
        <v>32.617384372149203</v>
      </c>
      <c r="E70">
        <v>14</v>
      </c>
      <c r="F70">
        <v>1.01722196789785</v>
      </c>
      <c r="G70" t="s">
        <v>86</v>
      </c>
      <c r="H70" t="s">
        <v>85</v>
      </c>
      <c r="I70">
        <v>16</v>
      </c>
      <c r="J70">
        <v>0</v>
      </c>
      <c r="K70">
        <v>0</v>
      </c>
    </row>
    <row r="71" spans="1:11" x14ac:dyDescent="0.25">
      <c r="A71" t="s">
        <v>87</v>
      </c>
    </row>
    <row r="72" spans="1:11" x14ac:dyDescent="0.25">
      <c r="A72">
        <v>112.05676165932201</v>
      </c>
      <c r="B72">
        <v>126.79132658987299</v>
      </c>
      <c r="C72">
        <v>2000</v>
      </c>
    </row>
    <row r="73" spans="1:11" x14ac:dyDescent="0.25">
      <c r="A73">
        <v>100.21850801222401</v>
      </c>
      <c r="B73">
        <v>114.953072942776</v>
      </c>
      <c r="C73">
        <v>2000</v>
      </c>
    </row>
    <row r="74" spans="1:11" x14ac:dyDescent="0.25">
      <c r="A74">
        <v>85.046927057223996</v>
      </c>
      <c r="B74">
        <v>99.781491987775595</v>
      </c>
      <c r="C74">
        <v>2000</v>
      </c>
    </row>
    <row r="75" spans="1:11" x14ac:dyDescent="0.25">
      <c r="A75">
        <v>50.218508012224397</v>
      </c>
      <c r="B75">
        <v>64.953072942776004</v>
      </c>
      <c r="C75">
        <v>2000</v>
      </c>
    </row>
    <row r="76" spans="1:11" x14ac:dyDescent="0.25">
      <c r="A76">
        <v>35.046927057224003</v>
      </c>
      <c r="B76">
        <v>49.781491987775603</v>
      </c>
      <c r="C76">
        <v>2000</v>
      </c>
    </row>
    <row r="77" spans="1:11" x14ac:dyDescent="0.25">
      <c r="A77">
        <v>20.836057678715498</v>
      </c>
      <c r="B77">
        <v>35.570622609267097</v>
      </c>
      <c r="C77">
        <v>2000</v>
      </c>
    </row>
    <row r="78" spans="1:11" x14ac:dyDescent="0.25">
      <c r="A78">
        <v>20.3990416542667</v>
      </c>
      <c r="B78">
        <v>36.007638633715999</v>
      </c>
      <c r="C78">
        <v>2001</v>
      </c>
    </row>
    <row r="79" spans="1:11" x14ac:dyDescent="0.25">
      <c r="A79">
        <v>34.609911032775102</v>
      </c>
      <c r="B79">
        <v>50.218508012224397</v>
      </c>
      <c r="C79">
        <v>2001</v>
      </c>
    </row>
    <row r="80" spans="1:11" x14ac:dyDescent="0.25">
      <c r="A80">
        <v>49.781491987775603</v>
      </c>
      <c r="B80">
        <v>65.390088967224898</v>
      </c>
      <c r="C80">
        <v>2001</v>
      </c>
    </row>
    <row r="81" spans="1:11" x14ac:dyDescent="0.25">
      <c r="A81">
        <v>84.609911032775202</v>
      </c>
      <c r="B81">
        <v>100.21850801222401</v>
      </c>
      <c r="C81">
        <v>2001</v>
      </c>
    </row>
    <row r="82" spans="1:11" x14ac:dyDescent="0.25">
      <c r="A82">
        <v>99.781491987775595</v>
      </c>
      <c r="B82">
        <v>115.390088967225</v>
      </c>
      <c r="C82">
        <v>2001</v>
      </c>
    </row>
    <row r="83" spans="1:11" x14ac:dyDescent="0.25">
      <c r="A83">
        <v>111.47212908244801</v>
      </c>
      <c r="B83">
        <v>127.080726061897</v>
      </c>
      <c r="C83">
        <v>2001</v>
      </c>
    </row>
    <row r="84" spans="1:11" x14ac:dyDescent="0.25">
      <c r="A84">
        <v>134.391403020551</v>
      </c>
      <c r="B84">
        <v>150</v>
      </c>
      <c r="C84">
        <v>2001</v>
      </c>
    </row>
    <row r="85" spans="1:11" x14ac:dyDescent="0.25">
      <c r="A85">
        <v>135.26543506944799</v>
      </c>
      <c r="B85">
        <v>150</v>
      </c>
      <c r="C85">
        <v>2000</v>
      </c>
    </row>
    <row r="86" spans="1:11" x14ac:dyDescent="0.25">
      <c r="A86" t="s">
        <v>88</v>
      </c>
    </row>
    <row r="87" spans="1:11" x14ac:dyDescent="0.25">
      <c r="A87">
        <v>116</v>
      </c>
      <c r="B87">
        <v>0</v>
      </c>
      <c r="C87">
        <v>46.4302667605008</v>
      </c>
      <c r="D87">
        <v>113.261710415553</v>
      </c>
      <c r="E87">
        <v>14</v>
      </c>
      <c r="F87">
        <v>1.01722196789785</v>
      </c>
      <c r="G87" t="s">
        <v>85</v>
      </c>
      <c r="H87" t="s">
        <v>85</v>
      </c>
      <c r="I87">
        <v>0</v>
      </c>
      <c r="J87">
        <v>0</v>
      </c>
      <c r="K87">
        <v>0</v>
      </c>
    </row>
    <row r="88" spans="1:11" x14ac:dyDescent="0.25">
      <c r="A88" t="s">
        <v>87</v>
      </c>
    </row>
    <row r="89" spans="1:11" x14ac:dyDescent="0.25">
      <c r="A89">
        <v>69.632008375818998</v>
      </c>
      <c r="B89">
        <v>32.988304362542699</v>
      </c>
      <c r="C89">
        <v>2000</v>
      </c>
    </row>
    <row r="90" spans="1:11" x14ac:dyDescent="0.25">
      <c r="A90">
        <v>49.648968341827199</v>
      </c>
      <c r="B90">
        <v>13.005264328550901</v>
      </c>
      <c r="C90">
        <v>2000</v>
      </c>
    </row>
    <row r="91" spans="1:11" x14ac:dyDescent="0.25">
      <c r="A91">
        <v>36.643704013276299</v>
      </c>
      <c r="B91">
        <v>0</v>
      </c>
      <c r="C91">
        <v>2000</v>
      </c>
    </row>
    <row r="92" spans="1:11" x14ac:dyDescent="0.25">
      <c r="A92">
        <v>37.517736062174002</v>
      </c>
      <c r="B92">
        <v>0</v>
      </c>
      <c r="C92">
        <v>2001</v>
      </c>
    </row>
    <row r="93" spans="1:11" x14ac:dyDescent="0.25">
      <c r="A93">
        <v>50.351031658172701</v>
      </c>
      <c r="B93">
        <v>12.8332955959988</v>
      </c>
      <c r="C93">
        <v>2001</v>
      </c>
    </row>
    <row r="94" spans="1:11" x14ac:dyDescent="0.25">
      <c r="A94">
        <v>70.1917446569323</v>
      </c>
      <c r="B94">
        <v>32.674008594758298</v>
      </c>
      <c r="C94">
        <v>2001</v>
      </c>
    </row>
    <row r="95" spans="1:11" x14ac:dyDescent="0.25">
      <c r="A95">
        <v>87.299228049949605</v>
      </c>
      <c r="B95">
        <v>49.781491987775603</v>
      </c>
      <c r="C95">
        <v>2001</v>
      </c>
    </row>
    <row r="96" spans="1:11" x14ac:dyDescent="0.25">
      <c r="A96">
        <v>100.21850801222401</v>
      </c>
      <c r="B96">
        <v>62.700771950050402</v>
      </c>
      <c r="C96">
        <v>2001</v>
      </c>
    </row>
    <row r="97" spans="1:11" x14ac:dyDescent="0.25">
      <c r="A97">
        <v>137.13717936140401</v>
      </c>
      <c r="B97">
        <v>99.619443299229701</v>
      </c>
      <c r="C97">
        <v>2001</v>
      </c>
    </row>
    <row r="98" spans="1:11" x14ac:dyDescent="0.25">
      <c r="A98">
        <v>150</v>
      </c>
      <c r="B98">
        <v>112.482263937826</v>
      </c>
      <c r="C98">
        <v>2001</v>
      </c>
    </row>
    <row r="99" spans="1:11" x14ac:dyDescent="0.25">
      <c r="A99">
        <v>150</v>
      </c>
      <c r="B99">
        <v>113.35629598672401</v>
      </c>
      <c r="C99">
        <v>2000</v>
      </c>
    </row>
    <row r="100" spans="1:11" x14ac:dyDescent="0.25">
      <c r="A100">
        <v>137.02426071404699</v>
      </c>
      <c r="B100">
        <v>100.38055670077</v>
      </c>
      <c r="C100">
        <v>2000</v>
      </c>
    </row>
    <row r="101" spans="1:11" x14ac:dyDescent="0.25">
      <c r="A101">
        <v>99.781491987775595</v>
      </c>
      <c r="B101">
        <v>63.137787974499197</v>
      </c>
      <c r="C101">
        <v>2000</v>
      </c>
    </row>
    <row r="102" spans="1:11" x14ac:dyDescent="0.25">
      <c r="A102">
        <v>86.862212025500796</v>
      </c>
      <c r="B102">
        <v>50.218508012224397</v>
      </c>
      <c r="C102">
        <v>2000</v>
      </c>
    </row>
    <row r="103" spans="1:11" x14ac:dyDescent="0.25">
      <c r="A103" t="s">
        <v>88</v>
      </c>
    </row>
    <row r="104" spans="1:11" x14ac:dyDescent="0.25">
      <c r="A104">
        <v>29</v>
      </c>
      <c r="B104">
        <v>0</v>
      </c>
      <c r="C104">
        <v>18.6136533157533</v>
      </c>
      <c r="D104">
        <v>138.372823876388</v>
      </c>
      <c r="E104">
        <v>14</v>
      </c>
      <c r="F104">
        <v>1.01722196789785</v>
      </c>
      <c r="G104" t="s">
        <v>85</v>
      </c>
      <c r="H104" t="s">
        <v>86</v>
      </c>
      <c r="I104">
        <v>0</v>
      </c>
      <c r="J104">
        <v>174</v>
      </c>
      <c r="K104">
        <v>0</v>
      </c>
    </row>
    <row r="105" spans="1:11" x14ac:dyDescent="0.25">
      <c r="A105" t="s">
        <v>87</v>
      </c>
    </row>
    <row r="106" spans="1:11" x14ac:dyDescent="0.25">
      <c r="A106">
        <v>29.208599678741699</v>
      </c>
      <c r="B106">
        <v>13.2474301341434</v>
      </c>
      <c r="C106">
        <v>2000</v>
      </c>
    </row>
    <row r="107" spans="1:11" x14ac:dyDescent="0.25">
      <c r="A107">
        <v>15.961169544598301</v>
      </c>
      <c r="B107">
        <v>0</v>
      </c>
      <c r="C107">
        <v>2000</v>
      </c>
    </row>
    <row r="108" spans="1:11" x14ac:dyDescent="0.25">
      <c r="A108">
        <v>16.835201593495899</v>
      </c>
      <c r="B108">
        <v>0</v>
      </c>
      <c r="C108">
        <v>2001</v>
      </c>
    </row>
    <row r="109" spans="1:11" x14ac:dyDescent="0.25">
      <c r="A109">
        <v>29.911452423801698</v>
      </c>
      <c r="B109">
        <v>13.076250830305799</v>
      </c>
      <c r="C109">
        <v>2001</v>
      </c>
    </row>
    <row r="110" spans="1:11" x14ac:dyDescent="0.25">
      <c r="A110">
        <v>50.218508012224397</v>
      </c>
      <c r="B110">
        <v>33.383306418728502</v>
      </c>
      <c r="C110">
        <v>2001</v>
      </c>
    </row>
    <row r="111" spans="1:11" x14ac:dyDescent="0.25">
      <c r="A111">
        <v>66.616693581271505</v>
      </c>
      <c r="B111">
        <v>49.781491987775603</v>
      </c>
      <c r="C111">
        <v>2001</v>
      </c>
    </row>
    <row r="112" spans="1:11" x14ac:dyDescent="0.25">
      <c r="A112">
        <v>100.21850801222401</v>
      </c>
      <c r="B112">
        <v>83.383306418728495</v>
      </c>
      <c r="C112">
        <v>2001</v>
      </c>
    </row>
    <row r="113" spans="1:11" x14ac:dyDescent="0.25">
      <c r="A113">
        <v>116.616693581272</v>
      </c>
      <c r="B113">
        <v>99.781491987775595</v>
      </c>
      <c r="C113">
        <v>2001</v>
      </c>
    </row>
    <row r="114" spans="1:11" x14ac:dyDescent="0.25">
      <c r="A114">
        <v>127.62289615842199</v>
      </c>
      <c r="B114">
        <v>110.787694564926</v>
      </c>
      <c r="C114">
        <v>2001</v>
      </c>
    </row>
    <row r="115" spans="1:11" x14ac:dyDescent="0.25">
      <c r="A115">
        <v>127.185880133973</v>
      </c>
      <c r="B115">
        <v>111.22471058937499</v>
      </c>
      <c r="C115">
        <v>2000</v>
      </c>
    </row>
    <row r="116" spans="1:11" x14ac:dyDescent="0.25">
      <c r="A116">
        <v>116.17967755682299</v>
      </c>
      <c r="B116">
        <v>100.21850801222401</v>
      </c>
      <c r="C116">
        <v>2000</v>
      </c>
    </row>
    <row r="117" spans="1:11" x14ac:dyDescent="0.25">
      <c r="A117">
        <v>99.781491987775595</v>
      </c>
      <c r="B117">
        <v>83.820322443177304</v>
      </c>
      <c r="C117">
        <v>2000</v>
      </c>
    </row>
    <row r="118" spans="1:11" x14ac:dyDescent="0.25">
      <c r="A118">
        <v>66.179677556822696</v>
      </c>
      <c r="B118">
        <v>50.218508012224397</v>
      </c>
      <c r="C118">
        <v>2000</v>
      </c>
    </row>
    <row r="119" spans="1:11" x14ac:dyDescent="0.25">
      <c r="A119">
        <v>49.781491987775603</v>
      </c>
      <c r="B119">
        <v>33.820322443177297</v>
      </c>
      <c r="C119">
        <v>2000</v>
      </c>
    </row>
    <row r="120" spans="1:11" x14ac:dyDescent="0.25">
      <c r="A120" t="s">
        <v>88</v>
      </c>
    </row>
    <row r="121" spans="1:11" x14ac:dyDescent="0.25">
      <c r="A121">
        <v>30</v>
      </c>
      <c r="B121">
        <v>0</v>
      </c>
      <c r="C121">
        <v>4.34325828315718</v>
      </c>
      <c r="D121">
        <v>143.60592140387499</v>
      </c>
      <c r="E121">
        <v>14</v>
      </c>
      <c r="F121">
        <v>1.01722196789785</v>
      </c>
      <c r="G121" t="s">
        <v>86</v>
      </c>
      <c r="H121" t="s">
        <v>85</v>
      </c>
      <c r="I121">
        <v>23</v>
      </c>
      <c r="J121">
        <v>0</v>
      </c>
      <c r="K121">
        <v>0</v>
      </c>
    </row>
    <row r="122" spans="1:11" x14ac:dyDescent="0.25">
      <c r="A122" t="s">
        <v>87</v>
      </c>
    </row>
    <row r="123" spans="1:11" x14ac:dyDescent="0.25">
      <c r="A123">
        <v>47.778243950935</v>
      </c>
      <c r="B123">
        <v>48.673787169002097</v>
      </c>
      <c r="C123">
        <v>2000</v>
      </c>
    </row>
    <row r="124" spans="1:11" x14ac:dyDescent="0.25">
      <c r="A124">
        <v>44.7070965664699</v>
      </c>
      <c r="B124">
        <v>45.602639784536997</v>
      </c>
      <c r="C124">
        <v>2000</v>
      </c>
    </row>
    <row r="125" spans="1:11" x14ac:dyDescent="0.25">
      <c r="A125">
        <v>45.144112590918702</v>
      </c>
      <c r="B125">
        <v>45.165623760088202</v>
      </c>
      <c r="C125">
        <v>2001</v>
      </c>
    </row>
    <row r="126" spans="1:11" x14ac:dyDescent="0.25">
      <c r="A126">
        <v>48.215259975383802</v>
      </c>
      <c r="B126">
        <v>48.236771144553302</v>
      </c>
      <c r="C126">
        <v>2001</v>
      </c>
    </row>
    <row r="127" spans="1:11" x14ac:dyDescent="0.25">
      <c r="A127">
        <v>49.759980818606202</v>
      </c>
      <c r="B127">
        <v>49.781491987775603</v>
      </c>
      <c r="C127">
        <v>2001</v>
      </c>
    </row>
    <row r="128" spans="1:11" x14ac:dyDescent="0.25">
      <c r="A128">
        <v>50.218508012224397</v>
      </c>
      <c r="B128">
        <v>50.240019181393798</v>
      </c>
      <c r="C128">
        <v>2001</v>
      </c>
    </row>
    <row r="129" spans="1:11" x14ac:dyDescent="0.25">
      <c r="A129">
        <v>99.759980818606195</v>
      </c>
      <c r="B129">
        <v>99.781491987775595</v>
      </c>
      <c r="C129">
        <v>2001</v>
      </c>
    </row>
    <row r="130" spans="1:11" x14ac:dyDescent="0.25">
      <c r="A130">
        <v>100.220511849537</v>
      </c>
      <c r="B130">
        <v>100.24202301870601</v>
      </c>
      <c r="C130">
        <v>2001</v>
      </c>
    </row>
    <row r="131" spans="1:11" x14ac:dyDescent="0.25">
      <c r="A131">
        <v>149.978488830831</v>
      </c>
      <c r="B131">
        <v>150</v>
      </c>
      <c r="C131">
        <v>2001</v>
      </c>
    </row>
    <row r="132" spans="1:11" x14ac:dyDescent="0.25">
      <c r="A132">
        <v>149.10445678193301</v>
      </c>
      <c r="B132">
        <v>150</v>
      </c>
      <c r="C132">
        <v>2000</v>
      </c>
    </row>
    <row r="133" spans="1:11" x14ac:dyDescent="0.25">
      <c r="A133">
        <v>99.779488150462996</v>
      </c>
      <c r="B133">
        <v>100.67503136853</v>
      </c>
      <c r="C133">
        <v>2000</v>
      </c>
    </row>
    <row r="134" spans="1:11" x14ac:dyDescent="0.25">
      <c r="A134">
        <v>99.3229647941574</v>
      </c>
      <c r="B134">
        <v>100.21850801222401</v>
      </c>
      <c r="C134">
        <v>2000</v>
      </c>
    </row>
    <row r="135" spans="1:11" x14ac:dyDescent="0.25">
      <c r="A135">
        <v>49.781491987775603</v>
      </c>
      <c r="B135">
        <v>50.677035205842699</v>
      </c>
      <c r="C135">
        <v>2000</v>
      </c>
    </row>
    <row r="136" spans="1:11" x14ac:dyDescent="0.25">
      <c r="A136">
        <v>49.322964794157301</v>
      </c>
      <c r="B136">
        <v>50.218508012224397</v>
      </c>
      <c r="C136">
        <v>2000</v>
      </c>
    </row>
    <row r="137" spans="1:11" x14ac:dyDescent="0.25">
      <c r="A137" t="s">
        <v>88</v>
      </c>
    </row>
    <row r="138" spans="1:11" x14ac:dyDescent="0.25">
      <c r="A138">
        <v>504</v>
      </c>
      <c r="B138">
        <v>0</v>
      </c>
      <c r="C138">
        <v>74.876922479165003</v>
      </c>
      <c r="D138">
        <v>72.573094737512307</v>
      </c>
      <c r="E138">
        <v>14</v>
      </c>
      <c r="F138">
        <v>1.01722196789785</v>
      </c>
      <c r="G138" t="s">
        <v>85</v>
      </c>
      <c r="H138" t="s">
        <v>85</v>
      </c>
      <c r="I138">
        <v>0</v>
      </c>
      <c r="J138">
        <v>0</v>
      </c>
      <c r="K138">
        <v>0</v>
      </c>
    </row>
    <row r="139" spans="1:11" x14ac:dyDescent="0.25">
      <c r="A139" t="s">
        <v>87</v>
      </c>
    </row>
    <row r="140" spans="1:11" x14ac:dyDescent="0.25">
      <c r="A140">
        <v>52.727471627172598</v>
      </c>
      <c r="B140">
        <v>98.901580591635806</v>
      </c>
      <c r="C140">
        <v>2000</v>
      </c>
    </row>
    <row r="141" spans="1:11" x14ac:dyDescent="0.25">
      <c r="A141">
        <v>49.781491987775603</v>
      </c>
      <c r="B141">
        <v>95.955600952238697</v>
      </c>
      <c r="C141">
        <v>2000</v>
      </c>
    </row>
    <row r="142" spans="1:11" x14ac:dyDescent="0.25">
      <c r="A142">
        <v>4.2442774730261101</v>
      </c>
      <c r="B142">
        <v>50.418386437489303</v>
      </c>
      <c r="C142">
        <v>2000</v>
      </c>
    </row>
    <row r="143" spans="1:11" x14ac:dyDescent="0.25">
      <c r="A143">
        <v>0</v>
      </c>
      <c r="B143">
        <v>46.174108964463201</v>
      </c>
      <c r="C143">
        <v>2000</v>
      </c>
    </row>
    <row r="144" spans="1:11" x14ac:dyDescent="0.25">
      <c r="A144">
        <v>0</v>
      </c>
      <c r="B144">
        <v>45.300076915565597</v>
      </c>
      <c r="C144">
        <v>2001</v>
      </c>
    </row>
    <row r="145" spans="1:11" x14ac:dyDescent="0.25">
      <c r="A145">
        <v>4.2815366469451002</v>
      </c>
      <c r="B145">
        <v>49.581613562510697</v>
      </c>
      <c r="C145">
        <v>2001</v>
      </c>
    </row>
    <row r="146" spans="1:11" x14ac:dyDescent="0.25">
      <c r="A146">
        <v>50.218508012224397</v>
      </c>
      <c r="B146">
        <v>95.518584927789902</v>
      </c>
      <c r="C146">
        <v>2001</v>
      </c>
    </row>
    <row r="147" spans="1:11" x14ac:dyDescent="0.25">
      <c r="A147">
        <v>53.1644876516214</v>
      </c>
      <c r="B147">
        <v>98.464564567186997</v>
      </c>
      <c r="C147">
        <v>2001</v>
      </c>
    </row>
    <row r="148" spans="1:11" x14ac:dyDescent="0.25">
      <c r="A148">
        <v>54.481415072209998</v>
      </c>
      <c r="B148">
        <v>99.781491987775595</v>
      </c>
      <c r="C148">
        <v>2001</v>
      </c>
    </row>
    <row r="149" spans="1:11" x14ac:dyDescent="0.25">
      <c r="A149">
        <v>100.418386437489</v>
      </c>
      <c r="B149">
        <v>145.718463353055</v>
      </c>
      <c r="C149">
        <v>2001</v>
      </c>
    </row>
    <row r="150" spans="1:11" x14ac:dyDescent="0.25">
      <c r="A150">
        <v>104.699923084435</v>
      </c>
      <c r="B150">
        <v>150</v>
      </c>
      <c r="C150">
        <v>2001</v>
      </c>
    </row>
    <row r="151" spans="1:11" x14ac:dyDescent="0.25">
      <c r="A151">
        <v>103.825891035537</v>
      </c>
      <c r="B151">
        <v>150</v>
      </c>
      <c r="C151">
        <v>2000</v>
      </c>
    </row>
    <row r="152" spans="1:11" x14ac:dyDescent="0.25">
      <c r="A152">
        <v>99.581613562510697</v>
      </c>
      <c r="B152">
        <v>145.75572252697401</v>
      </c>
      <c r="C152">
        <v>2000</v>
      </c>
    </row>
    <row r="153" spans="1:11" x14ac:dyDescent="0.25">
      <c r="A153">
        <v>54.044399047761203</v>
      </c>
      <c r="B153">
        <v>100.21850801222401</v>
      </c>
      <c r="C153">
        <v>2000</v>
      </c>
    </row>
    <row r="154" spans="1:11" x14ac:dyDescent="0.25">
      <c r="A154" t="s">
        <v>88</v>
      </c>
    </row>
    <row r="155" spans="1:11" x14ac:dyDescent="0.25">
      <c r="A155">
        <v>273</v>
      </c>
      <c r="B155">
        <v>0</v>
      </c>
      <c r="C155">
        <v>133.458510689062</v>
      </c>
      <c r="D155">
        <v>10.3341120212097</v>
      </c>
      <c r="E155">
        <v>14</v>
      </c>
      <c r="F155">
        <v>1.01722196789785</v>
      </c>
      <c r="G155" t="s">
        <v>86</v>
      </c>
      <c r="H155" t="s">
        <v>86</v>
      </c>
      <c r="I155">
        <v>6</v>
      </c>
      <c r="J155">
        <v>176</v>
      </c>
      <c r="K155">
        <v>0</v>
      </c>
    </row>
    <row r="156" spans="1:11" x14ac:dyDescent="0.25">
      <c r="A156" t="s">
        <v>87</v>
      </c>
    </row>
    <row r="157" spans="1:11" x14ac:dyDescent="0.25">
      <c r="A157">
        <v>97.7928411517304</v>
      </c>
      <c r="B157">
        <v>104.780856607375</v>
      </c>
      <c r="C157">
        <v>2000</v>
      </c>
    </row>
    <row r="158" spans="1:11" x14ac:dyDescent="0.25">
      <c r="A158">
        <v>93.230492556579406</v>
      </c>
      <c r="B158">
        <v>100.21850801222401</v>
      </c>
      <c r="C158">
        <v>2000</v>
      </c>
    </row>
    <row r="159" spans="1:11" x14ac:dyDescent="0.25">
      <c r="A159">
        <v>49.781491987775603</v>
      </c>
      <c r="B159">
        <v>56.769507443420601</v>
      </c>
      <c r="C159">
        <v>2000</v>
      </c>
    </row>
    <row r="160" spans="1:11" x14ac:dyDescent="0.25">
      <c r="A160">
        <v>43.230492556579399</v>
      </c>
      <c r="B160">
        <v>50.218508012224397</v>
      </c>
      <c r="C160">
        <v>2000</v>
      </c>
    </row>
    <row r="161" spans="1:11" x14ac:dyDescent="0.25">
      <c r="A161">
        <v>3.4234232364375998</v>
      </c>
      <c r="B161">
        <v>10.4114386920826</v>
      </c>
      <c r="C161">
        <v>2000</v>
      </c>
    </row>
    <row r="162" spans="1:11" x14ac:dyDescent="0.25">
      <c r="A162">
        <v>3.86043926088642</v>
      </c>
      <c r="B162">
        <v>9.9744226676337799</v>
      </c>
      <c r="C162">
        <v>2001</v>
      </c>
    </row>
    <row r="163" spans="1:11" x14ac:dyDescent="0.25">
      <c r="A163">
        <v>43.667508581028301</v>
      </c>
      <c r="B163">
        <v>49.781491987775603</v>
      </c>
      <c r="C163">
        <v>2001</v>
      </c>
    </row>
    <row r="164" spans="1:11" x14ac:dyDescent="0.25">
      <c r="A164">
        <v>50.218508012224397</v>
      </c>
      <c r="B164">
        <v>56.332491418971699</v>
      </c>
      <c r="C164">
        <v>2001</v>
      </c>
    </row>
    <row r="165" spans="1:11" x14ac:dyDescent="0.25">
      <c r="A165">
        <v>93.667508581028301</v>
      </c>
      <c r="B165">
        <v>99.781491987775595</v>
      </c>
      <c r="C165">
        <v>2001</v>
      </c>
    </row>
    <row r="166" spans="1:11" x14ac:dyDescent="0.25">
      <c r="A166">
        <v>98.229857176179195</v>
      </c>
      <c r="B166">
        <v>104.34384058292601</v>
      </c>
      <c r="C166">
        <v>2001</v>
      </c>
    </row>
    <row r="167" spans="1:11" x14ac:dyDescent="0.25">
      <c r="A167">
        <v>100.21850801222401</v>
      </c>
      <c r="B167">
        <v>106.332491418972</v>
      </c>
      <c r="C167">
        <v>2001</v>
      </c>
    </row>
    <row r="168" spans="1:11" x14ac:dyDescent="0.25">
      <c r="A168">
        <v>105.537177863918</v>
      </c>
      <c r="B168">
        <v>111.651161270665</v>
      </c>
      <c r="C168">
        <v>2001</v>
      </c>
    </row>
    <row r="169" spans="1:11" x14ac:dyDescent="0.25">
      <c r="A169">
        <v>105.100161839469</v>
      </c>
      <c r="B169">
        <v>112.08817729511399</v>
      </c>
      <c r="C169">
        <v>2000</v>
      </c>
    </row>
    <row r="170" spans="1:11" x14ac:dyDescent="0.25">
      <c r="A170">
        <v>99.781491987775595</v>
      </c>
      <c r="B170">
        <v>106.76950744342101</v>
      </c>
      <c r="C170">
        <v>2000</v>
      </c>
    </row>
    <row r="171" spans="1:11" x14ac:dyDescent="0.25">
      <c r="A171" t="s">
        <v>88</v>
      </c>
    </row>
    <row r="172" spans="1:11" x14ac:dyDescent="0.25">
      <c r="A172">
        <v>109</v>
      </c>
      <c r="B172">
        <v>0</v>
      </c>
      <c r="C172">
        <v>68.279800908230897</v>
      </c>
      <c r="D172">
        <v>74.342095533707095</v>
      </c>
      <c r="E172">
        <v>14</v>
      </c>
      <c r="F172">
        <v>1.01722196789785</v>
      </c>
      <c r="G172" t="s">
        <v>85</v>
      </c>
      <c r="H172" t="s">
        <v>85</v>
      </c>
      <c r="I172">
        <v>0</v>
      </c>
      <c r="J172">
        <v>0</v>
      </c>
      <c r="K172">
        <v>0</v>
      </c>
    </row>
    <row r="173" spans="1:11" x14ac:dyDescent="0.25">
      <c r="A173" t="s">
        <v>87</v>
      </c>
    </row>
    <row r="174" spans="1:11" x14ac:dyDescent="0.25">
      <c r="A174">
        <v>97.658215337448993</v>
      </c>
      <c r="B174">
        <v>48.0701094327801</v>
      </c>
      <c r="C174">
        <v>2000</v>
      </c>
    </row>
    <row r="175" spans="1:11" x14ac:dyDescent="0.25">
      <c r="A175">
        <v>50.433174073385402</v>
      </c>
      <c r="B175">
        <v>0.84506816871645196</v>
      </c>
      <c r="C175">
        <v>2000</v>
      </c>
    </row>
    <row r="176" spans="1:11" x14ac:dyDescent="0.25">
      <c r="A176">
        <v>49.588105904669</v>
      </c>
      <c r="B176">
        <v>0</v>
      </c>
      <c r="C176">
        <v>2000</v>
      </c>
    </row>
    <row r="177" spans="1:11" x14ac:dyDescent="0.25">
      <c r="A177">
        <v>48.714073855771296</v>
      </c>
      <c r="B177">
        <v>0</v>
      </c>
      <c r="C177">
        <v>2001</v>
      </c>
    </row>
    <row r="178" spans="1:11" x14ac:dyDescent="0.25">
      <c r="A178">
        <v>49.566825926614598</v>
      </c>
      <c r="B178">
        <v>0.85275207084327398</v>
      </c>
      <c r="C178">
        <v>2001</v>
      </c>
    </row>
    <row r="179" spans="1:11" x14ac:dyDescent="0.25">
      <c r="A179">
        <v>97.206184903546102</v>
      </c>
      <c r="B179">
        <v>48.492111047774699</v>
      </c>
      <c r="C179">
        <v>2001</v>
      </c>
    </row>
    <row r="180" spans="1:11" x14ac:dyDescent="0.25">
      <c r="A180">
        <v>98.932581867995793</v>
      </c>
      <c r="B180">
        <v>50.218508012224397</v>
      </c>
      <c r="C180">
        <v>2001</v>
      </c>
    </row>
    <row r="181" spans="1:11" x14ac:dyDescent="0.25">
      <c r="A181">
        <v>99.781491987775595</v>
      </c>
      <c r="B181">
        <v>51.067418132004299</v>
      </c>
      <c r="C181">
        <v>2001</v>
      </c>
    </row>
    <row r="182" spans="1:11" x14ac:dyDescent="0.25">
      <c r="A182">
        <v>149.147380006964</v>
      </c>
      <c r="B182">
        <v>100.433306151192</v>
      </c>
      <c r="C182">
        <v>2001</v>
      </c>
    </row>
    <row r="183" spans="1:11" x14ac:dyDescent="0.25">
      <c r="A183">
        <v>150</v>
      </c>
      <c r="B183">
        <v>101.28592614422899</v>
      </c>
      <c r="C183">
        <v>2001</v>
      </c>
    </row>
    <row r="184" spans="1:11" x14ac:dyDescent="0.25">
      <c r="A184">
        <v>150</v>
      </c>
      <c r="B184">
        <v>100.41189409533099</v>
      </c>
      <c r="C184">
        <v>2000</v>
      </c>
    </row>
    <row r="185" spans="1:11" x14ac:dyDescent="0.25">
      <c r="A185">
        <v>149.15479975347699</v>
      </c>
      <c r="B185">
        <v>99.566693848807802</v>
      </c>
      <c r="C185">
        <v>2000</v>
      </c>
    </row>
    <row r="186" spans="1:11" x14ac:dyDescent="0.25">
      <c r="A186">
        <v>100.21850801222401</v>
      </c>
      <c r="B186">
        <v>50.630402107555398</v>
      </c>
      <c r="C186">
        <v>2000</v>
      </c>
    </row>
    <row r="187" spans="1:11" x14ac:dyDescent="0.25">
      <c r="A187">
        <v>99.369597892444602</v>
      </c>
      <c r="B187">
        <v>49.781491987775603</v>
      </c>
      <c r="C187">
        <v>2000</v>
      </c>
    </row>
    <row r="188" spans="1:11" x14ac:dyDescent="0.25">
      <c r="A188" t="s">
        <v>88</v>
      </c>
    </row>
    <row r="189" spans="1:11" x14ac:dyDescent="0.25">
      <c r="A189">
        <v>32</v>
      </c>
      <c r="B189">
        <v>0</v>
      </c>
      <c r="C189">
        <v>13.9891471931331</v>
      </c>
      <c r="D189">
        <v>122.487976813358</v>
      </c>
      <c r="E189">
        <v>12</v>
      </c>
      <c r="F189">
        <v>1.01722196789785</v>
      </c>
      <c r="G189" t="s">
        <v>85</v>
      </c>
      <c r="H189" t="s">
        <v>86</v>
      </c>
      <c r="I189">
        <v>0</v>
      </c>
      <c r="J189">
        <v>408</v>
      </c>
      <c r="K189">
        <v>0</v>
      </c>
    </row>
    <row r="190" spans="1:11" x14ac:dyDescent="0.25">
      <c r="A190" t="s">
        <v>87</v>
      </c>
    </row>
    <row r="191" spans="1:11" x14ac:dyDescent="0.25">
      <c r="A191">
        <v>20.477302482175599</v>
      </c>
      <c r="B191">
        <v>9.8375094630761701</v>
      </c>
      <c r="C191">
        <v>2000</v>
      </c>
    </row>
    <row r="192" spans="1:11" x14ac:dyDescent="0.25">
      <c r="A192">
        <v>10.6397930190994</v>
      </c>
      <c r="B192">
        <v>0</v>
      </c>
      <c r="C192">
        <v>2000</v>
      </c>
    </row>
    <row r="193" spans="1:11" x14ac:dyDescent="0.25">
      <c r="A193">
        <v>9.7657609702017893</v>
      </c>
      <c r="B193">
        <v>0</v>
      </c>
      <c r="C193">
        <v>2001</v>
      </c>
    </row>
    <row r="194" spans="1:11" x14ac:dyDescent="0.25">
      <c r="A194">
        <v>19.711893193687899</v>
      </c>
      <c r="B194">
        <v>9.9461322234860994</v>
      </c>
      <c r="C194">
        <v>2001</v>
      </c>
    </row>
    <row r="195" spans="1:11" x14ac:dyDescent="0.25">
      <c r="A195">
        <v>49.781491987775603</v>
      </c>
      <c r="B195">
        <v>40.015731017573799</v>
      </c>
      <c r="C195">
        <v>2001</v>
      </c>
    </row>
    <row r="196" spans="1:11" x14ac:dyDescent="0.25">
      <c r="A196">
        <v>59.984268982426201</v>
      </c>
      <c r="B196">
        <v>50.218508012224397</v>
      </c>
      <c r="C196">
        <v>2001</v>
      </c>
    </row>
    <row r="197" spans="1:11" x14ac:dyDescent="0.25">
      <c r="A197">
        <v>99.781491987775595</v>
      </c>
      <c r="B197">
        <v>90.015731017573799</v>
      </c>
      <c r="C197">
        <v>2001</v>
      </c>
    </row>
    <row r="198" spans="1:11" x14ac:dyDescent="0.25">
      <c r="A198">
        <v>106.48816884425401</v>
      </c>
      <c r="B198">
        <v>96.722407874051797</v>
      </c>
      <c r="C198">
        <v>2001</v>
      </c>
    </row>
    <row r="199" spans="1:11" x14ac:dyDescent="0.25">
      <c r="A199">
        <v>106.925184868703</v>
      </c>
      <c r="B199">
        <v>96.285391849603002</v>
      </c>
      <c r="C199">
        <v>2000</v>
      </c>
    </row>
    <row r="200" spans="1:11" x14ac:dyDescent="0.25">
      <c r="A200">
        <v>100.21850801222401</v>
      </c>
      <c r="B200">
        <v>89.578714993124905</v>
      </c>
      <c r="C200">
        <v>2000</v>
      </c>
    </row>
    <row r="201" spans="1:11" x14ac:dyDescent="0.25">
      <c r="A201">
        <v>60.421285006875102</v>
      </c>
      <c r="B201">
        <v>49.781491987775603</v>
      </c>
      <c r="C201">
        <v>2000</v>
      </c>
    </row>
    <row r="202" spans="1:11" x14ac:dyDescent="0.25">
      <c r="A202">
        <v>50.218508012224397</v>
      </c>
      <c r="B202">
        <v>39.578714993124997</v>
      </c>
      <c r="C202">
        <v>2000</v>
      </c>
    </row>
    <row r="203" spans="1:11" x14ac:dyDescent="0.25">
      <c r="A203" t="s">
        <v>88</v>
      </c>
    </row>
    <row r="204" spans="1:11" x14ac:dyDescent="0.25">
      <c r="A204">
        <v>421</v>
      </c>
      <c r="B204">
        <v>0</v>
      </c>
      <c r="C204">
        <v>80.456054589292606</v>
      </c>
      <c r="D204">
        <v>55.822877533369699</v>
      </c>
      <c r="E204">
        <v>10</v>
      </c>
      <c r="F204">
        <v>1.01722196789785</v>
      </c>
      <c r="G204" t="s">
        <v>85</v>
      </c>
      <c r="H204" t="s">
        <v>85</v>
      </c>
      <c r="I204">
        <v>0</v>
      </c>
      <c r="J204">
        <v>0</v>
      </c>
      <c r="K204">
        <v>0</v>
      </c>
    </row>
    <row r="205" spans="1:11" x14ac:dyDescent="0.25">
      <c r="A205" t="s">
        <v>87</v>
      </c>
    </row>
    <row r="206" spans="1:11" x14ac:dyDescent="0.25">
      <c r="A206">
        <v>110.713296027556</v>
      </c>
      <c r="B206">
        <v>56.640037039902403</v>
      </c>
      <c r="C206">
        <v>2000</v>
      </c>
    </row>
    <row r="207" spans="1:11" x14ac:dyDescent="0.25">
      <c r="A207">
        <v>103.854750975429</v>
      </c>
      <c r="B207">
        <v>49.781491987775603</v>
      </c>
      <c r="C207">
        <v>2000</v>
      </c>
    </row>
    <row r="208" spans="1:11" x14ac:dyDescent="0.25">
      <c r="A208">
        <v>100.23439897666201</v>
      </c>
      <c r="B208">
        <v>46.161139989008397</v>
      </c>
      <c r="C208">
        <v>2000</v>
      </c>
    </row>
    <row r="209" spans="1:11" x14ac:dyDescent="0.25">
      <c r="A209">
        <v>54.073258987652999</v>
      </c>
      <c r="B209">
        <v>0</v>
      </c>
      <c r="C209">
        <v>2000</v>
      </c>
    </row>
    <row r="210" spans="1:11" x14ac:dyDescent="0.25">
      <c r="A210">
        <v>53.199226938755402</v>
      </c>
      <c r="B210">
        <v>0</v>
      </c>
      <c r="C210">
        <v>2001</v>
      </c>
    </row>
    <row r="211" spans="1:11" x14ac:dyDescent="0.25">
      <c r="A211">
        <v>99.765601023338505</v>
      </c>
      <c r="B211">
        <v>46.566374084583003</v>
      </c>
      <c r="C211">
        <v>2001</v>
      </c>
    </row>
    <row r="212" spans="1:11" x14ac:dyDescent="0.25">
      <c r="A212">
        <v>103.41773495098001</v>
      </c>
      <c r="B212">
        <v>50.218508012224397</v>
      </c>
      <c r="C212">
        <v>2001</v>
      </c>
    </row>
    <row r="213" spans="1:11" x14ac:dyDescent="0.25">
      <c r="A213">
        <v>110.341233474061</v>
      </c>
      <c r="B213">
        <v>57.142006535305299</v>
      </c>
      <c r="C213">
        <v>2001</v>
      </c>
    </row>
    <row r="214" spans="1:11" x14ac:dyDescent="0.25">
      <c r="A214">
        <v>150</v>
      </c>
      <c r="B214">
        <v>96.800773061244499</v>
      </c>
      <c r="C214">
        <v>2001</v>
      </c>
    </row>
    <row r="215" spans="1:11" x14ac:dyDescent="0.25">
      <c r="A215">
        <v>150</v>
      </c>
      <c r="B215">
        <v>95.926741012346895</v>
      </c>
      <c r="C215">
        <v>2000</v>
      </c>
    </row>
    <row r="216" spans="1:11" x14ac:dyDescent="0.25">
      <c r="A216" t="s">
        <v>88</v>
      </c>
    </row>
    <row r="217" spans="1:11" x14ac:dyDescent="0.25">
      <c r="A217">
        <v>513</v>
      </c>
      <c r="B217">
        <v>0</v>
      </c>
      <c r="C217">
        <v>102.223782658915</v>
      </c>
      <c r="D217">
        <v>33.143999563933697</v>
      </c>
      <c r="E217">
        <v>10</v>
      </c>
      <c r="F217">
        <v>1.01722196789785</v>
      </c>
      <c r="G217" t="s">
        <v>85</v>
      </c>
      <c r="H217" t="s">
        <v>86</v>
      </c>
      <c r="I217">
        <v>0</v>
      </c>
      <c r="J217">
        <v>192</v>
      </c>
      <c r="K217">
        <v>0</v>
      </c>
    </row>
    <row r="218" spans="1:11" x14ac:dyDescent="0.25">
      <c r="A218" t="s">
        <v>87</v>
      </c>
    </row>
    <row r="219" spans="1:11" x14ac:dyDescent="0.25">
      <c r="A219">
        <v>74.196220837163693</v>
      </c>
      <c r="B219">
        <v>72.501637928882602</v>
      </c>
      <c r="C219">
        <v>2000</v>
      </c>
    </row>
    <row r="220" spans="1:11" x14ac:dyDescent="0.25">
      <c r="A220">
        <v>51.913090920505397</v>
      </c>
      <c r="B220">
        <v>50.218508012224397</v>
      </c>
      <c r="C220">
        <v>2000</v>
      </c>
    </row>
    <row r="221" spans="1:11" x14ac:dyDescent="0.25">
      <c r="A221">
        <v>49.772176558862597</v>
      </c>
      <c r="B221">
        <v>48.077593650581598</v>
      </c>
      <c r="C221">
        <v>2000</v>
      </c>
    </row>
    <row r="222" spans="1:11" x14ac:dyDescent="0.25">
      <c r="A222">
        <v>1.69458290828099</v>
      </c>
      <c r="B222">
        <v>0</v>
      </c>
      <c r="C222">
        <v>2000</v>
      </c>
    </row>
    <row r="223" spans="1:11" x14ac:dyDescent="0.25">
      <c r="A223">
        <v>2.5686149571786201</v>
      </c>
      <c r="B223">
        <v>0</v>
      </c>
      <c r="C223">
        <v>2001</v>
      </c>
    </row>
    <row r="224" spans="1:11" x14ac:dyDescent="0.25">
      <c r="A224">
        <v>50.227823441137403</v>
      </c>
      <c r="B224">
        <v>47.6592084839588</v>
      </c>
      <c r="C224">
        <v>2001</v>
      </c>
    </row>
    <row r="225" spans="1:11" x14ac:dyDescent="0.25">
      <c r="A225">
        <v>52.350106944954298</v>
      </c>
      <c r="B225">
        <v>49.781491987775603</v>
      </c>
      <c r="C225">
        <v>2001</v>
      </c>
    </row>
    <row r="226" spans="1:11" x14ac:dyDescent="0.25">
      <c r="A226">
        <v>74.633236861612502</v>
      </c>
      <c r="B226">
        <v>72.064621904433807</v>
      </c>
      <c r="C226">
        <v>2001</v>
      </c>
    </row>
    <row r="227" spans="1:11" x14ac:dyDescent="0.25">
      <c r="A227">
        <v>98.069583708913996</v>
      </c>
      <c r="B227">
        <v>95.5009687517353</v>
      </c>
      <c r="C227">
        <v>2001</v>
      </c>
    </row>
    <row r="228" spans="1:11" x14ac:dyDescent="0.25">
      <c r="A228">
        <v>97.632567684465201</v>
      </c>
      <c r="B228">
        <v>95.937984776184095</v>
      </c>
      <c r="C228">
        <v>2000</v>
      </c>
    </row>
    <row r="229" spans="1:11" x14ac:dyDescent="0.25">
      <c r="A229" t="s">
        <v>88</v>
      </c>
    </row>
    <row r="230" spans="1:11" x14ac:dyDescent="0.25">
      <c r="A230">
        <v>509</v>
      </c>
      <c r="B230">
        <v>0</v>
      </c>
      <c r="C230">
        <v>96.301027457353598</v>
      </c>
      <c r="D230">
        <v>37.462851103324603</v>
      </c>
      <c r="E230">
        <v>12</v>
      </c>
      <c r="F230">
        <v>1.01722196789785</v>
      </c>
      <c r="G230" t="s">
        <v>85</v>
      </c>
      <c r="H230" t="s">
        <v>86</v>
      </c>
      <c r="I230">
        <v>0</v>
      </c>
      <c r="J230">
        <v>177</v>
      </c>
      <c r="K230">
        <v>0</v>
      </c>
    </row>
    <row r="231" spans="1:11" x14ac:dyDescent="0.25">
      <c r="A231" t="s">
        <v>87</v>
      </c>
    </row>
    <row r="232" spans="1:11" x14ac:dyDescent="0.25">
      <c r="A232">
        <v>96.596167785854306</v>
      </c>
      <c r="B232">
        <v>67.876601538102307</v>
      </c>
      <c r="C232">
        <v>2000</v>
      </c>
    </row>
    <row r="233" spans="1:11" x14ac:dyDescent="0.25">
      <c r="A233">
        <v>78.501058235527694</v>
      </c>
      <c r="B233">
        <v>49.781491987775603</v>
      </c>
      <c r="C233">
        <v>2000</v>
      </c>
    </row>
    <row r="234" spans="1:11" x14ac:dyDescent="0.25">
      <c r="A234">
        <v>50.342107288823001</v>
      </c>
      <c r="B234">
        <v>21.6225410410709</v>
      </c>
      <c r="C234">
        <v>2000</v>
      </c>
    </row>
    <row r="235" spans="1:11" x14ac:dyDescent="0.25">
      <c r="A235">
        <v>28.719566247752098</v>
      </c>
      <c r="B235">
        <v>0</v>
      </c>
      <c r="C235">
        <v>2000</v>
      </c>
    </row>
    <row r="236" spans="1:11" x14ac:dyDescent="0.25">
      <c r="A236">
        <v>27.845534198854399</v>
      </c>
      <c r="B236">
        <v>0</v>
      </c>
      <c r="C236">
        <v>2001</v>
      </c>
    </row>
    <row r="237" spans="1:11" x14ac:dyDescent="0.25">
      <c r="A237">
        <v>49.657892711176999</v>
      </c>
      <c r="B237">
        <v>21.812358512322501</v>
      </c>
      <c r="C237">
        <v>2001</v>
      </c>
    </row>
    <row r="238" spans="1:11" x14ac:dyDescent="0.25">
      <c r="A238">
        <v>78.064042211078899</v>
      </c>
      <c r="B238">
        <v>50.218508012224397</v>
      </c>
      <c r="C238">
        <v>2001</v>
      </c>
    </row>
    <row r="239" spans="1:11" x14ac:dyDescent="0.25">
      <c r="A239">
        <v>96.159151761405496</v>
      </c>
      <c r="B239">
        <v>68.313617562551002</v>
      </c>
      <c r="C239">
        <v>2001</v>
      </c>
    </row>
    <row r="240" spans="1:11" x14ac:dyDescent="0.25">
      <c r="A240">
        <v>99.781491987775595</v>
      </c>
      <c r="B240">
        <v>71.935957788921101</v>
      </c>
      <c r="C240">
        <v>2001</v>
      </c>
    </row>
    <row r="241" spans="1:11" x14ac:dyDescent="0.25">
      <c r="A241">
        <v>122.649387819148</v>
      </c>
      <c r="B241">
        <v>94.803853620293793</v>
      </c>
      <c r="C241">
        <v>2001</v>
      </c>
    </row>
    <row r="242" spans="1:11" x14ac:dyDescent="0.25">
      <c r="A242">
        <v>123.086403843597</v>
      </c>
      <c r="B242">
        <v>94.366837595844999</v>
      </c>
      <c r="C242">
        <v>2000</v>
      </c>
    </row>
    <row r="243" spans="1:11" x14ac:dyDescent="0.25">
      <c r="A243">
        <v>100.21850801222401</v>
      </c>
      <c r="B243">
        <v>71.498941764472306</v>
      </c>
      <c r="C243">
        <v>2000</v>
      </c>
    </row>
    <row r="244" spans="1:11" x14ac:dyDescent="0.25">
      <c r="A244" t="s">
        <v>88</v>
      </c>
    </row>
    <row r="245" spans="1:11" x14ac:dyDescent="0.25">
      <c r="A245">
        <v>507</v>
      </c>
      <c r="B245">
        <v>0</v>
      </c>
      <c r="C245">
        <v>17.242343260681199</v>
      </c>
      <c r="D245">
        <v>116.134547250493</v>
      </c>
      <c r="E245">
        <v>10</v>
      </c>
      <c r="F245">
        <v>1.01722196789785</v>
      </c>
      <c r="G245" t="s">
        <v>86</v>
      </c>
      <c r="H245" t="s">
        <v>85</v>
      </c>
      <c r="I245">
        <v>19</v>
      </c>
      <c r="J245">
        <v>0</v>
      </c>
      <c r="K245">
        <v>0</v>
      </c>
    </row>
    <row r="246" spans="1:11" x14ac:dyDescent="0.25">
      <c r="A246" t="s">
        <v>87</v>
      </c>
    </row>
    <row r="247" spans="1:11" x14ac:dyDescent="0.25">
      <c r="A247">
        <v>68.098982121371407</v>
      </c>
      <c r="B247">
        <v>62.238306542508298</v>
      </c>
      <c r="C247">
        <v>2000</v>
      </c>
    </row>
    <row r="248" spans="1:11" x14ac:dyDescent="0.25">
      <c r="A248">
        <v>55.906804278197598</v>
      </c>
      <c r="B248">
        <v>50.046128699334503</v>
      </c>
      <c r="C248">
        <v>2000</v>
      </c>
    </row>
    <row r="249" spans="1:11" x14ac:dyDescent="0.25">
      <c r="A249">
        <v>55.469788253748703</v>
      </c>
      <c r="B249">
        <v>50.483144723783298</v>
      </c>
      <c r="C249">
        <v>2001</v>
      </c>
    </row>
    <row r="250" spans="1:11" x14ac:dyDescent="0.25">
      <c r="A250">
        <v>67.661966096922598</v>
      </c>
      <c r="B250">
        <v>62.675322566957099</v>
      </c>
      <c r="C250">
        <v>2001</v>
      </c>
    </row>
    <row r="251" spans="1:11" x14ac:dyDescent="0.25">
      <c r="A251">
        <v>99.781491987775595</v>
      </c>
      <c r="B251">
        <v>94.794848457810104</v>
      </c>
      <c r="C251">
        <v>2001</v>
      </c>
    </row>
    <row r="252" spans="1:11" x14ac:dyDescent="0.25">
      <c r="A252">
        <v>105.228853803554</v>
      </c>
      <c r="B252">
        <v>100.242210273589</v>
      </c>
      <c r="C252">
        <v>2001</v>
      </c>
    </row>
    <row r="253" spans="1:11" x14ac:dyDescent="0.25">
      <c r="A253">
        <v>150</v>
      </c>
      <c r="B253">
        <v>145.01335647003501</v>
      </c>
      <c r="C253">
        <v>2001</v>
      </c>
    </row>
    <row r="254" spans="1:11" x14ac:dyDescent="0.25">
      <c r="A254">
        <v>150</v>
      </c>
      <c r="B254">
        <v>144.13932442113699</v>
      </c>
      <c r="C254">
        <v>2000</v>
      </c>
    </row>
    <row r="255" spans="1:11" x14ac:dyDescent="0.25">
      <c r="A255">
        <v>105.618465305274</v>
      </c>
      <c r="B255">
        <v>99.757789726411204</v>
      </c>
      <c r="C255">
        <v>2000</v>
      </c>
    </row>
    <row r="256" spans="1:11" x14ac:dyDescent="0.25">
      <c r="A256">
        <v>100.21850801222401</v>
      </c>
      <c r="B256">
        <v>94.357832433361295</v>
      </c>
      <c r="C256">
        <v>2000</v>
      </c>
    </row>
    <row r="257" spans="1:11" x14ac:dyDescent="0.25">
      <c r="A257" t="s">
        <v>88</v>
      </c>
    </row>
    <row r="258" spans="1:11" x14ac:dyDescent="0.25">
      <c r="A258">
        <v>265</v>
      </c>
      <c r="B258">
        <v>0</v>
      </c>
      <c r="C258">
        <v>69.556608454260996</v>
      </c>
      <c r="D258">
        <v>59.939847223009501</v>
      </c>
      <c r="E258">
        <v>12</v>
      </c>
      <c r="F258">
        <v>1.01722196789785</v>
      </c>
      <c r="G258" t="s">
        <v>86</v>
      </c>
      <c r="H258" t="s">
        <v>86</v>
      </c>
      <c r="I258">
        <v>36</v>
      </c>
      <c r="J258">
        <v>164</v>
      </c>
      <c r="K258">
        <v>0</v>
      </c>
    </row>
    <row r="259" spans="1:11" x14ac:dyDescent="0.25">
      <c r="A259" t="s">
        <v>87</v>
      </c>
    </row>
    <row r="260" spans="1:11" x14ac:dyDescent="0.25">
      <c r="A260">
        <v>65.565067086627494</v>
      </c>
      <c r="B260">
        <v>100.705139207521</v>
      </c>
      <c r="C260">
        <v>2000</v>
      </c>
    </row>
    <row r="261" spans="1:11" x14ac:dyDescent="0.25">
      <c r="A261">
        <v>64.641419866882202</v>
      </c>
      <c r="B261">
        <v>99.781491987775595</v>
      </c>
      <c r="C261">
        <v>2000</v>
      </c>
    </row>
    <row r="262" spans="1:11" x14ac:dyDescent="0.25">
      <c r="A262">
        <v>50.218508012224397</v>
      </c>
      <c r="B262">
        <v>85.358580133117798</v>
      </c>
      <c r="C262">
        <v>2000</v>
      </c>
    </row>
    <row r="263" spans="1:11" x14ac:dyDescent="0.25">
      <c r="A263">
        <v>16.381117572282001</v>
      </c>
      <c r="B263">
        <v>51.521189693175401</v>
      </c>
      <c r="C263">
        <v>2000</v>
      </c>
    </row>
    <row r="264" spans="1:11" x14ac:dyDescent="0.25">
      <c r="A264">
        <v>15.9441015478331</v>
      </c>
      <c r="B264">
        <v>51.958205717624203</v>
      </c>
      <c r="C264">
        <v>2001</v>
      </c>
    </row>
    <row r="265" spans="1:11" x14ac:dyDescent="0.25">
      <c r="A265">
        <v>49.781491987775603</v>
      </c>
      <c r="B265">
        <v>85.795596157566607</v>
      </c>
      <c r="C265">
        <v>2001</v>
      </c>
    </row>
    <row r="266" spans="1:11" x14ac:dyDescent="0.25">
      <c r="A266">
        <v>64.204403842433393</v>
      </c>
      <c r="B266">
        <v>100.21850801222401</v>
      </c>
      <c r="C266">
        <v>2001</v>
      </c>
    </row>
    <row r="267" spans="1:11" x14ac:dyDescent="0.25">
      <c r="A267">
        <v>65.128051062178599</v>
      </c>
      <c r="B267">
        <v>101.14215523196999</v>
      </c>
      <c r="C267">
        <v>2001</v>
      </c>
    </row>
    <row r="268" spans="1:11" x14ac:dyDescent="0.25">
      <c r="A268">
        <v>99.781491987775595</v>
      </c>
      <c r="B268">
        <v>135.79559615756699</v>
      </c>
      <c r="C268">
        <v>2001</v>
      </c>
    </row>
    <row r="269" spans="1:11" x14ac:dyDescent="0.25">
      <c r="A269">
        <v>107.511923496854</v>
      </c>
      <c r="B269">
        <v>143.52602766664501</v>
      </c>
      <c r="C269">
        <v>2001</v>
      </c>
    </row>
    <row r="270" spans="1:11" x14ac:dyDescent="0.25">
      <c r="A270">
        <v>107.948939521303</v>
      </c>
      <c r="B270">
        <v>143.089011642196</v>
      </c>
      <c r="C270">
        <v>2000</v>
      </c>
    </row>
    <row r="271" spans="1:11" x14ac:dyDescent="0.25">
      <c r="A271">
        <v>100.21850801222401</v>
      </c>
      <c r="B271">
        <v>135.35858013311801</v>
      </c>
      <c r="C271">
        <v>2000</v>
      </c>
    </row>
    <row r="272" spans="1:11" x14ac:dyDescent="0.25">
      <c r="A272" t="s">
        <v>88</v>
      </c>
    </row>
    <row r="273" spans="1:11" x14ac:dyDescent="0.25">
      <c r="A273">
        <v>271</v>
      </c>
      <c r="B273">
        <v>0</v>
      </c>
      <c r="C273">
        <v>124.109745710773</v>
      </c>
      <c r="D273">
        <v>2.78461673088455</v>
      </c>
      <c r="E273">
        <v>10</v>
      </c>
      <c r="F273">
        <v>1.01722196789785</v>
      </c>
      <c r="G273" t="s">
        <v>85</v>
      </c>
      <c r="H273" t="s">
        <v>85</v>
      </c>
      <c r="I273">
        <v>0</v>
      </c>
      <c r="J273">
        <v>0</v>
      </c>
      <c r="K273">
        <v>0</v>
      </c>
    </row>
    <row r="274" spans="1:11" x14ac:dyDescent="0.25">
      <c r="A274" t="s">
        <v>87</v>
      </c>
    </row>
    <row r="275" spans="1:11" x14ac:dyDescent="0.25">
      <c r="A275">
        <v>87.332656632411997</v>
      </c>
      <c r="B275">
        <v>148.04180848002099</v>
      </c>
      <c r="C275">
        <v>2000</v>
      </c>
    </row>
    <row r="276" spans="1:11" x14ac:dyDescent="0.25">
      <c r="A276">
        <v>49.781491987775603</v>
      </c>
      <c r="B276">
        <v>110.490643835385</v>
      </c>
      <c r="C276">
        <v>2000</v>
      </c>
    </row>
    <row r="277" spans="1:11" x14ac:dyDescent="0.25">
      <c r="A277">
        <v>39.554247044215501</v>
      </c>
      <c r="B277">
        <v>100.26339889182501</v>
      </c>
      <c r="C277">
        <v>2000</v>
      </c>
    </row>
    <row r="278" spans="1:11" x14ac:dyDescent="0.25">
      <c r="A278">
        <v>0</v>
      </c>
      <c r="B278">
        <v>60.709151847609299</v>
      </c>
      <c r="C278">
        <v>2000</v>
      </c>
    </row>
    <row r="279" spans="1:11" x14ac:dyDescent="0.25">
      <c r="A279">
        <v>0</v>
      </c>
      <c r="B279">
        <v>59.835119798711702</v>
      </c>
      <c r="C279">
        <v>2001</v>
      </c>
    </row>
    <row r="280" spans="1:11" x14ac:dyDescent="0.25">
      <c r="A280">
        <v>39.901481309463598</v>
      </c>
      <c r="B280">
        <v>99.736601108175194</v>
      </c>
      <c r="C280">
        <v>2001</v>
      </c>
    </row>
    <row r="281" spans="1:11" x14ac:dyDescent="0.25">
      <c r="A281">
        <v>50.218508012224397</v>
      </c>
      <c r="B281">
        <v>110.05362781093601</v>
      </c>
      <c r="C281">
        <v>2001</v>
      </c>
    </row>
    <row r="282" spans="1:11" x14ac:dyDescent="0.25">
      <c r="A282">
        <v>88.185028974439106</v>
      </c>
      <c r="B282">
        <v>148.02014877315099</v>
      </c>
      <c r="C282">
        <v>2001</v>
      </c>
    </row>
    <row r="283" spans="1:11" x14ac:dyDescent="0.25">
      <c r="A283">
        <v>90.164880201288298</v>
      </c>
      <c r="B283">
        <v>150</v>
      </c>
      <c r="C283">
        <v>2001</v>
      </c>
    </row>
    <row r="284" spans="1:11" x14ac:dyDescent="0.25">
      <c r="A284">
        <v>89.290848152390694</v>
      </c>
      <c r="B284">
        <v>150</v>
      </c>
      <c r="C284">
        <v>2000</v>
      </c>
    </row>
    <row r="285" spans="1:11" x14ac:dyDescent="0.25">
      <c r="A285" t="s">
        <v>88</v>
      </c>
    </row>
    <row r="286" spans="1:11" x14ac:dyDescent="0.25">
      <c r="A286">
        <v>268</v>
      </c>
      <c r="B286">
        <v>0</v>
      </c>
      <c r="C286">
        <v>110.046129333289</v>
      </c>
      <c r="D286">
        <v>13.7325133908633</v>
      </c>
      <c r="E286">
        <v>12</v>
      </c>
      <c r="F286">
        <v>1.01722196789785</v>
      </c>
      <c r="G286" t="s">
        <v>86</v>
      </c>
      <c r="H286" t="s">
        <v>86</v>
      </c>
      <c r="I286">
        <v>4</v>
      </c>
      <c r="J286">
        <v>187</v>
      </c>
      <c r="K286">
        <v>0</v>
      </c>
    </row>
    <row r="287" spans="1:11" x14ac:dyDescent="0.25">
      <c r="A287" t="s">
        <v>87</v>
      </c>
    </row>
    <row r="288" spans="1:11" x14ac:dyDescent="0.25">
      <c r="A288">
        <v>81.131474789297698</v>
      </c>
      <c r="B288">
        <v>102.35429503272501</v>
      </c>
      <c r="C288">
        <v>2000</v>
      </c>
    </row>
    <row r="289" spans="1:11" x14ac:dyDescent="0.25">
      <c r="A289">
        <v>78.995687768797097</v>
      </c>
      <c r="B289">
        <v>100.21850801222401</v>
      </c>
      <c r="C289">
        <v>2000</v>
      </c>
    </row>
    <row r="290" spans="1:11" x14ac:dyDescent="0.25">
      <c r="A290">
        <v>49.781491987775603</v>
      </c>
      <c r="B290">
        <v>71.004312231203002</v>
      </c>
      <c r="C290">
        <v>2000</v>
      </c>
    </row>
    <row r="291" spans="1:11" x14ac:dyDescent="0.25">
      <c r="A291">
        <v>28.995687768797001</v>
      </c>
      <c r="B291">
        <v>50.218508012224397</v>
      </c>
      <c r="C291">
        <v>2000</v>
      </c>
    </row>
    <row r="292" spans="1:11" x14ac:dyDescent="0.25">
      <c r="A292">
        <v>3.31711049439695</v>
      </c>
      <c r="B292">
        <v>24.539930737824399</v>
      </c>
      <c r="C292">
        <v>2000</v>
      </c>
    </row>
    <row r="293" spans="1:11" x14ac:dyDescent="0.25">
      <c r="A293">
        <v>3.7541265188457702</v>
      </c>
      <c r="B293">
        <v>24.102914713375501</v>
      </c>
      <c r="C293">
        <v>2001</v>
      </c>
    </row>
    <row r="294" spans="1:11" x14ac:dyDescent="0.25">
      <c r="A294">
        <v>29.432703793245899</v>
      </c>
      <c r="B294">
        <v>49.781491987775603</v>
      </c>
      <c r="C294">
        <v>2001</v>
      </c>
    </row>
    <row r="295" spans="1:11" x14ac:dyDescent="0.25">
      <c r="A295">
        <v>50.218508012224397</v>
      </c>
      <c r="B295">
        <v>70.567296206754193</v>
      </c>
      <c r="C295">
        <v>2001</v>
      </c>
    </row>
    <row r="296" spans="1:11" x14ac:dyDescent="0.25">
      <c r="A296">
        <v>79.432703793245906</v>
      </c>
      <c r="B296">
        <v>99.781491987775595</v>
      </c>
      <c r="C296">
        <v>2001</v>
      </c>
    </row>
    <row r="297" spans="1:11" x14ac:dyDescent="0.25">
      <c r="A297">
        <v>81.568490813746493</v>
      </c>
      <c r="B297">
        <v>101.917279008276</v>
      </c>
      <c r="C297">
        <v>2001</v>
      </c>
    </row>
    <row r="298" spans="1:11" x14ac:dyDescent="0.25">
      <c r="A298">
        <v>91.278844155160996</v>
      </c>
      <c r="B298">
        <v>111.627632349691</v>
      </c>
      <c r="C298">
        <v>2001</v>
      </c>
    </row>
    <row r="299" spans="1:11" x14ac:dyDescent="0.25">
      <c r="A299">
        <v>90.841828130712202</v>
      </c>
      <c r="B299">
        <v>112.06464837414001</v>
      </c>
      <c r="C299">
        <v>2000</v>
      </c>
    </row>
    <row r="300" spans="1:11" x14ac:dyDescent="0.25">
      <c r="A300" t="s">
        <v>88</v>
      </c>
    </row>
    <row r="301" spans="1:11" x14ac:dyDescent="0.25">
      <c r="A301">
        <v>436</v>
      </c>
      <c r="B301">
        <v>0</v>
      </c>
      <c r="C301">
        <v>111.88458556753901</v>
      </c>
      <c r="D301">
        <v>7.9522799918658498</v>
      </c>
      <c r="E301">
        <v>10</v>
      </c>
      <c r="F301">
        <v>1.01722196789785</v>
      </c>
      <c r="G301" t="s">
        <v>86</v>
      </c>
      <c r="H301" t="s">
        <v>86</v>
      </c>
      <c r="I301">
        <v>95</v>
      </c>
      <c r="J301">
        <v>413</v>
      </c>
      <c r="K301">
        <v>0</v>
      </c>
    </row>
    <row r="302" spans="1:11" x14ac:dyDescent="0.25">
      <c r="A302" t="s">
        <v>87</v>
      </c>
    </row>
    <row r="303" spans="1:11" x14ac:dyDescent="0.25">
      <c r="A303">
        <v>138.094769839712</v>
      </c>
      <c r="B303">
        <v>79.379967885264406</v>
      </c>
      <c r="C303">
        <v>2000</v>
      </c>
    </row>
    <row r="304" spans="1:11" x14ac:dyDescent="0.25">
      <c r="A304">
        <v>108.933309966672</v>
      </c>
      <c r="B304">
        <v>50.218508012224397</v>
      </c>
      <c r="C304">
        <v>2000</v>
      </c>
    </row>
    <row r="305" spans="1:11" x14ac:dyDescent="0.25">
      <c r="A305">
        <v>99.781491987775595</v>
      </c>
      <c r="B305">
        <v>41.0666900333283</v>
      </c>
      <c r="C305">
        <v>2000</v>
      </c>
    </row>
    <row r="306" spans="1:11" x14ac:dyDescent="0.25">
      <c r="A306">
        <v>58.980420674658397</v>
      </c>
      <c r="B306">
        <v>0.26561872021112198</v>
      </c>
      <c r="C306">
        <v>2000</v>
      </c>
    </row>
    <row r="307" spans="1:11" x14ac:dyDescent="0.25">
      <c r="A307">
        <v>59.417436699107199</v>
      </c>
      <c r="B307">
        <v>-0.1713973042377</v>
      </c>
      <c r="C307">
        <v>2001</v>
      </c>
    </row>
    <row r="308" spans="1:11" x14ac:dyDescent="0.25">
      <c r="A308">
        <v>100.21850801222401</v>
      </c>
      <c r="B308">
        <v>40.629674008879498</v>
      </c>
      <c r="C308">
        <v>2001</v>
      </c>
    </row>
    <row r="309" spans="1:11" x14ac:dyDescent="0.25">
      <c r="A309">
        <v>109.37032599112</v>
      </c>
      <c r="B309">
        <v>49.781491987775603</v>
      </c>
      <c r="C309">
        <v>2001</v>
      </c>
    </row>
    <row r="310" spans="1:11" x14ac:dyDescent="0.25">
      <c r="A310">
        <v>138.53178586416001</v>
      </c>
      <c r="B310">
        <v>78.942951860815597</v>
      </c>
      <c r="C310">
        <v>2001</v>
      </c>
    </row>
    <row r="311" spans="1:11" x14ac:dyDescent="0.25">
      <c r="A311">
        <v>144.15489697230299</v>
      </c>
      <c r="B311">
        <v>84.566062968957993</v>
      </c>
      <c r="C311">
        <v>2001</v>
      </c>
    </row>
    <row r="312" spans="1:11" x14ac:dyDescent="0.25">
      <c r="A312">
        <v>143.71788094785401</v>
      </c>
      <c r="B312">
        <v>85.003078993406803</v>
      </c>
      <c r="C312">
        <v>2000</v>
      </c>
    </row>
    <row r="313" spans="1:11" x14ac:dyDescent="0.25">
      <c r="A313" t="s">
        <v>88</v>
      </c>
    </row>
    <row r="314" spans="1:11" x14ac:dyDescent="0.25">
      <c r="A314">
        <v>101</v>
      </c>
      <c r="B314">
        <v>0</v>
      </c>
      <c r="C314">
        <v>21.549101105182899</v>
      </c>
      <c r="D314">
        <v>96.514810991570101</v>
      </c>
      <c r="E314">
        <v>10</v>
      </c>
      <c r="F314">
        <v>1.01722196789785</v>
      </c>
      <c r="G314" t="s">
        <v>85</v>
      </c>
      <c r="H314" t="s">
        <v>85</v>
      </c>
      <c r="I314">
        <v>0</v>
      </c>
      <c r="J314">
        <v>0</v>
      </c>
      <c r="K314">
        <v>0</v>
      </c>
    </row>
    <row r="315" spans="1:11" x14ac:dyDescent="0.25">
      <c r="A315" t="s">
        <v>87</v>
      </c>
    </row>
    <row r="316" spans="1:11" x14ac:dyDescent="0.25">
      <c r="A316">
        <v>81.416143379159806</v>
      </c>
      <c r="B316">
        <v>15.336952260635201</v>
      </c>
      <c r="C316">
        <v>2000</v>
      </c>
    </row>
    <row r="317" spans="1:11" x14ac:dyDescent="0.25">
      <c r="A317">
        <v>66.079191118524605</v>
      </c>
      <c r="B317">
        <v>0</v>
      </c>
      <c r="C317">
        <v>2000</v>
      </c>
    </row>
    <row r="318" spans="1:11" x14ac:dyDescent="0.25">
      <c r="A318">
        <v>66.953223167422195</v>
      </c>
      <c r="B318">
        <v>0</v>
      </c>
      <c r="C318">
        <v>2001</v>
      </c>
    </row>
    <row r="319" spans="1:11" x14ac:dyDescent="0.25">
      <c r="A319">
        <v>82.091301946685803</v>
      </c>
      <c r="B319">
        <v>15.1380787792635</v>
      </c>
      <c r="C319">
        <v>2001</v>
      </c>
    </row>
    <row r="320" spans="1:11" x14ac:dyDescent="0.25">
      <c r="A320">
        <v>100.21850801222401</v>
      </c>
      <c r="B320">
        <v>33.265284844802103</v>
      </c>
      <c r="C320">
        <v>2001</v>
      </c>
    </row>
    <row r="321" spans="1:11" x14ac:dyDescent="0.25">
      <c r="A321">
        <v>116.662536683352</v>
      </c>
      <c r="B321">
        <v>49.709313515929601</v>
      </c>
      <c r="C321">
        <v>2001</v>
      </c>
    </row>
    <row r="322" spans="1:11" x14ac:dyDescent="0.25">
      <c r="A322">
        <v>150</v>
      </c>
      <c r="B322">
        <v>83.046776832577706</v>
      </c>
      <c r="C322">
        <v>2001</v>
      </c>
    </row>
    <row r="323" spans="1:11" x14ac:dyDescent="0.25">
      <c r="A323">
        <v>150</v>
      </c>
      <c r="B323">
        <v>83.920808881475395</v>
      </c>
      <c r="C323">
        <v>2000</v>
      </c>
    </row>
    <row r="324" spans="1:11" x14ac:dyDescent="0.25">
      <c r="A324">
        <v>116.369877602595</v>
      </c>
      <c r="B324">
        <v>50.290686484070399</v>
      </c>
      <c r="C324">
        <v>2000</v>
      </c>
    </row>
    <row r="325" spans="1:11" x14ac:dyDescent="0.25">
      <c r="A325">
        <v>99.781491987775595</v>
      </c>
      <c r="B325">
        <v>33.702300869250998</v>
      </c>
      <c r="C325">
        <v>2000</v>
      </c>
    </row>
    <row r="326" spans="1:11" x14ac:dyDescent="0.25">
      <c r="A326" t="s">
        <v>88</v>
      </c>
    </row>
    <row r="327" spans="1:11" x14ac:dyDescent="0.25">
      <c r="A327">
        <v>107</v>
      </c>
      <c r="B327">
        <v>0</v>
      </c>
      <c r="C327">
        <v>5.9720724099069704</v>
      </c>
      <c r="D327">
        <v>110.495905074402</v>
      </c>
      <c r="E327">
        <v>12</v>
      </c>
      <c r="F327">
        <v>1.01722196789785</v>
      </c>
      <c r="G327" t="s">
        <v>86</v>
      </c>
      <c r="H327" t="s">
        <v>85</v>
      </c>
      <c r="I327">
        <v>104</v>
      </c>
      <c r="J327">
        <v>0</v>
      </c>
      <c r="K327">
        <v>0</v>
      </c>
    </row>
    <row r="328" spans="1:11" x14ac:dyDescent="0.25">
      <c r="A328" t="s">
        <v>87</v>
      </c>
    </row>
    <row r="329" spans="1:11" x14ac:dyDescent="0.25">
      <c r="A329">
        <v>71.649088216321005</v>
      </c>
      <c r="B329">
        <v>30.085487506853401</v>
      </c>
      <c r="C329">
        <v>2000</v>
      </c>
    </row>
    <row r="330" spans="1:11" x14ac:dyDescent="0.25">
      <c r="A330">
        <v>67.4261953175386</v>
      </c>
      <c r="B330">
        <v>25.862594608071099</v>
      </c>
      <c r="C330">
        <v>2000</v>
      </c>
    </row>
    <row r="331" spans="1:11" x14ac:dyDescent="0.25">
      <c r="A331">
        <v>67.863211341987494</v>
      </c>
      <c r="B331">
        <v>25.425578583622201</v>
      </c>
      <c r="C331">
        <v>2001</v>
      </c>
    </row>
    <row r="332" spans="1:11" x14ac:dyDescent="0.25">
      <c r="A332">
        <v>72.086104240769799</v>
      </c>
      <c r="B332">
        <v>29.648471482404499</v>
      </c>
      <c r="C332">
        <v>2001</v>
      </c>
    </row>
    <row r="333" spans="1:11" x14ac:dyDescent="0.25">
      <c r="A333">
        <v>92.219124746140807</v>
      </c>
      <c r="B333">
        <v>49.781491987775603</v>
      </c>
      <c r="C333">
        <v>2001</v>
      </c>
    </row>
    <row r="334" spans="1:11" x14ac:dyDescent="0.25">
      <c r="A334">
        <v>100.21850801222401</v>
      </c>
      <c r="B334">
        <v>57.7808752538592</v>
      </c>
      <c r="C334">
        <v>2001</v>
      </c>
    </row>
    <row r="335" spans="1:11" x14ac:dyDescent="0.25">
      <c r="A335">
        <v>142.03557532064599</v>
      </c>
      <c r="B335">
        <v>99.597942562281006</v>
      </c>
      <c r="C335">
        <v>2001</v>
      </c>
    </row>
    <row r="336" spans="1:11" x14ac:dyDescent="0.25">
      <c r="A336">
        <v>150</v>
      </c>
      <c r="B336">
        <v>107.562367241635</v>
      </c>
      <c r="C336">
        <v>2001</v>
      </c>
    </row>
    <row r="337" spans="1:11" x14ac:dyDescent="0.25">
      <c r="A337">
        <v>150</v>
      </c>
      <c r="B337">
        <v>108.43639929053199</v>
      </c>
      <c r="C337">
        <v>2000</v>
      </c>
    </row>
    <row r="338" spans="1:11" x14ac:dyDescent="0.25">
      <c r="A338">
        <v>141.96565814718701</v>
      </c>
      <c r="B338">
        <v>100.40205743771899</v>
      </c>
      <c r="C338">
        <v>2000</v>
      </c>
    </row>
    <row r="339" spans="1:11" x14ac:dyDescent="0.25">
      <c r="A339">
        <v>99.781491987775595</v>
      </c>
      <c r="B339">
        <v>58.217891278308002</v>
      </c>
      <c r="C339">
        <v>2000</v>
      </c>
    </row>
    <row r="340" spans="1:11" x14ac:dyDescent="0.25">
      <c r="A340">
        <v>91.782108721691998</v>
      </c>
      <c r="B340">
        <v>50.218508012224397</v>
      </c>
      <c r="C340">
        <v>2000</v>
      </c>
    </row>
    <row r="341" spans="1:11" x14ac:dyDescent="0.25">
      <c r="A341" t="s">
        <v>88</v>
      </c>
    </row>
    <row r="342" spans="1:11" x14ac:dyDescent="0.25">
      <c r="A342">
        <v>440</v>
      </c>
      <c r="B342">
        <v>0</v>
      </c>
      <c r="C342">
        <v>50.367011967730299</v>
      </c>
      <c r="D342">
        <v>61.861026064686598</v>
      </c>
      <c r="E342">
        <v>12</v>
      </c>
      <c r="F342">
        <v>1.01722196789785</v>
      </c>
      <c r="G342" t="s">
        <v>86</v>
      </c>
      <c r="H342" t="s">
        <v>85</v>
      </c>
      <c r="I342">
        <v>97</v>
      </c>
      <c r="J342">
        <v>0</v>
      </c>
      <c r="K342">
        <v>0</v>
      </c>
    </row>
    <row r="343" spans="1:11" x14ac:dyDescent="0.25">
      <c r="A343" t="s">
        <v>87</v>
      </c>
    </row>
    <row r="344" spans="1:11" x14ac:dyDescent="0.25">
      <c r="A344">
        <v>106.450486642423</v>
      </c>
      <c r="B344">
        <v>71.013073057322103</v>
      </c>
      <c r="C344">
        <v>2000</v>
      </c>
    </row>
    <row r="345" spans="1:11" x14ac:dyDescent="0.25">
      <c r="A345">
        <v>100.21850801222401</v>
      </c>
      <c r="B345">
        <v>64.781094427123094</v>
      </c>
      <c r="C345">
        <v>2000</v>
      </c>
    </row>
    <row r="346" spans="1:11" x14ac:dyDescent="0.25">
      <c r="A346">
        <v>85.218905572876906</v>
      </c>
      <c r="B346">
        <v>49.781491987775603</v>
      </c>
      <c r="C346">
        <v>2000</v>
      </c>
    </row>
    <row r="347" spans="1:11" x14ac:dyDescent="0.25">
      <c r="A347">
        <v>70.861301280240596</v>
      </c>
      <c r="B347">
        <v>35.4238876951393</v>
      </c>
      <c r="C347">
        <v>2000</v>
      </c>
    </row>
    <row r="348" spans="1:11" x14ac:dyDescent="0.25">
      <c r="A348">
        <v>70.424285255791801</v>
      </c>
      <c r="B348">
        <v>35.860903719588102</v>
      </c>
      <c r="C348">
        <v>2001</v>
      </c>
    </row>
    <row r="349" spans="1:11" x14ac:dyDescent="0.25">
      <c r="A349">
        <v>84.781889548428097</v>
      </c>
      <c r="B349">
        <v>50.218508012224397</v>
      </c>
      <c r="C349">
        <v>2001</v>
      </c>
    </row>
    <row r="350" spans="1:11" x14ac:dyDescent="0.25">
      <c r="A350">
        <v>99.781491987775595</v>
      </c>
      <c r="B350">
        <v>65.218110451571903</v>
      </c>
      <c r="C350">
        <v>2001</v>
      </c>
    </row>
    <row r="351" spans="1:11" x14ac:dyDescent="0.25">
      <c r="A351">
        <v>106.06481131458099</v>
      </c>
      <c r="B351">
        <v>71.501429778377599</v>
      </c>
      <c r="C351">
        <v>2001</v>
      </c>
    </row>
    <row r="352" spans="1:11" x14ac:dyDescent="0.25">
      <c r="A352">
        <v>134.92546941352199</v>
      </c>
      <c r="B352">
        <v>100.362087877318</v>
      </c>
      <c r="C352">
        <v>2001</v>
      </c>
    </row>
    <row r="353" spans="1:11" x14ac:dyDescent="0.25">
      <c r="A353">
        <v>150</v>
      </c>
      <c r="B353">
        <v>115.43661846379599</v>
      </c>
      <c r="C353">
        <v>2001</v>
      </c>
    </row>
    <row r="354" spans="1:11" x14ac:dyDescent="0.25">
      <c r="A354">
        <v>150</v>
      </c>
      <c r="B354">
        <v>114.562586414899</v>
      </c>
      <c r="C354">
        <v>2000</v>
      </c>
    </row>
    <row r="355" spans="1:11" x14ac:dyDescent="0.25">
      <c r="A355">
        <v>135.07532570778301</v>
      </c>
      <c r="B355">
        <v>99.637912122681797</v>
      </c>
      <c r="C355">
        <v>2000</v>
      </c>
    </row>
    <row r="356" spans="1:11" x14ac:dyDescent="0.25">
      <c r="A356" t="s">
        <v>88</v>
      </c>
    </row>
    <row r="357" spans="1:11" x14ac:dyDescent="0.25">
      <c r="A357">
        <v>248</v>
      </c>
      <c r="B357">
        <v>0</v>
      </c>
      <c r="C357">
        <v>110.255691251472</v>
      </c>
      <c r="D357">
        <v>1.6872625072910199</v>
      </c>
      <c r="E357">
        <v>10</v>
      </c>
      <c r="F357">
        <v>1.5707963267949001</v>
      </c>
      <c r="G357" t="s">
        <v>85</v>
      </c>
      <c r="H357" t="s">
        <v>86</v>
      </c>
      <c r="I357">
        <v>0</v>
      </c>
      <c r="J357">
        <v>241</v>
      </c>
      <c r="K357">
        <v>0</v>
      </c>
    </row>
    <row r="358" spans="1:11" x14ac:dyDescent="0.25">
      <c r="A358" t="s">
        <v>87</v>
      </c>
    </row>
    <row r="359" spans="1:11" x14ac:dyDescent="0.25">
      <c r="A359">
        <v>77.962546948326107</v>
      </c>
      <c r="B359">
        <v>131.71244989229001</v>
      </c>
      <c r="C359">
        <v>2000</v>
      </c>
    </row>
    <row r="360" spans="1:11" x14ac:dyDescent="0.25">
      <c r="A360">
        <v>50</v>
      </c>
      <c r="B360">
        <v>103.749902943964</v>
      </c>
      <c r="C360">
        <v>2000</v>
      </c>
    </row>
    <row r="361" spans="1:11" x14ac:dyDescent="0.25">
      <c r="A361">
        <v>46.250097056035898</v>
      </c>
      <c r="B361">
        <v>100</v>
      </c>
      <c r="C361">
        <v>2000</v>
      </c>
    </row>
    <row r="362" spans="1:11" x14ac:dyDescent="0.25">
      <c r="A362">
        <v>0</v>
      </c>
      <c r="B362">
        <v>53.749902943964102</v>
      </c>
      <c r="C362">
        <v>2000</v>
      </c>
    </row>
    <row r="363" spans="1:11" x14ac:dyDescent="0.25">
      <c r="A363">
        <v>0</v>
      </c>
      <c r="B363">
        <v>53.749902943964102</v>
      </c>
      <c r="C363">
        <v>2001</v>
      </c>
    </row>
    <row r="364" spans="1:11" x14ac:dyDescent="0.25">
      <c r="A364">
        <v>46.250097056035898</v>
      </c>
      <c r="B364">
        <v>100</v>
      </c>
      <c r="C364">
        <v>2001</v>
      </c>
    </row>
    <row r="365" spans="1:11" x14ac:dyDescent="0.25">
      <c r="A365">
        <v>50</v>
      </c>
      <c r="B365">
        <v>103.749902943964</v>
      </c>
      <c r="C365">
        <v>2001</v>
      </c>
    </row>
    <row r="366" spans="1:11" x14ac:dyDescent="0.25">
      <c r="A366">
        <v>77.962546948326107</v>
      </c>
      <c r="B366">
        <v>131.71244989229001</v>
      </c>
      <c r="C366">
        <v>2001</v>
      </c>
    </row>
    <row r="367" spans="1:11" x14ac:dyDescent="0.25">
      <c r="A367">
        <v>79.155621708873397</v>
      </c>
      <c r="B367">
        <v>132.90552465283699</v>
      </c>
      <c r="C367">
        <v>2001</v>
      </c>
    </row>
    <row r="368" spans="1:11" x14ac:dyDescent="0.25">
      <c r="A368">
        <v>79.155621708873397</v>
      </c>
      <c r="B368">
        <v>132.90552465283699</v>
      </c>
      <c r="C368">
        <v>2000</v>
      </c>
    </row>
    <row r="369" spans="1:11" x14ac:dyDescent="0.25">
      <c r="A369" t="s">
        <v>88</v>
      </c>
    </row>
    <row r="370" spans="1:11" x14ac:dyDescent="0.25">
      <c r="A370">
        <v>661</v>
      </c>
      <c r="B370">
        <v>0</v>
      </c>
      <c r="C370">
        <v>30.322898776194101</v>
      </c>
      <c r="D370">
        <v>81.217668491264504</v>
      </c>
      <c r="E370">
        <v>12</v>
      </c>
      <c r="F370">
        <v>1.01722196789785</v>
      </c>
      <c r="G370" t="s">
        <v>86</v>
      </c>
      <c r="H370" t="s">
        <v>85</v>
      </c>
      <c r="I370">
        <v>727</v>
      </c>
      <c r="J370">
        <v>0</v>
      </c>
      <c r="K370">
        <v>0</v>
      </c>
    </row>
    <row r="371" spans="1:11" x14ac:dyDescent="0.25">
      <c r="A371" t="s">
        <v>87</v>
      </c>
    </row>
    <row r="372" spans="1:11" x14ac:dyDescent="0.25">
      <c r="A372">
        <v>48.071205087509398</v>
      </c>
      <c r="B372">
        <v>92.788943869890304</v>
      </c>
      <c r="C372">
        <v>2000</v>
      </c>
    </row>
    <row r="373" spans="1:11" x14ac:dyDescent="0.25">
      <c r="A373">
        <v>26.629677737629301</v>
      </c>
      <c r="B373">
        <v>71.347416520010199</v>
      </c>
      <c r="C373">
        <v>2000</v>
      </c>
    </row>
    <row r="374" spans="1:11" x14ac:dyDescent="0.25">
      <c r="A374">
        <v>27.066693762078099</v>
      </c>
      <c r="B374">
        <v>70.910400495561404</v>
      </c>
      <c r="C374">
        <v>2001</v>
      </c>
    </row>
    <row r="375" spans="1:11" x14ac:dyDescent="0.25">
      <c r="A375">
        <v>48.5082211119582</v>
      </c>
      <c r="B375">
        <v>92.351927845441494</v>
      </c>
      <c r="C375">
        <v>2001</v>
      </c>
    </row>
    <row r="376" spans="1:11" x14ac:dyDescent="0.25">
      <c r="A376">
        <v>50.218508012224397</v>
      </c>
      <c r="B376">
        <v>94.062214745707706</v>
      </c>
      <c r="C376">
        <v>2001</v>
      </c>
    </row>
    <row r="377" spans="1:11" x14ac:dyDescent="0.25">
      <c r="A377">
        <v>55.937785254292301</v>
      </c>
      <c r="B377">
        <v>99.781491987775595</v>
      </c>
      <c r="C377">
        <v>2001</v>
      </c>
    </row>
    <row r="378" spans="1:11" x14ac:dyDescent="0.25">
      <c r="A378">
        <v>100.412021866418</v>
      </c>
      <c r="B378">
        <v>144.255728599902</v>
      </c>
      <c r="C378">
        <v>2001</v>
      </c>
    </row>
    <row r="379" spans="1:11" x14ac:dyDescent="0.25">
      <c r="A379">
        <v>106.156293266517</v>
      </c>
      <c r="B379">
        <v>150</v>
      </c>
      <c r="C379">
        <v>2001</v>
      </c>
    </row>
    <row r="380" spans="1:11" x14ac:dyDescent="0.25">
      <c r="A380">
        <v>105.28226121761899</v>
      </c>
      <c r="B380">
        <v>150</v>
      </c>
      <c r="C380">
        <v>2000</v>
      </c>
    </row>
    <row r="381" spans="1:11" x14ac:dyDescent="0.25">
      <c r="A381">
        <v>99.5879781335817</v>
      </c>
      <c r="B381">
        <v>144.30571691596299</v>
      </c>
      <c r="C381">
        <v>2000</v>
      </c>
    </row>
    <row r="382" spans="1:11" x14ac:dyDescent="0.25">
      <c r="A382">
        <v>55.500769229843399</v>
      </c>
      <c r="B382">
        <v>100.21850801222401</v>
      </c>
      <c r="C382">
        <v>2000</v>
      </c>
    </row>
    <row r="383" spans="1:11" x14ac:dyDescent="0.25">
      <c r="A383">
        <v>49.781491987775603</v>
      </c>
      <c r="B383">
        <v>94.499230770156501</v>
      </c>
      <c r="C383">
        <v>2000</v>
      </c>
    </row>
    <row r="384" spans="1:11" x14ac:dyDescent="0.25">
      <c r="A384" t="s">
        <v>88</v>
      </c>
    </row>
    <row r="385" spans="1:11" x14ac:dyDescent="0.25">
      <c r="A385">
        <v>33</v>
      </c>
      <c r="B385">
        <v>0</v>
      </c>
      <c r="C385">
        <v>14.885563740081</v>
      </c>
      <c r="D385">
        <v>94.233523590002505</v>
      </c>
      <c r="E385">
        <v>10</v>
      </c>
      <c r="F385">
        <v>1.01722196789785</v>
      </c>
      <c r="G385" t="s">
        <v>85</v>
      </c>
      <c r="H385" t="s">
        <v>86</v>
      </c>
      <c r="I385">
        <v>0</v>
      </c>
      <c r="J385">
        <v>194</v>
      </c>
      <c r="K385">
        <v>0</v>
      </c>
    </row>
    <row r="386" spans="1:11" x14ac:dyDescent="0.25">
      <c r="A386" t="s">
        <v>87</v>
      </c>
    </row>
    <row r="387" spans="1:11" x14ac:dyDescent="0.25">
      <c r="A387">
        <v>10.5772303262452</v>
      </c>
      <c r="B387">
        <v>15.522015167263</v>
      </c>
      <c r="C387">
        <v>2000</v>
      </c>
    </row>
    <row r="388" spans="1:11" x14ac:dyDescent="0.25">
      <c r="A388">
        <v>0</v>
      </c>
      <c r="B388">
        <v>4.9447848410177997</v>
      </c>
      <c r="C388">
        <v>2000</v>
      </c>
    </row>
    <row r="389" spans="1:11" x14ac:dyDescent="0.25">
      <c r="A389">
        <v>0</v>
      </c>
      <c r="B389">
        <v>5.81881688991544</v>
      </c>
      <c r="C389">
        <v>2001</v>
      </c>
    </row>
    <row r="390" spans="1:11" x14ac:dyDescent="0.25">
      <c r="A390">
        <v>10.4741357985466</v>
      </c>
      <c r="B390">
        <v>16.292952688462002</v>
      </c>
      <c r="C390">
        <v>2001</v>
      </c>
    </row>
    <row r="391" spans="1:11" x14ac:dyDescent="0.25">
      <c r="A391">
        <v>44.399691122309001</v>
      </c>
      <c r="B391">
        <v>50.218508012224397</v>
      </c>
      <c r="C391">
        <v>2001</v>
      </c>
    </row>
    <row r="392" spans="1:11" x14ac:dyDescent="0.25">
      <c r="A392">
        <v>49.781491987775603</v>
      </c>
      <c r="B392">
        <v>55.600308877690999</v>
      </c>
      <c r="C392">
        <v>2001</v>
      </c>
    </row>
    <row r="393" spans="1:11" x14ac:dyDescent="0.25">
      <c r="A393">
        <v>76.9403385957647</v>
      </c>
      <c r="B393">
        <v>82.759155485680097</v>
      </c>
      <c r="C393">
        <v>2001</v>
      </c>
    </row>
    <row r="394" spans="1:11" x14ac:dyDescent="0.25">
      <c r="A394">
        <v>77.377354620213495</v>
      </c>
      <c r="B394">
        <v>82.322139461231302</v>
      </c>
      <c r="C394">
        <v>2000</v>
      </c>
    </row>
    <row r="395" spans="1:11" x14ac:dyDescent="0.25">
      <c r="A395">
        <v>50.218508012224397</v>
      </c>
      <c r="B395">
        <v>55.163292853242197</v>
      </c>
      <c r="C395">
        <v>2000</v>
      </c>
    </row>
    <row r="396" spans="1:11" x14ac:dyDescent="0.25">
      <c r="A396">
        <v>44.836707146757803</v>
      </c>
      <c r="B396">
        <v>49.781491987775603</v>
      </c>
      <c r="C396">
        <v>2000</v>
      </c>
    </row>
    <row r="397" spans="1:11" x14ac:dyDescent="0.25">
      <c r="A397" t="s">
        <v>88</v>
      </c>
    </row>
    <row r="398" spans="1:11" x14ac:dyDescent="0.25">
      <c r="A398">
        <v>26</v>
      </c>
      <c r="B398">
        <v>0</v>
      </c>
      <c r="C398">
        <v>9.7675883508556804</v>
      </c>
      <c r="D398">
        <v>99.088242212177803</v>
      </c>
      <c r="E398">
        <v>12</v>
      </c>
      <c r="F398">
        <v>1.01722196789785</v>
      </c>
      <c r="G398" t="s">
        <v>86</v>
      </c>
      <c r="H398" t="s">
        <v>86</v>
      </c>
      <c r="I398">
        <v>28</v>
      </c>
      <c r="J398">
        <v>402</v>
      </c>
      <c r="K398">
        <v>0</v>
      </c>
    </row>
    <row r="399" spans="1:11" x14ac:dyDescent="0.25">
      <c r="A399" t="s">
        <v>87</v>
      </c>
    </row>
    <row r="400" spans="1:11" x14ac:dyDescent="0.25">
      <c r="A400">
        <v>43.381549446094397</v>
      </c>
      <c r="B400">
        <v>25.416423663686398</v>
      </c>
      <c r="C400">
        <v>2000</v>
      </c>
    </row>
    <row r="401" spans="1:11" x14ac:dyDescent="0.25">
      <c r="A401">
        <v>36.474821487365602</v>
      </c>
      <c r="B401">
        <v>18.509695704957601</v>
      </c>
      <c r="C401">
        <v>2000</v>
      </c>
    </row>
    <row r="402" spans="1:11" x14ac:dyDescent="0.25">
      <c r="A402">
        <v>36.911837511814397</v>
      </c>
      <c r="B402">
        <v>18.072679680508799</v>
      </c>
      <c r="C402">
        <v>2001</v>
      </c>
    </row>
    <row r="403" spans="1:11" x14ac:dyDescent="0.25">
      <c r="A403">
        <v>43.818565470543199</v>
      </c>
      <c r="B403">
        <v>24.9794076392376</v>
      </c>
      <c r="C403">
        <v>2001</v>
      </c>
    </row>
    <row r="404" spans="1:11" x14ac:dyDescent="0.25">
      <c r="A404">
        <v>50.218508012224397</v>
      </c>
      <c r="B404">
        <v>31.379350180918799</v>
      </c>
      <c r="C404">
        <v>2001</v>
      </c>
    </row>
    <row r="405" spans="1:11" x14ac:dyDescent="0.25">
      <c r="A405">
        <v>68.620649819081194</v>
      </c>
      <c r="B405">
        <v>49.781491987775603</v>
      </c>
      <c r="C405">
        <v>2001</v>
      </c>
    </row>
    <row r="406" spans="1:11" x14ac:dyDescent="0.25">
      <c r="A406">
        <v>100.21850801222401</v>
      </c>
      <c r="B406">
        <v>81.379350180918806</v>
      </c>
      <c r="C406">
        <v>2001</v>
      </c>
    </row>
    <row r="407" spans="1:11" x14ac:dyDescent="0.25">
      <c r="A407">
        <v>113.884533474629</v>
      </c>
      <c r="B407">
        <v>95.045375643323595</v>
      </c>
      <c r="C407">
        <v>2001</v>
      </c>
    </row>
    <row r="408" spans="1:11" x14ac:dyDescent="0.25">
      <c r="A408">
        <v>113.44751745018</v>
      </c>
      <c r="B408">
        <v>95.482391667772404</v>
      </c>
      <c r="C408">
        <v>2000</v>
      </c>
    </row>
    <row r="409" spans="1:11" x14ac:dyDescent="0.25">
      <c r="A409">
        <v>99.781491987775595</v>
      </c>
      <c r="B409">
        <v>81.816366205367601</v>
      </c>
      <c r="C409">
        <v>2000</v>
      </c>
    </row>
    <row r="410" spans="1:11" x14ac:dyDescent="0.25">
      <c r="A410">
        <v>68.183633794632399</v>
      </c>
      <c r="B410">
        <v>50.218508012224397</v>
      </c>
      <c r="C410">
        <v>2000</v>
      </c>
    </row>
    <row r="411" spans="1:11" x14ac:dyDescent="0.25">
      <c r="A411">
        <v>49.781491987775603</v>
      </c>
      <c r="B411">
        <v>31.816366205367601</v>
      </c>
      <c r="C411">
        <v>2000</v>
      </c>
    </row>
    <row r="412" spans="1:11" x14ac:dyDescent="0.25">
      <c r="A412" t="s">
        <v>88</v>
      </c>
    </row>
    <row r="413" spans="1:11" x14ac:dyDescent="0.25">
      <c r="A413">
        <v>423</v>
      </c>
      <c r="B413">
        <v>0</v>
      </c>
      <c r="C413">
        <v>100.468632239109</v>
      </c>
      <c r="D413">
        <v>8.2117541215068108</v>
      </c>
      <c r="E413">
        <v>12</v>
      </c>
      <c r="F413">
        <v>1.01722196789785</v>
      </c>
      <c r="G413" t="s">
        <v>85</v>
      </c>
      <c r="H413" t="s">
        <v>86</v>
      </c>
      <c r="I413">
        <v>0</v>
      </c>
      <c r="J413">
        <v>430</v>
      </c>
      <c r="K413">
        <v>0</v>
      </c>
    </row>
    <row r="414" spans="1:11" x14ac:dyDescent="0.25">
      <c r="A414" t="s">
        <v>87</v>
      </c>
    </row>
    <row r="415" spans="1:11" x14ac:dyDescent="0.25">
      <c r="A415">
        <v>104.30017122407</v>
      </c>
      <c r="B415">
        <v>70.823543140587006</v>
      </c>
      <c r="C415">
        <v>2000</v>
      </c>
    </row>
    <row r="416" spans="1:11" x14ac:dyDescent="0.25">
      <c r="A416">
        <v>100.21850801222401</v>
      </c>
      <c r="B416">
        <v>66.741879928741398</v>
      </c>
      <c r="C416">
        <v>2000</v>
      </c>
    </row>
    <row r="417" spans="1:11" x14ac:dyDescent="0.25">
      <c r="A417">
        <v>83.258120071258602</v>
      </c>
      <c r="B417">
        <v>49.781491987775603</v>
      </c>
      <c r="C417">
        <v>2000</v>
      </c>
    </row>
    <row r="418" spans="1:11" x14ac:dyDescent="0.25">
      <c r="A418">
        <v>50.362896411338099</v>
      </c>
      <c r="B418">
        <v>16.886268327855099</v>
      </c>
      <c r="C418">
        <v>2000</v>
      </c>
    </row>
    <row r="419" spans="1:11" x14ac:dyDescent="0.25">
      <c r="A419">
        <v>33.476628083483</v>
      </c>
      <c r="B419">
        <v>0</v>
      </c>
      <c r="C419">
        <v>2000</v>
      </c>
    </row>
    <row r="420" spans="1:11" x14ac:dyDescent="0.25">
      <c r="A420">
        <v>32.602596034585403</v>
      </c>
      <c r="B420">
        <v>0</v>
      </c>
      <c r="C420">
        <v>2001</v>
      </c>
    </row>
    <row r="421" spans="1:11" x14ac:dyDescent="0.25">
      <c r="A421">
        <v>49.637103588661901</v>
      </c>
      <c r="B421">
        <v>17.034507554076502</v>
      </c>
      <c r="C421">
        <v>2001</v>
      </c>
    </row>
    <row r="422" spans="1:11" x14ac:dyDescent="0.25">
      <c r="A422">
        <v>82.821104046809793</v>
      </c>
      <c r="B422">
        <v>50.218508012224397</v>
      </c>
      <c r="C422">
        <v>2001</v>
      </c>
    </row>
    <row r="423" spans="1:11" x14ac:dyDescent="0.25">
      <c r="A423">
        <v>99.781491987775595</v>
      </c>
      <c r="B423">
        <v>67.178895953190207</v>
      </c>
      <c r="C423">
        <v>2001</v>
      </c>
    </row>
    <row r="424" spans="1:11" x14ac:dyDescent="0.25">
      <c r="A424">
        <v>103.863155199621</v>
      </c>
      <c r="B424">
        <v>71.260559165035801</v>
      </c>
      <c r="C424">
        <v>2001</v>
      </c>
    </row>
    <row r="425" spans="1:11" x14ac:dyDescent="0.25">
      <c r="A425">
        <v>109.669742224375</v>
      </c>
      <c r="B425">
        <v>77.067146189789895</v>
      </c>
      <c r="C425">
        <v>2001</v>
      </c>
    </row>
    <row r="426" spans="1:11" x14ac:dyDescent="0.25">
      <c r="A426">
        <v>110.10675824882399</v>
      </c>
      <c r="B426">
        <v>76.630130165341001</v>
      </c>
      <c r="C426">
        <v>2000</v>
      </c>
    </row>
    <row r="427" spans="1:11" x14ac:dyDescent="0.25">
      <c r="A427" t="s">
        <v>88</v>
      </c>
    </row>
    <row r="428" spans="1:11" x14ac:dyDescent="0.25">
      <c r="A428">
        <v>119</v>
      </c>
      <c r="B428">
        <v>0</v>
      </c>
      <c r="C428">
        <v>58.412899268211298</v>
      </c>
      <c r="D428">
        <v>50.216465891994297</v>
      </c>
      <c r="E428">
        <v>12</v>
      </c>
      <c r="F428">
        <v>1.01722196789785</v>
      </c>
      <c r="G428" t="s">
        <v>85</v>
      </c>
      <c r="H428" t="s">
        <v>86</v>
      </c>
      <c r="I428">
        <v>0</v>
      </c>
      <c r="J428">
        <v>414</v>
      </c>
      <c r="K428">
        <v>0</v>
      </c>
    </row>
    <row r="429" spans="1:11" x14ac:dyDescent="0.25">
      <c r="A429" t="s">
        <v>87</v>
      </c>
    </row>
    <row r="430" spans="1:11" x14ac:dyDescent="0.25">
      <c r="A430">
        <v>66.485572816380596</v>
      </c>
      <c r="B430">
        <v>41.492392957246899</v>
      </c>
      <c r="C430">
        <v>2000</v>
      </c>
    </row>
    <row r="431" spans="1:11" x14ac:dyDescent="0.25">
      <c r="A431">
        <v>49.692963605317097</v>
      </c>
      <c r="B431">
        <v>24.699783746183499</v>
      </c>
      <c r="C431">
        <v>2000</v>
      </c>
    </row>
    <row r="432" spans="1:11" x14ac:dyDescent="0.25">
      <c r="A432">
        <v>24.993179859133601</v>
      </c>
      <c r="B432">
        <v>0</v>
      </c>
      <c r="C432">
        <v>2000</v>
      </c>
    </row>
    <row r="433" spans="1:11" x14ac:dyDescent="0.25">
      <c r="A433">
        <v>25.867211908031202</v>
      </c>
      <c r="B433">
        <v>0</v>
      </c>
      <c r="C433">
        <v>2001</v>
      </c>
    </row>
    <row r="434" spans="1:11" x14ac:dyDescent="0.25">
      <c r="A434">
        <v>50.307036394682903</v>
      </c>
      <c r="B434">
        <v>24.439824486651599</v>
      </c>
      <c r="C434">
        <v>2001</v>
      </c>
    </row>
    <row r="435" spans="1:11" x14ac:dyDescent="0.25">
      <c r="A435">
        <v>66.983133313422201</v>
      </c>
      <c r="B435">
        <v>41.1159214053909</v>
      </c>
      <c r="C435">
        <v>2001</v>
      </c>
    </row>
    <row r="436" spans="1:11" x14ac:dyDescent="0.25">
      <c r="A436">
        <v>75.648703895806904</v>
      </c>
      <c r="B436">
        <v>49.781491987775603</v>
      </c>
      <c r="C436">
        <v>2001</v>
      </c>
    </row>
    <row r="437" spans="1:11" x14ac:dyDescent="0.25">
      <c r="A437">
        <v>100.21850801222401</v>
      </c>
      <c r="B437">
        <v>74.351296104193096</v>
      </c>
      <c r="C437">
        <v>2001</v>
      </c>
    </row>
    <row r="438" spans="1:11" x14ac:dyDescent="0.25">
      <c r="A438">
        <v>102.46126463657799</v>
      </c>
      <c r="B438">
        <v>76.5940527285466</v>
      </c>
      <c r="C438">
        <v>2001</v>
      </c>
    </row>
    <row r="439" spans="1:11" x14ac:dyDescent="0.25">
      <c r="A439">
        <v>102.024248612129</v>
      </c>
      <c r="B439">
        <v>77.031068752995395</v>
      </c>
      <c r="C439">
        <v>2000</v>
      </c>
    </row>
    <row r="440" spans="1:11" x14ac:dyDescent="0.25">
      <c r="A440">
        <v>99.781491987775595</v>
      </c>
      <c r="B440">
        <v>74.788312128641905</v>
      </c>
      <c r="C440">
        <v>2000</v>
      </c>
    </row>
    <row r="441" spans="1:11" x14ac:dyDescent="0.25">
      <c r="A441">
        <v>75.211687871358095</v>
      </c>
      <c r="B441">
        <v>50.218508012224397</v>
      </c>
      <c r="C441">
        <v>2000</v>
      </c>
    </row>
    <row r="442" spans="1:11" x14ac:dyDescent="0.25">
      <c r="A442" t="s">
        <v>88</v>
      </c>
    </row>
    <row r="443" spans="1:11" x14ac:dyDescent="0.25">
      <c r="A443">
        <v>516</v>
      </c>
      <c r="B443">
        <v>0</v>
      </c>
      <c r="C443">
        <v>71.788483802766393</v>
      </c>
      <c r="D443">
        <v>33.3725704669477</v>
      </c>
      <c r="E443">
        <v>14</v>
      </c>
      <c r="F443">
        <v>1.01722196789785</v>
      </c>
      <c r="G443" t="s">
        <v>86</v>
      </c>
      <c r="H443" t="s">
        <v>86</v>
      </c>
      <c r="I443">
        <v>13</v>
      </c>
      <c r="J443">
        <v>182</v>
      </c>
      <c r="K443">
        <v>0</v>
      </c>
    </row>
    <row r="444" spans="1:11" x14ac:dyDescent="0.25">
      <c r="A444" t="s">
        <v>87</v>
      </c>
    </row>
    <row r="445" spans="1:11" x14ac:dyDescent="0.25">
      <c r="A445">
        <v>87.921597818337403</v>
      </c>
      <c r="B445">
        <v>79.646190394021502</v>
      </c>
      <c r="C445">
        <v>2000</v>
      </c>
    </row>
    <row r="446" spans="1:11" x14ac:dyDescent="0.25">
      <c r="A446">
        <v>58.056899412091497</v>
      </c>
      <c r="B446">
        <v>49.781491987775603</v>
      </c>
      <c r="C446">
        <v>2000</v>
      </c>
    </row>
    <row r="447" spans="1:11" x14ac:dyDescent="0.25">
      <c r="A447">
        <v>50.218508012224397</v>
      </c>
      <c r="B447">
        <v>41.943100587908503</v>
      </c>
      <c r="C447">
        <v>2000</v>
      </c>
    </row>
    <row r="448" spans="1:11" x14ac:dyDescent="0.25">
      <c r="A448">
        <v>37.1594741103006</v>
      </c>
      <c r="B448">
        <v>28.884066685984699</v>
      </c>
      <c r="C448">
        <v>2000</v>
      </c>
    </row>
    <row r="449" spans="1:11" x14ac:dyDescent="0.25">
      <c r="A449">
        <v>36.722458085851699</v>
      </c>
      <c r="B449">
        <v>29.321082710433501</v>
      </c>
      <c r="C449">
        <v>2001</v>
      </c>
    </row>
    <row r="450" spans="1:11" x14ac:dyDescent="0.25">
      <c r="A450">
        <v>49.781491987775603</v>
      </c>
      <c r="B450">
        <v>42.380116612357398</v>
      </c>
      <c r="C450">
        <v>2001</v>
      </c>
    </row>
    <row r="451" spans="1:11" x14ac:dyDescent="0.25">
      <c r="A451">
        <v>57.619883387642602</v>
      </c>
      <c r="B451">
        <v>50.218508012224397</v>
      </c>
      <c r="C451">
        <v>2001</v>
      </c>
    </row>
    <row r="452" spans="1:11" x14ac:dyDescent="0.25">
      <c r="A452">
        <v>87.484581793888495</v>
      </c>
      <c r="B452">
        <v>80.083206418470297</v>
      </c>
      <c r="C452">
        <v>2001</v>
      </c>
    </row>
    <row r="453" spans="1:11" x14ac:dyDescent="0.25">
      <c r="A453">
        <v>99.781491987775595</v>
      </c>
      <c r="B453">
        <v>92.380116612357298</v>
      </c>
      <c r="C453">
        <v>2001</v>
      </c>
    </row>
    <row r="454" spans="1:11" x14ac:dyDescent="0.25">
      <c r="A454">
        <v>107.619883387643</v>
      </c>
      <c r="B454">
        <v>100.21850801222401</v>
      </c>
      <c r="C454">
        <v>2001</v>
      </c>
    </row>
    <row r="455" spans="1:11" x14ac:dyDescent="0.25">
      <c r="A455">
        <v>111.082552676693</v>
      </c>
      <c r="B455">
        <v>103.681177301275</v>
      </c>
      <c r="C455">
        <v>2001</v>
      </c>
    </row>
    <row r="456" spans="1:11" x14ac:dyDescent="0.25">
      <c r="A456">
        <v>111.51956870114201</v>
      </c>
      <c r="B456">
        <v>103.24416127682601</v>
      </c>
      <c r="C456">
        <v>2000</v>
      </c>
    </row>
    <row r="457" spans="1:11" x14ac:dyDescent="0.25">
      <c r="A457">
        <v>108.05689941209199</v>
      </c>
      <c r="B457">
        <v>99.781491987775595</v>
      </c>
      <c r="C457">
        <v>2000</v>
      </c>
    </row>
    <row r="458" spans="1:11" x14ac:dyDescent="0.25">
      <c r="A458">
        <v>100.21850801222401</v>
      </c>
      <c r="B458">
        <v>91.943100587908503</v>
      </c>
      <c r="C458">
        <v>2000</v>
      </c>
    </row>
    <row r="459" spans="1:11" x14ac:dyDescent="0.25">
      <c r="A459" t="s">
        <v>88</v>
      </c>
    </row>
    <row r="460" spans="1:11" x14ac:dyDescent="0.25">
      <c r="A460">
        <v>426</v>
      </c>
      <c r="B460">
        <v>0</v>
      </c>
      <c r="C460">
        <v>82.5913591449129</v>
      </c>
      <c r="D460">
        <v>22.514046452207999</v>
      </c>
      <c r="E460">
        <v>10</v>
      </c>
      <c r="F460">
        <v>1.01722196789785</v>
      </c>
      <c r="G460" t="s">
        <v>85</v>
      </c>
      <c r="H460" t="s">
        <v>85</v>
      </c>
      <c r="I460">
        <v>0</v>
      </c>
      <c r="J460">
        <v>0</v>
      </c>
      <c r="K460">
        <v>0</v>
      </c>
    </row>
    <row r="461" spans="1:11" x14ac:dyDescent="0.25">
      <c r="A461" t="s">
        <v>87</v>
      </c>
    </row>
    <row r="462" spans="1:11" x14ac:dyDescent="0.25">
      <c r="A462">
        <v>133.937134451768</v>
      </c>
      <c r="B462">
        <v>58.694895513303599</v>
      </c>
      <c r="C462">
        <v>2000</v>
      </c>
    </row>
    <row r="463" spans="1:11" x14ac:dyDescent="0.25">
      <c r="A463">
        <v>125.460746950689</v>
      </c>
      <c r="B463">
        <v>50.218508012224397</v>
      </c>
      <c r="C463">
        <v>2000</v>
      </c>
    </row>
    <row r="464" spans="1:11" x14ac:dyDescent="0.25">
      <c r="A464">
        <v>99.669269528628604</v>
      </c>
      <c r="B464">
        <v>24.427030590164101</v>
      </c>
      <c r="C464">
        <v>2000</v>
      </c>
    </row>
    <row r="465" spans="1:11" x14ac:dyDescent="0.25">
      <c r="A465">
        <v>75.242238938464496</v>
      </c>
      <c r="B465">
        <v>0</v>
      </c>
      <c r="C465">
        <v>2000</v>
      </c>
    </row>
    <row r="466" spans="1:11" x14ac:dyDescent="0.25">
      <c r="A466">
        <v>76.1162709873621</v>
      </c>
      <c r="B466">
        <v>0</v>
      </c>
      <c r="C466">
        <v>2001</v>
      </c>
    </row>
    <row r="467" spans="1:11" x14ac:dyDescent="0.25">
      <c r="A467">
        <v>100.330730471371</v>
      </c>
      <c r="B467">
        <v>24.2144594840093</v>
      </c>
      <c r="C467">
        <v>2001</v>
      </c>
    </row>
    <row r="468" spans="1:11" x14ac:dyDescent="0.25">
      <c r="A468">
        <v>125.89776297513799</v>
      </c>
      <c r="B468">
        <v>49.781491987775603</v>
      </c>
      <c r="C468">
        <v>2001</v>
      </c>
    </row>
    <row r="469" spans="1:11" x14ac:dyDescent="0.25">
      <c r="A469">
        <v>134.223195711621</v>
      </c>
      <c r="B469">
        <v>58.106924724259301</v>
      </c>
      <c r="C469">
        <v>2001</v>
      </c>
    </row>
    <row r="470" spans="1:11" x14ac:dyDescent="0.25">
      <c r="A470">
        <v>150</v>
      </c>
      <c r="B470">
        <v>73.883729012637801</v>
      </c>
      <c r="C470">
        <v>2001</v>
      </c>
    </row>
    <row r="471" spans="1:11" x14ac:dyDescent="0.25">
      <c r="A471">
        <v>150</v>
      </c>
      <c r="B471">
        <v>74.757761061535504</v>
      </c>
      <c r="C471">
        <v>2000</v>
      </c>
    </row>
    <row r="472" spans="1:11" x14ac:dyDescent="0.25">
      <c r="A472" t="s">
        <v>88</v>
      </c>
    </row>
    <row r="473" spans="1:11" x14ac:dyDescent="0.25">
      <c r="A473">
        <v>108</v>
      </c>
      <c r="B473">
        <v>0</v>
      </c>
      <c r="C473">
        <v>0.81061972204674504</v>
      </c>
      <c r="D473">
        <v>102.857419960229</v>
      </c>
      <c r="E473">
        <v>10</v>
      </c>
      <c r="F473">
        <v>1.01722196789785</v>
      </c>
      <c r="G473" t="s">
        <v>85</v>
      </c>
      <c r="H473" t="s">
        <v>85</v>
      </c>
      <c r="I473">
        <v>0</v>
      </c>
      <c r="J473">
        <v>0</v>
      </c>
      <c r="K473">
        <v>0</v>
      </c>
    </row>
    <row r="474" spans="1:11" x14ac:dyDescent="0.25">
      <c r="A474" t="s">
        <v>87</v>
      </c>
    </row>
    <row r="475" spans="1:11" x14ac:dyDescent="0.25">
      <c r="A475">
        <v>76.837179252419403</v>
      </c>
      <c r="B475">
        <v>0.57856912852158404</v>
      </c>
      <c r="C475">
        <v>2000</v>
      </c>
    </row>
    <row r="476" spans="1:11" x14ac:dyDescent="0.25">
      <c r="A476">
        <v>76.258610123897796</v>
      </c>
      <c r="B476">
        <v>0</v>
      </c>
      <c r="C476">
        <v>2000</v>
      </c>
    </row>
    <row r="477" spans="1:11" x14ac:dyDescent="0.25">
      <c r="A477">
        <v>77.1326421727954</v>
      </c>
      <c r="B477">
        <v>0</v>
      </c>
      <c r="C477">
        <v>2001</v>
      </c>
    </row>
    <row r="478" spans="1:11" x14ac:dyDescent="0.25">
      <c r="A478">
        <v>77.700462449119499</v>
      </c>
      <c r="B478">
        <v>0.56782027632403098</v>
      </c>
      <c r="C478">
        <v>2001</v>
      </c>
    </row>
    <row r="479" spans="1:11" x14ac:dyDescent="0.25">
      <c r="A479">
        <v>100.21850801222401</v>
      </c>
      <c r="B479">
        <v>23.085865839428902</v>
      </c>
      <c r="C479">
        <v>2001</v>
      </c>
    </row>
    <row r="480" spans="1:11" x14ac:dyDescent="0.25">
      <c r="A480">
        <v>126.797469996476</v>
      </c>
      <c r="B480">
        <v>49.664827823680298</v>
      </c>
      <c r="C480">
        <v>2001</v>
      </c>
    </row>
    <row r="481" spans="1:11" x14ac:dyDescent="0.25">
      <c r="A481">
        <v>150</v>
      </c>
      <c r="B481">
        <v>72.867357827204501</v>
      </c>
      <c r="C481">
        <v>2001</v>
      </c>
    </row>
    <row r="482" spans="1:11" x14ac:dyDescent="0.25">
      <c r="A482">
        <v>150</v>
      </c>
      <c r="B482">
        <v>73.741389876102204</v>
      </c>
      <c r="C482">
        <v>2000</v>
      </c>
    </row>
    <row r="483" spans="1:11" x14ac:dyDescent="0.25">
      <c r="A483">
        <v>126.593782300217</v>
      </c>
      <c r="B483">
        <v>50.335172176319602</v>
      </c>
      <c r="C483">
        <v>2000</v>
      </c>
    </row>
    <row r="484" spans="1:11" x14ac:dyDescent="0.25">
      <c r="A484">
        <v>99.781491987775595</v>
      </c>
      <c r="B484">
        <v>23.522881863877799</v>
      </c>
      <c r="C484">
        <v>2000</v>
      </c>
    </row>
    <row r="485" spans="1:11" x14ac:dyDescent="0.25">
      <c r="A485" t="s">
        <v>88</v>
      </c>
    </row>
    <row r="486" spans="1:11" x14ac:dyDescent="0.25">
      <c r="A486">
        <v>740</v>
      </c>
      <c r="B486">
        <v>0</v>
      </c>
      <c r="C486">
        <v>28.953520419782599</v>
      </c>
      <c r="D486">
        <v>74.6011331270076</v>
      </c>
      <c r="E486">
        <v>12</v>
      </c>
      <c r="F486">
        <v>1.01722196789785</v>
      </c>
      <c r="G486" t="s">
        <v>86</v>
      </c>
      <c r="H486" t="s">
        <v>85</v>
      </c>
      <c r="I486">
        <v>86</v>
      </c>
      <c r="J486">
        <v>0</v>
      </c>
      <c r="K486">
        <v>0.13301713194732501</v>
      </c>
    </row>
    <row r="487" spans="1:11" x14ac:dyDescent="0.25">
      <c r="A487" t="s">
        <v>87</v>
      </c>
    </row>
    <row r="488" spans="1:11" x14ac:dyDescent="0.25">
      <c r="A488">
        <v>97.467540893916905</v>
      </c>
      <c r="B488">
        <v>58.092933043419599</v>
      </c>
      <c r="C488">
        <v>2000</v>
      </c>
    </row>
    <row r="489" spans="1:11" x14ac:dyDescent="0.25">
      <c r="A489">
        <v>89.156099838272894</v>
      </c>
      <c r="B489">
        <v>49.781491987775603</v>
      </c>
      <c r="C489">
        <v>2000</v>
      </c>
    </row>
    <row r="490" spans="1:11" x14ac:dyDescent="0.25">
      <c r="A490">
        <v>76.994310265865494</v>
      </c>
      <c r="B490">
        <v>37.619702415368202</v>
      </c>
      <c r="C490">
        <v>2000</v>
      </c>
    </row>
    <row r="491" spans="1:11" x14ac:dyDescent="0.25">
      <c r="A491">
        <v>76.557294241416699</v>
      </c>
      <c r="B491">
        <v>38.056718439816997</v>
      </c>
      <c r="C491">
        <v>2001</v>
      </c>
    </row>
    <row r="492" spans="1:11" x14ac:dyDescent="0.25">
      <c r="A492">
        <v>88.719083813824099</v>
      </c>
      <c r="B492">
        <v>50.218508012224397</v>
      </c>
      <c r="C492">
        <v>2001</v>
      </c>
    </row>
    <row r="493" spans="1:11" x14ac:dyDescent="0.25">
      <c r="A493">
        <v>97.030524869468096</v>
      </c>
      <c r="B493">
        <v>58.529949067868401</v>
      </c>
      <c r="C493">
        <v>2001</v>
      </c>
    </row>
    <row r="494" spans="1:11" x14ac:dyDescent="0.25">
      <c r="A494">
        <v>99.781491987775595</v>
      </c>
      <c r="B494">
        <v>61.280916186175901</v>
      </c>
      <c r="C494">
        <v>2001</v>
      </c>
    </row>
    <row r="495" spans="1:11" x14ac:dyDescent="0.25">
      <c r="A495">
        <v>138.88924732963801</v>
      </c>
      <c r="B495">
        <v>100.388671528039</v>
      </c>
      <c r="C495">
        <v>2001</v>
      </c>
    </row>
    <row r="496" spans="1:11" x14ac:dyDescent="0.25">
      <c r="A496">
        <v>150</v>
      </c>
      <c r="B496">
        <v>111.49942419840001</v>
      </c>
      <c r="C496">
        <v>2001</v>
      </c>
    </row>
    <row r="497" spans="1:11" x14ac:dyDescent="0.25">
      <c r="A497">
        <v>150</v>
      </c>
      <c r="B497">
        <v>110.625392149503</v>
      </c>
      <c r="C497">
        <v>2000</v>
      </c>
    </row>
    <row r="498" spans="1:11" x14ac:dyDescent="0.25">
      <c r="A498">
        <v>138.985936322459</v>
      </c>
      <c r="B498">
        <v>99.611328471961301</v>
      </c>
      <c r="C498">
        <v>2000</v>
      </c>
    </row>
    <row r="499" spans="1:11" x14ac:dyDescent="0.25">
      <c r="A499">
        <v>100.21850801222401</v>
      </c>
      <c r="B499">
        <v>60.843900161727099</v>
      </c>
      <c r="C499">
        <v>2000</v>
      </c>
    </row>
    <row r="500" spans="1:11" x14ac:dyDescent="0.25">
      <c r="A500" t="s">
        <v>88</v>
      </c>
    </row>
    <row r="501" spans="1:11" x14ac:dyDescent="0.25">
      <c r="A501">
        <v>674</v>
      </c>
      <c r="B501">
        <v>0</v>
      </c>
      <c r="C501">
        <v>15.118522641581</v>
      </c>
      <c r="D501">
        <v>86.070434767390907</v>
      </c>
      <c r="E501">
        <v>10</v>
      </c>
      <c r="F501">
        <v>1.01722196789785</v>
      </c>
      <c r="G501" t="s">
        <v>85</v>
      </c>
      <c r="H501" t="s">
        <v>85</v>
      </c>
      <c r="I501">
        <v>0</v>
      </c>
      <c r="J501">
        <v>0</v>
      </c>
      <c r="K501">
        <v>0</v>
      </c>
    </row>
    <row r="502" spans="1:11" x14ac:dyDescent="0.25">
      <c r="A502" t="s">
        <v>87</v>
      </c>
    </row>
    <row r="503" spans="1:11" x14ac:dyDescent="0.25">
      <c r="A503">
        <v>10.5820206150903</v>
      </c>
      <c r="B503">
        <v>89.467638674458399</v>
      </c>
      <c r="C503">
        <v>2000</v>
      </c>
    </row>
    <row r="504" spans="1:11" x14ac:dyDescent="0.25">
      <c r="A504">
        <v>0</v>
      </c>
      <c r="B504">
        <v>78.885618059368099</v>
      </c>
      <c r="C504">
        <v>2000</v>
      </c>
    </row>
    <row r="505" spans="1:11" x14ac:dyDescent="0.25">
      <c r="A505">
        <v>0</v>
      </c>
      <c r="B505">
        <v>78.011586010470396</v>
      </c>
      <c r="C505">
        <v>2001</v>
      </c>
    </row>
    <row r="506" spans="1:11" x14ac:dyDescent="0.25">
      <c r="A506">
        <v>10.798799147678301</v>
      </c>
      <c r="B506">
        <v>88.810385158148804</v>
      </c>
      <c r="C506">
        <v>2001</v>
      </c>
    </row>
    <row r="507" spans="1:11" x14ac:dyDescent="0.25">
      <c r="A507">
        <v>21.7699059773052</v>
      </c>
      <c r="B507">
        <v>99.781491987775595</v>
      </c>
      <c r="C507">
        <v>2001</v>
      </c>
    </row>
    <row r="508" spans="1:11" x14ac:dyDescent="0.25">
      <c r="A508">
        <v>50.3428329618487</v>
      </c>
      <c r="B508">
        <v>128.354418972319</v>
      </c>
      <c r="C508">
        <v>2001</v>
      </c>
    </row>
    <row r="509" spans="1:11" x14ac:dyDescent="0.25">
      <c r="A509">
        <v>71.988413989529604</v>
      </c>
      <c r="B509">
        <v>150</v>
      </c>
      <c r="C509">
        <v>2001</v>
      </c>
    </row>
    <row r="510" spans="1:11" x14ac:dyDescent="0.25">
      <c r="A510">
        <v>71.114381940632001</v>
      </c>
      <c r="B510">
        <v>150</v>
      </c>
      <c r="C510">
        <v>2000</v>
      </c>
    </row>
    <row r="511" spans="1:11" x14ac:dyDescent="0.25">
      <c r="A511">
        <v>49.6571670381513</v>
      </c>
      <c r="B511">
        <v>128.54278509751899</v>
      </c>
      <c r="C511">
        <v>2000</v>
      </c>
    </row>
    <row r="512" spans="1:11" x14ac:dyDescent="0.25">
      <c r="A512">
        <v>21.332889952856299</v>
      </c>
      <c r="B512">
        <v>100.21850801222401</v>
      </c>
      <c r="C512">
        <v>2000</v>
      </c>
    </row>
    <row r="513" spans="1:11" x14ac:dyDescent="0.25">
      <c r="A513" t="s">
        <v>88</v>
      </c>
    </row>
    <row r="514" spans="1:11" x14ac:dyDescent="0.25">
      <c r="A514">
        <v>678</v>
      </c>
      <c r="B514">
        <v>0</v>
      </c>
      <c r="C514">
        <v>10.7352594823211</v>
      </c>
      <c r="D514">
        <v>88.594446733681295</v>
      </c>
      <c r="E514">
        <v>10</v>
      </c>
      <c r="F514">
        <v>1.01722196789785</v>
      </c>
      <c r="G514" t="s">
        <v>85</v>
      </c>
      <c r="H514" t="s">
        <v>85</v>
      </c>
      <c r="I514">
        <v>0</v>
      </c>
      <c r="J514">
        <v>0</v>
      </c>
      <c r="K514">
        <v>0</v>
      </c>
    </row>
    <row r="515" spans="1:11" x14ac:dyDescent="0.25">
      <c r="A515" t="s">
        <v>87</v>
      </c>
    </row>
    <row r="516" spans="1:11" x14ac:dyDescent="0.25">
      <c r="A516">
        <v>7.5090104216468703</v>
      </c>
      <c r="B516">
        <v>87.709317607492807</v>
      </c>
      <c r="C516">
        <v>2000</v>
      </c>
    </row>
    <row r="517" spans="1:11" x14ac:dyDescent="0.25">
      <c r="A517">
        <v>0</v>
      </c>
      <c r="B517">
        <v>80.200307185846</v>
      </c>
      <c r="C517">
        <v>2000</v>
      </c>
    </row>
    <row r="518" spans="1:11" x14ac:dyDescent="0.25">
      <c r="A518">
        <v>0</v>
      </c>
      <c r="B518">
        <v>79.326275136948297</v>
      </c>
      <c r="C518">
        <v>2001</v>
      </c>
    </row>
    <row r="519" spans="1:11" x14ac:dyDescent="0.25">
      <c r="A519">
        <v>7.67293913384606</v>
      </c>
      <c r="B519">
        <v>86.999214270794397</v>
      </c>
      <c r="C519">
        <v>2001</v>
      </c>
    </row>
    <row r="520" spans="1:11" x14ac:dyDescent="0.25">
      <c r="A520">
        <v>20.455216850827298</v>
      </c>
      <c r="B520">
        <v>99.781491987775595</v>
      </c>
      <c r="C520">
        <v>2001</v>
      </c>
    </row>
    <row r="521" spans="1:11" x14ac:dyDescent="0.25">
      <c r="A521">
        <v>50.348578364003103</v>
      </c>
      <c r="B521">
        <v>129.674853500951</v>
      </c>
      <c r="C521">
        <v>2001</v>
      </c>
    </row>
    <row r="522" spans="1:11" x14ac:dyDescent="0.25">
      <c r="A522">
        <v>70.673724863051703</v>
      </c>
      <c r="B522">
        <v>150</v>
      </c>
      <c r="C522">
        <v>2001</v>
      </c>
    </row>
    <row r="523" spans="1:11" x14ac:dyDescent="0.25">
      <c r="A523">
        <v>69.799692814154099</v>
      </c>
      <c r="B523">
        <v>150</v>
      </c>
      <c r="C523">
        <v>2000</v>
      </c>
    </row>
    <row r="524" spans="1:11" x14ac:dyDescent="0.25">
      <c r="A524">
        <v>49.651421635996897</v>
      </c>
      <c r="B524">
        <v>129.85172882184301</v>
      </c>
      <c r="C524">
        <v>2000</v>
      </c>
    </row>
    <row r="525" spans="1:11" x14ac:dyDescent="0.25">
      <c r="A525">
        <v>20.0182008263785</v>
      </c>
      <c r="B525">
        <v>100.21850801222401</v>
      </c>
      <c r="C525">
        <v>2000</v>
      </c>
    </row>
    <row r="526" spans="1:11" x14ac:dyDescent="0.25">
      <c r="A526" t="s">
        <v>88</v>
      </c>
    </row>
    <row r="527" spans="1:11" x14ac:dyDescent="0.25">
      <c r="A527">
        <v>518</v>
      </c>
      <c r="B527">
        <v>0</v>
      </c>
      <c r="C527">
        <v>84.368415850223201</v>
      </c>
      <c r="D527">
        <v>14.374000044014601</v>
      </c>
      <c r="E527">
        <v>10</v>
      </c>
      <c r="F527">
        <v>1.01722196789785</v>
      </c>
      <c r="G527" t="s">
        <v>85</v>
      </c>
      <c r="H527" t="s">
        <v>86</v>
      </c>
      <c r="I527">
        <v>0</v>
      </c>
      <c r="J527">
        <v>437</v>
      </c>
      <c r="K527">
        <v>0</v>
      </c>
    </row>
    <row r="528" spans="1:11" x14ac:dyDescent="0.25">
      <c r="A528" t="s">
        <v>87</v>
      </c>
    </row>
    <row r="529" spans="1:11" x14ac:dyDescent="0.25">
      <c r="A529">
        <v>79.8075266167601</v>
      </c>
      <c r="B529">
        <v>59.875986977883798</v>
      </c>
      <c r="C529">
        <v>2000</v>
      </c>
    </row>
    <row r="530" spans="1:11" x14ac:dyDescent="0.25">
      <c r="A530">
        <v>70.150047651100707</v>
      </c>
      <c r="B530">
        <v>50.218508012224397</v>
      </c>
      <c r="C530">
        <v>2000</v>
      </c>
    </row>
    <row r="531" spans="1:11" x14ac:dyDescent="0.25">
      <c r="A531">
        <v>49.692478135578099</v>
      </c>
      <c r="B531">
        <v>29.760938496701801</v>
      </c>
      <c r="C531">
        <v>2000</v>
      </c>
    </row>
    <row r="532" spans="1:11" x14ac:dyDescent="0.25">
      <c r="A532">
        <v>19.931539638876298</v>
      </c>
      <c r="B532">
        <v>0</v>
      </c>
      <c r="C532">
        <v>2000</v>
      </c>
    </row>
    <row r="533" spans="1:11" x14ac:dyDescent="0.25">
      <c r="A533">
        <v>20.805571687773899</v>
      </c>
      <c r="B533">
        <v>0</v>
      </c>
      <c r="C533">
        <v>2001</v>
      </c>
    </row>
    <row r="534" spans="1:11" x14ac:dyDescent="0.25">
      <c r="A534">
        <v>50.307521864421901</v>
      </c>
      <c r="B534">
        <v>29.501950176647998</v>
      </c>
      <c r="C534">
        <v>2001</v>
      </c>
    </row>
    <row r="535" spans="1:11" x14ac:dyDescent="0.25">
      <c r="A535">
        <v>70.587063675549601</v>
      </c>
      <c r="B535">
        <v>49.781491987775603</v>
      </c>
      <c r="C535">
        <v>2001</v>
      </c>
    </row>
    <row r="536" spans="1:11" x14ac:dyDescent="0.25">
      <c r="A536">
        <v>80.244542641208895</v>
      </c>
      <c r="B536">
        <v>59.438970953435003</v>
      </c>
      <c r="C536">
        <v>2001</v>
      </c>
    </row>
    <row r="537" spans="1:11" x14ac:dyDescent="0.25">
      <c r="A537">
        <v>90.408495545107399</v>
      </c>
      <c r="B537">
        <v>69.602923857333394</v>
      </c>
      <c r="C537">
        <v>2001</v>
      </c>
    </row>
    <row r="538" spans="1:11" x14ac:dyDescent="0.25">
      <c r="A538">
        <v>89.971479520658505</v>
      </c>
      <c r="B538">
        <v>70.039939881782203</v>
      </c>
      <c r="C538">
        <v>2000</v>
      </c>
    </row>
    <row r="539" spans="1:11" x14ac:dyDescent="0.25">
      <c r="A539" t="s">
        <v>88</v>
      </c>
    </row>
    <row r="540" spans="1:11" x14ac:dyDescent="0.25">
      <c r="A540">
        <v>492</v>
      </c>
      <c r="B540">
        <v>0</v>
      </c>
      <c r="C540">
        <v>28.033021937374102</v>
      </c>
      <c r="D540">
        <v>70.389193543002094</v>
      </c>
      <c r="E540">
        <v>14</v>
      </c>
      <c r="F540">
        <v>1.5707963267949001</v>
      </c>
      <c r="G540" t="s">
        <v>86</v>
      </c>
      <c r="H540" t="s">
        <v>86</v>
      </c>
      <c r="I540">
        <v>29</v>
      </c>
      <c r="J540">
        <v>180</v>
      </c>
      <c r="K540">
        <v>0</v>
      </c>
    </row>
    <row r="541" spans="1:11" x14ac:dyDescent="0.25">
      <c r="A541" t="s">
        <v>87</v>
      </c>
    </row>
    <row r="542" spans="1:11" x14ac:dyDescent="0.25">
      <c r="A542">
        <v>69.1980864709234</v>
      </c>
      <c r="B542">
        <v>54.0484077781664</v>
      </c>
      <c r="C542">
        <v>2000</v>
      </c>
    </row>
    <row r="543" spans="1:11" x14ac:dyDescent="0.25">
      <c r="A543">
        <v>65.149678692757007</v>
      </c>
      <c r="B543">
        <v>50</v>
      </c>
      <c r="C543">
        <v>2000</v>
      </c>
    </row>
    <row r="544" spans="1:11" x14ac:dyDescent="0.25">
      <c r="A544">
        <v>50</v>
      </c>
      <c r="B544">
        <v>34.850321307243</v>
      </c>
      <c r="C544">
        <v>2000</v>
      </c>
    </row>
    <row r="545" spans="1:11" x14ac:dyDescent="0.25">
      <c r="A545">
        <v>49.375746561855003</v>
      </c>
      <c r="B545">
        <v>34.226067869098003</v>
      </c>
      <c r="C545">
        <v>2000</v>
      </c>
    </row>
    <row r="546" spans="1:11" x14ac:dyDescent="0.25">
      <c r="A546">
        <v>49.375746561855003</v>
      </c>
      <c r="B546">
        <v>34.226067869098003</v>
      </c>
      <c r="C546">
        <v>2001</v>
      </c>
    </row>
    <row r="547" spans="1:11" x14ac:dyDescent="0.25">
      <c r="A547">
        <v>50</v>
      </c>
      <c r="B547">
        <v>34.850321307243</v>
      </c>
      <c r="C547">
        <v>2001</v>
      </c>
    </row>
    <row r="548" spans="1:11" x14ac:dyDescent="0.25">
      <c r="A548">
        <v>65.149678692757007</v>
      </c>
      <c r="B548">
        <v>50</v>
      </c>
      <c r="C548">
        <v>2001</v>
      </c>
    </row>
    <row r="549" spans="1:11" x14ac:dyDescent="0.25">
      <c r="A549">
        <v>69.1980864709234</v>
      </c>
      <c r="B549">
        <v>54.0484077781664</v>
      </c>
      <c r="C549">
        <v>2001</v>
      </c>
    </row>
    <row r="550" spans="1:11" x14ac:dyDescent="0.25">
      <c r="A550">
        <v>100</v>
      </c>
      <c r="B550">
        <v>84.850321307242993</v>
      </c>
      <c r="C550">
        <v>2001</v>
      </c>
    </row>
    <row r="551" spans="1:11" x14ac:dyDescent="0.25">
      <c r="A551">
        <v>115.14967869275701</v>
      </c>
      <c r="B551">
        <v>100</v>
      </c>
      <c r="C551">
        <v>2001</v>
      </c>
    </row>
    <row r="552" spans="1:11" x14ac:dyDescent="0.25">
      <c r="A552">
        <v>118.970762547433</v>
      </c>
      <c r="B552">
        <v>103.821083854676</v>
      </c>
      <c r="C552">
        <v>2001</v>
      </c>
    </row>
    <row r="553" spans="1:11" x14ac:dyDescent="0.25">
      <c r="A553">
        <v>118.970762547433</v>
      </c>
      <c r="B553">
        <v>103.821083854676</v>
      </c>
      <c r="C553">
        <v>2000</v>
      </c>
    </row>
    <row r="554" spans="1:11" x14ac:dyDescent="0.25">
      <c r="A554">
        <v>115.14967869275701</v>
      </c>
      <c r="B554">
        <v>100</v>
      </c>
      <c r="C554">
        <v>2000</v>
      </c>
    </row>
    <row r="555" spans="1:11" x14ac:dyDescent="0.25">
      <c r="A555">
        <v>100</v>
      </c>
      <c r="B555">
        <v>84.850321307242993</v>
      </c>
      <c r="C555">
        <v>2000</v>
      </c>
    </row>
    <row r="556" spans="1:11" x14ac:dyDescent="0.25">
      <c r="A556" t="s">
        <v>88</v>
      </c>
    </row>
    <row r="557" spans="1:11" x14ac:dyDescent="0.25">
      <c r="A557">
        <v>260</v>
      </c>
      <c r="B557">
        <v>0</v>
      </c>
      <c r="C557">
        <v>31.9046182066431</v>
      </c>
      <c r="D557">
        <v>65.597966412695897</v>
      </c>
      <c r="E557">
        <v>10</v>
      </c>
      <c r="F557">
        <v>1.5707963267949001</v>
      </c>
      <c r="G557" t="s">
        <v>86</v>
      </c>
      <c r="H557" t="s">
        <v>85</v>
      </c>
      <c r="I557">
        <v>487</v>
      </c>
      <c r="J557">
        <v>0</v>
      </c>
      <c r="K557">
        <v>0</v>
      </c>
    </row>
    <row r="558" spans="1:11" x14ac:dyDescent="0.25">
      <c r="A558" t="s">
        <v>87</v>
      </c>
    </row>
    <row r="559" spans="1:11" x14ac:dyDescent="0.25">
      <c r="A559">
        <v>92.188785221515602</v>
      </c>
      <c r="B559">
        <v>103.615233117535</v>
      </c>
      <c r="C559">
        <v>2000</v>
      </c>
    </row>
    <row r="560" spans="1:11" x14ac:dyDescent="0.25">
      <c r="A560">
        <v>88.573552103980205</v>
      </c>
      <c r="B560">
        <v>100</v>
      </c>
      <c r="C560">
        <v>2000</v>
      </c>
    </row>
    <row r="561" spans="1:11" x14ac:dyDescent="0.25">
      <c r="A561">
        <v>69.628813336430497</v>
      </c>
      <c r="B561">
        <v>81.055261232450306</v>
      </c>
      <c r="C561">
        <v>2000</v>
      </c>
    </row>
    <row r="562" spans="1:11" x14ac:dyDescent="0.25">
      <c r="A562">
        <v>69.628813336430497</v>
      </c>
      <c r="B562">
        <v>81.055261232450306</v>
      </c>
      <c r="C562">
        <v>2001</v>
      </c>
    </row>
    <row r="563" spans="1:11" x14ac:dyDescent="0.25">
      <c r="A563">
        <v>88.573552103980205</v>
      </c>
      <c r="B563">
        <v>100</v>
      </c>
      <c r="C563">
        <v>2001</v>
      </c>
    </row>
    <row r="564" spans="1:11" x14ac:dyDescent="0.25">
      <c r="A564">
        <v>92.188785221515602</v>
      </c>
      <c r="B564">
        <v>103.615233117535</v>
      </c>
      <c r="C564">
        <v>2001</v>
      </c>
    </row>
    <row r="565" spans="1:11" x14ac:dyDescent="0.25">
      <c r="A565">
        <v>100</v>
      </c>
      <c r="B565">
        <v>111.42644789601999</v>
      </c>
      <c r="C565">
        <v>2001</v>
      </c>
    </row>
    <row r="566" spans="1:11" x14ac:dyDescent="0.25">
      <c r="A566">
        <v>138.57355210398001</v>
      </c>
      <c r="B566">
        <v>150</v>
      </c>
      <c r="C566">
        <v>2001</v>
      </c>
    </row>
    <row r="567" spans="1:11" x14ac:dyDescent="0.25">
      <c r="A567">
        <v>138.57355210398001</v>
      </c>
      <c r="B567">
        <v>150</v>
      </c>
      <c r="C567">
        <v>2000</v>
      </c>
    </row>
    <row r="568" spans="1:11" x14ac:dyDescent="0.25">
      <c r="A568">
        <v>100</v>
      </c>
      <c r="B568">
        <v>111.42644789601999</v>
      </c>
      <c r="C568">
        <v>2000</v>
      </c>
    </row>
    <row r="569" spans="1:11" x14ac:dyDescent="0.25">
      <c r="A569" t="s">
        <v>88</v>
      </c>
    </row>
    <row r="570" spans="1:11" x14ac:dyDescent="0.25">
      <c r="A570">
        <v>34</v>
      </c>
      <c r="B570">
        <v>0</v>
      </c>
      <c r="C570">
        <v>29.8213947093153</v>
      </c>
      <c r="D570">
        <v>66.497025041841496</v>
      </c>
      <c r="E570">
        <v>10</v>
      </c>
      <c r="F570">
        <v>1.01722196789785</v>
      </c>
      <c r="G570" t="s">
        <v>85</v>
      </c>
      <c r="H570" t="s">
        <v>86</v>
      </c>
      <c r="I570">
        <v>0</v>
      </c>
      <c r="J570">
        <v>726</v>
      </c>
      <c r="K570">
        <v>0</v>
      </c>
    </row>
    <row r="571" spans="1:11" x14ac:dyDescent="0.25">
      <c r="A571" t="s">
        <v>87</v>
      </c>
    </row>
    <row r="572" spans="1:11" x14ac:dyDescent="0.25">
      <c r="A572">
        <v>20.9862729139933</v>
      </c>
      <c r="B572">
        <v>25.638581945513799</v>
      </c>
      <c r="C572">
        <v>2000</v>
      </c>
    </row>
    <row r="573" spans="1:11" x14ac:dyDescent="0.25">
      <c r="A573">
        <v>0</v>
      </c>
      <c r="B573">
        <v>4.65230903152057</v>
      </c>
      <c r="C573">
        <v>2000</v>
      </c>
    </row>
    <row r="574" spans="1:11" x14ac:dyDescent="0.25">
      <c r="A574">
        <v>0</v>
      </c>
      <c r="B574">
        <v>3.7782769826229199</v>
      </c>
      <c r="C574">
        <v>2001</v>
      </c>
    </row>
    <row r="575" spans="1:11" x14ac:dyDescent="0.25">
      <c r="A575">
        <v>21.187547932801699</v>
      </c>
      <c r="B575">
        <v>24.965824915424701</v>
      </c>
      <c r="C575">
        <v>2001</v>
      </c>
    </row>
    <row r="576" spans="1:11" x14ac:dyDescent="0.25">
      <c r="A576">
        <v>46.003215005152697</v>
      </c>
      <c r="B576">
        <v>49.781491987775603</v>
      </c>
      <c r="C576">
        <v>2001</v>
      </c>
    </row>
    <row r="577" spans="1:11" x14ac:dyDescent="0.25">
      <c r="A577">
        <v>50.218508012224397</v>
      </c>
      <c r="B577">
        <v>53.996784994847303</v>
      </c>
      <c r="C577">
        <v>2001</v>
      </c>
    </row>
    <row r="578" spans="1:11" x14ac:dyDescent="0.25">
      <c r="A578">
        <v>68.325915771439696</v>
      </c>
      <c r="B578">
        <v>72.104192754062595</v>
      </c>
      <c r="C578">
        <v>2001</v>
      </c>
    </row>
    <row r="579" spans="1:11" x14ac:dyDescent="0.25">
      <c r="A579">
        <v>67.888899746990901</v>
      </c>
      <c r="B579">
        <v>72.541208778511404</v>
      </c>
      <c r="C579">
        <v>2000</v>
      </c>
    </row>
    <row r="580" spans="1:11" x14ac:dyDescent="0.25">
      <c r="A580">
        <v>49.781491987775603</v>
      </c>
      <c r="B580">
        <v>54.433801019296098</v>
      </c>
      <c r="C580">
        <v>2000</v>
      </c>
    </row>
    <row r="581" spans="1:11" x14ac:dyDescent="0.25">
      <c r="A581">
        <v>45.566198980703902</v>
      </c>
      <c r="B581">
        <v>50.218508012224397</v>
      </c>
      <c r="C581">
        <v>2000</v>
      </c>
    </row>
    <row r="582" spans="1:11" x14ac:dyDescent="0.25">
      <c r="A582" t="s">
        <v>88</v>
      </c>
    </row>
    <row r="583" spans="1:11" x14ac:dyDescent="0.25">
      <c r="A583">
        <v>652</v>
      </c>
      <c r="B583">
        <v>0</v>
      </c>
      <c r="C583">
        <v>8.7018010410319704</v>
      </c>
      <c r="D583">
        <v>87.433989403620203</v>
      </c>
      <c r="E583">
        <v>10</v>
      </c>
      <c r="F583">
        <v>1.5707963267949001</v>
      </c>
      <c r="G583" t="s">
        <v>85</v>
      </c>
      <c r="H583" t="s">
        <v>86</v>
      </c>
      <c r="I583">
        <v>0</v>
      </c>
      <c r="J583">
        <v>249</v>
      </c>
      <c r="K583">
        <v>0</v>
      </c>
    </row>
    <row r="584" spans="1:11" x14ac:dyDescent="0.25">
      <c r="A584" t="s">
        <v>87</v>
      </c>
    </row>
    <row r="585" spans="1:11" x14ac:dyDescent="0.25">
      <c r="A585">
        <v>6.1531025246498698</v>
      </c>
      <c r="B585">
        <v>68.7337068695266</v>
      </c>
      <c r="C585">
        <v>2000</v>
      </c>
    </row>
    <row r="586" spans="1:11" x14ac:dyDescent="0.25">
      <c r="A586">
        <v>0</v>
      </c>
      <c r="B586">
        <v>62.580604344876797</v>
      </c>
      <c r="C586">
        <v>2000</v>
      </c>
    </row>
    <row r="587" spans="1:11" x14ac:dyDescent="0.25">
      <c r="A587">
        <v>0</v>
      </c>
      <c r="B587">
        <v>62.580604344876797</v>
      </c>
      <c r="C587">
        <v>2001</v>
      </c>
    </row>
    <row r="588" spans="1:11" x14ac:dyDescent="0.25">
      <c r="A588">
        <v>6.1531025246498698</v>
      </c>
      <c r="B588">
        <v>68.7337068695266</v>
      </c>
      <c r="C588">
        <v>2001</v>
      </c>
    </row>
    <row r="589" spans="1:11" x14ac:dyDescent="0.25">
      <c r="A589">
        <v>37.419395655123203</v>
      </c>
      <c r="B589">
        <v>100</v>
      </c>
      <c r="C589">
        <v>2001</v>
      </c>
    </row>
    <row r="590" spans="1:11" x14ac:dyDescent="0.25">
      <c r="A590">
        <v>50</v>
      </c>
      <c r="B590">
        <v>112.580604344877</v>
      </c>
      <c r="C590">
        <v>2001</v>
      </c>
    </row>
    <row r="591" spans="1:11" x14ac:dyDescent="0.25">
      <c r="A591">
        <v>67.978269338142496</v>
      </c>
      <c r="B591">
        <v>130.55887368301899</v>
      </c>
      <c r="C591">
        <v>2001</v>
      </c>
    </row>
    <row r="592" spans="1:11" x14ac:dyDescent="0.25">
      <c r="A592">
        <v>67.978269338142496</v>
      </c>
      <c r="B592">
        <v>130.55887368301899</v>
      </c>
      <c r="C592">
        <v>2000</v>
      </c>
    </row>
    <row r="593" spans="1:11" x14ac:dyDescent="0.25">
      <c r="A593">
        <v>50</v>
      </c>
      <c r="B593">
        <v>112.580604344877</v>
      </c>
      <c r="C593">
        <v>2000</v>
      </c>
    </row>
    <row r="594" spans="1:11" x14ac:dyDescent="0.25">
      <c r="A594">
        <v>37.419395655123203</v>
      </c>
      <c r="B594">
        <v>100</v>
      </c>
      <c r="C594">
        <v>2000</v>
      </c>
    </row>
    <row r="595" spans="1:11" x14ac:dyDescent="0.25">
      <c r="A595" t="s">
        <v>88</v>
      </c>
    </row>
    <row r="596" spans="1:11" x14ac:dyDescent="0.25">
      <c r="A596">
        <v>197</v>
      </c>
      <c r="B596">
        <v>0</v>
      </c>
      <c r="C596">
        <v>70.577889072294397</v>
      </c>
      <c r="D596">
        <v>25.425323945967701</v>
      </c>
      <c r="E596">
        <v>10</v>
      </c>
      <c r="F596">
        <v>1.01722196789785</v>
      </c>
      <c r="G596" t="s">
        <v>86</v>
      </c>
      <c r="H596" t="s">
        <v>85</v>
      </c>
      <c r="I596">
        <v>487</v>
      </c>
      <c r="J596">
        <v>0</v>
      </c>
      <c r="K596">
        <v>0</v>
      </c>
    </row>
    <row r="597" spans="1:11" x14ac:dyDescent="0.25">
      <c r="A597" t="s">
        <v>87</v>
      </c>
    </row>
    <row r="598" spans="1:11" x14ac:dyDescent="0.25">
      <c r="A598">
        <v>118.80395090614</v>
      </c>
      <c r="B598">
        <v>131.91381443099101</v>
      </c>
      <c r="C598">
        <v>2000</v>
      </c>
    </row>
    <row r="599" spans="1:11" x14ac:dyDescent="0.25">
      <c r="A599">
        <v>100.21850801222401</v>
      </c>
      <c r="B599">
        <v>113.328371537075</v>
      </c>
      <c r="C599">
        <v>2000</v>
      </c>
    </row>
    <row r="600" spans="1:11" x14ac:dyDescent="0.25">
      <c r="A600">
        <v>86.671628462924602</v>
      </c>
      <c r="B600">
        <v>99.781491987775595</v>
      </c>
      <c r="C600">
        <v>2000</v>
      </c>
    </row>
    <row r="601" spans="1:11" x14ac:dyDescent="0.25">
      <c r="A601">
        <v>68.787105522014897</v>
      </c>
      <c r="B601">
        <v>81.896969046865905</v>
      </c>
      <c r="C601">
        <v>2000</v>
      </c>
    </row>
    <row r="602" spans="1:11" x14ac:dyDescent="0.25">
      <c r="A602">
        <v>68.350089497566103</v>
      </c>
      <c r="B602">
        <v>82.3339850713147</v>
      </c>
      <c r="C602">
        <v>2001</v>
      </c>
    </row>
    <row r="603" spans="1:11" x14ac:dyDescent="0.25">
      <c r="A603">
        <v>86.234612438475807</v>
      </c>
      <c r="B603">
        <v>100.21850801222401</v>
      </c>
      <c r="C603">
        <v>2001</v>
      </c>
    </row>
    <row r="604" spans="1:11" x14ac:dyDescent="0.25">
      <c r="A604">
        <v>99.781491987775595</v>
      </c>
      <c r="B604">
        <v>113.76538756152399</v>
      </c>
      <c r="C604">
        <v>2001</v>
      </c>
    </row>
    <row r="605" spans="1:11" x14ac:dyDescent="0.25">
      <c r="A605">
        <v>118.145452043144</v>
      </c>
      <c r="B605">
        <v>132.12934761689201</v>
      </c>
      <c r="C605">
        <v>2001</v>
      </c>
    </row>
    <row r="606" spans="1:11" x14ac:dyDescent="0.25">
      <c r="A606">
        <v>136.01610442625099</v>
      </c>
      <c r="B606">
        <v>150</v>
      </c>
      <c r="C606">
        <v>2001</v>
      </c>
    </row>
    <row r="607" spans="1:11" x14ac:dyDescent="0.25">
      <c r="A607">
        <v>136.89013647514901</v>
      </c>
      <c r="B607">
        <v>150</v>
      </c>
      <c r="C607">
        <v>2000</v>
      </c>
    </row>
    <row r="608" spans="1:11" x14ac:dyDescent="0.25">
      <c r="A608" t="s">
        <v>88</v>
      </c>
    </row>
    <row r="609" spans="1:11" x14ac:dyDescent="0.25">
      <c r="A609">
        <v>194</v>
      </c>
      <c r="B609">
        <v>0</v>
      </c>
      <c r="C609">
        <v>94.018539216947104</v>
      </c>
      <c r="D609">
        <v>1.8176598267317301</v>
      </c>
      <c r="E609">
        <v>10</v>
      </c>
      <c r="F609">
        <v>1.01722196789785</v>
      </c>
      <c r="G609" t="s">
        <v>86</v>
      </c>
      <c r="H609" t="s">
        <v>85</v>
      </c>
      <c r="I609">
        <v>33</v>
      </c>
      <c r="J609">
        <v>0</v>
      </c>
      <c r="K609">
        <v>0</v>
      </c>
    </row>
    <row r="610" spans="1:11" x14ac:dyDescent="0.25">
      <c r="A610" t="s">
        <v>87</v>
      </c>
    </row>
    <row r="611" spans="1:11" x14ac:dyDescent="0.25">
      <c r="A611">
        <v>143.51625983854501</v>
      </c>
      <c r="B611">
        <v>148.72092932769101</v>
      </c>
      <c r="C611">
        <v>2000</v>
      </c>
    </row>
    <row r="612" spans="1:11" x14ac:dyDescent="0.25">
      <c r="A612">
        <v>99.781491987775595</v>
      </c>
      <c r="B612">
        <v>104.98616147692201</v>
      </c>
      <c r="C612">
        <v>2000</v>
      </c>
    </row>
    <row r="613" spans="1:11" x14ac:dyDescent="0.25">
      <c r="A613">
        <v>95.013838523078405</v>
      </c>
      <c r="B613">
        <v>100.21850801222401</v>
      </c>
      <c r="C613">
        <v>2000</v>
      </c>
    </row>
    <row r="614" spans="1:11" x14ac:dyDescent="0.25">
      <c r="A614">
        <v>77.247412296149406</v>
      </c>
      <c r="B614">
        <v>82.452081785295405</v>
      </c>
      <c r="C614">
        <v>2000</v>
      </c>
    </row>
    <row r="615" spans="1:11" x14ac:dyDescent="0.25">
      <c r="A615">
        <v>77.684428320598201</v>
      </c>
      <c r="B615">
        <v>82.015065760846596</v>
      </c>
      <c r="C615">
        <v>2001</v>
      </c>
    </row>
    <row r="616" spans="1:11" x14ac:dyDescent="0.25">
      <c r="A616">
        <v>95.4508545475272</v>
      </c>
      <c r="B616">
        <v>99.781491987775595</v>
      </c>
      <c r="C616">
        <v>2001</v>
      </c>
    </row>
    <row r="617" spans="1:11" x14ac:dyDescent="0.25">
      <c r="A617">
        <v>100.21850801222401</v>
      </c>
      <c r="B617">
        <v>104.549145452473</v>
      </c>
      <c r="C617">
        <v>2001</v>
      </c>
    </row>
    <row r="618" spans="1:11" x14ac:dyDescent="0.25">
      <c r="A618">
        <v>144.37787405331599</v>
      </c>
      <c r="B618">
        <v>148.708511493564</v>
      </c>
      <c r="C618">
        <v>2001</v>
      </c>
    </row>
    <row r="619" spans="1:11" x14ac:dyDescent="0.25">
      <c r="A619">
        <v>145.66936255975199</v>
      </c>
      <c r="B619">
        <v>150</v>
      </c>
      <c r="C619">
        <v>2001</v>
      </c>
    </row>
    <row r="620" spans="1:11" x14ac:dyDescent="0.25">
      <c r="A620">
        <v>144.795330510854</v>
      </c>
      <c r="B620">
        <v>150</v>
      </c>
      <c r="C620">
        <v>2000</v>
      </c>
    </row>
    <row r="621" spans="1:11" x14ac:dyDescent="0.25">
      <c r="A621" t="s">
        <v>88</v>
      </c>
    </row>
    <row r="622" spans="1:11" x14ac:dyDescent="0.25">
      <c r="A622">
        <v>594</v>
      </c>
      <c r="B622">
        <v>0</v>
      </c>
      <c r="C622">
        <v>66.340815220612896</v>
      </c>
      <c r="D622">
        <v>28.831636379878599</v>
      </c>
      <c r="E622">
        <v>10</v>
      </c>
      <c r="F622">
        <v>1.01722196789785</v>
      </c>
      <c r="G622" t="s">
        <v>85</v>
      </c>
      <c r="H622" t="s">
        <v>86</v>
      </c>
      <c r="I622">
        <v>0</v>
      </c>
      <c r="J622">
        <v>249</v>
      </c>
      <c r="K622">
        <v>0</v>
      </c>
    </row>
    <row r="623" spans="1:11" x14ac:dyDescent="0.25">
      <c r="A623" t="s">
        <v>87</v>
      </c>
    </row>
    <row r="624" spans="1:11" x14ac:dyDescent="0.25">
      <c r="A624">
        <v>47.117344937963701</v>
      </c>
      <c r="B624">
        <v>110.623300116965</v>
      </c>
      <c r="C624">
        <v>2000</v>
      </c>
    </row>
    <row r="625" spans="1:11" x14ac:dyDescent="0.25">
      <c r="A625">
        <v>36.224983239493902</v>
      </c>
      <c r="B625">
        <v>99.730938418494802</v>
      </c>
      <c r="C625">
        <v>2000</v>
      </c>
    </row>
    <row r="626" spans="1:11" x14ac:dyDescent="0.25">
      <c r="A626">
        <v>0</v>
      </c>
      <c r="B626">
        <v>63.5059551790009</v>
      </c>
      <c r="C626">
        <v>2000</v>
      </c>
    </row>
    <row r="627" spans="1:11" x14ac:dyDescent="0.25">
      <c r="A627">
        <v>0</v>
      </c>
      <c r="B627">
        <v>64.379987227898496</v>
      </c>
      <c r="C627">
        <v>2001</v>
      </c>
    </row>
    <row r="628" spans="1:11" x14ac:dyDescent="0.25">
      <c r="A628">
        <v>35.889074353606802</v>
      </c>
      <c r="B628">
        <v>100.269061581505</v>
      </c>
      <c r="C628">
        <v>2001</v>
      </c>
    </row>
    <row r="629" spans="1:11" x14ac:dyDescent="0.25">
      <c r="A629">
        <v>46.702735685914497</v>
      </c>
      <c r="B629">
        <v>111.082722913813</v>
      </c>
      <c r="C629">
        <v>2001</v>
      </c>
    </row>
    <row r="630" spans="1:11" x14ac:dyDescent="0.25">
      <c r="A630">
        <v>49.781491987775603</v>
      </c>
      <c r="B630">
        <v>114.16147921567401</v>
      </c>
      <c r="C630">
        <v>2001</v>
      </c>
    </row>
    <row r="631" spans="1:11" x14ac:dyDescent="0.25">
      <c r="A631">
        <v>67.0785778966316</v>
      </c>
      <c r="B631">
        <v>131.45856512453</v>
      </c>
      <c r="C631">
        <v>2001</v>
      </c>
    </row>
    <row r="632" spans="1:11" x14ac:dyDescent="0.25">
      <c r="A632">
        <v>67.515593921080495</v>
      </c>
      <c r="B632">
        <v>131.02154910008099</v>
      </c>
      <c r="C632">
        <v>2000</v>
      </c>
    </row>
    <row r="633" spans="1:11" x14ac:dyDescent="0.25">
      <c r="A633">
        <v>50.218508012224397</v>
      </c>
      <c r="B633">
        <v>113.724463191225</v>
      </c>
      <c r="C633">
        <v>2000</v>
      </c>
    </row>
    <row r="634" spans="1:11" x14ac:dyDescent="0.25">
      <c r="A634" t="s">
        <v>88</v>
      </c>
    </row>
    <row r="635" spans="1:11" x14ac:dyDescent="0.25">
      <c r="A635">
        <v>267</v>
      </c>
      <c r="B635">
        <v>0</v>
      </c>
      <c r="C635">
        <v>85.853140071419404</v>
      </c>
      <c r="D635">
        <v>8.4709822478552592</v>
      </c>
      <c r="E635">
        <v>10</v>
      </c>
      <c r="F635">
        <v>1.01722196789785</v>
      </c>
      <c r="G635" t="s">
        <v>85</v>
      </c>
      <c r="H635" t="s">
        <v>86</v>
      </c>
      <c r="I635">
        <v>0</v>
      </c>
      <c r="J635">
        <v>264</v>
      </c>
      <c r="K635">
        <v>0</v>
      </c>
    </row>
    <row r="636" spans="1:11" x14ac:dyDescent="0.25">
      <c r="A636" t="s">
        <v>87</v>
      </c>
    </row>
    <row r="637" spans="1:11" x14ac:dyDescent="0.25">
      <c r="A637">
        <v>60.488829518434798</v>
      </c>
      <c r="B637">
        <v>126.068535521188</v>
      </c>
      <c r="C637">
        <v>2000</v>
      </c>
    </row>
    <row r="638" spans="1:11" x14ac:dyDescent="0.25">
      <c r="A638">
        <v>49.781491987775603</v>
      </c>
      <c r="B638">
        <v>115.36119799052901</v>
      </c>
      <c r="C638">
        <v>2000</v>
      </c>
    </row>
    <row r="639" spans="1:11" x14ac:dyDescent="0.25">
      <c r="A639">
        <v>34.7049779912087</v>
      </c>
      <c r="B639">
        <v>100.28468399396201</v>
      </c>
      <c r="C639">
        <v>2000</v>
      </c>
    </row>
    <row r="640" spans="1:11" x14ac:dyDescent="0.25">
      <c r="A640">
        <v>0</v>
      </c>
      <c r="B640">
        <v>65.579706002753497</v>
      </c>
      <c r="C640">
        <v>2000</v>
      </c>
    </row>
    <row r="641" spans="1:11" x14ac:dyDescent="0.25">
      <c r="A641">
        <v>0</v>
      </c>
      <c r="B641">
        <v>64.705673953855893</v>
      </c>
      <c r="C641">
        <v>2001</v>
      </c>
    </row>
    <row r="642" spans="1:11" x14ac:dyDescent="0.25">
      <c r="A642">
        <v>35.009642052181903</v>
      </c>
      <c r="B642">
        <v>99.715316006037796</v>
      </c>
      <c r="C642">
        <v>2001</v>
      </c>
    </row>
    <row r="643" spans="1:11" x14ac:dyDescent="0.25">
      <c r="A643">
        <v>50.218508012224397</v>
      </c>
      <c r="B643">
        <v>114.92418196608</v>
      </c>
      <c r="C643">
        <v>2001</v>
      </c>
    </row>
    <row r="644" spans="1:11" x14ac:dyDescent="0.25">
      <c r="A644">
        <v>60.9258455428836</v>
      </c>
      <c r="B644">
        <v>125.631519496739</v>
      </c>
      <c r="C644">
        <v>2001</v>
      </c>
    </row>
    <row r="645" spans="1:11" x14ac:dyDescent="0.25">
      <c r="A645">
        <v>66.915734533652895</v>
      </c>
      <c r="B645">
        <v>131.621408487509</v>
      </c>
      <c r="C645">
        <v>2001</v>
      </c>
    </row>
    <row r="646" spans="1:11" x14ac:dyDescent="0.25">
      <c r="A646">
        <v>66.4787185092041</v>
      </c>
      <c r="B646">
        <v>132.05842451195801</v>
      </c>
      <c r="C646">
        <v>2000</v>
      </c>
    </row>
    <row r="647" spans="1:11" x14ac:dyDescent="0.25">
      <c r="A647" t="s">
        <v>88</v>
      </c>
    </row>
    <row r="648" spans="1:11" x14ac:dyDescent="0.25">
      <c r="A648">
        <v>600</v>
      </c>
      <c r="B648">
        <v>0</v>
      </c>
      <c r="C648">
        <v>51.898535372199802</v>
      </c>
      <c r="D648">
        <v>40.941779614090002</v>
      </c>
      <c r="E648">
        <v>10</v>
      </c>
      <c r="F648">
        <v>1.01722196789785</v>
      </c>
      <c r="G648" t="s">
        <v>85</v>
      </c>
      <c r="H648" t="s">
        <v>85</v>
      </c>
      <c r="I648">
        <v>0</v>
      </c>
      <c r="J648">
        <v>0</v>
      </c>
      <c r="K648">
        <v>0</v>
      </c>
    </row>
    <row r="649" spans="1:11" x14ac:dyDescent="0.25">
      <c r="A649" t="s">
        <v>87</v>
      </c>
    </row>
    <row r="650" spans="1:11" x14ac:dyDescent="0.25">
      <c r="A650">
        <v>36.9293028895693</v>
      </c>
      <c r="B650">
        <v>120.84427057082</v>
      </c>
      <c r="C650">
        <v>2000</v>
      </c>
    </row>
    <row r="651" spans="1:11" x14ac:dyDescent="0.25">
      <c r="A651">
        <v>15.741188537573199</v>
      </c>
      <c r="B651">
        <v>99.656156218823895</v>
      </c>
      <c r="C651">
        <v>2000</v>
      </c>
    </row>
    <row r="652" spans="1:11" x14ac:dyDescent="0.25">
      <c r="A652">
        <v>0</v>
      </c>
      <c r="B652">
        <v>83.914967681250701</v>
      </c>
      <c r="C652">
        <v>2000</v>
      </c>
    </row>
    <row r="653" spans="1:11" x14ac:dyDescent="0.25">
      <c r="A653">
        <v>0</v>
      </c>
      <c r="B653">
        <v>84.788999730148305</v>
      </c>
      <c r="C653">
        <v>2001</v>
      </c>
    </row>
    <row r="654" spans="1:11" x14ac:dyDescent="0.25">
      <c r="A654">
        <v>15.5548440510278</v>
      </c>
      <c r="B654">
        <v>100.34384378117601</v>
      </c>
      <c r="C654">
        <v>2001</v>
      </c>
    </row>
    <row r="655" spans="1:11" x14ac:dyDescent="0.25">
      <c r="A655">
        <v>36.466309701095597</v>
      </c>
      <c r="B655">
        <v>121.255309431244</v>
      </c>
      <c r="C655">
        <v>2001</v>
      </c>
    </row>
    <row r="656" spans="1:11" x14ac:dyDescent="0.25">
      <c r="A656">
        <v>49.681090784995497</v>
      </c>
      <c r="B656">
        <v>134.47009051514399</v>
      </c>
      <c r="C656">
        <v>2001</v>
      </c>
    </row>
    <row r="657" spans="1:11" x14ac:dyDescent="0.25">
      <c r="A657">
        <v>65.211000269851795</v>
      </c>
      <c r="B657">
        <v>150</v>
      </c>
      <c r="C657">
        <v>2001</v>
      </c>
    </row>
    <row r="658" spans="1:11" x14ac:dyDescent="0.25">
      <c r="A658">
        <v>66.085032318749398</v>
      </c>
      <c r="B658">
        <v>150</v>
      </c>
      <c r="C658">
        <v>2000</v>
      </c>
    </row>
    <row r="659" spans="1:11" x14ac:dyDescent="0.25">
      <c r="A659">
        <v>50.318909215004403</v>
      </c>
      <c r="B659">
        <v>134.233876896255</v>
      </c>
      <c r="C659">
        <v>2000</v>
      </c>
    </row>
    <row r="660" spans="1:11" x14ac:dyDescent="0.25">
      <c r="A660" t="s">
        <v>88</v>
      </c>
    </row>
    <row r="661" spans="1:11" x14ac:dyDescent="0.25">
      <c r="A661">
        <v>502</v>
      </c>
      <c r="B661">
        <v>0</v>
      </c>
      <c r="C661">
        <v>46.5667337236669</v>
      </c>
      <c r="D661">
        <v>45.911006835865699</v>
      </c>
      <c r="E661">
        <v>10</v>
      </c>
      <c r="F661">
        <v>1.01722196789785</v>
      </c>
      <c r="G661" t="s">
        <v>86</v>
      </c>
      <c r="H661" t="s">
        <v>86</v>
      </c>
      <c r="I661">
        <v>663</v>
      </c>
      <c r="J661">
        <v>245</v>
      </c>
      <c r="K661">
        <v>0</v>
      </c>
    </row>
    <row r="662" spans="1:11" x14ac:dyDescent="0.25">
      <c r="A662" t="s">
        <v>87</v>
      </c>
    </row>
    <row r="663" spans="1:11" x14ac:dyDescent="0.25">
      <c r="A663">
        <v>61.705866406995902</v>
      </c>
      <c r="B663">
        <v>88.344160143916397</v>
      </c>
      <c r="C663">
        <v>2000</v>
      </c>
    </row>
    <row r="664" spans="1:11" x14ac:dyDescent="0.25">
      <c r="A664">
        <v>50.218508012224397</v>
      </c>
      <c r="B664">
        <v>76.856801749144907</v>
      </c>
      <c r="C664">
        <v>2000</v>
      </c>
    </row>
    <row r="665" spans="1:11" x14ac:dyDescent="0.25">
      <c r="A665">
        <v>28.7782132132828</v>
      </c>
      <c r="B665">
        <v>55.4165069502032</v>
      </c>
      <c r="C665">
        <v>2000</v>
      </c>
    </row>
    <row r="666" spans="1:11" x14ac:dyDescent="0.25">
      <c r="A666">
        <v>28.341197188833899</v>
      </c>
      <c r="B666">
        <v>55.853522974652101</v>
      </c>
      <c r="C666">
        <v>2001</v>
      </c>
    </row>
    <row r="667" spans="1:11" x14ac:dyDescent="0.25">
      <c r="A667">
        <v>49.781491987775603</v>
      </c>
      <c r="B667">
        <v>77.293817773593702</v>
      </c>
      <c r="C667">
        <v>2001</v>
      </c>
    </row>
    <row r="668" spans="1:11" x14ac:dyDescent="0.25">
      <c r="A668">
        <v>61.2688503825471</v>
      </c>
      <c r="B668">
        <v>88.781176168365207</v>
      </c>
      <c r="C668">
        <v>2001</v>
      </c>
    </row>
    <row r="669" spans="1:11" x14ac:dyDescent="0.25">
      <c r="A669">
        <v>72.706182226406298</v>
      </c>
      <c r="B669">
        <v>100.21850801222401</v>
      </c>
      <c r="C669">
        <v>2001</v>
      </c>
    </row>
    <row r="670" spans="1:11" x14ac:dyDescent="0.25">
      <c r="A670">
        <v>93.732834647289707</v>
      </c>
      <c r="B670">
        <v>121.245160433108</v>
      </c>
      <c r="C670">
        <v>2001</v>
      </c>
    </row>
    <row r="671" spans="1:11" x14ac:dyDescent="0.25">
      <c r="A671">
        <v>94.169850671738502</v>
      </c>
      <c r="B671">
        <v>120.808144408659</v>
      </c>
      <c r="C671">
        <v>2000</v>
      </c>
    </row>
    <row r="672" spans="1:11" x14ac:dyDescent="0.25">
      <c r="A672">
        <v>73.143198250855093</v>
      </c>
      <c r="B672">
        <v>99.781491987775595</v>
      </c>
      <c r="C672">
        <v>2000</v>
      </c>
    </row>
    <row r="673" spans="1:11" x14ac:dyDescent="0.25">
      <c r="A673" t="s">
        <v>88</v>
      </c>
    </row>
    <row r="674" spans="1:11" x14ac:dyDescent="0.25">
      <c r="A674">
        <v>27</v>
      </c>
      <c r="B674">
        <v>0</v>
      </c>
      <c r="C674">
        <v>57.204028245062503</v>
      </c>
      <c r="D674">
        <v>33.688920547905802</v>
      </c>
      <c r="E674">
        <v>10</v>
      </c>
      <c r="F674">
        <v>1.01722196789785</v>
      </c>
      <c r="G674" t="s">
        <v>85</v>
      </c>
      <c r="H674" t="s">
        <v>86</v>
      </c>
      <c r="I674">
        <v>0</v>
      </c>
      <c r="J674">
        <v>498</v>
      </c>
      <c r="K674">
        <v>0</v>
      </c>
    </row>
    <row r="675" spans="1:11" x14ac:dyDescent="0.25">
      <c r="A675" t="s">
        <v>87</v>
      </c>
    </row>
    <row r="676" spans="1:11" x14ac:dyDescent="0.25">
      <c r="A676">
        <v>43.536021937860802</v>
      </c>
      <c r="B676">
        <v>40.638756739724798</v>
      </c>
      <c r="C676">
        <v>2000</v>
      </c>
    </row>
    <row r="677" spans="1:11" x14ac:dyDescent="0.25">
      <c r="A677">
        <v>2.8972651981359498</v>
      </c>
      <c r="B677">
        <v>0</v>
      </c>
      <c r="C677">
        <v>2000</v>
      </c>
    </row>
    <row r="678" spans="1:11" x14ac:dyDescent="0.25">
      <c r="A678">
        <v>3.7712972470335901</v>
      </c>
      <c r="B678">
        <v>0</v>
      </c>
      <c r="C678">
        <v>2001</v>
      </c>
    </row>
    <row r="679" spans="1:11" x14ac:dyDescent="0.25">
      <c r="A679">
        <v>44.031253073849697</v>
      </c>
      <c r="B679">
        <v>40.259955826816103</v>
      </c>
      <c r="C679">
        <v>2001</v>
      </c>
    </row>
    <row r="680" spans="1:11" x14ac:dyDescent="0.25">
      <c r="A680">
        <v>50.218508012224397</v>
      </c>
      <c r="B680">
        <v>46.447210765190803</v>
      </c>
      <c r="C680">
        <v>2001</v>
      </c>
    </row>
    <row r="681" spans="1:11" x14ac:dyDescent="0.25">
      <c r="A681">
        <v>53.552789234809197</v>
      </c>
      <c r="B681">
        <v>49.781491987775603</v>
      </c>
      <c r="C681">
        <v>2001</v>
      </c>
    </row>
    <row r="682" spans="1:11" x14ac:dyDescent="0.25">
      <c r="A682">
        <v>67.823809688358693</v>
      </c>
      <c r="B682">
        <v>64.052512441325106</v>
      </c>
      <c r="C682">
        <v>2001</v>
      </c>
    </row>
    <row r="683" spans="1:11" x14ac:dyDescent="0.25">
      <c r="A683">
        <v>67.386793663909899</v>
      </c>
      <c r="B683">
        <v>64.489528465773901</v>
      </c>
      <c r="C683">
        <v>2000</v>
      </c>
    </row>
    <row r="684" spans="1:11" x14ac:dyDescent="0.25">
      <c r="A684">
        <v>53.115773210360402</v>
      </c>
      <c r="B684">
        <v>50.218508012224397</v>
      </c>
      <c r="C684">
        <v>2000</v>
      </c>
    </row>
    <row r="685" spans="1:11" x14ac:dyDescent="0.25">
      <c r="A685">
        <v>49.781491987775603</v>
      </c>
      <c r="B685">
        <v>46.884226789639598</v>
      </c>
      <c r="C685">
        <v>2000</v>
      </c>
    </row>
    <row r="686" spans="1:11" x14ac:dyDescent="0.25">
      <c r="A686" t="s">
        <v>88</v>
      </c>
    </row>
    <row r="687" spans="1:11" x14ac:dyDescent="0.25">
      <c r="A687">
        <v>439</v>
      </c>
      <c r="B687">
        <v>0</v>
      </c>
      <c r="C687">
        <v>70.743776763204806</v>
      </c>
      <c r="D687">
        <v>18.136210621658702</v>
      </c>
      <c r="E687">
        <v>10</v>
      </c>
      <c r="F687">
        <v>1.01722196789785</v>
      </c>
      <c r="G687" t="s">
        <v>86</v>
      </c>
      <c r="H687" t="s">
        <v>85</v>
      </c>
      <c r="I687">
        <v>96</v>
      </c>
      <c r="J687">
        <v>0</v>
      </c>
      <c r="K687">
        <v>0</v>
      </c>
    </row>
    <row r="688" spans="1:11" x14ac:dyDescent="0.25">
      <c r="A688" t="s">
        <v>87</v>
      </c>
    </row>
    <row r="689" spans="1:11" x14ac:dyDescent="0.25">
      <c r="A689">
        <v>137.278461719337</v>
      </c>
      <c r="B689">
        <v>64.126932772685393</v>
      </c>
      <c r="C689">
        <v>2000</v>
      </c>
    </row>
    <row r="690" spans="1:11" x14ac:dyDescent="0.25">
      <c r="A690">
        <v>122.93302093442701</v>
      </c>
      <c r="B690">
        <v>49.781491987775603</v>
      </c>
      <c r="C690">
        <v>2000</v>
      </c>
    </row>
    <row r="691" spans="1:11" x14ac:dyDescent="0.25">
      <c r="A691">
        <v>100.21850801222401</v>
      </c>
      <c r="B691">
        <v>27.066979065573101</v>
      </c>
      <c r="C691">
        <v>2000</v>
      </c>
    </row>
    <row r="692" spans="1:11" x14ac:dyDescent="0.25">
      <c r="A692">
        <v>87.370866220612697</v>
      </c>
      <c r="B692">
        <v>14.219337273961401</v>
      </c>
      <c r="C692">
        <v>2000</v>
      </c>
    </row>
    <row r="693" spans="1:11" x14ac:dyDescent="0.25">
      <c r="A693">
        <v>86.933850196163803</v>
      </c>
      <c r="B693">
        <v>14.656353298410201</v>
      </c>
      <c r="C693">
        <v>2001</v>
      </c>
    </row>
    <row r="694" spans="1:11" x14ac:dyDescent="0.25">
      <c r="A694">
        <v>99.781491987775595</v>
      </c>
      <c r="B694">
        <v>27.503995090021899</v>
      </c>
      <c r="C694">
        <v>2001</v>
      </c>
    </row>
    <row r="695" spans="1:11" x14ac:dyDescent="0.25">
      <c r="A695">
        <v>122.496004909978</v>
      </c>
      <c r="B695">
        <v>50.218508012224397</v>
      </c>
      <c r="C695">
        <v>2001</v>
      </c>
    </row>
    <row r="696" spans="1:11" x14ac:dyDescent="0.25">
      <c r="A696">
        <v>137.07306324945901</v>
      </c>
      <c r="B696">
        <v>64.795566351705006</v>
      </c>
      <c r="C696">
        <v>2001</v>
      </c>
    </row>
    <row r="697" spans="1:11" x14ac:dyDescent="0.25">
      <c r="A697">
        <v>150</v>
      </c>
      <c r="B697">
        <v>77.722503102246307</v>
      </c>
      <c r="C697">
        <v>2001</v>
      </c>
    </row>
    <row r="698" spans="1:11" x14ac:dyDescent="0.25">
      <c r="A698">
        <v>150</v>
      </c>
      <c r="B698">
        <v>76.848471053348703</v>
      </c>
      <c r="C698">
        <v>2000</v>
      </c>
    </row>
    <row r="699" spans="1:11" x14ac:dyDescent="0.25">
      <c r="A699" t="s">
        <v>88</v>
      </c>
    </row>
    <row r="700" spans="1:11" x14ac:dyDescent="0.25">
      <c r="A700">
        <v>425</v>
      </c>
      <c r="B700">
        <v>0</v>
      </c>
      <c r="C700">
        <v>80.7678409720899</v>
      </c>
      <c r="D700">
        <v>7.6812081232936302</v>
      </c>
      <c r="E700">
        <v>10</v>
      </c>
      <c r="F700">
        <v>1.01722196789785</v>
      </c>
      <c r="G700" t="s">
        <v>86</v>
      </c>
      <c r="H700" t="s">
        <v>85</v>
      </c>
      <c r="I700">
        <v>85</v>
      </c>
      <c r="J700">
        <v>0</v>
      </c>
      <c r="K700">
        <v>0</v>
      </c>
    </row>
    <row r="701" spans="1:11" x14ac:dyDescent="0.25">
      <c r="A701" t="s">
        <v>87</v>
      </c>
    </row>
    <row r="702" spans="1:11" x14ac:dyDescent="0.25">
      <c r="A702">
        <v>144.656476821605</v>
      </c>
      <c r="B702">
        <v>57.719586882167697</v>
      </c>
      <c r="C702">
        <v>2000</v>
      </c>
    </row>
    <row r="703" spans="1:11" x14ac:dyDescent="0.25">
      <c r="A703">
        <v>136.71838192721299</v>
      </c>
      <c r="B703">
        <v>49.781491987775603</v>
      </c>
      <c r="C703">
        <v>2000</v>
      </c>
    </row>
    <row r="704" spans="1:11" x14ac:dyDescent="0.25">
      <c r="A704">
        <v>100.21850801222401</v>
      </c>
      <c r="B704">
        <v>13.281618072786999</v>
      </c>
      <c r="C704">
        <v>2000</v>
      </c>
    </row>
    <row r="705" spans="1:11" x14ac:dyDescent="0.25">
      <c r="A705">
        <v>87.675585607376803</v>
      </c>
      <c r="B705">
        <v>0.73869566793941799</v>
      </c>
      <c r="C705">
        <v>2000</v>
      </c>
    </row>
    <row r="706" spans="1:11" x14ac:dyDescent="0.25">
      <c r="A706">
        <v>87.238569582927994</v>
      </c>
      <c r="B706">
        <v>1.17571169238824</v>
      </c>
      <c r="C706">
        <v>2001</v>
      </c>
    </row>
    <row r="707" spans="1:11" x14ac:dyDescent="0.25">
      <c r="A707">
        <v>99.781491987775595</v>
      </c>
      <c r="B707">
        <v>13.7186340972358</v>
      </c>
      <c r="C707">
        <v>2001</v>
      </c>
    </row>
    <row r="708" spans="1:11" x14ac:dyDescent="0.25">
      <c r="A708">
        <v>136.28136590276401</v>
      </c>
      <c r="B708">
        <v>50.218508012224397</v>
      </c>
      <c r="C708">
        <v>2001</v>
      </c>
    </row>
    <row r="709" spans="1:11" x14ac:dyDescent="0.25">
      <c r="A709">
        <v>144.48065447502299</v>
      </c>
      <c r="B709">
        <v>58.417796584482701</v>
      </c>
      <c r="C709">
        <v>2001</v>
      </c>
    </row>
    <row r="710" spans="1:11" x14ac:dyDescent="0.25">
      <c r="A710">
        <v>150</v>
      </c>
      <c r="B710">
        <v>63.937142109460197</v>
      </c>
      <c r="C710">
        <v>2001</v>
      </c>
    </row>
    <row r="711" spans="1:11" x14ac:dyDescent="0.25">
      <c r="A711">
        <v>150</v>
      </c>
      <c r="B711">
        <v>63.063110060562501</v>
      </c>
      <c r="C711">
        <v>2000</v>
      </c>
    </row>
    <row r="712" spans="1:11" x14ac:dyDescent="0.25">
      <c r="A712" t="s">
        <v>88</v>
      </c>
    </row>
    <row r="713" spans="1:11" x14ac:dyDescent="0.25">
      <c r="A713">
        <v>347</v>
      </c>
      <c r="B713">
        <v>0</v>
      </c>
      <c r="C713">
        <v>66.114401329562995</v>
      </c>
      <c r="D713">
        <v>22.2684915369707</v>
      </c>
      <c r="E713">
        <v>10</v>
      </c>
      <c r="F713">
        <v>1.01722196789785</v>
      </c>
      <c r="G713" t="s">
        <v>85</v>
      </c>
      <c r="H713" t="s">
        <v>85</v>
      </c>
      <c r="I713">
        <v>0</v>
      </c>
      <c r="J713">
        <v>0</v>
      </c>
      <c r="K713">
        <v>0</v>
      </c>
    </row>
    <row r="714" spans="1:11" x14ac:dyDescent="0.25">
      <c r="A714" t="s">
        <v>87</v>
      </c>
    </row>
    <row r="715" spans="1:11" x14ac:dyDescent="0.25">
      <c r="A715">
        <v>134.444988660907</v>
      </c>
      <c r="B715">
        <v>46.504115523268197</v>
      </c>
      <c r="C715">
        <v>2000</v>
      </c>
    </row>
    <row r="716" spans="1:11" x14ac:dyDescent="0.25">
      <c r="A716">
        <v>100.378609377205</v>
      </c>
      <c r="B716">
        <v>12.4377362395667</v>
      </c>
      <c r="C716">
        <v>2000</v>
      </c>
    </row>
    <row r="717" spans="1:11" x14ac:dyDescent="0.25">
      <c r="A717">
        <v>87.940873137638704</v>
      </c>
      <c r="B717">
        <v>0</v>
      </c>
      <c r="C717">
        <v>2000</v>
      </c>
    </row>
    <row r="718" spans="1:11" x14ac:dyDescent="0.25">
      <c r="A718">
        <v>87.0668410887411</v>
      </c>
      <c r="B718">
        <v>0</v>
      </c>
      <c r="C718">
        <v>2001</v>
      </c>
    </row>
    <row r="719" spans="1:11" x14ac:dyDescent="0.25">
      <c r="A719">
        <v>99.621390622794607</v>
      </c>
      <c r="B719">
        <v>12.5545495340535</v>
      </c>
      <c r="C719">
        <v>2001</v>
      </c>
    </row>
    <row r="720" spans="1:11" x14ac:dyDescent="0.25">
      <c r="A720">
        <v>134.06260859391901</v>
      </c>
      <c r="B720">
        <v>46.995767505177497</v>
      </c>
      <c r="C720">
        <v>2001</v>
      </c>
    </row>
    <row r="721" spans="1:11" x14ac:dyDescent="0.25">
      <c r="A721">
        <v>137.330449744768</v>
      </c>
      <c r="B721">
        <v>50.263608656026499</v>
      </c>
      <c r="C721">
        <v>2001</v>
      </c>
    </row>
    <row r="722" spans="1:11" x14ac:dyDescent="0.25">
      <c r="A722">
        <v>150</v>
      </c>
      <c r="B722">
        <v>62.9331589112589</v>
      </c>
      <c r="C722">
        <v>2001</v>
      </c>
    </row>
    <row r="723" spans="1:11" x14ac:dyDescent="0.25">
      <c r="A723">
        <v>150</v>
      </c>
      <c r="B723">
        <v>62.059126862361303</v>
      </c>
      <c r="C723">
        <v>2000</v>
      </c>
    </row>
    <row r="724" spans="1:11" x14ac:dyDescent="0.25">
      <c r="A724">
        <v>137.67726448161201</v>
      </c>
      <c r="B724">
        <v>49.736391343973501</v>
      </c>
      <c r="C724">
        <v>2000</v>
      </c>
    </row>
    <row r="725" spans="1:11" x14ac:dyDescent="0.25">
      <c r="A725" t="s">
        <v>88</v>
      </c>
    </row>
    <row r="726" spans="1:11" x14ac:dyDescent="0.25">
      <c r="A726">
        <v>669</v>
      </c>
      <c r="B726">
        <v>0</v>
      </c>
      <c r="C726">
        <v>0.45316105696241499</v>
      </c>
      <c r="D726">
        <v>87.770323885764398</v>
      </c>
      <c r="E726">
        <v>10</v>
      </c>
      <c r="F726">
        <v>1.01722196789785</v>
      </c>
      <c r="G726" t="s">
        <v>86</v>
      </c>
      <c r="H726" t="s">
        <v>85</v>
      </c>
      <c r="I726">
        <v>672</v>
      </c>
      <c r="J726">
        <v>0</v>
      </c>
      <c r="K726">
        <v>0</v>
      </c>
    </row>
    <row r="727" spans="1:11" x14ac:dyDescent="0.25">
      <c r="A727" t="s">
        <v>87</v>
      </c>
    </row>
    <row r="728" spans="1:11" x14ac:dyDescent="0.25">
      <c r="A728">
        <v>6.9869831316157303</v>
      </c>
      <c r="B728">
        <v>88.155516805660895</v>
      </c>
      <c r="C728">
        <v>2000</v>
      </c>
    </row>
    <row r="729" spans="1:11" x14ac:dyDescent="0.25">
      <c r="A729">
        <v>6.6665498752679397</v>
      </c>
      <c r="B729">
        <v>87.835083549313097</v>
      </c>
      <c r="C729">
        <v>2000</v>
      </c>
    </row>
    <row r="730" spans="1:11" x14ac:dyDescent="0.25">
      <c r="A730">
        <v>7.1035658997167603</v>
      </c>
      <c r="B730">
        <v>87.398067524864302</v>
      </c>
      <c r="C730">
        <v>2001</v>
      </c>
    </row>
    <row r="731" spans="1:11" x14ac:dyDescent="0.25">
      <c r="A731">
        <v>7.42399915606455</v>
      </c>
      <c r="B731">
        <v>87.7185007812121</v>
      </c>
      <c r="C731">
        <v>2001</v>
      </c>
    </row>
    <row r="732" spans="1:11" x14ac:dyDescent="0.25">
      <c r="A732">
        <v>19.486990362628099</v>
      </c>
      <c r="B732">
        <v>99.781491987775595</v>
      </c>
      <c r="C732">
        <v>2001</v>
      </c>
    </row>
    <row r="733" spans="1:11" x14ac:dyDescent="0.25">
      <c r="A733">
        <v>50.352809668909401</v>
      </c>
      <c r="B733">
        <v>130.647311294057</v>
      </c>
      <c r="C733">
        <v>2001</v>
      </c>
    </row>
    <row r="734" spans="1:11" x14ac:dyDescent="0.25">
      <c r="A734">
        <v>69.705498374852496</v>
      </c>
      <c r="B734">
        <v>150</v>
      </c>
      <c r="C734">
        <v>2001</v>
      </c>
    </row>
    <row r="735" spans="1:11" x14ac:dyDescent="0.25">
      <c r="A735">
        <v>68.831466325954906</v>
      </c>
      <c r="B735">
        <v>150</v>
      </c>
      <c r="C735">
        <v>2000</v>
      </c>
    </row>
    <row r="736" spans="1:11" x14ac:dyDescent="0.25">
      <c r="A736">
        <v>49.647190331090499</v>
      </c>
      <c r="B736">
        <v>130.81572400513599</v>
      </c>
      <c r="C736">
        <v>2000</v>
      </c>
    </row>
    <row r="737" spans="1:11" x14ac:dyDescent="0.25">
      <c r="A737">
        <v>19.0499743381793</v>
      </c>
      <c r="B737">
        <v>100.21850801222401</v>
      </c>
      <c r="C737">
        <v>2000</v>
      </c>
    </row>
    <row r="738" spans="1:11" x14ac:dyDescent="0.25">
      <c r="A738" t="s">
        <v>88</v>
      </c>
    </row>
    <row r="739" spans="1:11" x14ac:dyDescent="0.25">
      <c r="A739">
        <v>677</v>
      </c>
      <c r="B739">
        <v>0</v>
      </c>
      <c r="C739">
        <v>50.636338872128398</v>
      </c>
      <c r="D739">
        <v>37.433552564063</v>
      </c>
      <c r="E739">
        <v>12</v>
      </c>
      <c r="F739">
        <v>1.01722196789785</v>
      </c>
      <c r="G739" t="s">
        <v>86</v>
      </c>
      <c r="H739" t="s">
        <v>86</v>
      </c>
      <c r="I739">
        <v>20</v>
      </c>
      <c r="J739">
        <v>258</v>
      </c>
      <c r="K739">
        <v>0</v>
      </c>
    </row>
    <row r="740" spans="1:11" x14ac:dyDescent="0.25">
      <c r="A740" t="s">
        <v>87</v>
      </c>
    </row>
    <row r="741" spans="1:11" x14ac:dyDescent="0.25">
      <c r="A741">
        <v>38.468884236867801</v>
      </c>
      <c r="B741">
        <v>76.990695046252199</v>
      </c>
      <c r="C741">
        <v>2000</v>
      </c>
    </row>
    <row r="742" spans="1:11" x14ac:dyDescent="0.25">
      <c r="A742">
        <v>11.696697202839999</v>
      </c>
      <c r="B742">
        <v>50.218508012224397</v>
      </c>
      <c r="C742">
        <v>2000</v>
      </c>
    </row>
    <row r="743" spans="1:11" x14ac:dyDescent="0.25">
      <c r="A743">
        <v>2.6635856459257998</v>
      </c>
      <c r="B743">
        <v>41.185396455310197</v>
      </c>
      <c r="C743">
        <v>2000</v>
      </c>
    </row>
    <row r="744" spans="1:11" x14ac:dyDescent="0.25">
      <c r="A744">
        <v>3.10060167037462</v>
      </c>
      <c r="B744">
        <v>40.748380430861403</v>
      </c>
      <c r="C744">
        <v>2001</v>
      </c>
    </row>
    <row r="745" spans="1:11" x14ac:dyDescent="0.25">
      <c r="A745">
        <v>12.1337132272888</v>
      </c>
      <c r="B745">
        <v>49.781491987775603</v>
      </c>
      <c r="C745">
        <v>2001</v>
      </c>
    </row>
    <row r="746" spans="1:11" x14ac:dyDescent="0.25">
      <c r="A746">
        <v>38.905900261316603</v>
      </c>
      <c r="B746">
        <v>76.553679021803305</v>
      </c>
      <c r="C746">
        <v>2001</v>
      </c>
    </row>
    <row r="747" spans="1:11" x14ac:dyDescent="0.25">
      <c r="A747">
        <v>50.218508012224397</v>
      </c>
      <c r="B747">
        <v>87.866286772711106</v>
      </c>
      <c r="C747">
        <v>2001</v>
      </c>
    </row>
    <row r="748" spans="1:11" x14ac:dyDescent="0.25">
      <c r="A748">
        <v>62.133713227288901</v>
      </c>
      <c r="B748">
        <v>99.781491987775595</v>
      </c>
      <c r="C748">
        <v>2001</v>
      </c>
    </row>
    <row r="749" spans="1:11" x14ac:dyDescent="0.25">
      <c r="A749">
        <v>65.3754191232686</v>
      </c>
      <c r="B749">
        <v>103.023197883755</v>
      </c>
      <c r="C749">
        <v>2001</v>
      </c>
    </row>
    <row r="750" spans="1:11" x14ac:dyDescent="0.25">
      <c r="A750">
        <v>64.938403098819805</v>
      </c>
      <c r="B750">
        <v>103.460213908204</v>
      </c>
      <c r="C750">
        <v>2000</v>
      </c>
    </row>
    <row r="751" spans="1:11" x14ac:dyDescent="0.25">
      <c r="A751">
        <v>61.696697202839999</v>
      </c>
      <c r="B751">
        <v>100.21850801222401</v>
      </c>
      <c r="C751">
        <v>2000</v>
      </c>
    </row>
    <row r="752" spans="1:11" x14ac:dyDescent="0.25">
      <c r="A752">
        <v>49.781491987775603</v>
      </c>
      <c r="B752">
        <v>88.303302797160001</v>
      </c>
      <c r="C752">
        <v>2000</v>
      </c>
    </row>
    <row r="753" spans="1:11" x14ac:dyDescent="0.25">
      <c r="A753" t="s">
        <v>88</v>
      </c>
    </row>
    <row r="754" spans="1:11" x14ac:dyDescent="0.25">
      <c r="A754">
        <v>745</v>
      </c>
      <c r="B754">
        <v>0</v>
      </c>
      <c r="C754">
        <v>76.7784130790956</v>
      </c>
      <c r="D754">
        <v>9.2040926938395309</v>
      </c>
      <c r="E754">
        <v>10</v>
      </c>
      <c r="F754">
        <v>1.01722196789785</v>
      </c>
      <c r="G754" t="s">
        <v>85</v>
      </c>
      <c r="H754" t="s">
        <v>85</v>
      </c>
      <c r="I754">
        <v>0</v>
      </c>
      <c r="J754">
        <v>0</v>
      </c>
      <c r="K754">
        <v>0.13373198682896401</v>
      </c>
    </row>
    <row r="755" spans="1:11" x14ac:dyDescent="0.25">
      <c r="A755" t="s">
        <v>87</v>
      </c>
    </row>
    <row r="756" spans="1:11" x14ac:dyDescent="0.25">
      <c r="A756">
        <v>143.36003226544901</v>
      </c>
      <c r="B756">
        <v>54.595861185351602</v>
      </c>
      <c r="C756">
        <v>2000</v>
      </c>
    </row>
    <row r="757" spans="1:11" x14ac:dyDescent="0.25">
      <c r="A757">
        <v>138.982679092322</v>
      </c>
      <c r="B757">
        <v>50.218508012224397</v>
      </c>
      <c r="C757">
        <v>2000</v>
      </c>
    </row>
    <row r="758" spans="1:11" x14ac:dyDescent="0.25">
      <c r="A758">
        <v>99.610176518354507</v>
      </c>
      <c r="B758">
        <v>10.846005438257301</v>
      </c>
      <c r="C758">
        <v>2000</v>
      </c>
    </row>
    <row r="759" spans="1:11" x14ac:dyDescent="0.25">
      <c r="A759">
        <v>88.764171080097199</v>
      </c>
      <c r="B759">
        <v>0</v>
      </c>
      <c r="C759">
        <v>2000</v>
      </c>
    </row>
    <row r="760" spans="1:11" x14ac:dyDescent="0.25">
      <c r="A760">
        <v>89.638203128994803</v>
      </c>
      <c r="B760">
        <v>0</v>
      </c>
      <c r="C760">
        <v>2001</v>
      </c>
    </row>
    <row r="761" spans="1:11" x14ac:dyDescent="0.25">
      <c r="A761">
        <v>100.389823481645</v>
      </c>
      <c r="B761">
        <v>10.751620352650599</v>
      </c>
      <c r="C761">
        <v>2001</v>
      </c>
    </row>
    <row r="762" spans="1:11" x14ac:dyDescent="0.25">
      <c r="A762">
        <v>139.41969511676999</v>
      </c>
      <c r="B762">
        <v>49.781491987775603</v>
      </c>
      <c r="C762">
        <v>2001</v>
      </c>
    </row>
    <row r="763" spans="1:11" x14ac:dyDescent="0.25">
      <c r="A763">
        <v>143.62341501758399</v>
      </c>
      <c r="B763">
        <v>53.985211888589198</v>
      </c>
      <c r="C763">
        <v>2001</v>
      </c>
    </row>
    <row r="764" spans="1:11" x14ac:dyDescent="0.25">
      <c r="A764">
        <v>150</v>
      </c>
      <c r="B764">
        <v>60.361796871005097</v>
      </c>
      <c r="C764">
        <v>2001</v>
      </c>
    </row>
    <row r="765" spans="1:11" x14ac:dyDescent="0.25">
      <c r="A765">
        <v>150</v>
      </c>
      <c r="B765">
        <v>61.235828919902701</v>
      </c>
      <c r="C765">
        <v>2000</v>
      </c>
    </row>
    <row r="766" spans="1:11" x14ac:dyDescent="0.25">
      <c r="A766" t="s">
        <v>88</v>
      </c>
    </row>
    <row r="767" spans="1:11" x14ac:dyDescent="0.25">
      <c r="A767">
        <v>501</v>
      </c>
      <c r="B767">
        <v>0</v>
      </c>
      <c r="C767">
        <v>40.587293205375197</v>
      </c>
      <c r="D767">
        <v>44.077805490447297</v>
      </c>
      <c r="E767">
        <v>10</v>
      </c>
      <c r="F767">
        <v>1.01722196789785</v>
      </c>
      <c r="G767" t="s">
        <v>86</v>
      </c>
      <c r="H767" t="s">
        <v>86</v>
      </c>
      <c r="I767">
        <v>498</v>
      </c>
      <c r="J767">
        <v>163</v>
      </c>
      <c r="K767">
        <v>0</v>
      </c>
    </row>
    <row r="768" spans="1:11" x14ac:dyDescent="0.25">
      <c r="A768" t="s">
        <v>87</v>
      </c>
    </row>
    <row r="769" spans="1:11" x14ac:dyDescent="0.25">
      <c r="A769">
        <v>96.740554962181903</v>
      </c>
      <c r="B769">
        <v>92.534867678556793</v>
      </c>
      <c r="C769">
        <v>2000</v>
      </c>
    </row>
    <row r="770" spans="1:11" x14ac:dyDescent="0.25">
      <c r="A770">
        <v>68.041004706654405</v>
      </c>
      <c r="B770">
        <v>63.835317423029302</v>
      </c>
      <c r="C770">
        <v>2000</v>
      </c>
    </row>
    <row r="771" spans="1:11" x14ac:dyDescent="0.25">
      <c r="A771">
        <v>67.603988682205596</v>
      </c>
      <c r="B771">
        <v>64.272333447478104</v>
      </c>
      <c r="C771">
        <v>2001</v>
      </c>
    </row>
    <row r="772" spans="1:11" x14ac:dyDescent="0.25">
      <c r="A772">
        <v>96.303538937733094</v>
      </c>
      <c r="B772">
        <v>92.971883703005602</v>
      </c>
      <c r="C772">
        <v>2001</v>
      </c>
    </row>
    <row r="773" spans="1:11" x14ac:dyDescent="0.25">
      <c r="A773">
        <v>99.781491987775595</v>
      </c>
      <c r="B773">
        <v>96.449836753048103</v>
      </c>
      <c r="C773">
        <v>2001</v>
      </c>
    </row>
    <row r="774" spans="1:11" x14ac:dyDescent="0.25">
      <c r="A774">
        <v>103.550163246952</v>
      </c>
      <c r="B774">
        <v>100.21850801222401</v>
      </c>
      <c r="C774">
        <v>2001</v>
      </c>
    </row>
    <row r="775" spans="1:11" x14ac:dyDescent="0.25">
      <c r="A775">
        <v>127.47125409985</v>
      </c>
      <c r="B775">
        <v>124.13959886512301</v>
      </c>
      <c r="C775">
        <v>2001</v>
      </c>
    </row>
    <row r="776" spans="1:11" x14ac:dyDescent="0.25">
      <c r="A776">
        <v>127.90827012429899</v>
      </c>
      <c r="B776">
        <v>123.702582840674</v>
      </c>
      <c r="C776">
        <v>2000</v>
      </c>
    </row>
    <row r="777" spans="1:11" x14ac:dyDescent="0.25">
      <c r="A777">
        <v>103.987179271401</v>
      </c>
      <c r="B777">
        <v>99.781491987775595</v>
      </c>
      <c r="C777">
        <v>2000</v>
      </c>
    </row>
    <row r="778" spans="1:11" x14ac:dyDescent="0.25">
      <c r="A778">
        <v>100.21850801222401</v>
      </c>
      <c r="B778">
        <v>96.012820728599294</v>
      </c>
      <c r="C778">
        <v>2000</v>
      </c>
    </row>
    <row r="779" spans="1:11" x14ac:dyDescent="0.25">
      <c r="A779" t="s">
        <v>88</v>
      </c>
    </row>
    <row r="780" spans="1:11" x14ac:dyDescent="0.25">
      <c r="A780">
        <v>193</v>
      </c>
      <c r="B780">
        <v>0</v>
      </c>
      <c r="C780">
        <v>65.9849997702987</v>
      </c>
      <c r="D780">
        <v>18.0091569382028</v>
      </c>
      <c r="E780">
        <v>10</v>
      </c>
      <c r="F780">
        <v>1.01722196789785</v>
      </c>
      <c r="G780" t="s">
        <v>86</v>
      </c>
      <c r="H780" t="s">
        <v>85</v>
      </c>
      <c r="I780">
        <v>489</v>
      </c>
      <c r="J780">
        <v>0</v>
      </c>
      <c r="K780">
        <v>0</v>
      </c>
    </row>
    <row r="781" spans="1:11" x14ac:dyDescent="0.25">
      <c r="A781" t="s">
        <v>87</v>
      </c>
    </row>
    <row r="782" spans="1:11" x14ac:dyDescent="0.25">
      <c r="A782">
        <v>137.36222968876001</v>
      </c>
      <c r="B782">
        <v>115.72230864400601</v>
      </c>
      <c r="C782">
        <v>2000</v>
      </c>
    </row>
    <row r="783" spans="1:11" x14ac:dyDescent="0.25">
      <c r="A783">
        <v>121.42141303253</v>
      </c>
      <c r="B783">
        <v>99.781491987775595</v>
      </c>
      <c r="C783">
        <v>2000</v>
      </c>
    </row>
    <row r="784" spans="1:11" x14ac:dyDescent="0.25">
      <c r="A784">
        <v>100.21850801222401</v>
      </c>
      <c r="B784">
        <v>78.578586967470201</v>
      </c>
      <c r="C784">
        <v>2000</v>
      </c>
    </row>
    <row r="785" spans="1:11" x14ac:dyDescent="0.25">
      <c r="A785">
        <v>90.825670223597498</v>
      </c>
      <c r="B785">
        <v>69.185749178843295</v>
      </c>
      <c r="C785">
        <v>2000</v>
      </c>
    </row>
    <row r="786" spans="1:11" x14ac:dyDescent="0.25">
      <c r="A786">
        <v>90.388654199148704</v>
      </c>
      <c r="B786">
        <v>69.622765203292104</v>
      </c>
      <c r="C786">
        <v>2001</v>
      </c>
    </row>
    <row r="787" spans="1:11" x14ac:dyDescent="0.25">
      <c r="A787">
        <v>99.781491987775595</v>
      </c>
      <c r="B787">
        <v>79.015602991918996</v>
      </c>
      <c r="C787">
        <v>2001</v>
      </c>
    </row>
    <row r="788" spans="1:11" x14ac:dyDescent="0.25">
      <c r="A788">
        <v>120.984397008081</v>
      </c>
      <c r="B788">
        <v>100.21850801222401</v>
      </c>
      <c r="C788">
        <v>2001</v>
      </c>
    </row>
    <row r="789" spans="1:11" x14ac:dyDescent="0.25">
      <c r="A789">
        <v>137.16897632232801</v>
      </c>
      <c r="B789">
        <v>116.403087326472</v>
      </c>
      <c r="C789">
        <v>2001</v>
      </c>
    </row>
    <row r="790" spans="1:11" x14ac:dyDescent="0.25">
      <c r="A790">
        <v>150</v>
      </c>
      <c r="B790">
        <v>129.23411100414299</v>
      </c>
      <c r="C790">
        <v>2001</v>
      </c>
    </row>
    <row r="791" spans="1:11" x14ac:dyDescent="0.25">
      <c r="A791">
        <v>150</v>
      </c>
      <c r="B791">
        <v>128.360078955246</v>
      </c>
      <c r="C791">
        <v>2000</v>
      </c>
    </row>
    <row r="792" spans="1:11" x14ac:dyDescent="0.25">
      <c r="A792" t="s">
        <v>88</v>
      </c>
    </row>
    <row r="793" spans="1:11" x14ac:dyDescent="0.25">
      <c r="A793">
        <v>349</v>
      </c>
      <c r="B793">
        <v>0</v>
      </c>
      <c r="C793">
        <v>41.147109280744701</v>
      </c>
      <c r="D793">
        <v>42.832284045260998</v>
      </c>
      <c r="E793">
        <v>10</v>
      </c>
      <c r="F793">
        <v>1.01722196789785</v>
      </c>
      <c r="G793" t="s">
        <v>85</v>
      </c>
      <c r="H793" t="s">
        <v>85</v>
      </c>
      <c r="I793">
        <v>0</v>
      </c>
      <c r="J793">
        <v>0</v>
      </c>
      <c r="K793">
        <v>0</v>
      </c>
    </row>
    <row r="794" spans="1:11" x14ac:dyDescent="0.25">
      <c r="A794" t="s">
        <v>87</v>
      </c>
    </row>
    <row r="795" spans="1:11" x14ac:dyDescent="0.25">
      <c r="A795">
        <v>119.49149572408101</v>
      </c>
      <c r="B795">
        <v>29.310910249280798</v>
      </c>
      <c r="C795">
        <v>2000</v>
      </c>
    </row>
    <row r="796" spans="1:11" x14ac:dyDescent="0.25">
      <c r="A796">
        <v>99.633446290776007</v>
      </c>
      <c r="B796">
        <v>9.4528608159757699</v>
      </c>
      <c r="C796">
        <v>2000</v>
      </c>
    </row>
    <row r="797" spans="1:11" x14ac:dyDescent="0.25">
      <c r="A797">
        <v>90.180585474800196</v>
      </c>
      <c r="B797">
        <v>0</v>
      </c>
      <c r="C797">
        <v>2000</v>
      </c>
    </row>
    <row r="798" spans="1:11" x14ac:dyDescent="0.25">
      <c r="A798">
        <v>91.0546175236978</v>
      </c>
      <c r="B798">
        <v>0</v>
      </c>
      <c r="C798">
        <v>2001</v>
      </c>
    </row>
    <row r="799" spans="1:11" x14ac:dyDescent="0.25">
      <c r="A799">
        <v>100.36655370922399</v>
      </c>
      <c r="B799">
        <v>9.3119361855261307</v>
      </c>
      <c r="C799">
        <v>2001</v>
      </c>
    </row>
    <row r="800" spans="1:11" x14ac:dyDescent="0.25">
      <c r="A800">
        <v>119.934507271694</v>
      </c>
      <c r="B800">
        <v>28.879889747996199</v>
      </c>
      <c r="C800">
        <v>2001</v>
      </c>
    </row>
    <row r="801" spans="1:11" x14ac:dyDescent="0.25">
      <c r="A801">
        <v>140.68529157577299</v>
      </c>
      <c r="B801">
        <v>49.630674052075399</v>
      </c>
      <c r="C801">
        <v>2001</v>
      </c>
    </row>
    <row r="802" spans="1:11" x14ac:dyDescent="0.25">
      <c r="A802">
        <v>150</v>
      </c>
      <c r="B802">
        <v>58.9453824763021</v>
      </c>
      <c r="C802">
        <v>2001</v>
      </c>
    </row>
    <row r="803" spans="1:11" x14ac:dyDescent="0.25">
      <c r="A803">
        <v>150</v>
      </c>
      <c r="B803">
        <v>59.819414525199797</v>
      </c>
      <c r="C803">
        <v>2000</v>
      </c>
    </row>
    <row r="804" spans="1:11" x14ac:dyDescent="0.25">
      <c r="A804">
        <v>140.54991142272499</v>
      </c>
      <c r="B804">
        <v>50.369325947924601</v>
      </c>
      <c r="C804">
        <v>2000</v>
      </c>
    </row>
    <row r="805" spans="1:11" x14ac:dyDescent="0.25">
      <c r="A805" t="s">
        <v>88</v>
      </c>
    </row>
    <row r="806" spans="1:11" x14ac:dyDescent="0.25">
      <c r="A806">
        <v>651</v>
      </c>
      <c r="B806">
        <v>0</v>
      </c>
      <c r="C806">
        <v>12.9842891427491</v>
      </c>
      <c r="D806">
        <v>70.954381700643097</v>
      </c>
      <c r="E806">
        <v>10</v>
      </c>
      <c r="F806">
        <v>1.5707963267949001</v>
      </c>
      <c r="G806" t="s">
        <v>85</v>
      </c>
      <c r="H806" t="s">
        <v>85</v>
      </c>
      <c r="I806">
        <v>0</v>
      </c>
      <c r="J806">
        <v>0</v>
      </c>
      <c r="K806">
        <v>0</v>
      </c>
    </row>
    <row r="807" spans="1:11" x14ac:dyDescent="0.25">
      <c r="A807" t="s">
        <v>87</v>
      </c>
    </row>
    <row r="808" spans="1:11" x14ac:dyDescent="0.25">
      <c r="A808">
        <v>9.18127890172474</v>
      </c>
      <c r="B808">
        <v>99.827675544576607</v>
      </c>
      <c r="C808">
        <v>2000</v>
      </c>
    </row>
    <row r="809" spans="1:11" x14ac:dyDescent="0.25">
      <c r="A809">
        <v>0</v>
      </c>
      <c r="B809">
        <v>90.646396642851798</v>
      </c>
      <c r="C809">
        <v>2000</v>
      </c>
    </row>
    <row r="810" spans="1:11" x14ac:dyDescent="0.25">
      <c r="A810">
        <v>0</v>
      </c>
      <c r="B810">
        <v>90.646396642851798</v>
      </c>
      <c r="C810">
        <v>2001</v>
      </c>
    </row>
    <row r="811" spans="1:11" x14ac:dyDescent="0.25">
      <c r="A811">
        <v>9.18127890172474</v>
      </c>
      <c r="B811">
        <v>99.827675544576607</v>
      </c>
      <c r="C811">
        <v>2001</v>
      </c>
    </row>
    <row r="812" spans="1:11" x14ac:dyDescent="0.25">
      <c r="A812">
        <v>9.3536033571481703</v>
      </c>
      <c r="B812">
        <v>100</v>
      </c>
      <c r="C812">
        <v>2001</v>
      </c>
    </row>
    <row r="813" spans="1:11" x14ac:dyDescent="0.25">
      <c r="A813">
        <v>50</v>
      </c>
      <c r="B813">
        <v>140.64639664285201</v>
      </c>
      <c r="C813">
        <v>2001</v>
      </c>
    </row>
    <row r="814" spans="1:11" x14ac:dyDescent="0.25">
      <c r="A814">
        <v>59.353603357148202</v>
      </c>
      <c r="B814">
        <v>150</v>
      </c>
      <c r="C814">
        <v>2001</v>
      </c>
    </row>
    <row r="815" spans="1:11" x14ac:dyDescent="0.25">
      <c r="A815">
        <v>59.353603357148202</v>
      </c>
      <c r="B815">
        <v>150</v>
      </c>
      <c r="C815">
        <v>2000</v>
      </c>
    </row>
    <row r="816" spans="1:11" x14ac:dyDescent="0.25">
      <c r="A816">
        <v>50</v>
      </c>
      <c r="B816">
        <v>140.64639664285201</v>
      </c>
      <c r="C816">
        <v>2000</v>
      </c>
    </row>
    <row r="817" spans="1:11" x14ac:dyDescent="0.25">
      <c r="A817">
        <v>9.3536033571481703</v>
      </c>
      <c r="B817">
        <v>100</v>
      </c>
      <c r="C817">
        <v>2000</v>
      </c>
    </row>
    <row r="818" spans="1:11" x14ac:dyDescent="0.25">
      <c r="A818" t="s">
        <v>88</v>
      </c>
    </row>
    <row r="819" spans="1:11" x14ac:dyDescent="0.25">
      <c r="A819">
        <v>434</v>
      </c>
      <c r="B819">
        <v>0</v>
      </c>
      <c r="C819">
        <v>71.2339051647986</v>
      </c>
      <c r="D819">
        <v>10.5032715388441</v>
      </c>
      <c r="E819">
        <v>10</v>
      </c>
      <c r="F819">
        <v>1.01722196789785</v>
      </c>
      <c r="G819" t="s">
        <v>86</v>
      </c>
      <c r="H819" t="s">
        <v>86</v>
      </c>
      <c r="I819">
        <v>93</v>
      </c>
      <c r="J819">
        <v>743</v>
      </c>
      <c r="K819">
        <v>0</v>
      </c>
    </row>
    <row r="820" spans="1:11" x14ac:dyDescent="0.25">
      <c r="A820" t="s">
        <v>87</v>
      </c>
    </row>
    <row r="821" spans="1:11" x14ac:dyDescent="0.25">
      <c r="A821">
        <v>102.793815981496</v>
      </c>
      <c r="B821">
        <v>75.362685482191097</v>
      </c>
      <c r="C821">
        <v>2000</v>
      </c>
    </row>
    <row r="822" spans="1:11" x14ac:dyDescent="0.25">
      <c r="A822">
        <v>100.21850801222401</v>
      </c>
      <c r="B822">
        <v>72.787377512919306</v>
      </c>
      <c r="C822">
        <v>2000</v>
      </c>
    </row>
    <row r="823" spans="1:11" x14ac:dyDescent="0.25">
      <c r="A823">
        <v>77.212622487080793</v>
      </c>
      <c r="B823">
        <v>49.781491987775603</v>
      </c>
      <c r="C823">
        <v>2000</v>
      </c>
    </row>
    <row r="824" spans="1:11" x14ac:dyDescent="0.25">
      <c r="A824">
        <v>52.423838589067699</v>
      </c>
      <c r="B824">
        <v>24.992708089762498</v>
      </c>
      <c r="C824">
        <v>2000</v>
      </c>
    </row>
    <row r="825" spans="1:11" x14ac:dyDescent="0.25">
      <c r="A825">
        <v>51.986822564618798</v>
      </c>
      <c r="B825">
        <v>25.4297241142113</v>
      </c>
      <c r="C825">
        <v>2001</v>
      </c>
    </row>
    <row r="826" spans="1:11" x14ac:dyDescent="0.25">
      <c r="A826">
        <v>76.775606462631899</v>
      </c>
      <c r="B826">
        <v>50.218508012224397</v>
      </c>
      <c r="C826">
        <v>2001</v>
      </c>
    </row>
    <row r="827" spans="1:11" x14ac:dyDescent="0.25">
      <c r="A827">
        <v>99.781491987775595</v>
      </c>
      <c r="B827">
        <v>73.224393537368101</v>
      </c>
      <c r="C827">
        <v>2001</v>
      </c>
    </row>
    <row r="828" spans="1:11" x14ac:dyDescent="0.25">
      <c r="A828">
        <v>102.356799957047</v>
      </c>
      <c r="B828">
        <v>75.799701506639906</v>
      </c>
      <c r="C828">
        <v>2001</v>
      </c>
    </row>
    <row r="829" spans="1:11" x14ac:dyDescent="0.25">
      <c r="A829">
        <v>109.783734486808</v>
      </c>
      <c r="B829">
        <v>83.226636036400194</v>
      </c>
      <c r="C829">
        <v>2001</v>
      </c>
    </row>
    <row r="830" spans="1:11" x14ac:dyDescent="0.25">
      <c r="A830">
        <v>110.22075051125699</v>
      </c>
      <c r="B830">
        <v>82.789620011951399</v>
      </c>
      <c r="C830">
        <v>2000</v>
      </c>
    </row>
    <row r="831" spans="1:11" x14ac:dyDescent="0.25">
      <c r="A831" t="s">
        <v>88</v>
      </c>
    </row>
    <row r="832" spans="1:11" x14ac:dyDescent="0.25">
      <c r="A832">
        <v>515</v>
      </c>
      <c r="B832">
        <v>0</v>
      </c>
      <c r="C832">
        <v>74.858492057429302</v>
      </c>
      <c r="D832">
        <v>6.6961851902760801</v>
      </c>
      <c r="E832">
        <v>10</v>
      </c>
      <c r="F832">
        <v>1.01722196789785</v>
      </c>
      <c r="G832" t="s">
        <v>85</v>
      </c>
      <c r="H832" t="s">
        <v>86</v>
      </c>
      <c r="I832">
        <v>0</v>
      </c>
      <c r="J832">
        <v>511</v>
      </c>
      <c r="K832">
        <v>0</v>
      </c>
    </row>
    <row r="833" spans="1:11" x14ac:dyDescent="0.25">
      <c r="A833" t="s">
        <v>87</v>
      </c>
    </row>
    <row r="834" spans="1:11" x14ac:dyDescent="0.25">
      <c r="A834">
        <v>83.3642156563577</v>
      </c>
      <c r="B834">
        <v>53.151455375432</v>
      </c>
      <c r="C834">
        <v>2000</v>
      </c>
    </row>
    <row r="835" spans="1:11" x14ac:dyDescent="0.25">
      <c r="A835">
        <v>80.431268293150197</v>
      </c>
      <c r="B835">
        <v>50.218508012224397</v>
      </c>
      <c r="C835">
        <v>2000</v>
      </c>
    </row>
    <row r="836" spans="1:11" x14ac:dyDescent="0.25">
      <c r="A836">
        <v>49.647547553863397</v>
      </c>
      <c r="B836">
        <v>19.434787272937601</v>
      </c>
      <c r="C836">
        <v>2000</v>
      </c>
    </row>
    <row r="837" spans="1:11" x14ac:dyDescent="0.25">
      <c r="A837">
        <v>30.2127602809257</v>
      </c>
      <c r="B837">
        <v>0</v>
      </c>
      <c r="C837">
        <v>2000</v>
      </c>
    </row>
    <row r="838" spans="1:11" x14ac:dyDescent="0.25">
      <c r="A838">
        <v>31.0867923298234</v>
      </c>
      <c r="B838">
        <v>0</v>
      </c>
      <c r="C838">
        <v>2001</v>
      </c>
    </row>
    <row r="839" spans="1:11" x14ac:dyDescent="0.25">
      <c r="A839">
        <v>50.352452446136603</v>
      </c>
      <c r="B839">
        <v>19.2656601163132</v>
      </c>
      <c r="C839">
        <v>2001</v>
      </c>
    </row>
    <row r="840" spans="1:11" x14ac:dyDescent="0.25">
      <c r="A840">
        <v>80.868284317599006</v>
      </c>
      <c r="B840">
        <v>49.781491987775603</v>
      </c>
      <c r="C840">
        <v>2001</v>
      </c>
    </row>
    <row r="841" spans="1:11" x14ac:dyDescent="0.25">
      <c r="A841">
        <v>83.801231680806495</v>
      </c>
      <c r="B841">
        <v>52.714439350983199</v>
      </c>
      <c r="C841">
        <v>2001</v>
      </c>
    </row>
    <row r="842" spans="1:11" x14ac:dyDescent="0.25">
      <c r="A842">
        <v>88.536149636931697</v>
      </c>
      <c r="B842">
        <v>57.449357307108301</v>
      </c>
      <c r="C842">
        <v>2001</v>
      </c>
    </row>
    <row r="843" spans="1:11" x14ac:dyDescent="0.25">
      <c r="A843">
        <v>88.099133612482902</v>
      </c>
      <c r="B843">
        <v>57.886373331557103</v>
      </c>
      <c r="C843">
        <v>2000</v>
      </c>
    </row>
    <row r="844" spans="1:11" x14ac:dyDescent="0.25">
      <c r="A844" t="s">
        <v>88</v>
      </c>
    </row>
    <row r="845" spans="1:11" x14ac:dyDescent="0.25">
      <c r="A845">
        <v>110</v>
      </c>
      <c r="B845">
        <v>0</v>
      </c>
      <c r="C845">
        <v>36.939933711938998</v>
      </c>
      <c r="D845">
        <v>42.930874833522097</v>
      </c>
      <c r="E845">
        <v>10</v>
      </c>
      <c r="F845">
        <v>1.01722196789785</v>
      </c>
      <c r="G845" t="s">
        <v>85</v>
      </c>
      <c r="H845" t="s">
        <v>86</v>
      </c>
      <c r="I845">
        <v>0</v>
      </c>
      <c r="J845">
        <v>412</v>
      </c>
      <c r="K845">
        <v>0</v>
      </c>
    </row>
    <row r="846" spans="1:11" x14ac:dyDescent="0.25">
      <c r="A846" t="s">
        <v>87</v>
      </c>
    </row>
    <row r="847" spans="1:11" x14ac:dyDescent="0.25">
      <c r="A847">
        <v>78.601865543022498</v>
      </c>
      <c r="B847">
        <v>26.0011637990149</v>
      </c>
      <c r="C847">
        <v>2000</v>
      </c>
    </row>
    <row r="848" spans="1:11" x14ac:dyDescent="0.25">
      <c r="A848">
        <v>52.600701744007601</v>
      </c>
      <c r="B848">
        <v>0</v>
      </c>
      <c r="C848">
        <v>2000</v>
      </c>
    </row>
    <row r="849" spans="1:11" x14ac:dyDescent="0.25">
      <c r="A849">
        <v>51.726669695109997</v>
      </c>
      <c r="B849">
        <v>0</v>
      </c>
      <c r="C849">
        <v>2001</v>
      </c>
    </row>
    <row r="850" spans="1:11" x14ac:dyDescent="0.25">
      <c r="A850">
        <v>77.966461144682398</v>
      </c>
      <c r="B850">
        <v>26.239791449572401</v>
      </c>
      <c r="C850">
        <v>2001</v>
      </c>
    </row>
    <row r="851" spans="1:11" x14ac:dyDescent="0.25">
      <c r="A851">
        <v>99.781491987775595</v>
      </c>
      <c r="B851">
        <v>48.054822292665499</v>
      </c>
      <c r="C851">
        <v>2001</v>
      </c>
    </row>
    <row r="852" spans="1:11" x14ac:dyDescent="0.25">
      <c r="A852">
        <v>101.945177707334</v>
      </c>
      <c r="B852">
        <v>50.218508012224397</v>
      </c>
      <c r="C852">
        <v>2001</v>
      </c>
    </row>
    <row r="853" spans="1:11" x14ac:dyDescent="0.25">
      <c r="A853">
        <v>108.422368048682</v>
      </c>
      <c r="B853">
        <v>56.695698353572404</v>
      </c>
      <c r="C853">
        <v>2001</v>
      </c>
    </row>
    <row r="854" spans="1:11" x14ac:dyDescent="0.25">
      <c r="A854">
        <v>108.859384073131</v>
      </c>
      <c r="B854">
        <v>56.258682329123602</v>
      </c>
      <c r="C854">
        <v>2000</v>
      </c>
    </row>
    <row r="855" spans="1:11" x14ac:dyDescent="0.25">
      <c r="A855">
        <v>102.382193731783</v>
      </c>
      <c r="B855">
        <v>49.781491987775603</v>
      </c>
      <c r="C855">
        <v>2000</v>
      </c>
    </row>
    <row r="856" spans="1:11" x14ac:dyDescent="0.25">
      <c r="A856">
        <v>100.21850801222401</v>
      </c>
      <c r="B856">
        <v>47.617806268216697</v>
      </c>
      <c r="C856">
        <v>2000</v>
      </c>
    </row>
    <row r="857" spans="1:11" x14ac:dyDescent="0.25">
      <c r="A857" t="s">
        <v>88</v>
      </c>
    </row>
    <row r="858" spans="1:11" x14ac:dyDescent="0.25">
      <c r="A858">
        <v>422</v>
      </c>
      <c r="B858">
        <v>0</v>
      </c>
      <c r="C858">
        <v>27.4228926859433</v>
      </c>
      <c r="D858">
        <v>51.592156265432898</v>
      </c>
      <c r="E858">
        <v>10</v>
      </c>
      <c r="F858">
        <v>1.01722196789785</v>
      </c>
      <c r="G858" t="s">
        <v>86</v>
      </c>
      <c r="H858" t="s">
        <v>86</v>
      </c>
      <c r="I858">
        <v>83</v>
      </c>
      <c r="J858">
        <v>401</v>
      </c>
      <c r="K858">
        <v>0</v>
      </c>
    </row>
    <row r="859" spans="1:11" x14ac:dyDescent="0.25">
      <c r="A859" t="s">
        <v>87</v>
      </c>
    </row>
    <row r="860" spans="1:11" x14ac:dyDescent="0.25">
      <c r="A860">
        <v>105.73796070587299</v>
      </c>
      <c r="B860">
        <v>59.986936546394801</v>
      </c>
      <c r="C860">
        <v>2000</v>
      </c>
    </row>
    <row r="861" spans="1:11" x14ac:dyDescent="0.25">
      <c r="A861">
        <v>100.21850801222401</v>
      </c>
      <c r="B861">
        <v>54.467483852746497</v>
      </c>
      <c r="C861">
        <v>2000</v>
      </c>
    </row>
    <row r="862" spans="1:11" x14ac:dyDescent="0.25">
      <c r="A862">
        <v>95.532516147253503</v>
      </c>
      <c r="B862">
        <v>49.781491987775603</v>
      </c>
      <c r="C862">
        <v>2000</v>
      </c>
    </row>
    <row r="863" spans="1:11" x14ac:dyDescent="0.25">
      <c r="A863">
        <v>86.347047327891303</v>
      </c>
      <c r="B863">
        <v>40.596023168413403</v>
      </c>
      <c r="C863">
        <v>2000</v>
      </c>
    </row>
    <row r="864" spans="1:11" x14ac:dyDescent="0.25">
      <c r="A864">
        <v>85.910031303442494</v>
      </c>
      <c r="B864">
        <v>41.033039192862198</v>
      </c>
      <c r="C864">
        <v>2001</v>
      </c>
    </row>
    <row r="865" spans="1:11" x14ac:dyDescent="0.25">
      <c r="A865">
        <v>95.095500122804694</v>
      </c>
      <c r="B865">
        <v>50.218508012224397</v>
      </c>
      <c r="C865">
        <v>2001</v>
      </c>
    </row>
    <row r="866" spans="1:11" x14ac:dyDescent="0.25">
      <c r="A866">
        <v>99.781491987775595</v>
      </c>
      <c r="B866">
        <v>54.904499877195299</v>
      </c>
      <c r="C866">
        <v>2001</v>
      </c>
    </row>
    <row r="867" spans="1:11" x14ac:dyDescent="0.25">
      <c r="A867">
        <v>105.300944681424</v>
      </c>
      <c r="B867">
        <v>60.423952570843703</v>
      </c>
      <c r="C867">
        <v>2001</v>
      </c>
    </row>
    <row r="868" spans="1:11" x14ac:dyDescent="0.25">
      <c r="A868">
        <v>141.78210823274799</v>
      </c>
      <c r="B868">
        <v>96.9051161221673</v>
      </c>
      <c r="C868">
        <v>2001</v>
      </c>
    </row>
    <row r="869" spans="1:11" x14ac:dyDescent="0.25">
      <c r="A869">
        <v>142.219124257196</v>
      </c>
      <c r="B869">
        <v>96.468100097718505</v>
      </c>
      <c r="C869">
        <v>2000</v>
      </c>
    </row>
    <row r="870" spans="1:11" x14ac:dyDescent="0.25">
      <c r="A870" t="s">
        <v>88</v>
      </c>
    </row>
    <row r="871" spans="1:11" x14ac:dyDescent="0.25">
      <c r="A871">
        <v>724</v>
      </c>
      <c r="B871">
        <v>0</v>
      </c>
      <c r="C871">
        <v>52.635745293983</v>
      </c>
      <c r="D871">
        <v>26.219462603877702</v>
      </c>
      <c r="E871">
        <v>10</v>
      </c>
      <c r="F871">
        <v>1.01722196789785</v>
      </c>
      <c r="G871" t="s">
        <v>85</v>
      </c>
      <c r="H871" t="s">
        <v>85</v>
      </c>
      <c r="I871">
        <v>0</v>
      </c>
      <c r="J871">
        <v>0</v>
      </c>
      <c r="K871">
        <v>0.13160878275062499</v>
      </c>
    </row>
    <row r="872" spans="1:11" x14ac:dyDescent="0.25">
      <c r="A872" t="s">
        <v>87</v>
      </c>
    </row>
    <row r="873" spans="1:11" x14ac:dyDescent="0.25">
      <c r="A873">
        <v>131.62478984118499</v>
      </c>
      <c r="B873">
        <v>36.946826053188602</v>
      </c>
      <c r="C873">
        <v>2000</v>
      </c>
    </row>
    <row r="874" spans="1:11" x14ac:dyDescent="0.25">
      <c r="A874">
        <v>100.403205445675</v>
      </c>
      <c r="B874">
        <v>5.7252416576789198</v>
      </c>
      <c r="C874">
        <v>2000</v>
      </c>
    </row>
    <row r="875" spans="1:11" x14ac:dyDescent="0.25">
      <c r="A875">
        <v>94.677963787996504</v>
      </c>
      <c r="B875">
        <v>0</v>
      </c>
      <c r="C875">
        <v>2000</v>
      </c>
    </row>
    <row r="876" spans="1:11" x14ac:dyDescent="0.25">
      <c r="A876">
        <v>93.8039317390989</v>
      </c>
      <c r="B876">
        <v>0</v>
      </c>
      <c r="C876">
        <v>2001</v>
      </c>
    </row>
    <row r="877" spans="1:11" x14ac:dyDescent="0.25">
      <c r="A877">
        <v>99.596794554324504</v>
      </c>
      <c r="B877">
        <v>5.7928628152256501</v>
      </c>
      <c r="C877">
        <v>2001</v>
      </c>
    </row>
    <row r="878" spans="1:11" x14ac:dyDescent="0.25">
      <c r="A878">
        <v>131.29529054627699</v>
      </c>
      <c r="B878">
        <v>37.491358807177903</v>
      </c>
      <c r="C878">
        <v>2001</v>
      </c>
    </row>
    <row r="879" spans="1:11" x14ac:dyDescent="0.25">
      <c r="A879">
        <v>144.17307280213299</v>
      </c>
      <c r="B879">
        <v>50.369141063033901</v>
      </c>
      <c r="C879">
        <v>2001</v>
      </c>
    </row>
    <row r="880" spans="1:11" x14ac:dyDescent="0.25">
      <c r="A880">
        <v>150</v>
      </c>
      <c r="B880">
        <v>56.1960682609011</v>
      </c>
      <c r="C880">
        <v>2001</v>
      </c>
    </row>
    <row r="881" spans="1:11" x14ac:dyDescent="0.25">
      <c r="A881">
        <v>150</v>
      </c>
      <c r="B881">
        <v>55.322036212003397</v>
      </c>
      <c r="C881">
        <v>2000</v>
      </c>
    </row>
    <row r="882" spans="1:11" x14ac:dyDescent="0.25">
      <c r="A882">
        <v>144.30882272496299</v>
      </c>
      <c r="B882">
        <v>49.630858936966</v>
      </c>
      <c r="C882">
        <v>2000</v>
      </c>
    </row>
    <row r="883" spans="1:11" x14ac:dyDescent="0.25">
      <c r="A883" t="s">
        <v>88</v>
      </c>
    </row>
    <row r="884" spans="1:11" x14ac:dyDescent="0.25">
      <c r="A884">
        <v>725</v>
      </c>
      <c r="B884">
        <v>0</v>
      </c>
      <c r="C884">
        <v>38.176932405807896</v>
      </c>
      <c r="D884">
        <v>40.178320605551498</v>
      </c>
      <c r="E884">
        <v>12</v>
      </c>
      <c r="F884">
        <v>1.01722196789785</v>
      </c>
      <c r="G884" t="s">
        <v>86</v>
      </c>
      <c r="H884" t="s">
        <v>86</v>
      </c>
      <c r="I884">
        <v>9</v>
      </c>
      <c r="J884">
        <v>746</v>
      </c>
      <c r="K884">
        <v>0.13160878275062499</v>
      </c>
    </row>
    <row r="885" spans="1:11" x14ac:dyDescent="0.25">
      <c r="A885" t="s">
        <v>87</v>
      </c>
    </row>
    <row r="886" spans="1:11" x14ac:dyDescent="0.25">
      <c r="A886">
        <v>40.506524184484498</v>
      </c>
      <c r="B886">
        <v>72.758231749649994</v>
      </c>
      <c r="C886">
        <v>2000</v>
      </c>
    </row>
    <row r="887" spans="1:11" x14ac:dyDescent="0.25">
      <c r="A887">
        <v>17.52978442261</v>
      </c>
      <c r="B887">
        <v>49.781491987775603</v>
      </c>
      <c r="C887">
        <v>2000</v>
      </c>
    </row>
    <row r="888" spans="1:11" x14ac:dyDescent="0.25">
      <c r="A888">
        <v>13.5113563954373</v>
      </c>
      <c r="B888">
        <v>45.7630639606028</v>
      </c>
      <c r="C888">
        <v>2000</v>
      </c>
    </row>
    <row r="889" spans="1:11" x14ac:dyDescent="0.25">
      <c r="A889">
        <v>13.0743403709884</v>
      </c>
      <c r="B889">
        <v>46.200079985051701</v>
      </c>
      <c r="C889">
        <v>2001</v>
      </c>
    </row>
    <row r="890" spans="1:11" x14ac:dyDescent="0.25">
      <c r="A890">
        <v>17.092768398161201</v>
      </c>
      <c r="B890">
        <v>50.218508012224397</v>
      </c>
      <c r="C890">
        <v>2001</v>
      </c>
    </row>
    <row r="891" spans="1:11" x14ac:dyDescent="0.25">
      <c r="A891">
        <v>40.069508160035603</v>
      </c>
      <c r="B891">
        <v>73.195247774098803</v>
      </c>
      <c r="C891">
        <v>2001</v>
      </c>
    </row>
    <row r="892" spans="1:11" x14ac:dyDescent="0.25">
      <c r="A892">
        <v>49.781491987775603</v>
      </c>
      <c r="B892">
        <v>82.907231601838802</v>
      </c>
      <c r="C892">
        <v>2001</v>
      </c>
    </row>
    <row r="893" spans="1:11" x14ac:dyDescent="0.25">
      <c r="A893">
        <v>67.092768398161198</v>
      </c>
      <c r="B893">
        <v>100.21850801222401</v>
      </c>
      <c r="C893">
        <v>2001</v>
      </c>
    </row>
    <row r="894" spans="1:11" x14ac:dyDescent="0.25">
      <c r="A894">
        <v>68.479871116908299</v>
      </c>
      <c r="B894">
        <v>101.605610730972</v>
      </c>
      <c r="C894">
        <v>2001</v>
      </c>
    </row>
    <row r="895" spans="1:11" x14ac:dyDescent="0.25">
      <c r="A895">
        <v>68.916887141357194</v>
      </c>
      <c r="B895">
        <v>101.168594706523</v>
      </c>
      <c r="C895">
        <v>2000</v>
      </c>
    </row>
    <row r="896" spans="1:11" x14ac:dyDescent="0.25">
      <c r="A896">
        <v>67.529784422610007</v>
      </c>
      <c r="B896">
        <v>99.781491987775595</v>
      </c>
      <c r="C896">
        <v>2000</v>
      </c>
    </row>
    <row r="897" spans="1:11" x14ac:dyDescent="0.25">
      <c r="A897">
        <v>50.218508012224397</v>
      </c>
      <c r="B897">
        <v>82.470215577389993</v>
      </c>
      <c r="C897">
        <v>2000</v>
      </c>
    </row>
    <row r="898" spans="1:11" x14ac:dyDescent="0.25">
      <c r="A898" t="s">
        <v>88</v>
      </c>
    </row>
    <row r="899" spans="1:11" x14ac:dyDescent="0.25">
      <c r="A899">
        <v>519</v>
      </c>
      <c r="B899">
        <v>0</v>
      </c>
      <c r="C899">
        <v>35.178066117849703</v>
      </c>
      <c r="D899">
        <v>42.930874833503402</v>
      </c>
      <c r="E899">
        <v>10</v>
      </c>
      <c r="F899">
        <v>1.01722196789785</v>
      </c>
      <c r="G899" t="s">
        <v>86</v>
      </c>
      <c r="H899" t="s">
        <v>86</v>
      </c>
      <c r="I899">
        <v>22</v>
      </c>
      <c r="J899">
        <v>184</v>
      </c>
      <c r="K899">
        <v>0</v>
      </c>
    </row>
    <row r="900" spans="1:11" x14ac:dyDescent="0.25">
      <c r="A900" t="s">
        <v>87</v>
      </c>
    </row>
    <row r="901" spans="1:11" x14ac:dyDescent="0.25">
      <c r="A901">
        <v>67.800632724906805</v>
      </c>
      <c r="B901">
        <v>84.876981005951095</v>
      </c>
      <c r="C901">
        <v>2000</v>
      </c>
    </row>
    <row r="902" spans="1:11" x14ac:dyDescent="0.25">
      <c r="A902">
        <v>50.218508012224397</v>
      </c>
      <c r="B902">
        <v>67.294856293268694</v>
      </c>
      <c r="C902">
        <v>2000</v>
      </c>
    </row>
    <row r="903" spans="1:11" x14ac:dyDescent="0.25">
      <c r="A903">
        <v>42.9259836239466</v>
      </c>
      <c r="B903">
        <v>60.002331904990903</v>
      </c>
      <c r="C903">
        <v>2000</v>
      </c>
    </row>
    <row r="904" spans="1:11" x14ac:dyDescent="0.25">
      <c r="A904">
        <v>42.488967599497698</v>
      </c>
      <c r="B904">
        <v>60.439347929439698</v>
      </c>
      <c r="C904">
        <v>2001</v>
      </c>
    </row>
    <row r="905" spans="1:11" x14ac:dyDescent="0.25">
      <c r="A905">
        <v>49.781491987775603</v>
      </c>
      <c r="B905">
        <v>67.731872317717503</v>
      </c>
      <c r="C905">
        <v>2001</v>
      </c>
    </row>
    <row r="906" spans="1:11" x14ac:dyDescent="0.25">
      <c r="A906">
        <v>67.363616700457996</v>
      </c>
      <c r="B906">
        <v>85.313997030399904</v>
      </c>
      <c r="C906">
        <v>2001</v>
      </c>
    </row>
    <row r="907" spans="1:11" x14ac:dyDescent="0.25">
      <c r="A907">
        <v>82.268127682282497</v>
      </c>
      <c r="B907">
        <v>100.21850801222401</v>
      </c>
      <c r="C907">
        <v>2001</v>
      </c>
    </row>
    <row r="908" spans="1:11" x14ac:dyDescent="0.25">
      <c r="A908">
        <v>97.720329417499102</v>
      </c>
      <c r="B908">
        <v>115.67070974744099</v>
      </c>
      <c r="C908">
        <v>2001</v>
      </c>
    </row>
    <row r="909" spans="1:11" x14ac:dyDescent="0.25">
      <c r="A909">
        <v>98.157345441947996</v>
      </c>
      <c r="B909">
        <v>115.233693722992</v>
      </c>
      <c r="C909">
        <v>2000</v>
      </c>
    </row>
    <row r="910" spans="1:11" x14ac:dyDescent="0.25">
      <c r="A910">
        <v>82.705143706731306</v>
      </c>
      <c r="B910">
        <v>99.781491987775595</v>
      </c>
      <c r="C910">
        <v>2000</v>
      </c>
    </row>
    <row r="911" spans="1:11" x14ac:dyDescent="0.25">
      <c r="A911" t="s">
        <v>88</v>
      </c>
    </row>
    <row r="912" spans="1:11" x14ac:dyDescent="0.25">
      <c r="A912">
        <v>503</v>
      </c>
      <c r="B912">
        <v>0</v>
      </c>
      <c r="C912">
        <v>39.891303520462301</v>
      </c>
      <c r="D912">
        <v>37.858563375559903</v>
      </c>
      <c r="E912">
        <v>12</v>
      </c>
      <c r="F912">
        <v>1.01722196789785</v>
      </c>
      <c r="G912" t="s">
        <v>86</v>
      </c>
      <c r="H912" t="s">
        <v>86</v>
      </c>
      <c r="I912">
        <v>38</v>
      </c>
      <c r="J912">
        <v>182</v>
      </c>
      <c r="K912">
        <v>0</v>
      </c>
    </row>
    <row r="913" spans="1:11" x14ac:dyDescent="0.25">
      <c r="A913" t="s">
        <v>87</v>
      </c>
    </row>
    <row r="914" spans="1:11" x14ac:dyDescent="0.25">
      <c r="A914">
        <v>83.772166306516993</v>
      </c>
      <c r="B914">
        <v>77.451469893772995</v>
      </c>
      <c r="C914">
        <v>2000</v>
      </c>
    </row>
    <row r="915" spans="1:11" x14ac:dyDescent="0.25">
      <c r="A915">
        <v>56.539204424968297</v>
      </c>
      <c r="B915">
        <v>50.218508012224397</v>
      </c>
      <c r="C915">
        <v>2000</v>
      </c>
    </row>
    <row r="916" spans="1:11" x14ac:dyDescent="0.25">
      <c r="A916">
        <v>55.564755076827197</v>
      </c>
      <c r="B916">
        <v>49.244058664083298</v>
      </c>
      <c r="C916">
        <v>2000</v>
      </c>
    </row>
    <row r="917" spans="1:11" x14ac:dyDescent="0.25">
      <c r="A917">
        <v>56.001771101276098</v>
      </c>
      <c r="B917">
        <v>48.807042639634503</v>
      </c>
      <c r="C917">
        <v>2001</v>
      </c>
    </row>
    <row r="918" spans="1:11" x14ac:dyDescent="0.25">
      <c r="A918">
        <v>56.976220449417198</v>
      </c>
      <c r="B918">
        <v>49.781491987775603</v>
      </c>
      <c r="C918">
        <v>2001</v>
      </c>
    </row>
    <row r="919" spans="1:11" x14ac:dyDescent="0.25">
      <c r="A919">
        <v>84.209182330965803</v>
      </c>
      <c r="B919">
        <v>77.0144538693242</v>
      </c>
      <c r="C919">
        <v>2001</v>
      </c>
    </row>
    <row r="920" spans="1:11" x14ac:dyDescent="0.25">
      <c r="A920">
        <v>100.21850801222401</v>
      </c>
      <c r="B920">
        <v>93.023779550582802</v>
      </c>
      <c r="C920">
        <v>2001</v>
      </c>
    </row>
    <row r="921" spans="1:11" x14ac:dyDescent="0.25">
      <c r="A921">
        <v>106.976220449417</v>
      </c>
      <c r="B921">
        <v>99.781491987775595</v>
      </c>
      <c r="C921">
        <v>2001</v>
      </c>
    </row>
    <row r="922" spans="1:11" x14ac:dyDescent="0.25">
      <c r="A922">
        <v>110.97922921980501</v>
      </c>
      <c r="B922">
        <v>103.78450075816301</v>
      </c>
      <c r="C922">
        <v>2001</v>
      </c>
    </row>
    <row r="923" spans="1:11" x14ac:dyDescent="0.25">
      <c r="A923">
        <v>110.542213195356</v>
      </c>
      <c r="B923">
        <v>104.221516782612</v>
      </c>
      <c r="C923">
        <v>2000</v>
      </c>
    </row>
    <row r="924" spans="1:11" x14ac:dyDescent="0.25">
      <c r="A924">
        <v>106.53920442496801</v>
      </c>
      <c r="B924">
        <v>100.21850801222401</v>
      </c>
      <c r="C924">
        <v>2000</v>
      </c>
    </row>
    <row r="925" spans="1:11" x14ac:dyDescent="0.25">
      <c r="A925">
        <v>99.781491987775595</v>
      </c>
      <c r="B925">
        <v>93.460795575031597</v>
      </c>
      <c r="C925">
        <v>2000</v>
      </c>
    </row>
    <row r="926" spans="1:11" x14ac:dyDescent="0.25">
      <c r="A926" t="s">
        <v>88</v>
      </c>
    </row>
    <row r="927" spans="1:11" x14ac:dyDescent="0.25">
      <c r="A927">
        <v>358</v>
      </c>
      <c r="B927">
        <v>0</v>
      </c>
      <c r="C927">
        <v>21.631357968138602</v>
      </c>
      <c r="D927">
        <v>56.097146833092999</v>
      </c>
      <c r="E927">
        <v>10</v>
      </c>
      <c r="F927">
        <v>1.01722196789785</v>
      </c>
      <c r="G927" t="s">
        <v>86</v>
      </c>
      <c r="H927" t="s">
        <v>85</v>
      </c>
      <c r="I927">
        <v>87</v>
      </c>
      <c r="J927">
        <v>0</v>
      </c>
      <c r="K927">
        <v>0</v>
      </c>
    </row>
    <row r="928" spans="1:11" x14ac:dyDescent="0.25">
      <c r="A928" t="s">
        <v>87</v>
      </c>
    </row>
    <row r="929" spans="1:11" x14ac:dyDescent="0.25">
      <c r="A929">
        <v>110.523207155165</v>
      </c>
      <c r="B929">
        <v>39.297688474425399</v>
      </c>
      <c r="C929">
        <v>2000</v>
      </c>
    </row>
    <row r="930" spans="1:11" x14ac:dyDescent="0.25">
      <c r="A930">
        <v>100.21850801222401</v>
      </c>
      <c r="B930">
        <v>28.992989331484999</v>
      </c>
      <c r="C930">
        <v>2000</v>
      </c>
    </row>
    <row r="931" spans="1:11" x14ac:dyDescent="0.25">
      <c r="A931">
        <v>95.256155175782396</v>
      </c>
      <c r="B931">
        <v>24.030636495043002</v>
      </c>
      <c r="C931">
        <v>2000</v>
      </c>
    </row>
    <row r="932" spans="1:11" x14ac:dyDescent="0.25">
      <c r="A932">
        <v>94.819139151333601</v>
      </c>
      <c r="B932">
        <v>24.467652519491899</v>
      </c>
      <c r="C932">
        <v>2001</v>
      </c>
    </row>
    <row r="933" spans="1:11" x14ac:dyDescent="0.25">
      <c r="A933">
        <v>99.781491987775595</v>
      </c>
      <c r="B933">
        <v>29.430005355933901</v>
      </c>
      <c r="C933">
        <v>2001</v>
      </c>
    </row>
    <row r="934" spans="1:11" x14ac:dyDescent="0.25">
      <c r="A934">
        <v>110.14344698303999</v>
      </c>
      <c r="B934">
        <v>39.791960351198398</v>
      </c>
      <c r="C934">
        <v>2001</v>
      </c>
    </row>
    <row r="935" spans="1:11" x14ac:dyDescent="0.25">
      <c r="A935">
        <v>120.627588071148</v>
      </c>
      <c r="B935">
        <v>50.276101439305997</v>
      </c>
      <c r="C935">
        <v>2001</v>
      </c>
    </row>
    <row r="936" spans="1:11" x14ac:dyDescent="0.25">
      <c r="A936">
        <v>150</v>
      </c>
      <c r="B936">
        <v>79.648513368158305</v>
      </c>
      <c r="C936">
        <v>2001</v>
      </c>
    </row>
    <row r="937" spans="1:11" x14ac:dyDescent="0.25">
      <c r="A937">
        <v>150</v>
      </c>
      <c r="B937">
        <v>78.774481319260602</v>
      </c>
      <c r="C937">
        <v>2000</v>
      </c>
    </row>
    <row r="938" spans="1:11" x14ac:dyDescent="0.25">
      <c r="A938">
        <v>120.949417241433</v>
      </c>
      <c r="B938">
        <v>49.723898560694003</v>
      </c>
      <c r="C938">
        <v>2000</v>
      </c>
    </row>
    <row r="939" spans="1:11" x14ac:dyDescent="0.25">
      <c r="A939" t="s">
        <v>88</v>
      </c>
    </row>
    <row r="940" spans="1:11" x14ac:dyDescent="0.25">
      <c r="A940">
        <v>666</v>
      </c>
      <c r="B940">
        <v>0</v>
      </c>
      <c r="C940">
        <v>1.42779342896029</v>
      </c>
      <c r="D940">
        <v>76.005149870508006</v>
      </c>
      <c r="E940">
        <v>10</v>
      </c>
      <c r="F940">
        <v>1.01722196789785</v>
      </c>
      <c r="G940" t="s">
        <v>86</v>
      </c>
      <c r="H940" t="s">
        <v>86</v>
      </c>
      <c r="I940">
        <v>673</v>
      </c>
      <c r="J940">
        <v>255</v>
      </c>
      <c r="K940">
        <v>0</v>
      </c>
    </row>
    <row r="941" spans="1:11" x14ac:dyDescent="0.25">
      <c r="A941" t="s">
        <v>87</v>
      </c>
    </row>
    <row r="942" spans="1:11" x14ac:dyDescent="0.25">
      <c r="A942">
        <v>25.492513369993699</v>
      </c>
      <c r="B942">
        <v>59.582423314727897</v>
      </c>
      <c r="C942">
        <v>2000</v>
      </c>
    </row>
    <row r="943" spans="1:11" x14ac:dyDescent="0.25">
      <c r="A943">
        <v>24.4829109542423</v>
      </c>
      <c r="B943">
        <v>58.572820898976403</v>
      </c>
      <c r="C943">
        <v>2000</v>
      </c>
    </row>
    <row r="944" spans="1:11" x14ac:dyDescent="0.25">
      <c r="A944">
        <v>24.045894929793501</v>
      </c>
      <c r="B944">
        <v>59.009836923425297</v>
      </c>
      <c r="C944">
        <v>2001</v>
      </c>
    </row>
    <row r="945" spans="1:11" x14ac:dyDescent="0.25">
      <c r="A945">
        <v>25.0554973455449</v>
      </c>
      <c r="B945">
        <v>60.019439339176699</v>
      </c>
      <c r="C945">
        <v>2001</v>
      </c>
    </row>
    <row r="946" spans="1:11" x14ac:dyDescent="0.25">
      <c r="A946">
        <v>49.781491987775603</v>
      </c>
      <c r="B946">
        <v>84.745433981407302</v>
      </c>
      <c r="C946">
        <v>2001</v>
      </c>
    </row>
    <row r="947" spans="1:11" x14ac:dyDescent="0.25">
      <c r="A947">
        <v>65.254566018592698</v>
      </c>
      <c r="B947">
        <v>100.21850801222401</v>
      </c>
      <c r="C947">
        <v>2001</v>
      </c>
    </row>
    <row r="948" spans="1:11" x14ac:dyDescent="0.25">
      <c r="A948">
        <v>78.799254224080997</v>
      </c>
      <c r="B948">
        <v>113.763196217713</v>
      </c>
      <c r="C948">
        <v>2001</v>
      </c>
    </row>
    <row r="949" spans="1:11" x14ac:dyDescent="0.25">
      <c r="A949">
        <v>79.236270248529806</v>
      </c>
      <c r="B949">
        <v>113.32618019326399</v>
      </c>
      <c r="C949">
        <v>2000</v>
      </c>
    </row>
    <row r="950" spans="1:11" x14ac:dyDescent="0.25">
      <c r="A950">
        <v>65.691582043041507</v>
      </c>
      <c r="B950">
        <v>99.781491987775595</v>
      </c>
      <c r="C950">
        <v>2000</v>
      </c>
    </row>
    <row r="951" spans="1:11" x14ac:dyDescent="0.25">
      <c r="A951">
        <v>50.218508012224397</v>
      </c>
      <c r="B951">
        <v>84.308417956958493</v>
      </c>
      <c r="C951">
        <v>2000</v>
      </c>
    </row>
    <row r="952" spans="1:11" x14ac:dyDescent="0.25">
      <c r="A952" t="s">
        <v>88</v>
      </c>
    </row>
    <row r="953" spans="1:11" x14ac:dyDescent="0.25">
      <c r="A953">
        <v>106</v>
      </c>
      <c r="B953">
        <v>0</v>
      </c>
      <c r="C953">
        <v>4.2735963020572898</v>
      </c>
      <c r="D953">
        <v>72.832906137073607</v>
      </c>
      <c r="E953">
        <v>10</v>
      </c>
      <c r="F953">
        <v>1.01722196789785</v>
      </c>
      <c r="G953" t="s">
        <v>86</v>
      </c>
      <c r="H953" t="s">
        <v>86</v>
      </c>
      <c r="I953">
        <v>91</v>
      </c>
      <c r="J953">
        <v>418</v>
      </c>
      <c r="K953">
        <v>0</v>
      </c>
    </row>
    <row r="954" spans="1:11" x14ac:dyDescent="0.25">
      <c r="A954" t="s">
        <v>87</v>
      </c>
    </row>
    <row r="955" spans="1:11" x14ac:dyDescent="0.25">
      <c r="A955">
        <v>59.703242100166896</v>
      </c>
      <c r="B955">
        <v>15.185853504666801</v>
      </c>
      <c r="C955">
        <v>2000</v>
      </c>
    </row>
    <row r="956" spans="1:11" x14ac:dyDescent="0.25">
      <c r="A956">
        <v>56.681353174928503</v>
      </c>
      <c r="B956">
        <v>12.163964579428299</v>
      </c>
      <c r="C956">
        <v>2000</v>
      </c>
    </row>
    <row r="957" spans="1:11" x14ac:dyDescent="0.25">
      <c r="A957">
        <v>56.244337150479602</v>
      </c>
      <c r="B957">
        <v>12.600980603877201</v>
      </c>
      <c r="C957">
        <v>2001</v>
      </c>
    </row>
    <row r="958" spans="1:11" x14ac:dyDescent="0.25">
      <c r="A958">
        <v>59.266226075718102</v>
      </c>
      <c r="B958">
        <v>15.622869529115601</v>
      </c>
      <c r="C958">
        <v>2001</v>
      </c>
    </row>
    <row r="959" spans="1:11" x14ac:dyDescent="0.25">
      <c r="A959">
        <v>93.861864558826895</v>
      </c>
      <c r="B959">
        <v>50.218508012224397</v>
      </c>
      <c r="C959">
        <v>2001</v>
      </c>
    </row>
    <row r="960" spans="1:11" x14ac:dyDescent="0.25">
      <c r="A960">
        <v>99.781491987775595</v>
      </c>
      <c r="B960">
        <v>56.138135441173098</v>
      </c>
      <c r="C960">
        <v>2001</v>
      </c>
    </row>
    <row r="961" spans="1:11" x14ac:dyDescent="0.25">
      <c r="A961">
        <v>110.76686789876599</v>
      </c>
      <c r="B961">
        <v>67.123511352163703</v>
      </c>
      <c r="C961">
        <v>2001</v>
      </c>
    </row>
    <row r="962" spans="1:11" x14ac:dyDescent="0.25">
      <c r="A962">
        <v>111.203883923215</v>
      </c>
      <c r="B962">
        <v>66.686495327714894</v>
      </c>
      <c r="C962">
        <v>2000</v>
      </c>
    </row>
    <row r="963" spans="1:11" x14ac:dyDescent="0.25">
      <c r="A963">
        <v>100.21850801222401</v>
      </c>
      <c r="B963">
        <v>55.701119416724303</v>
      </c>
      <c r="C963">
        <v>2000</v>
      </c>
    </row>
    <row r="964" spans="1:11" x14ac:dyDescent="0.25">
      <c r="A964">
        <v>94.298880583275704</v>
      </c>
      <c r="B964">
        <v>49.781491987775603</v>
      </c>
      <c r="C964">
        <v>2000</v>
      </c>
    </row>
    <row r="965" spans="1:11" x14ac:dyDescent="0.25">
      <c r="A965" t="s">
        <v>88</v>
      </c>
    </row>
    <row r="966" spans="1:11" x14ac:dyDescent="0.25">
      <c r="A966">
        <v>520</v>
      </c>
      <c r="B966">
        <v>0</v>
      </c>
      <c r="C966">
        <v>4.4002581774343197</v>
      </c>
      <c r="D966">
        <v>72.244258209341396</v>
      </c>
      <c r="E966">
        <v>10</v>
      </c>
      <c r="F966">
        <v>1.01722196789785</v>
      </c>
      <c r="G966" t="s">
        <v>86</v>
      </c>
      <c r="H966" t="s">
        <v>85</v>
      </c>
      <c r="I966">
        <v>511</v>
      </c>
      <c r="J966">
        <v>0</v>
      </c>
      <c r="K966">
        <v>0</v>
      </c>
    </row>
    <row r="967" spans="1:11" x14ac:dyDescent="0.25">
      <c r="A967" t="s">
        <v>87</v>
      </c>
    </row>
    <row r="968" spans="1:11" x14ac:dyDescent="0.25">
      <c r="A968">
        <v>98.697087106158307</v>
      </c>
      <c r="B968">
        <v>68.9020721483475</v>
      </c>
      <c r="C968">
        <v>2000</v>
      </c>
    </row>
    <row r="969" spans="1:11" x14ac:dyDescent="0.25">
      <c r="A969">
        <v>95.585634709922999</v>
      </c>
      <c r="B969">
        <v>65.790619752112093</v>
      </c>
      <c r="C969">
        <v>2000</v>
      </c>
    </row>
    <row r="970" spans="1:11" x14ac:dyDescent="0.25">
      <c r="A970">
        <v>96.022650734371794</v>
      </c>
      <c r="B970">
        <v>65.353603727663298</v>
      </c>
      <c r="C970">
        <v>2001</v>
      </c>
    </row>
    <row r="971" spans="1:11" x14ac:dyDescent="0.25">
      <c r="A971">
        <v>99.134103130607201</v>
      </c>
      <c r="B971">
        <v>68.465056123898705</v>
      </c>
      <c r="C971">
        <v>2001</v>
      </c>
    </row>
    <row r="972" spans="1:11" x14ac:dyDescent="0.25">
      <c r="A972">
        <v>100.21850801222401</v>
      </c>
      <c r="B972">
        <v>69.549461005515894</v>
      </c>
      <c r="C972">
        <v>2001</v>
      </c>
    </row>
    <row r="973" spans="1:11" x14ac:dyDescent="0.25">
      <c r="A973">
        <v>130.31842017457501</v>
      </c>
      <c r="B973">
        <v>99.649373167866798</v>
      </c>
      <c r="C973">
        <v>2001</v>
      </c>
    </row>
    <row r="974" spans="1:11" x14ac:dyDescent="0.25">
      <c r="A974">
        <v>150</v>
      </c>
      <c r="B974">
        <v>119.33095299329101</v>
      </c>
      <c r="C974">
        <v>2001</v>
      </c>
    </row>
    <row r="975" spans="1:11" x14ac:dyDescent="0.25">
      <c r="A975">
        <v>150</v>
      </c>
      <c r="B975">
        <v>120.20498504218899</v>
      </c>
      <c r="C975">
        <v>2000</v>
      </c>
    </row>
    <row r="976" spans="1:11" x14ac:dyDescent="0.25">
      <c r="A976">
        <v>130.14564178994399</v>
      </c>
      <c r="B976">
        <v>100.350626832133</v>
      </c>
      <c r="C976">
        <v>2000</v>
      </c>
    </row>
    <row r="977" spans="1:11" x14ac:dyDescent="0.25">
      <c r="A977">
        <v>99.781491987775595</v>
      </c>
      <c r="B977">
        <v>69.986477029964703</v>
      </c>
      <c r="C977">
        <v>2000</v>
      </c>
    </row>
    <row r="978" spans="1:11" x14ac:dyDescent="0.25">
      <c r="A978" t="s">
        <v>88</v>
      </c>
    </row>
    <row r="979" spans="1:11" x14ac:dyDescent="0.25">
      <c r="A979">
        <v>270</v>
      </c>
      <c r="B979">
        <v>0</v>
      </c>
      <c r="C979">
        <v>72.264337758234703</v>
      </c>
      <c r="D979">
        <v>2.2780862124158401</v>
      </c>
      <c r="E979">
        <v>10</v>
      </c>
      <c r="F979">
        <v>1.01722196789785</v>
      </c>
      <c r="G979" t="s">
        <v>85</v>
      </c>
      <c r="H979" t="s">
        <v>86</v>
      </c>
      <c r="I979">
        <v>0</v>
      </c>
      <c r="J979">
        <v>280</v>
      </c>
      <c r="K979">
        <v>0</v>
      </c>
    </row>
    <row r="980" spans="1:11" x14ac:dyDescent="0.25">
      <c r="A980" t="s">
        <v>87</v>
      </c>
    </row>
    <row r="981" spans="1:11" x14ac:dyDescent="0.25">
      <c r="A981">
        <v>51.317111279027301</v>
      </c>
      <c r="B981">
        <v>101.65731961311199</v>
      </c>
      <c r="C981">
        <v>2000</v>
      </c>
    </row>
    <row r="982" spans="1:11" x14ac:dyDescent="0.25">
      <c r="A982">
        <v>50.218508012224397</v>
      </c>
      <c r="B982">
        <v>100.558716346309</v>
      </c>
      <c r="C982">
        <v>2000</v>
      </c>
    </row>
    <row r="983" spans="1:11" x14ac:dyDescent="0.25">
      <c r="A983">
        <v>49.4378870586986</v>
      </c>
      <c r="B983">
        <v>99.778095392782902</v>
      </c>
      <c r="C983">
        <v>2000</v>
      </c>
    </row>
    <row r="984" spans="1:11" x14ac:dyDescent="0.25">
      <c r="A984">
        <v>0</v>
      </c>
      <c r="B984">
        <v>50.340208334084402</v>
      </c>
      <c r="C984">
        <v>2000</v>
      </c>
    </row>
    <row r="985" spans="1:11" x14ac:dyDescent="0.25">
      <c r="A985">
        <v>0</v>
      </c>
      <c r="B985">
        <v>51.214240382981998</v>
      </c>
      <c r="C985">
        <v>2001</v>
      </c>
    </row>
    <row r="986" spans="1:11" x14ac:dyDescent="0.25">
      <c r="A986">
        <v>49.0076642242351</v>
      </c>
      <c r="B986">
        <v>100.221904607217</v>
      </c>
      <c r="C986">
        <v>2001</v>
      </c>
    </row>
    <row r="987" spans="1:11" x14ac:dyDescent="0.25">
      <c r="A987">
        <v>49.781491987775603</v>
      </c>
      <c r="B987">
        <v>100.99573237075801</v>
      </c>
      <c r="C987">
        <v>2001</v>
      </c>
    </row>
    <row r="988" spans="1:11" x14ac:dyDescent="0.25">
      <c r="A988">
        <v>50.880095254578499</v>
      </c>
      <c r="B988">
        <v>102.09433563755999</v>
      </c>
      <c r="C988">
        <v>2001</v>
      </c>
    </row>
    <row r="989" spans="1:11" x14ac:dyDescent="0.25">
      <c r="A989">
        <v>52.490945463505298</v>
      </c>
      <c r="B989">
        <v>103.705185846487</v>
      </c>
      <c r="C989">
        <v>2001</v>
      </c>
    </row>
    <row r="990" spans="1:11" x14ac:dyDescent="0.25">
      <c r="A990">
        <v>52.9279614879541</v>
      </c>
      <c r="B990">
        <v>103.268169822038</v>
      </c>
      <c r="C990">
        <v>2000</v>
      </c>
    </row>
    <row r="991" spans="1:11" x14ac:dyDescent="0.25">
      <c r="A991" t="s">
        <v>88</v>
      </c>
    </row>
    <row r="992" spans="1:11" x14ac:dyDescent="0.25">
      <c r="A992">
        <v>420</v>
      </c>
      <c r="B992">
        <v>0</v>
      </c>
      <c r="C992">
        <v>72.508605427653293</v>
      </c>
      <c r="D992">
        <v>1.95487180078183</v>
      </c>
      <c r="E992">
        <v>10</v>
      </c>
      <c r="F992">
        <v>1.5707963267949001</v>
      </c>
      <c r="G992" t="s">
        <v>86</v>
      </c>
      <c r="H992" t="s">
        <v>86</v>
      </c>
      <c r="I992">
        <v>87</v>
      </c>
      <c r="J992">
        <v>406</v>
      </c>
      <c r="K992">
        <v>0</v>
      </c>
    </row>
    <row r="993" spans="1:11" x14ac:dyDescent="0.25">
      <c r="A993" t="s">
        <v>87</v>
      </c>
    </row>
    <row r="994" spans="1:11" x14ac:dyDescent="0.25">
      <c r="A994">
        <v>145.208270007376</v>
      </c>
      <c r="B994">
        <v>76.6211748479964</v>
      </c>
      <c r="C994">
        <v>2000</v>
      </c>
    </row>
    <row r="995" spans="1:11" x14ac:dyDescent="0.25">
      <c r="A995">
        <v>118.587095159379</v>
      </c>
      <c r="B995">
        <v>50</v>
      </c>
      <c r="C995">
        <v>2000</v>
      </c>
    </row>
    <row r="996" spans="1:11" x14ac:dyDescent="0.25">
      <c r="A996">
        <v>100</v>
      </c>
      <c r="B996">
        <v>31.412904840620701</v>
      </c>
      <c r="C996">
        <v>2000</v>
      </c>
    </row>
    <row r="997" spans="1:11" x14ac:dyDescent="0.25">
      <c r="A997">
        <v>93.936943415102405</v>
      </c>
      <c r="B997">
        <v>25.349848255723</v>
      </c>
      <c r="C997">
        <v>2000</v>
      </c>
    </row>
    <row r="998" spans="1:11" x14ac:dyDescent="0.25">
      <c r="A998">
        <v>93.936943415102405</v>
      </c>
      <c r="B998">
        <v>25.349848255723</v>
      </c>
      <c r="C998">
        <v>2001</v>
      </c>
    </row>
    <row r="999" spans="1:11" x14ac:dyDescent="0.25">
      <c r="A999">
        <v>100</v>
      </c>
      <c r="B999">
        <v>31.412904840620701</v>
      </c>
      <c r="C999">
        <v>2001</v>
      </c>
    </row>
    <row r="1000" spans="1:11" x14ac:dyDescent="0.25">
      <c r="A1000">
        <v>118.587095159379</v>
      </c>
      <c r="B1000">
        <v>50</v>
      </c>
      <c r="C1000">
        <v>2001</v>
      </c>
    </row>
    <row r="1001" spans="1:11" x14ac:dyDescent="0.25">
      <c r="A1001">
        <v>145.208270007376</v>
      </c>
      <c r="B1001">
        <v>76.6211748479964</v>
      </c>
      <c r="C1001">
        <v>2001</v>
      </c>
    </row>
    <row r="1002" spans="1:11" x14ac:dyDescent="0.25">
      <c r="A1002">
        <v>146.590573114059</v>
      </c>
      <c r="B1002">
        <v>78.003477954679596</v>
      </c>
      <c r="C1002">
        <v>2001</v>
      </c>
    </row>
    <row r="1003" spans="1:11" x14ac:dyDescent="0.25">
      <c r="A1003">
        <v>146.590573114059</v>
      </c>
      <c r="B1003">
        <v>78.003477954679596</v>
      </c>
      <c r="C1003">
        <v>2000</v>
      </c>
    </row>
    <row r="1004" spans="1:11" x14ac:dyDescent="0.25">
      <c r="A1004" t="s">
        <v>88</v>
      </c>
    </row>
    <row r="1005" spans="1:11" x14ac:dyDescent="0.25">
      <c r="A1005">
        <v>484</v>
      </c>
      <c r="B1005">
        <v>0</v>
      </c>
      <c r="C1005">
        <v>45.194124175383003</v>
      </c>
      <c r="D1005">
        <v>29.247444902318101</v>
      </c>
      <c r="E1005">
        <v>12</v>
      </c>
      <c r="F1005">
        <v>1.5707963267949001</v>
      </c>
      <c r="G1005" t="s">
        <v>86</v>
      </c>
      <c r="H1005" t="s">
        <v>86</v>
      </c>
      <c r="I1005">
        <v>17</v>
      </c>
      <c r="J1005">
        <v>726</v>
      </c>
      <c r="K1005">
        <v>0</v>
      </c>
    </row>
    <row r="1006" spans="1:11" x14ac:dyDescent="0.25">
      <c r="A1006" t="s">
        <v>87</v>
      </c>
    </row>
    <row r="1007" spans="1:11" x14ac:dyDescent="0.25">
      <c r="A1007">
        <v>79.9020916595599</v>
      </c>
      <c r="B1007">
        <v>82.036176851036103</v>
      </c>
      <c r="C1007">
        <v>2000</v>
      </c>
    </row>
    <row r="1008" spans="1:11" x14ac:dyDescent="0.25">
      <c r="A1008">
        <v>50</v>
      </c>
      <c r="B1008">
        <v>52.134085191476203</v>
      </c>
      <c r="C1008">
        <v>2000</v>
      </c>
    </row>
    <row r="1009" spans="1:11" x14ac:dyDescent="0.25">
      <c r="A1009">
        <v>47.9450199853597</v>
      </c>
      <c r="B1009">
        <v>50.079105176835903</v>
      </c>
      <c r="C1009">
        <v>2000</v>
      </c>
    </row>
    <row r="1010" spans="1:11" x14ac:dyDescent="0.25">
      <c r="A1010">
        <v>47.9450199853597</v>
      </c>
      <c r="B1010">
        <v>50.079105176835903</v>
      </c>
      <c r="C1010">
        <v>2001</v>
      </c>
    </row>
    <row r="1011" spans="1:11" x14ac:dyDescent="0.25">
      <c r="A1011">
        <v>50</v>
      </c>
      <c r="B1011">
        <v>52.134085191476203</v>
      </c>
      <c r="C1011">
        <v>2001</v>
      </c>
    </row>
    <row r="1012" spans="1:11" x14ac:dyDescent="0.25">
      <c r="A1012">
        <v>79.9020916595599</v>
      </c>
      <c r="B1012">
        <v>82.036176851036103</v>
      </c>
      <c r="C1012">
        <v>2001</v>
      </c>
    </row>
    <row r="1013" spans="1:11" x14ac:dyDescent="0.25">
      <c r="A1013">
        <v>97.865914808523797</v>
      </c>
      <c r="B1013">
        <v>100</v>
      </c>
      <c r="C1013">
        <v>2001</v>
      </c>
    </row>
    <row r="1014" spans="1:11" x14ac:dyDescent="0.25">
      <c r="A1014">
        <v>100</v>
      </c>
      <c r="B1014">
        <v>102.134085191476</v>
      </c>
      <c r="C1014">
        <v>2001</v>
      </c>
    </row>
    <row r="1015" spans="1:11" x14ac:dyDescent="0.25">
      <c r="A1015">
        <v>100.583158282369</v>
      </c>
      <c r="B1015">
        <v>102.717243473845</v>
      </c>
      <c r="C1015">
        <v>2001</v>
      </c>
    </row>
    <row r="1016" spans="1:11" x14ac:dyDescent="0.25">
      <c r="A1016">
        <v>100.583158282369</v>
      </c>
      <c r="B1016">
        <v>102.717243473845</v>
      </c>
      <c r="C1016">
        <v>2000</v>
      </c>
    </row>
    <row r="1017" spans="1:11" x14ac:dyDescent="0.25">
      <c r="A1017">
        <v>100</v>
      </c>
      <c r="B1017">
        <v>102.134085191476</v>
      </c>
      <c r="C1017">
        <v>2000</v>
      </c>
    </row>
    <row r="1018" spans="1:11" x14ac:dyDescent="0.25">
      <c r="A1018">
        <v>97.865914808523797</v>
      </c>
      <c r="B1018">
        <v>100</v>
      </c>
      <c r="C1018">
        <v>2000</v>
      </c>
    </row>
    <row r="1019" spans="1:11" x14ac:dyDescent="0.25">
      <c r="A1019" t="s">
        <v>88</v>
      </c>
    </row>
    <row r="1020" spans="1:11" x14ac:dyDescent="0.25">
      <c r="A1020">
        <v>348</v>
      </c>
      <c r="B1020">
        <v>0</v>
      </c>
      <c r="C1020">
        <v>12.6931211299619</v>
      </c>
      <c r="D1020">
        <v>61.511290297273</v>
      </c>
      <c r="E1020">
        <v>10</v>
      </c>
      <c r="F1020">
        <v>1.01722196789785</v>
      </c>
      <c r="G1020" t="s">
        <v>85</v>
      </c>
      <c r="H1020" t="s">
        <v>85</v>
      </c>
      <c r="I1020">
        <v>0</v>
      </c>
      <c r="J1020">
        <v>0</v>
      </c>
      <c r="K1020">
        <v>0</v>
      </c>
    </row>
    <row r="1021" spans="1:11" x14ac:dyDescent="0.25">
      <c r="A1021" t="s">
        <v>87</v>
      </c>
    </row>
    <row r="1022" spans="1:11" x14ac:dyDescent="0.25">
      <c r="A1022">
        <v>106.17795762412</v>
      </c>
      <c r="B1022">
        <v>9.08541616272365</v>
      </c>
      <c r="C1022">
        <v>2000</v>
      </c>
    </row>
    <row r="1023" spans="1:11" x14ac:dyDescent="0.25">
      <c r="A1023">
        <v>99.623127474749197</v>
      </c>
      <c r="B1023">
        <v>2.5305860133523401</v>
      </c>
      <c r="C1023">
        <v>2000</v>
      </c>
    </row>
    <row r="1024" spans="1:11" x14ac:dyDescent="0.25">
      <c r="A1024">
        <v>97.092541461396806</v>
      </c>
      <c r="B1024">
        <v>0</v>
      </c>
      <c r="C1024">
        <v>2000</v>
      </c>
    </row>
    <row r="1025" spans="1:11" x14ac:dyDescent="0.25">
      <c r="A1025">
        <v>97.966573510294495</v>
      </c>
      <c r="B1025">
        <v>0</v>
      </c>
      <c r="C1025">
        <v>2001</v>
      </c>
    </row>
    <row r="1026" spans="1:11" x14ac:dyDescent="0.25">
      <c r="A1026">
        <v>100.376872525251</v>
      </c>
      <c r="B1026">
        <v>2.4102990149563301</v>
      </c>
      <c r="C1026">
        <v>2001</v>
      </c>
    </row>
    <row r="1027" spans="1:11" x14ac:dyDescent="0.25">
      <c r="A1027">
        <v>106.831941398407</v>
      </c>
      <c r="B1027">
        <v>8.8653678881129405</v>
      </c>
      <c r="C1027">
        <v>2001</v>
      </c>
    </row>
    <row r="1028" spans="1:11" x14ac:dyDescent="0.25">
      <c r="A1028">
        <v>147.541968357359</v>
      </c>
      <c r="B1028">
        <v>49.575394847064501</v>
      </c>
      <c r="C1028">
        <v>2001</v>
      </c>
    </row>
    <row r="1029" spans="1:11" x14ac:dyDescent="0.25">
      <c r="A1029">
        <v>150</v>
      </c>
      <c r="B1029">
        <v>52.033426489705498</v>
      </c>
      <c r="C1029">
        <v>2001</v>
      </c>
    </row>
    <row r="1030" spans="1:11" x14ac:dyDescent="0.25">
      <c r="A1030">
        <v>150</v>
      </c>
      <c r="B1030">
        <v>52.907458538603102</v>
      </c>
      <c r="C1030">
        <v>2000</v>
      </c>
    </row>
    <row r="1031" spans="1:11" x14ac:dyDescent="0.25">
      <c r="A1031">
        <v>147.51714661433201</v>
      </c>
      <c r="B1031">
        <v>50.424605152935499</v>
      </c>
      <c r="C1031">
        <v>2000</v>
      </c>
    </row>
    <row r="1032" spans="1:11" x14ac:dyDescent="0.25">
      <c r="A1032" t="s">
        <v>88</v>
      </c>
    </row>
    <row r="1033" spans="1:11" x14ac:dyDescent="0.25">
      <c r="A1033">
        <v>424</v>
      </c>
      <c r="B1033">
        <v>0</v>
      </c>
      <c r="C1033">
        <v>58.746431103480901</v>
      </c>
      <c r="D1033">
        <v>15.3849121874795</v>
      </c>
      <c r="E1033">
        <v>10</v>
      </c>
      <c r="F1033">
        <v>1.01722196789785</v>
      </c>
      <c r="G1033" t="s">
        <v>86</v>
      </c>
      <c r="H1033" t="s">
        <v>86</v>
      </c>
      <c r="I1033">
        <v>100</v>
      </c>
      <c r="J1033">
        <v>438</v>
      </c>
      <c r="K1033">
        <v>0</v>
      </c>
    </row>
    <row r="1034" spans="1:11" x14ac:dyDescent="0.25">
      <c r="A1034" t="s">
        <v>87</v>
      </c>
    </row>
    <row r="1035" spans="1:11" x14ac:dyDescent="0.25">
      <c r="A1035">
        <v>108.280672850679</v>
      </c>
      <c r="B1035">
        <v>57.039447326236001</v>
      </c>
      <c r="C1035">
        <v>2000</v>
      </c>
    </row>
    <row r="1036" spans="1:11" x14ac:dyDescent="0.25">
      <c r="A1036">
        <v>101.022717512219</v>
      </c>
      <c r="B1036">
        <v>49.781491987775603</v>
      </c>
      <c r="C1036">
        <v>2000</v>
      </c>
    </row>
    <row r="1037" spans="1:11" x14ac:dyDescent="0.25">
      <c r="A1037">
        <v>100.21850801222401</v>
      </c>
      <c r="B1037">
        <v>48.977282487781203</v>
      </c>
      <c r="C1037">
        <v>2000</v>
      </c>
    </row>
    <row r="1038" spans="1:11" x14ac:dyDescent="0.25">
      <c r="A1038">
        <v>66.740673046899502</v>
      </c>
      <c r="B1038">
        <v>15.4994475224563</v>
      </c>
      <c r="C1038">
        <v>2000</v>
      </c>
    </row>
    <row r="1039" spans="1:11" x14ac:dyDescent="0.25">
      <c r="A1039">
        <v>66.303657022450693</v>
      </c>
      <c r="B1039">
        <v>15.936463546905101</v>
      </c>
      <c r="C1039">
        <v>2001</v>
      </c>
    </row>
    <row r="1040" spans="1:11" x14ac:dyDescent="0.25">
      <c r="A1040">
        <v>99.781491987775595</v>
      </c>
      <c r="B1040">
        <v>49.414298512229998</v>
      </c>
      <c r="C1040">
        <v>2001</v>
      </c>
    </row>
    <row r="1041" spans="1:11" x14ac:dyDescent="0.25">
      <c r="A1041">
        <v>100.58570148777</v>
      </c>
      <c r="B1041">
        <v>50.218508012224397</v>
      </c>
      <c r="C1041">
        <v>2001</v>
      </c>
    </row>
    <row r="1042" spans="1:11" x14ac:dyDescent="0.25">
      <c r="A1042">
        <v>107.84365682623</v>
      </c>
      <c r="B1042">
        <v>57.476463350684803</v>
      </c>
      <c r="C1042">
        <v>2001</v>
      </c>
    </row>
    <row r="1043" spans="1:11" x14ac:dyDescent="0.25">
      <c r="A1043">
        <v>118.72243256195701</v>
      </c>
      <c r="B1043">
        <v>68.355239086411103</v>
      </c>
      <c r="C1043">
        <v>2001</v>
      </c>
    </row>
    <row r="1044" spans="1:11" x14ac:dyDescent="0.25">
      <c r="A1044">
        <v>119.15944858640501</v>
      </c>
      <c r="B1044">
        <v>67.918223061962294</v>
      </c>
      <c r="C1044">
        <v>2000</v>
      </c>
    </row>
    <row r="1045" spans="1:11" x14ac:dyDescent="0.25">
      <c r="A1045" t="s">
        <v>88</v>
      </c>
    </row>
    <row r="1046" spans="1:11" x14ac:dyDescent="0.25">
      <c r="A1046">
        <v>664</v>
      </c>
      <c r="B1046">
        <v>0</v>
      </c>
      <c r="C1046">
        <v>53.028313816959702</v>
      </c>
      <c r="D1046">
        <v>20.736999332959201</v>
      </c>
      <c r="E1046">
        <v>10</v>
      </c>
      <c r="F1046">
        <v>1.01722196789785</v>
      </c>
      <c r="G1046" t="s">
        <v>85</v>
      </c>
      <c r="H1046" t="s">
        <v>86</v>
      </c>
      <c r="I1046">
        <v>0</v>
      </c>
      <c r="J1046">
        <v>280</v>
      </c>
      <c r="K1046">
        <v>0</v>
      </c>
    </row>
    <row r="1047" spans="1:11" x14ac:dyDescent="0.25">
      <c r="A1047" t="s">
        <v>87</v>
      </c>
    </row>
    <row r="1048" spans="1:11" x14ac:dyDescent="0.25">
      <c r="A1048">
        <v>37.666935539378699</v>
      </c>
      <c r="B1048">
        <v>89.106144535608706</v>
      </c>
      <c r="C1048">
        <v>2000</v>
      </c>
    </row>
    <row r="1049" spans="1:11" x14ac:dyDescent="0.25">
      <c r="A1049">
        <v>0</v>
      </c>
      <c r="B1049">
        <v>51.439208996230001</v>
      </c>
      <c r="C1049">
        <v>2000</v>
      </c>
    </row>
    <row r="1050" spans="1:11" x14ac:dyDescent="0.25">
      <c r="A1050">
        <v>0</v>
      </c>
      <c r="B1050">
        <v>52.313241045127697</v>
      </c>
      <c r="C1050">
        <v>2001</v>
      </c>
    </row>
    <row r="1051" spans="1:11" x14ac:dyDescent="0.25">
      <c r="A1051">
        <v>37.326425050342202</v>
      </c>
      <c r="B1051">
        <v>89.639666095469906</v>
      </c>
      <c r="C1051">
        <v>2001</v>
      </c>
    </row>
    <row r="1052" spans="1:11" x14ac:dyDescent="0.25">
      <c r="A1052">
        <v>47.9052669670968</v>
      </c>
      <c r="B1052">
        <v>100.21850801222401</v>
      </c>
      <c r="C1052">
        <v>2001</v>
      </c>
    </row>
    <row r="1053" spans="1:11" x14ac:dyDescent="0.25">
      <c r="A1053">
        <v>49.781491987775603</v>
      </c>
      <c r="B1053">
        <v>102.09473303290299</v>
      </c>
      <c r="C1053">
        <v>2001</v>
      </c>
    </row>
    <row r="1054" spans="1:11" x14ac:dyDescent="0.25">
      <c r="A1054">
        <v>51.941445132432499</v>
      </c>
      <c r="B1054">
        <v>104.25468617756</v>
      </c>
      <c r="C1054">
        <v>2001</v>
      </c>
    </row>
    <row r="1055" spans="1:11" x14ac:dyDescent="0.25">
      <c r="A1055">
        <v>52.378461156881301</v>
      </c>
      <c r="B1055">
        <v>103.817670153111</v>
      </c>
      <c r="C1055">
        <v>2000</v>
      </c>
    </row>
    <row r="1056" spans="1:11" x14ac:dyDescent="0.25">
      <c r="A1056">
        <v>50.218508012224397</v>
      </c>
      <c r="B1056">
        <v>101.657717008454</v>
      </c>
      <c r="C1056">
        <v>2000</v>
      </c>
    </row>
    <row r="1057" spans="1:11" x14ac:dyDescent="0.25">
      <c r="A1057">
        <v>48.342282991545602</v>
      </c>
      <c r="B1057">
        <v>99.781491987775595</v>
      </c>
      <c r="C1057">
        <v>2000</v>
      </c>
    </row>
    <row r="1058" spans="1:11" x14ac:dyDescent="0.25">
      <c r="A1058" t="s">
        <v>88</v>
      </c>
    </row>
    <row r="1059" spans="1:11" x14ac:dyDescent="0.25">
      <c r="A1059">
        <v>192</v>
      </c>
      <c r="B1059">
        <v>0</v>
      </c>
      <c r="C1059">
        <v>55.575728051387202</v>
      </c>
      <c r="D1059">
        <v>17.853698781306299</v>
      </c>
      <c r="E1059">
        <v>10</v>
      </c>
      <c r="F1059">
        <v>1.01722196789785</v>
      </c>
      <c r="G1059" t="s">
        <v>86</v>
      </c>
      <c r="H1059" t="s">
        <v>86</v>
      </c>
      <c r="I1059">
        <v>499</v>
      </c>
      <c r="J1059">
        <v>179</v>
      </c>
      <c r="K1059">
        <v>0</v>
      </c>
    </row>
    <row r="1060" spans="1:11" x14ac:dyDescent="0.25">
      <c r="A1060" t="s">
        <v>87</v>
      </c>
    </row>
    <row r="1061" spans="1:11" x14ac:dyDescent="0.25">
      <c r="A1061">
        <v>137.59403653470099</v>
      </c>
      <c r="B1061">
        <v>134.57246427497901</v>
      </c>
      <c r="C1061">
        <v>2000</v>
      </c>
    </row>
    <row r="1062" spans="1:11" x14ac:dyDescent="0.25">
      <c r="A1062">
        <v>102.80306424749701</v>
      </c>
      <c r="B1062">
        <v>99.781491987775595</v>
      </c>
      <c r="C1062">
        <v>2000</v>
      </c>
    </row>
    <row r="1063" spans="1:11" x14ac:dyDescent="0.25">
      <c r="A1063">
        <v>100.21850801222401</v>
      </c>
      <c r="B1063">
        <v>97.196935752502895</v>
      </c>
      <c r="C1063">
        <v>2000</v>
      </c>
    </row>
    <row r="1064" spans="1:11" x14ac:dyDescent="0.25">
      <c r="A1064">
        <v>98.296062360185402</v>
      </c>
      <c r="B1064">
        <v>95.274490100463893</v>
      </c>
      <c r="C1064">
        <v>2000</v>
      </c>
    </row>
    <row r="1065" spans="1:11" x14ac:dyDescent="0.25">
      <c r="A1065">
        <v>97.859046335736593</v>
      </c>
      <c r="B1065">
        <v>95.711506124912702</v>
      </c>
      <c r="C1065">
        <v>2001</v>
      </c>
    </row>
    <row r="1066" spans="1:11" x14ac:dyDescent="0.25">
      <c r="A1066">
        <v>99.781491987775595</v>
      </c>
      <c r="B1066">
        <v>97.633951776951704</v>
      </c>
      <c r="C1066">
        <v>2001</v>
      </c>
    </row>
    <row r="1067" spans="1:11" x14ac:dyDescent="0.25">
      <c r="A1067">
        <v>102.366048223048</v>
      </c>
      <c r="B1067">
        <v>100.21850801222401</v>
      </c>
      <c r="C1067">
        <v>2001</v>
      </c>
    </row>
    <row r="1068" spans="1:11" x14ac:dyDescent="0.25">
      <c r="A1068">
        <v>137.15702051025201</v>
      </c>
      <c r="B1068">
        <v>135.00948029942799</v>
      </c>
      <c r="C1068">
        <v>2001</v>
      </c>
    </row>
    <row r="1069" spans="1:11" x14ac:dyDescent="0.25">
      <c r="A1069">
        <v>149.78149198777601</v>
      </c>
      <c r="B1069">
        <v>147.63395177695199</v>
      </c>
      <c r="C1069">
        <v>2001</v>
      </c>
    </row>
    <row r="1070" spans="1:11" x14ac:dyDescent="0.25">
      <c r="A1070">
        <v>150.21850801222399</v>
      </c>
      <c r="B1070">
        <v>147.19693575250301</v>
      </c>
      <c r="C1070">
        <v>2000</v>
      </c>
    </row>
    <row r="1071" spans="1:11" x14ac:dyDescent="0.25">
      <c r="A1071" t="s">
        <v>88</v>
      </c>
    </row>
    <row r="1072" spans="1:11" x14ac:dyDescent="0.25">
      <c r="A1072">
        <v>360</v>
      </c>
      <c r="B1072">
        <v>0</v>
      </c>
      <c r="C1072">
        <v>65.631377635396703</v>
      </c>
      <c r="D1072">
        <v>6.8204119195267996</v>
      </c>
      <c r="E1072">
        <v>10</v>
      </c>
      <c r="F1072">
        <v>1.01722196789785</v>
      </c>
      <c r="G1072" t="s">
        <v>85</v>
      </c>
      <c r="H1072" t="s">
        <v>85</v>
      </c>
      <c r="I1072">
        <v>0</v>
      </c>
      <c r="J1072">
        <v>0</v>
      </c>
      <c r="K1072">
        <v>0</v>
      </c>
    </row>
    <row r="1073" spans="1:11" x14ac:dyDescent="0.25">
      <c r="A1073" t="s">
        <v>87</v>
      </c>
    </row>
    <row r="1074" spans="1:11" x14ac:dyDescent="0.25">
      <c r="A1074">
        <v>145.26067048217999</v>
      </c>
      <c r="B1074">
        <v>46.0548061611184</v>
      </c>
      <c r="C1074">
        <v>2000</v>
      </c>
    </row>
    <row r="1075" spans="1:11" x14ac:dyDescent="0.25">
      <c r="A1075">
        <v>100.431219303235</v>
      </c>
      <c r="B1075">
        <v>1.2253549821737699</v>
      </c>
      <c r="C1075">
        <v>2000</v>
      </c>
    </row>
    <row r="1076" spans="1:11" x14ac:dyDescent="0.25">
      <c r="A1076">
        <v>99.205864321061696</v>
      </c>
      <c r="B1076">
        <v>0</v>
      </c>
      <c r="C1076">
        <v>2000</v>
      </c>
    </row>
    <row r="1077" spans="1:11" x14ac:dyDescent="0.25">
      <c r="A1077">
        <v>98.331832272164107</v>
      </c>
      <c r="B1077">
        <v>0</v>
      </c>
      <c r="C1077">
        <v>2001</v>
      </c>
    </row>
    <row r="1078" spans="1:11" x14ac:dyDescent="0.25">
      <c r="A1078">
        <v>99.568780696764506</v>
      </c>
      <c r="B1078">
        <v>1.2369484246004601</v>
      </c>
      <c r="C1078">
        <v>2001</v>
      </c>
    </row>
    <row r="1079" spans="1:11" x14ac:dyDescent="0.25">
      <c r="A1079">
        <v>145.09381048025401</v>
      </c>
      <c r="B1079">
        <v>46.761978208089999</v>
      </c>
      <c r="C1079">
        <v>2001</v>
      </c>
    </row>
    <row r="1080" spans="1:11" x14ac:dyDescent="0.25">
      <c r="A1080">
        <v>148.71306767757</v>
      </c>
      <c r="B1080">
        <v>50.381235405405697</v>
      </c>
      <c r="C1080">
        <v>2001</v>
      </c>
    </row>
    <row r="1081" spans="1:11" x14ac:dyDescent="0.25">
      <c r="A1081">
        <v>150</v>
      </c>
      <c r="B1081">
        <v>51.6681677278359</v>
      </c>
      <c r="C1081">
        <v>2001</v>
      </c>
    </row>
    <row r="1082" spans="1:11" x14ac:dyDescent="0.25">
      <c r="A1082">
        <v>150</v>
      </c>
      <c r="B1082">
        <v>50.794135678938297</v>
      </c>
      <c r="C1082">
        <v>2000</v>
      </c>
    </row>
    <row r="1083" spans="1:11" x14ac:dyDescent="0.25">
      <c r="A1083">
        <v>148.82462891565601</v>
      </c>
      <c r="B1083">
        <v>49.618764594594303</v>
      </c>
      <c r="C1083">
        <v>2000</v>
      </c>
    </row>
    <row r="1084" spans="1:11" x14ac:dyDescent="0.25">
      <c r="A1084" t="s">
        <v>88</v>
      </c>
    </row>
    <row r="1085" spans="1:11" x14ac:dyDescent="0.25">
      <c r="A1085">
        <v>269</v>
      </c>
      <c r="B1085">
        <v>0</v>
      </c>
      <c r="C1085">
        <v>65.907477408971701</v>
      </c>
      <c r="D1085">
        <v>6.0269216591963</v>
      </c>
      <c r="E1085">
        <v>10</v>
      </c>
      <c r="F1085">
        <v>1.01722196789785</v>
      </c>
      <c r="G1085" t="s">
        <v>86</v>
      </c>
      <c r="H1085" t="s">
        <v>86</v>
      </c>
      <c r="I1085">
        <v>644</v>
      </c>
      <c r="J1085">
        <v>266</v>
      </c>
      <c r="K1085">
        <v>0</v>
      </c>
    </row>
    <row r="1086" spans="1:11" x14ac:dyDescent="0.25">
      <c r="A1086" t="s">
        <v>87</v>
      </c>
    </row>
    <row r="1087" spans="1:11" x14ac:dyDescent="0.25">
      <c r="A1087">
        <v>63.188735758978098</v>
      </c>
      <c r="B1087">
        <v>104.038146621095</v>
      </c>
      <c r="C1087">
        <v>2000</v>
      </c>
    </row>
    <row r="1088" spans="1:11" x14ac:dyDescent="0.25">
      <c r="A1088">
        <v>59.369097150107201</v>
      </c>
      <c r="B1088">
        <v>100.21850801222401</v>
      </c>
      <c r="C1088">
        <v>2000</v>
      </c>
    </row>
    <row r="1089" spans="1:11" x14ac:dyDescent="0.25">
      <c r="A1089">
        <v>49.781491987775603</v>
      </c>
      <c r="B1089">
        <v>90.630902849892806</v>
      </c>
      <c r="C1089">
        <v>2000</v>
      </c>
    </row>
    <row r="1090" spans="1:11" x14ac:dyDescent="0.25">
      <c r="A1090">
        <v>16.585111552194999</v>
      </c>
      <c r="B1090">
        <v>57.434522414312198</v>
      </c>
      <c r="C1090">
        <v>2000</v>
      </c>
    </row>
    <row r="1091" spans="1:11" x14ac:dyDescent="0.25">
      <c r="A1091">
        <v>17.0221275766438</v>
      </c>
      <c r="B1091">
        <v>56.997506389863403</v>
      </c>
      <c r="C1091">
        <v>2001</v>
      </c>
    </row>
    <row r="1092" spans="1:11" x14ac:dyDescent="0.25">
      <c r="A1092">
        <v>50.218508012224397</v>
      </c>
      <c r="B1092">
        <v>90.193886825443997</v>
      </c>
      <c r="C1092">
        <v>2001</v>
      </c>
    </row>
    <row r="1093" spans="1:11" x14ac:dyDescent="0.25">
      <c r="A1093">
        <v>59.806113174556103</v>
      </c>
      <c r="B1093">
        <v>99.781491987775595</v>
      </c>
      <c r="C1093">
        <v>2001</v>
      </c>
    </row>
    <row r="1094" spans="1:11" x14ac:dyDescent="0.25">
      <c r="A1094">
        <v>63.6257517834269</v>
      </c>
      <c r="B1094">
        <v>103.601130596646</v>
      </c>
      <c r="C1094">
        <v>2001</v>
      </c>
    </row>
    <row r="1095" spans="1:11" x14ac:dyDescent="0.25">
      <c r="A1095">
        <v>67.887428958324705</v>
      </c>
      <c r="B1095">
        <v>107.862807771544</v>
      </c>
      <c r="C1095">
        <v>2001</v>
      </c>
    </row>
    <row r="1096" spans="1:11" x14ac:dyDescent="0.25">
      <c r="A1096">
        <v>67.450412933875896</v>
      </c>
      <c r="B1096">
        <v>108.29982379599301</v>
      </c>
      <c r="C1096">
        <v>2000</v>
      </c>
    </row>
    <row r="1097" spans="1:11" x14ac:dyDescent="0.25">
      <c r="A1097" t="s">
        <v>88</v>
      </c>
    </row>
    <row r="1098" spans="1:11" x14ac:dyDescent="0.25">
      <c r="A1098">
        <v>15</v>
      </c>
      <c r="B1098">
        <v>0</v>
      </c>
      <c r="C1098">
        <v>46.458837516429597</v>
      </c>
      <c r="D1098">
        <v>24.8646075588427</v>
      </c>
      <c r="E1098">
        <v>10</v>
      </c>
      <c r="F1098">
        <v>1.5707963267949001</v>
      </c>
      <c r="G1098" t="s">
        <v>85</v>
      </c>
      <c r="H1098" t="s">
        <v>86</v>
      </c>
      <c r="I1098">
        <v>0</v>
      </c>
      <c r="J1098">
        <v>493</v>
      </c>
      <c r="K1098">
        <v>0</v>
      </c>
    </row>
    <row r="1099" spans="1:11" x14ac:dyDescent="0.25">
      <c r="A1099" t="s">
        <v>87</v>
      </c>
    </row>
    <row r="1100" spans="1:11" x14ac:dyDescent="0.25">
      <c r="A1100">
        <v>32.851359053911402</v>
      </c>
      <c r="B1100">
        <v>42.9774613552622</v>
      </c>
      <c r="C1100">
        <v>2000</v>
      </c>
    </row>
    <row r="1101" spans="1:11" x14ac:dyDescent="0.25">
      <c r="A1101">
        <v>0</v>
      </c>
      <c r="B1101">
        <v>10.126102301350899</v>
      </c>
      <c r="C1101">
        <v>2000</v>
      </c>
    </row>
    <row r="1102" spans="1:11" x14ac:dyDescent="0.25">
      <c r="A1102">
        <v>0</v>
      </c>
      <c r="B1102">
        <v>10.126102301350899</v>
      </c>
      <c r="C1102">
        <v>2001</v>
      </c>
    </row>
    <row r="1103" spans="1:11" x14ac:dyDescent="0.25">
      <c r="A1103">
        <v>32.851359053911402</v>
      </c>
      <c r="B1103">
        <v>42.9774613552622</v>
      </c>
      <c r="C1103">
        <v>2001</v>
      </c>
    </row>
    <row r="1104" spans="1:11" x14ac:dyDescent="0.25">
      <c r="A1104">
        <v>39.873897698649202</v>
      </c>
      <c r="B1104">
        <v>50</v>
      </c>
      <c r="C1104">
        <v>2001</v>
      </c>
    </row>
    <row r="1105" spans="1:11" x14ac:dyDescent="0.25">
      <c r="A1105">
        <v>50</v>
      </c>
      <c r="B1105">
        <v>60.126102301350798</v>
      </c>
      <c r="C1105">
        <v>2001</v>
      </c>
    </row>
    <row r="1106" spans="1:11" x14ac:dyDescent="0.25">
      <c r="A1106">
        <v>50.433291670311299</v>
      </c>
      <c r="B1106">
        <v>60.559393971662097</v>
      </c>
      <c r="C1106">
        <v>2001</v>
      </c>
    </row>
    <row r="1107" spans="1:11" x14ac:dyDescent="0.25">
      <c r="A1107">
        <v>50.433291670311299</v>
      </c>
      <c r="B1107">
        <v>60.559393971662097</v>
      </c>
      <c r="C1107">
        <v>2000</v>
      </c>
    </row>
    <row r="1108" spans="1:11" x14ac:dyDescent="0.25">
      <c r="A1108">
        <v>50</v>
      </c>
      <c r="B1108">
        <v>60.126102301350798</v>
      </c>
      <c r="C1108">
        <v>2000</v>
      </c>
    </row>
    <row r="1109" spans="1:11" x14ac:dyDescent="0.25">
      <c r="A1109">
        <v>39.873897698649202</v>
      </c>
      <c r="B1109">
        <v>50</v>
      </c>
      <c r="C1109">
        <v>2000</v>
      </c>
    </row>
    <row r="1110" spans="1:11" x14ac:dyDescent="0.25">
      <c r="A1110" t="s">
        <v>88</v>
      </c>
    </row>
    <row r="1111" spans="1:11" x14ac:dyDescent="0.25">
      <c r="A1111">
        <v>730</v>
      </c>
      <c r="B1111">
        <v>0</v>
      </c>
      <c r="C1111">
        <v>59.632321458544702</v>
      </c>
      <c r="D1111">
        <v>11.6372332133871</v>
      </c>
      <c r="E1111">
        <v>10</v>
      </c>
      <c r="F1111">
        <v>1.01722196789785</v>
      </c>
      <c r="G1111" t="s">
        <v>85</v>
      </c>
      <c r="H1111" t="s">
        <v>86</v>
      </c>
      <c r="I1111">
        <v>0</v>
      </c>
      <c r="J1111">
        <v>507</v>
      </c>
      <c r="K1111">
        <v>0.132280897398523</v>
      </c>
    </row>
    <row r="1112" spans="1:11" x14ac:dyDescent="0.25">
      <c r="A1112" t="s">
        <v>87</v>
      </c>
    </row>
    <row r="1113" spans="1:11" x14ac:dyDescent="0.25">
      <c r="A1113">
        <v>47.560505849113802</v>
      </c>
      <c r="B1113">
        <v>41.960927648469799</v>
      </c>
      <c r="C1113">
        <v>2000</v>
      </c>
    </row>
    <row r="1114" spans="1:11" x14ac:dyDescent="0.25">
      <c r="A1114">
        <v>5.5995782006440296</v>
      </c>
      <c r="B1114">
        <v>0</v>
      </c>
      <c r="C1114">
        <v>2000</v>
      </c>
    </row>
    <row r="1115" spans="1:11" x14ac:dyDescent="0.25">
      <c r="A1115">
        <v>4.7255461517463901</v>
      </c>
      <c r="B1115">
        <v>0</v>
      </c>
      <c r="C1115">
        <v>2001</v>
      </c>
    </row>
    <row r="1116" spans="1:11" x14ac:dyDescent="0.25">
      <c r="A1116">
        <v>47.0974562657427</v>
      </c>
      <c r="B1116">
        <v>42.3719101139963</v>
      </c>
      <c r="C1116">
        <v>2001</v>
      </c>
    </row>
    <row r="1117" spans="1:11" x14ac:dyDescent="0.25">
      <c r="A1117">
        <v>49.781491987775603</v>
      </c>
      <c r="B1117">
        <v>45.055945836029203</v>
      </c>
      <c r="C1117">
        <v>2001</v>
      </c>
    </row>
    <row r="1118" spans="1:11" x14ac:dyDescent="0.25">
      <c r="A1118">
        <v>54.944054163970797</v>
      </c>
      <c r="B1118">
        <v>50.218508012224397</v>
      </c>
      <c r="C1118">
        <v>2001</v>
      </c>
    </row>
    <row r="1119" spans="1:11" x14ac:dyDescent="0.25">
      <c r="A1119">
        <v>55.3392395646392</v>
      </c>
      <c r="B1119">
        <v>50.6136934128928</v>
      </c>
      <c r="C1119">
        <v>2001</v>
      </c>
    </row>
    <row r="1120" spans="1:11" x14ac:dyDescent="0.25">
      <c r="A1120">
        <v>55.776255589088002</v>
      </c>
      <c r="B1120">
        <v>50.176677388443998</v>
      </c>
      <c r="C1120">
        <v>2000</v>
      </c>
    </row>
    <row r="1121" spans="1:11" x14ac:dyDescent="0.25">
      <c r="A1121">
        <v>55.381070188419699</v>
      </c>
      <c r="B1121">
        <v>49.781491987775603</v>
      </c>
      <c r="C1121">
        <v>2000</v>
      </c>
    </row>
    <row r="1122" spans="1:11" x14ac:dyDescent="0.25">
      <c r="A1122">
        <v>50.218508012224397</v>
      </c>
      <c r="B1122">
        <v>44.618929811580301</v>
      </c>
      <c r="C1122">
        <v>2000</v>
      </c>
    </row>
    <row r="1123" spans="1:11" x14ac:dyDescent="0.25">
      <c r="A1123" t="s">
        <v>88</v>
      </c>
    </row>
    <row r="1124" spans="1:11" x14ac:dyDescent="0.25">
      <c r="A1124">
        <v>329</v>
      </c>
      <c r="B1124">
        <v>0</v>
      </c>
      <c r="C1124">
        <v>59.857302356744697</v>
      </c>
      <c r="D1124">
        <v>10.772811435326799</v>
      </c>
      <c r="E1124">
        <v>6</v>
      </c>
      <c r="F1124">
        <v>1.5707963267949001</v>
      </c>
      <c r="G1124" t="s">
        <v>85</v>
      </c>
      <c r="H1124" t="s">
        <v>85</v>
      </c>
      <c r="I1124">
        <v>0</v>
      </c>
      <c r="J1124">
        <v>0</v>
      </c>
      <c r="K1124">
        <v>0</v>
      </c>
    </row>
    <row r="1125" spans="1:11" x14ac:dyDescent="0.25">
      <c r="A1125" t="s">
        <v>87</v>
      </c>
    </row>
    <row r="1126" spans="1:11" x14ac:dyDescent="0.25">
      <c r="A1126">
        <v>142.382471981636</v>
      </c>
      <c r="B1126">
        <v>42.325504399987601</v>
      </c>
      <c r="C1126">
        <v>2000</v>
      </c>
    </row>
    <row r="1127" spans="1:11" x14ac:dyDescent="0.25">
      <c r="A1127">
        <v>100.056967581649</v>
      </c>
      <c r="B1127">
        <v>0</v>
      </c>
      <c r="C1127">
        <v>2000</v>
      </c>
    </row>
    <row r="1128" spans="1:11" x14ac:dyDescent="0.25">
      <c r="A1128">
        <v>100.056967581649</v>
      </c>
      <c r="B1128">
        <v>0</v>
      </c>
      <c r="C1128">
        <v>2001</v>
      </c>
    </row>
    <row r="1129" spans="1:11" x14ac:dyDescent="0.25">
      <c r="A1129">
        <v>142.382471981636</v>
      </c>
      <c r="B1129">
        <v>42.325504399987601</v>
      </c>
      <c r="C1129">
        <v>2001</v>
      </c>
    </row>
    <row r="1130" spans="1:11" x14ac:dyDescent="0.25">
      <c r="A1130">
        <v>150</v>
      </c>
      <c r="B1130">
        <v>49.943032418351201</v>
      </c>
      <c r="C1130">
        <v>2001</v>
      </c>
    </row>
    <row r="1131" spans="1:11" x14ac:dyDescent="0.25">
      <c r="A1131">
        <v>150</v>
      </c>
      <c r="B1131">
        <v>49.943032418351201</v>
      </c>
      <c r="C1131">
        <v>2000</v>
      </c>
    </row>
    <row r="1132" spans="1:11" x14ac:dyDescent="0.25">
      <c r="A1132" t="s">
        <v>88</v>
      </c>
    </row>
    <row r="1133" spans="1:11" x14ac:dyDescent="0.25">
      <c r="A1133">
        <v>105</v>
      </c>
      <c r="B1133">
        <v>0</v>
      </c>
      <c r="C1133">
        <v>55.762548863655397</v>
      </c>
      <c r="D1133">
        <v>14.180414071630301</v>
      </c>
      <c r="E1133">
        <v>8</v>
      </c>
      <c r="F1133">
        <v>1.01722196789785</v>
      </c>
      <c r="G1133" t="s">
        <v>85</v>
      </c>
      <c r="H1133" t="s">
        <v>86</v>
      </c>
      <c r="I1133">
        <v>0</v>
      </c>
      <c r="J1133">
        <v>721</v>
      </c>
      <c r="K1133">
        <v>0</v>
      </c>
    </row>
    <row r="1134" spans="1:11" x14ac:dyDescent="0.25">
      <c r="A1134" t="s">
        <v>87</v>
      </c>
    </row>
    <row r="1135" spans="1:11" x14ac:dyDescent="0.25">
      <c r="A1135">
        <v>50.582451562442799</v>
      </c>
      <c r="B1135">
        <v>39.6444545179329</v>
      </c>
      <c r="C1135">
        <v>2000</v>
      </c>
    </row>
    <row r="1136" spans="1:11" x14ac:dyDescent="0.25">
      <c r="A1136">
        <v>49.777030456790499</v>
      </c>
      <c r="B1136">
        <v>38.839033412280699</v>
      </c>
      <c r="C1136">
        <v>2000</v>
      </c>
    </row>
    <row r="1137" spans="1:11" x14ac:dyDescent="0.25">
      <c r="A1137">
        <v>10.9379970445098</v>
      </c>
      <c r="B1137">
        <v>0</v>
      </c>
      <c r="C1137">
        <v>2000</v>
      </c>
    </row>
    <row r="1138" spans="1:11" x14ac:dyDescent="0.25">
      <c r="A1138">
        <v>11.8120290934074</v>
      </c>
      <c r="B1138">
        <v>0</v>
      </c>
      <c r="C1138">
        <v>2001</v>
      </c>
    </row>
    <row r="1139" spans="1:11" x14ac:dyDescent="0.25">
      <c r="A1139">
        <v>50.222969543209501</v>
      </c>
      <c r="B1139">
        <v>38.410940449801998</v>
      </c>
      <c r="C1139">
        <v>2001</v>
      </c>
    </row>
    <row r="1140" spans="1:11" x14ac:dyDescent="0.25">
      <c r="A1140">
        <v>51.027727450948298</v>
      </c>
      <c r="B1140">
        <v>39.215698357540901</v>
      </c>
      <c r="C1140">
        <v>2001</v>
      </c>
    </row>
    <row r="1141" spans="1:11" x14ac:dyDescent="0.25">
      <c r="A1141">
        <v>61.050664469002903</v>
      </c>
      <c r="B1141">
        <v>49.2386353755954</v>
      </c>
      <c r="C1141">
        <v>2001</v>
      </c>
    </row>
    <row r="1142" spans="1:11" x14ac:dyDescent="0.25">
      <c r="A1142">
        <v>60.613648444554102</v>
      </c>
      <c r="B1142">
        <v>49.675651400044202</v>
      </c>
      <c r="C1142">
        <v>2000</v>
      </c>
    </row>
    <row r="1143" spans="1:11" x14ac:dyDescent="0.25">
      <c r="A1143" t="s">
        <v>88</v>
      </c>
    </row>
    <row r="1144" spans="1:11" x14ac:dyDescent="0.25">
      <c r="A1144">
        <v>279</v>
      </c>
      <c r="B1144">
        <v>0</v>
      </c>
      <c r="C1144">
        <v>10.525649369883601</v>
      </c>
      <c r="D1144">
        <v>59.414397622077303</v>
      </c>
      <c r="E1144">
        <v>8</v>
      </c>
      <c r="F1144">
        <v>1.01722196789785</v>
      </c>
      <c r="G1144" t="s">
        <v>86</v>
      </c>
      <c r="H1144" t="s">
        <v>85</v>
      </c>
      <c r="I1144">
        <v>517</v>
      </c>
      <c r="J1144">
        <v>0</v>
      </c>
      <c r="K1144">
        <v>0</v>
      </c>
    </row>
    <row r="1145" spans="1:11" x14ac:dyDescent="0.25">
      <c r="A1145" t="s">
        <v>87</v>
      </c>
    </row>
    <row r="1146" spans="1:11" x14ac:dyDescent="0.25">
      <c r="A1146">
        <v>85.8415317735804</v>
      </c>
      <c r="B1146">
        <v>107.79468997335501</v>
      </c>
      <c r="C1146">
        <v>2000</v>
      </c>
    </row>
    <row r="1147" spans="1:11" x14ac:dyDescent="0.25">
      <c r="A1147">
        <v>78.373252283479999</v>
      </c>
      <c r="B1147">
        <v>100.32641048325399</v>
      </c>
      <c r="C1147">
        <v>2000</v>
      </c>
    </row>
    <row r="1148" spans="1:11" x14ac:dyDescent="0.25">
      <c r="A1148">
        <v>77.936236259031205</v>
      </c>
      <c r="B1148">
        <v>100.763426507703</v>
      </c>
      <c r="C1148">
        <v>2001</v>
      </c>
    </row>
    <row r="1149" spans="1:11" x14ac:dyDescent="0.25">
      <c r="A1149">
        <v>85.353472860603901</v>
      </c>
      <c r="B1149">
        <v>108.180663109276</v>
      </c>
      <c r="C1149">
        <v>2001</v>
      </c>
    </row>
    <row r="1150" spans="1:11" x14ac:dyDescent="0.25">
      <c r="A1150">
        <v>99.706583939834502</v>
      </c>
      <c r="B1150">
        <v>122.533774188506</v>
      </c>
      <c r="C1150">
        <v>2001</v>
      </c>
    </row>
    <row r="1151" spans="1:11" x14ac:dyDescent="0.25">
      <c r="A1151">
        <v>127.172809751328</v>
      </c>
      <c r="B1151">
        <v>150</v>
      </c>
      <c r="C1151">
        <v>2001</v>
      </c>
    </row>
    <row r="1152" spans="1:11" x14ac:dyDescent="0.25">
      <c r="A1152">
        <v>128.04684180022599</v>
      </c>
      <c r="B1152">
        <v>150</v>
      </c>
      <c r="C1152">
        <v>2000</v>
      </c>
    </row>
    <row r="1153" spans="1:11" x14ac:dyDescent="0.25">
      <c r="A1153">
        <v>100.293416060165</v>
      </c>
      <c r="B1153">
        <v>122.24657425994</v>
      </c>
      <c r="C1153">
        <v>2000</v>
      </c>
    </row>
    <row r="1154" spans="1:11" x14ac:dyDescent="0.25">
      <c r="A1154" t="s">
        <v>88</v>
      </c>
    </row>
    <row r="1155" spans="1:11" x14ac:dyDescent="0.25">
      <c r="A1155">
        <v>726</v>
      </c>
      <c r="B1155">
        <v>0</v>
      </c>
      <c r="C1155">
        <v>66.9317250001464</v>
      </c>
      <c r="D1155">
        <v>2.7892524839629398</v>
      </c>
      <c r="E1155">
        <v>10</v>
      </c>
      <c r="F1155">
        <v>1.01722196789785</v>
      </c>
      <c r="G1155" t="s">
        <v>86</v>
      </c>
      <c r="H1155" t="s">
        <v>86</v>
      </c>
      <c r="I1155">
        <v>495</v>
      </c>
      <c r="J1155">
        <v>198</v>
      </c>
      <c r="K1155">
        <v>0.13160878275062499</v>
      </c>
    </row>
    <row r="1156" spans="1:11" x14ac:dyDescent="0.25">
      <c r="A1156" t="s">
        <v>87</v>
      </c>
    </row>
    <row r="1157" spans="1:11" x14ac:dyDescent="0.25">
      <c r="A1157">
        <v>116.111238020985</v>
      </c>
      <c r="B1157">
        <v>118.974623752751</v>
      </c>
      <c r="C1157">
        <v>2000</v>
      </c>
    </row>
    <row r="1158" spans="1:11" x14ac:dyDescent="0.25">
      <c r="A1158">
        <v>100.21850801222401</v>
      </c>
      <c r="B1158">
        <v>103.08189374398999</v>
      </c>
      <c r="C1158">
        <v>2000</v>
      </c>
    </row>
    <row r="1159" spans="1:11" x14ac:dyDescent="0.25">
      <c r="A1159">
        <v>96.918106256010205</v>
      </c>
      <c r="B1159">
        <v>99.781491987775595</v>
      </c>
      <c r="C1159">
        <v>2000</v>
      </c>
    </row>
    <row r="1160" spans="1:11" x14ac:dyDescent="0.25">
      <c r="A1160">
        <v>68.7833613968685</v>
      </c>
      <c r="B1160">
        <v>71.646747128633905</v>
      </c>
      <c r="C1160">
        <v>2000</v>
      </c>
    </row>
    <row r="1161" spans="1:11" x14ac:dyDescent="0.25">
      <c r="A1161">
        <v>68.346345372419705</v>
      </c>
      <c r="B1161">
        <v>72.0837631530827</v>
      </c>
      <c r="C1161">
        <v>2001</v>
      </c>
    </row>
    <row r="1162" spans="1:11" x14ac:dyDescent="0.25">
      <c r="A1162">
        <v>96.481090231561396</v>
      </c>
      <c r="B1162">
        <v>100.21850801222401</v>
      </c>
      <c r="C1162">
        <v>2001</v>
      </c>
    </row>
    <row r="1163" spans="1:11" x14ac:dyDescent="0.25">
      <c r="A1163">
        <v>99.781491987775595</v>
      </c>
      <c r="B1163">
        <v>103.518909768439</v>
      </c>
      <c r="C1163">
        <v>2001</v>
      </c>
    </row>
    <row r="1164" spans="1:11" x14ac:dyDescent="0.25">
      <c r="A1164">
        <v>115.67422199653601</v>
      </c>
      <c r="B1164">
        <v>119.411639777199</v>
      </c>
      <c r="C1164">
        <v>2001</v>
      </c>
    </row>
    <row r="1165" spans="1:11" x14ac:dyDescent="0.25">
      <c r="A1165">
        <v>117.646521342388</v>
      </c>
      <c r="B1165">
        <v>121.38393912305099</v>
      </c>
      <c r="C1165">
        <v>2001</v>
      </c>
    </row>
    <row r="1166" spans="1:11" x14ac:dyDescent="0.25">
      <c r="A1166">
        <v>118.08353736683701</v>
      </c>
      <c r="B1166">
        <v>120.946923098602</v>
      </c>
      <c r="C1166">
        <v>2000</v>
      </c>
    </row>
    <row r="1167" spans="1:11" x14ac:dyDescent="0.25">
      <c r="A1167" t="s">
        <v>88</v>
      </c>
    </row>
    <row r="1168" spans="1:11" x14ac:dyDescent="0.25">
      <c r="A1168">
        <v>742</v>
      </c>
      <c r="B1168">
        <v>0</v>
      </c>
      <c r="C1168">
        <v>1.0390444458255099</v>
      </c>
      <c r="D1168">
        <v>67.9545083044042</v>
      </c>
      <c r="E1168">
        <v>6</v>
      </c>
      <c r="F1168">
        <v>1.01722196789785</v>
      </c>
      <c r="G1168" t="s">
        <v>85</v>
      </c>
      <c r="H1168" t="s">
        <v>85</v>
      </c>
      <c r="I1168">
        <v>0</v>
      </c>
      <c r="J1168">
        <v>0</v>
      </c>
      <c r="K1168">
        <v>0.13373198682896401</v>
      </c>
    </row>
    <row r="1169" spans="1:11" x14ac:dyDescent="0.25">
      <c r="A1169" t="s">
        <v>87</v>
      </c>
    </row>
    <row r="1170" spans="1:11" x14ac:dyDescent="0.25">
      <c r="A1170">
        <v>102.37934091911499</v>
      </c>
      <c r="B1170">
        <v>0.72813390250572196</v>
      </c>
      <c r="C1170">
        <v>2000</v>
      </c>
    </row>
    <row r="1171" spans="1:11" x14ac:dyDescent="0.25">
      <c r="A1171">
        <v>101.65120701661</v>
      </c>
      <c r="B1171">
        <v>0</v>
      </c>
      <c r="C1171">
        <v>2000</v>
      </c>
    </row>
    <row r="1172" spans="1:11" x14ac:dyDescent="0.25">
      <c r="A1172">
        <v>100.777174967712</v>
      </c>
      <c r="B1172">
        <v>0</v>
      </c>
      <c r="C1172">
        <v>2001</v>
      </c>
    </row>
    <row r="1173" spans="1:11" x14ac:dyDescent="0.25">
      <c r="A1173">
        <v>101.518471812401</v>
      </c>
      <c r="B1173">
        <v>0.74129684468915102</v>
      </c>
      <c r="C1173">
        <v>2001</v>
      </c>
    </row>
    <row r="1174" spans="1:11" x14ac:dyDescent="0.25">
      <c r="A1174">
        <v>150</v>
      </c>
      <c r="B1174">
        <v>49.222825032288</v>
      </c>
      <c r="C1174">
        <v>2001</v>
      </c>
    </row>
    <row r="1175" spans="1:11" x14ac:dyDescent="0.25">
      <c r="A1175">
        <v>150</v>
      </c>
      <c r="B1175">
        <v>48.348792983390297</v>
      </c>
      <c r="C1175">
        <v>2000</v>
      </c>
    </row>
    <row r="1176" spans="1:11" x14ac:dyDescent="0.25">
      <c r="A1176" t="s">
        <v>88</v>
      </c>
    </row>
    <row r="1177" spans="1:11" x14ac:dyDescent="0.25">
      <c r="A1177">
        <v>277</v>
      </c>
      <c r="B1177">
        <v>0</v>
      </c>
      <c r="C1177">
        <v>15.733268981085001</v>
      </c>
      <c r="D1177">
        <v>53.232852868004997</v>
      </c>
      <c r="E1177">
        <v>8</v>
      </c>
      <c r="F1177">
        <v>1.01722196789785</v>
      </c>
      <c r="G1177" t="s">
        <v>86</v>
      </c>
      <c r="H1177" t="s">
        <v>85</v>
      </c>
      <c r="I1177">
        <v>725</v>
      </c>
      <c r="J1177">
        <v>0</v>
      </c>
      <c r="K1177">
        <v>0</v>
      </c>
    </row>
    <row r="1178" spans="1:11" x14ac:dyDescent="0.25">
      <c r="A1178" t="s">
        <v>87</v>
      </c>
    </row>
    <row r="1179" spans="1:11" x14ac:dyDescent="0.25">
      <c r="A1179">
        <v>79.716972534762405</v>
      </c>
      <c r="B1179">
        <v>112.535681848073</v>
      </c>
      <c r="C1179">
        <v>2000</v>
      </c>
    </row>
    <row r="1180" spans="1:11" x14ac:dyDescent="0.25">
      <c r="A1180">
        <v>68.633386267284706</v>
      </c>
      <c r="B1180">
        <v>101.452095580595</v>
      </c>
      <c r="C1180">
        <v>2000</v>
      </c>
    </row>
    <row r="1181" spans="1:11" x14ac:dyDescent="0.25">
      <c r="A1181">
        <v>69.070402291733501</v>
      </c>
      <c r="B1181">
        <v>101.01507955614601</v>
      </c>
      <c r="C1181">
        <v>2001</v>
      </c>
    </row>
    <row r="1182" spans="1:11" x14ac:dyDescent="0.25">
      <c r="A1182">
        <v>80.2370183977702</v>
      </c>
      <c r="B1182">
        <v>112.181695662183</v>
      </c>
      <c r="C1182">
        <v>2001</v>
      </c>
    </row>
    <row r="1183" spans="1:11" x14ac:dyDescent="0.25">
      <c r="A1183">
        <v>100.334741660169</v>
      </c>
      <c r="B1183">
        <v>132.27941892458199</v>
      </c>
      <c r="C1183">
        <v>2001</v>
      </c>
    </row>
    <row r="1184" spans="1:11" x14ac:dyDescent="0.25">
      <c r="A1184">
        <v>118.055322735587</v>
      </c>
      <c r="B1184">
        <v>150</v>
      </c>
      <c r="C1184">
        <v>2001</v>
      </c>
    </row>
    <row r="1185" spans="1:11" x14ac:dyDescent="0.25">
      <c r="A1185">
        <v>117.18129068669001</v>
      </c>
      <c r="B1185">
        <v>150</v>
      </c>
      <c r="C1185">
        <v>2000</v>
      </c>
    </row>
    <row r="1186" spans="1:11" x14ac:dyDescent="0.25">
      <c r="A1186">
        <v>99.665258339830501</v>
      </c>
      <c r="B1186">
        <v>132.48396765314101</v>
      </c>
      <c r="C1186">
        <v>2000</v>
      </c>
    </row>
    <row r="1187" spans="1:11" x14ac:dyDescent="0.25">
      <c r="A1187" t="s">
        <v>88</v>
      </c>
    </row>
    <row r="1188" spans="1:11" x14ac:dyDescent="0.25">
      <c r="A1188">
        <v>675</v>
      </c>
      <c r="B1188">
        <v>0</v>
      </c>
      <c r="C1188">
        <v>64.958420748834499</v>
      </c>
      <c r="D1188">
        <v>2.7454876762797902</v>
      </c>
      <c r="E1188">
        <v>8</v>
      </c>
      <c r="F1188">
        <v>1.01722196789785</v>
      </c>
      <c r="G1188" t="s">
        <v>85</v>
      </c>
      <c r="H1188" t="s">
        <v>86</v>
      </c>
      <c r="I1188">
        <v>0</v>
      </c>
      <c r="J1188">
        <v>491</v>
      </c>
      <c r="K1188">
        <v>0</v>
      </c>
    </row>
    <row r="1189" spans="1:11" x14ac:dyDescent="0.25">
      <c r="A1189" t="s">
        <v>87</v>
      </c>
    </row>
    <row r="1190" spans="1:11" x14ac:dyDescent="0.25">
      <c r="A1190">
        <v>46.1424474570535</v>
      </c>
      <c r="B1190">
        <v>76.068546300133093</v>
      </c>
      <c r="C1190">
        <v>2000</v>
      </c>
    </row>
    <row r="1191" spans="1:11" x14ac:dyDescent="0.25">
      <c r="A1191">
        <v>19.730300753611399</v>
      </c>
      <c r="B1191">
        <v>49.656399596691102</v>
      </c>
      <c r="C1191">
        <v>2000</v>
      </c>
    </row>
    <row r="1192" spans="1:11" x14ac:dyDescent="0.25">
      <c r="A1192">
        <v>0</v>
      </c>
      <c r="B1192">
        <v>29.9260988430797</v>
      </c>
      <c r="C1192">
        <v>2000</v>
      </c>
    </row>
    <row r="1193" spans="1:11" x14ac:dyDescent="0.25">
      <c r="A1193">
        <v>0</v>
      </c>
      <c r="B1193">
        <v>30.8001308919773</v>
      </c>
      <c r="C1193">
        <v>2001</v>
      </c>
    </row>
    <row r="1194" spans="1:11" x14ac:dyDescent="0.25">
      <c r="A1194">
        <v>19.543469511331502</v>
      </c>
      <c r="B1194">
        <v>50.343600403308898</v>
      </c>
      <c r="C1194">
        <v>2001</v>
      </c>
    </row>
    <row r="1195" spans="1:11" x14ac:dyDescent="0.25">
      <c r="A1195">
        <v>45.722632156286203</v>
      </c>
      <c r="B1195">
        <v>76.522763048263499</v>
      </c>
      <c r="C1195">
        <v>2001</v>
      </c>
    </row>
    <row r="1196" spans="1:11" x14ac:dyDescent="0.25">
      <c r="A1196">
        <v>47.655384748007002</v>
      </c>
      <c r="B1196">
        <v>78.455515639984299</v>
      </c>
      <c r="C1196">
        <v>2001</v>
      </c>
    </row>
    <row r="1197" spans="1:11" x14ac:dyDescent="0.25">
      <c r="A1197">
        <v>48.092400772455797</v>
      </c>
      <c r="B1197">
        <v>78.018499615535504</v>
      </c>
      <c r="C1197">
        <v>2000</v>
      </c>
    </row>
    <row r="1198" spans="1:11" x14ac:dyDescent="0.25">
      <c r="A1198" t="s">
        <v>88</v>
      </c>
    </row>
    <row r="1199" spans="1:11" x14ac:dyDescent="0.25">
      <c r="A1199">
        <v>517</v>
      </c>
      <c r="B1199">
        <v>0</v>
      </c>
      <c r="C1199">
        <v>52.156844895155601</v>
      </c>
      <c r="D1199">
        <v>15.185941848813099</v>
      </c>
      <c r="E1199">
        <v>10</v>
      </c>
      <c r="F1199">
        <v>1.01722196789785</v>
      </c>
      <c r="G1199" t="s">
        <v>86</v>
      </c>
      <c r="H1199" t="s">
        <v>86</v>
      </c>
      <c r="I1199">
        <v>37</v>
      </c>
      <c r="J1199">
        <v>279</v>
      </c>
      <c r="K1199">
        <v>0</v>
      </c>
    </row>
    <row r="1200" spans="1:11" x14ac:dyDescent="0.25">
      <c r="A1200" t="s">
        <v>87</v>
      </c>
    </row>
    <row r="1201" spans="1:11" x14ac:dyDescent="0.25">
      <c r="A1201">
        <v>67.440915798978196</v>
      </c>
      <c r="B1201">
        <v>89.782582047755398</v>
      </c>
      <c r="C1201">
        <v>2000</v>
      </c>
    </row>
    <row r="1202" spans="1:11" x14ac:dyDescent="0.25">
      <c r="A1202">
        <v>49.781491987775603</v>
      </c>
      <c r="B1202">
        <v>72.123158236552797</v>
      </c>
      <c r="C1202">
        <v>2000</v>
      </c>
    </row>
    <row r="1203" spans="1:11" x14ac:dyDescent="0.25">
      <c r="A1203">
        <v>30.560457088318699</v>
      </c>
      <c r="B1203">
        <v>52.902123337095901</v>
      </c>
      <c r="C1203">
        <v>2000</v>
      </c>
    </row>
    <row r="1204" spans="1:11" x14ac:dyDescent="0.25">
      <c r="A1204">
        <v>30.997473112767501</v>
      </c>
      <c r="B1204">
        <v>52.465107312647</v>
      </c>
      <c r="C1204">
        <v>2001</v>
      </c>
    </row>
    <row r="1205" spans="1:11" x14ac:dyDescent="0.25">
      <c r="A1205">
        <v>50.218508012224397</v>
      </c>
      <c r="B1205">
        <v>71.686142212103903</v>
      </c>
      <c r="C1205">
        <v>2001</v>
      </c>
    </row>
    <row r="1206" spans="1:11" x14ac:dyDescent="0.25">
      <c r="A1206">
        <v>67.877931823427005</v>
      </c>
      <c r="B1206">
        <v>89.345566023306603</v>
      </c>
      <c r="C1206">
        <v>2001</v>
      </c>
    </row>
    <row r="1207" spans="1:11" x14ac:dyDescent="0.25">
      <c r="A1207">
        <v>78.313857787896097</v>
      </c>
      <c r="B1207">
        <v>99.781491987775595</v>
      </c>
      <c r="C1207">
        <v>2001</v>
      </c>
    </row>
    <row r="1208" spans="1:11" x14ac:dyDescent="0.25">
      <c r="A1208">
        <v>78.616014283427305</v>
      </c>
      <c r="B1208">
        <v>100.083648483307</v>
      </c>
      <c r="C1208">
        <v>2001</v>
      </c>
    </row>
    <row r="1209" spans="1:11" x14ac:dyDescent="0.25">
      <c r="A1209">
        <v>78.178998258978496</v>
      </c>
      <c r="B1209">
        <v>100.520664507756</v>
      </c>
      <c r="C1209">
        <v>2000</v>
      </c>
    </row>
    <row r="1210" spans="1:11" x14ac:dyDescent="0.25">
      <c r="A1210">
        <v>77.876841763447203</v>
      </c>
      <c r="B1210">
        <v>100.21850801222401</v>
      </c>
      <c r="C1210">
        <v>2000</v>
      </c>
    </row>
    <row r="1211" spans="1:11" x14ac:dyDescent="0.25">
      <c r="A1211" t="s">
        <v>88</v>
      </c>
    </row>
    <row r="1212" spans="1:11" x14ac:dyDescent="0.25">
      <c r="A1212">
        <v>735</v>
      </c>
      <c r="B1212">
        <v>0</v>
      </c>
      <c r="C1212">
        <v>20.544455490568801</v>
      </c>
      <c r="D1212">
        <v>46.790667458662902</v>
      </c>
      <c r="E1212">
        <v>8</v>
      </c>
      <c r="F1212">
        <v>1.01722196789785</v>
      </c>
      <c r="G1212" t="s">
        <v>86</v>
      </c>
      <c r="H1212" t="s">
        <v>85</v>
      </c>
      <c r="I1212">
        <v>112</v>
      </c>
      <c r="J1212">
        <v>0</v>
      </c>
      <c r="K1212">
        <v>0.132280897398523</v>
      </c>
    </row>
    <row r="1213" spans="1:11" x14ac:dyDescent="0.25">
      <c r="A1213" t="s">
        <v>87</v>
      </c>
    </row>
    <row r="1214" spans="1:11" x14ac:dyDescent="0.25">
      <c r="A1214">
        <v>116.760396953206</v>
      </c>
      <c r="B1214">
        <v>69.905364937206997</v>
      </c>
      <c r="C1214">
        <v>2000</v>
      </c>
    </row>
    <row r="1215" spans="1:11" x14ac:dyDescent="0.25">
      <c r="A1215">
        <v>102.168369938344</v>
      </c>
      <c r="B1215">
        <v>55.313337922345099</v>
      </c>
      <c r="C1215">
        <v>2000</v>
      </c>
    </row>
    <row r="1216" spans="1:11" x14ac:dyDescent="0.25">
      <c r="A1216">
        <v>102.60538596279299</v>
      </c>
      <c r="B1216">
        <v>54.876321897896197</v>
      </c>
      <c r="C1216">
        <v>2001</v>
      </c>
    </row>
    <row r="1217" spans="1:11" x14ac:dyDescent="0.25">
      <c r="A1217">
        <v>117.067606534264</v>
      </c>
      <c r="B1217">
        <v>69.338542469366999</v>
      </c>
      <c r="C1217">
        <v>2001</v>
      </c>
    </row>
    <row r="1218" spans="1:11" x14ac:dyDescent="0.25">
      <c r="A1218">
        <v>147.30993201648201</v>
      </c>
      <c r="B1218">
        <v>99.580867951585304</v>
      </c>
      <c r="C1218">
        <v>2001</v>
      </c>
    </row>
    <row r="1219" spans="1:11" x14ac:dyDescent="0.25">
      <c r="A1219">
        <v>150</v>
      </c>
      <c r="B1219">
        <v>102.270935935103</v>
      </c>
      <c r="C1219">
        <v>2001</v>
      </c>
    </row>
    <row r="1220" spans="1:11" x14ac:dyDescent="0.25">
      <c r="A1220">
        <v>150</v>
      </c>
      <c r="B1220">
        <v>103.144967984001</v>
      </c>
      <c r="C1220">
        <v>2000</v>
      </c>
    </row>
    <row r="1221" spans="1:11" x14ac:dyDescent="0.25">
      <c r="A1221">
        <v>147.27416406441401</v>
      </c>
      <c r="B1221">
        <v>100.41913204841499</v>
      </c>
      <c r="C1221">
        <v>2000</v>
      </c>
    </row>
    <row r="1222" spans="1:11" x14ac:dyDescent="0.25">
      <c r="A1222" t="s">
        <v>88</v>
      </c>
    </row>
    <row r="1223" spans="1:11" x14ac:dyDescent="0.25">
      <c r="A1223">
        <v>563</v>
      </c>
      <c r="B1223">
        <v>0</v>
      </c>
      <c r="C1223">
        <v>52.592244774288403</v>
      </c>
      <c r="D1223">
        <v>14.556498334766401</v>
      </c>
      <c r="E1223">
        <v>8</v>
      </c>
      <c r="F1223">
        <v>1.5707963267949001</v>
      </c>
      <c r="G1223" t="s">
        <v>86</v>
      </c>
      <c r="H1223" t="s">
        <v>86</v>
      </c>
      <c r="I1223">
        <v>653</v>
      </c>
      <c r="J1223">
        <v>577</v>
      </c>
      <c r="K1223">
        <v>0</v>
      </c>
    </row>
    <row r="1224" spans="1:11" x14ac:dyDescent="0.25">
      <c r="A1224" t="s">
        <v>87</v>
      </c>
    </row>
    <row r="1225" spans="1:11" x14ac:dyDescent="0.25">
      <c r="A1225">
        <v>37.305165961061199</v>
      </c>
      <c r="B1225">
        <v>124.22698651171601</v>
      </c>
      <c r="C1225">
        <v>2000</v>
      </c>
    </row>
    <row r="1226" spans="1:11" x14ac:dyDescent="0.25">
      <c r="A1226">
        <v>13.078179449345001</v>
      </c>
      <c r="B1226">
        <v>100</v>
      </c>
      <c r="C1226">
        <v>2000</v>
      </c>
    </row>
    <row r="1227" spans="1:11" x14ac:dyDescent="0.25">
      <c r="A1227">
        <v>0.116833043339099</v>
      </c>
      <c r="B1227">
        <v>87.038653593994098</v>
      </c>
      <c r="C1227">
        <v>2000</v>
      </c>
    </row>
    <row r="1228" spans="1:11" x14ac:dyDescent="0.25">
      <c r="A1228">
        <v>0.116833043339099</v>
      </c>
      <c r="B1228">
        <v>87.038653593994098</v>
      </c>
      <c r="C1228">
        <v>2001</v>
      </c>
    </row>
    <row r="1229" spans="1:11" x14ac:dyDescent="0.25">
      <c r="A1229">
        <v>13.078179449345001</v>
      </c>
      <c r="B1229">
        <v>100</v>
      </c>
      <c r="C1229">
        <v>2001</v>
      </c>
    </row>
    <row r="1230" spans="1:11" x14ac:dyDescent="0.25">
      <c r="A1230">
        <v>37.305165961061199</v>
      </c>
      <c r="B1230">
        <v>124.22698651171601</v>
      </c>
      <c r="C1230">
        <v>2001</v>
      </c>
    </row>
    <row r="1231" spans="1:11" x14ac:dyDescent="0.25">
      <c r="A1231">
        <v>47.5981646439052</v>
      </c>
      <c r="B1231">
        <v>134.51998519456001</v>
      </c>
      <c r="C1231">
        <v>2001</v>
      </c>
    </row>
    <row r="1232" spans="1:11" x14ac:dyDescent="0.25">
      <c r="A1232">
        <v>47.5981646439052</v>
      </c>
      <c r="B1232">
        <v>134.51998519456001</v>
      </c>
      <c r="C1232">
        <v>2000</v>
      </c>
    </row>
    <row r="1233" spans="1:11" x14ac:dyDescent="0.25">
      <c r="A1233" t="s">
        <v>88</v>
      </c>
    </row>
    <row r="1234" spans="1:11" x14ac:dyDescent="0.25">
      <c r="A1234">
        <v>586</v>
      </c>
      <c r="B1234">
        <v>0</v>
      </c>
      <c r="C1234">
        <v>47.372288848200398</v>
      </c>
      <c r="D1234">
        <v>19.776454260854401</v>
      </c>
      <c r="E1234">
        <v>8</v>
      </c>
      <c r="F1234">
        <v>1.01722196789785</v>
      </c>
      <c r="G1234" t="s">
        <v>86</v>
      </c>
      <c r="H1234" t="s">
        <v>86</v>
      </c>
      <c r="I1234">
        <v>653</v>
      </c>
      <c r="J1234">
        <v>577</v>
      </c>
      <c r="K1234">
        <v>0</v>
      </c>
    </row>
    <row r="1235" spans="1:11" x14ac:dyDescent="0.25">
      <c r="A1235" t="s">
        <v>87</v>
      </c>
    </row>
    <row r="1236" spans="1:11" x14ac:dyDescent="0.25">
      <c r="A1236">
        <v>33.692229003972301</v>
      </c>
      <c r="B1236">
        <v>120.45779100314201</v>
      </c>
      <c r="C1236">
        <v>2000</v>
      </c>
    </row>
    <row r="1237" spans="1:11" x14ac:dyDescent="0.25">
      <c r="A1237">
        <v>13.452946013055</v>
      </c>
      <c r="B1237">
        <v>100.21850801222401</v>
      </c>
      <c r="C1237">
        <v>2000</v>
      </c>
    </row>
    <row r="1238" spans="1:11" x14ac:dyDescent="0.25">
      <c r="A1238">
        <v>0.19496231908188899</v>
      </c>
      <c r="B1238">
        <v>86.960524318251302</v>
      </c>
      <c r="C1238">
        <v>2000</v>
      </c>
    </row>
    <row r="1239" spans="1:11" x14ac:dyDescent="0.25">
      <c r="A1239">
        <v>0.63197834353071003</v>
      </c>
      <c r="B1239">
        <v>86.523508293802493</v>
      </c>
      <c r="C1239">
        <v>2001</v>
      </c>
    </row>
    <row r="1240" spans="1:11" x14ac:dyDescent="0.25">
      <c r="A1240">
        <v>13.889962037503899</v>
      </c>
      <c r="B1240">
        <v>99.781491987775595</v>
      </c>
      <c r="C1240">
        <v>2001</v>
      </c>
    </row>
    <row r="1241" spans="1:11" x14ac:dyDescent="0.25">
      <c r="A1241">
        <v>34.129245028421103</v>
      </c>
      <c r="B1241">
        <v>120.020774978693</v>
      </c>
      <c r="C1241">
        <v>2001</v>
      </c>
    </row>
    <row r="1242" spans="1:11" x14ac:dyDescent="0.25">
      <c r="A1242">
        <v>48.113309944096798</v>
      </c>
      <c r="B1242">
        <v>134.00483989436901</v>
      </c>
      <c r="C1242">
        <v>2001</v>
      </c>
    </row>
    <row r="1243" spans="1:11" x14ac:dyDescent="0.25">
      <c r="A1243">
        <v>47.676293919648003</v>
      </c>
      <c r="B1243">
        <v>134.441855918817</v>
      </c>
      <c r="C1243">
        <v>2000</v>
      </c>
    </row>
    <row r="1244" spans="1:11" x14ac:dyDescent="0.25">
      <c r="A1244" t="s">
        <v>88</v>
      </c>
    </row>
    <row r="1245" spans="1:11" x14ac:dyDescent="0.25">
      <c r="A1245">
        <v>431</v>
      </c>
      <c r="B1245">
        <v>0</v>
      </c>
      <c r="C1245">
        <v>42.470443571240601</v>
      </c>
      <c r="D1245">
        <v>24.229400961523002</v>
      </c>
      <c r="E1245">
        <v>8</v>
      </c>
      <c r="F1245">
        <v>1.01722196789785</v>
      </c>
      <c r="G1245" t="s">
        <v>86</v>
      </c>
      <c r="H1245" t="s">
        <v>85</v>
      </c>
      <c r="I1245">
        <v>325</v>
      </c>
      <c r="J1245">
        <v>0</v>
      </c>
      <c r="K1245">
        <v>0</v>
      </c>
    </row>
    <row r="1246" spans="1:11" x14ac:dyDescent="0.25">
      <c r="A1246" t="s">
        <v>87</v>
      </c>
    </row>
    <row r="1247" spans="1:11" x14ac:dyDescent="0.25">
      <c r="A1247">
        <v>132.77981331728401</v>
      </c>
      <c r="B1247">
        <v>76.043984313777202</v>
      </c>
      <c r="C1247">
        <v>2000</v>
      </c>
    </row>
    <row r="1248" spans="1:11" x14ac:dyDescent="0.25">
      <c r="A1248">
        <v>106.954337015731</v>
      </c>
      <c r="B1248">
        <v>50.218508012224397</v>
      </c>
      <c r="C1248">
        <v>2000</v>
      </c>
    </row>
    <row r="1249" spans="1:11" x14ac:dyDescent="0.25">
      <c r="A1249">
        <v>102.61757961457</v>
      </c>
      <c r="B1249">
        <v>45.881750611063197</v>
      </c>
      <c r="C1249">
        <v>2000</v>
      </c>
    </row>
    <row r="1250" spans="1:11" x14ac:dyDescent="0.25">
      <c r="A1250">
        <v>103.054595639019</v>
      </c>
      <c r="B1250">
        <v>45.444734586614302</v>
      </c>
      <c r="C1250">
        <v>2001</v>
      </c>
    </row>
    <row r="1251" spans="1:11" x14ac:dyDescent="0.25">
      <c r="A1251">
        <v>107.39135304017999</v>
      </c>
      <c r="B1251">
        <v>49.781491987775603</v>
      </c>
      <c r="C1251">
        <v>2001</v>
      </c>
    </row>
    <row r="1252" spans="1:11" x14ac:dyDescent="0.25">
      <c r="A1252">
        <v>132.95463923475401</v>
      </c>
      <c r="B1252">
        <v>75.344778182349998</v>
      </c>
      <c r="C1252">
        <v>2001</v>
      </c>
    </row>
    <row r="1253" spans="1:11" x14ac:dyDescent="0.25">
      <c r="A1253">
        <v>150</v>
      </c>
      <c r="B1253">
        <v>92.390138947595503</v>
      </c>
      <c r="C1253">
        <v>2001</v>
      </c>
    </row>
    <row r="1254" spans="1:11" x14ac:dyDescent="0.25">
      <c r="A1254">
        <v>150</v>
      </c>
      <c r="B1254">
        <v>93.264170996493206</v>
      </c>
      <c r="C1254">
        <v>2000</v>
      </c>
    </row>
    <row r="1255" spans="1:11" x14ac:dyDescent="0.25">
      <c r="A1255" t="s">
        <v>88</v>
      </c>
    </row>
    <row r="1256" spans="1:11" x14ac:dyDescent="0.25">
      <c r="A1256">
        <v>487</v>
      </c>
      <c r="B1256">
        <v>0</v>
      </c>
      <c r="C1256">
        <v>66.664184808620902</v>
      </c>
      <c r="D1256">
        <v>0</v>
      </c>
      <c r="E1256">
        <v>9</v>
      </c>
      <c r="F1256">
        <v>1.5707963267949001</v>
      </c>
      <c r="G1256" t="s">
        <v>86</v>
      </c>
      <c r="H1256" t="s">
        <v>86</v>
      </c>
      <c r="I1256">
        <v>16</v>
      </c>
      <c r="J1256">
        <v>260</v>
      </c>
      <c r="K1256">
        <v>0</v>
      </c>
    </row>
    <row r="1257" spans="1:11" x14ac:dyDescent="0.25">
      <c r="A1257" t="s">
        <v>87</v>
      </c>
    </row>
    <row r="1258" spans="1:11" x14ac:dyDescent="0.25">
      <c r="A1258">
        <v>68.622083248860307</v>
      </c>
      <c r="B1258">
        <v>82.061991320020496</v>
      </c>
      <c r="C1258">
        <v>2000</v>
      </c>
    </row>
    <row r="1259" spans="1:11" x14ac:dyDescent="0.25">
      <c r="A1259">
        <v>50</v>
      </c>
      <c r="B1259">
        <v>63.439908071160303</v>
      </c>
      <c r="C1259">
        <v>2000</v>
      </c>
    </row>
    <row r="1260" spans="1:11" x14ac:dyDescent="0.25">
      <c r="A1260">
        <v>36.560091928839697</v>
      </c>
      <c r="B1260">
        <v>50</v>
      </c>
      <c r="C1260">
        <v>2000</v>
      </c>
    </row>
    <row r="1261" spans="1:11" x14ac:dyDescent="0.25">
      <c r="A1261">
        <v>21.483386108411199</v>
      </c>
      <c r="B1261">
        <v>34.923294179571499</v>
      </c>
      <c r="C1261">
        <v>2000</v>
      </c>
    </row>
    <row r="1262" spans="1:11" x14ac:dyDescent="0.25">
      <c r="A1262">
        <v>21.483386108411199</v>
      </c>
      <c r="B1262">
        <v>34.923294179571499</v>
      </c>
      <c r="C1262">
        <v>2001</v>
      </c>
    </row>
    <row r="1263" spans="1:11" x14ac:dyDescent="0.25">
      <c r="A1263">
        <v>36.560091928839697</v>
      </c>
      <c r="B1263">
        <v>50</v>
      </c>
      <c r="C1263">
        <v>2001</v>
      </c>
    </row>
    <row r="1264" spans="1:11" x14ac:dyDescent="0.25">
      <c r="A1264">
        <v>50</v>
      </c>
      <c r="B1264">
        <v>63.439908071160303</v>
      </c>
      <c r="C1264">
        <v>2001</v>
      </c>
    </row>
    <row r="1265" spans="1:11" x14ac:dyDescent="0.25">
      <c r="A1265">
        <v>68.622083248860307</v>
      </c>
      <c r="B1265">
        <v>82.061991320020496</v>
      </c>
      <c r="C1265">
        <v>2001</v>
      </c>
    </row>
    <row r="1266" spans="1:11" x14ac:dyDescent="0.25">
      <c r="A1266">
        <v>68.622083248860307</v>
      </c>
      <c r="B1266">
        <v>82.061991320020496</v>
      </c>
      <c r="C1266">
        <v>2000</v>
      </c>
    </row>
    <row r="1267" spans="1:11" x14ac:dyDescent="0.25">
      <c r="A1267" t="s">
        <v>88</v>
      </c>
    </row>
    <row r="1268" spans="1:11" x14ac:dyDescent="0.25">
      <c r="A1268">
        <v>326</v>
      </c>
      <c r="B1268">
        <v>0</v>
      </c>
      <c r="C1268">
        <v>46.938841816952497</v>
      </c>
      <c r="D1268">
        <v>19.1617585599863</v>
      </c>
      <c r="E1268">
        <v>6</v>
      </c>
      <c r="F1268">
        <v>1.5707963267949001</v>
      </c>
      <c r="G1268" t="s">
        <v>85</v>
      </c>
      <c r="H1268" t="s">
        <v>85</v>
      </c>
      <c r="I1268">
        <v>0</v>
      </c>
      <c r="J1268">
        <v>0</v>
      </c>
      <c r="K1268">
        <v>0</v>
      </c>
    </row>
    <row r="1269" spans="1:11" x14ac:dyDescent="0.25">
      <c r="A1269" t="s">
        <v>87</v>
      </c>
    </row>
    <row r="1270" spans="1:11" x14ac:dyDescent="0.25">
      <c r="A1270">
        <v>136.450590582774</v>
      </c>
      <c r="B1270">
        <v>33.190773349809803</v>
      </c>
      <c r="C1270">
        <v>2000</v>
      </c>
    </row>
    <row r="1271" spans="1:11" x14ac:dyDescent="0.25">
      <c r="A1271">
        <v>103.259817232964</v>
      </c>
      <c r="B1271">
        <v>0</v>
      </c>
      <c r="C1271">
        <v>2000</v>
      </c>
    </row>
    <row r="1272" spans="1:11" x14ac:dyDescent="0.25">
      <c r="A1272">
        <v>103.259817232964</v>
      </c>
      <c r="B1272">
        <v>0</v>
      </c>
      <c r="C1272">
        <v>2001</v>
      </c>
    </row>
    <row r="1273" spans="1:11" x14ac:dyDescent="0.25">
      <c r="A1273">
        <v>136.450590582774</v>
      </c>
      <c r="B1273">
        <v>33.190773349809803</v>
      </c>
      <c r="C1273">
        <v>2001</v>
      </c>
    </row>
    <row r="1274" spans="1:11" x14ac:dyDescent="0.25">
      <c r="A1274">
        <v>150</v>
      </c>
      <c r="B1274">
        <v>46.740182767035499</v>
      </c>
      <c r="C1274">
        <v>2001</v>
      </c>
    </row>
    <row r="1275" spans="1:11" x14ac:dyDescent="0.25">
      <c r="A1275">
        <v>150</v>
      </c>
      <c r="B1275">
        <v>46.740182767035499</v>
      </c>
      <c r="C1275">
        <v>2000</v>
      </c>
    </row>
    <row r="1276" spans="1:11" x14ac:dyDescent="0.25">
      <c r="A1276" t="s">
        <v>88</v>
      </c>
    </row>
    <row r="1277" spans="1:11" x14ac:dyDescent="0.25">
      <c r="A1277">
        <v>668</v>
      </c>
      <c r="B1277">
        <v>0</v>
      </c>
      <c r="C1277">
        <v>17.8977999594468</v>
      </c>
      <c r="D1277">
        <v>48.118219134044203</v>
      </c>
      <c r="E1277">
        <v>8</v>
      </c>
      <c r="F1277">
        <v>1.01722196789785</v>
      </c>
      <c r="G1277" t="s">
        <v>85</v>
      </c>
      <c r="H1277" t="s">
        <v>86</v>
      </c>
      <c r="I1277">
        <v>0</v>
      </c>
      <c r="J1277">
        <v>650</v>
      </c>
      <c r="K1277">
        <v>0</v>
      </c>
    </row>
    <row r="1278" spans="1:11" x14ac:dyDescent="0.25">
      <c r="A1278" t="s">
        <v>87</v>
      </c>
    </row>
    <row r="1279" spans="1:11" x14ac:dyDescent="0.25">
      <c r="A1279">
        <v>12.7183806726417</v>
      </c>
      <c r="B1279">
        <v>61.904548903341698</v>
      </c>
      <c r="C1279">
        <v>2000</v>
      </c>
    </row>
    <row r="1280" spans="1:11" x14ac:dyDescent="0.25">
      <c r="A1280">
        <v>0.38332171034249701</v>
      </c>
      <c r="B1280">
        <v>49.569489941042498</v>
      </c>
      <c r="C1280">
        <v>2000</v>
      </c>
    </row>
    <row r="1281" spans="1:11" x14ac:dyDescent="0.25">
      <c r="A1281">
        <v>0</v>
      </c>
      <c r="B1281">
        <v>49.186168230699998</v>
      </c>
      <c r="C1281">
        <v>2000</v>
      </c>
    </row>
    <row r="1282" spans="1:11" x14ac:dyDescent="0.25">
      <c r="A1282">
        <v>-0.21850801222440999</v>
      </c>
      <c r="B1282">
        <v>49.841692267373297</v>
      </c>
      <c r="C1282">
        <v>2001</v>
      </c>
    </row>
    <row r="1283" spans="1:11" x14ac:dyDescent="0.25">
      <c r="A1283">
        <v>0.15830773262674699</v>
      </c>
      <c r="B1283">
        <v>50.218508012224397</v>
      </c>
      <c r="C1283">
        <v>2001</v>
      </c>
    </row>
    <row r="1284" spans="1:11" x14ac:dyDescent="0.25">
      <c r="A1284">
        <v>12.437147707420801</v>
      </c>
      <c r="B1284">
        <v>62.497347987018401</v>
      </c>
      <c r="C1284">
        <v>2001</v>
      </c>
    </row>
    <row r="1285" spans="1:11" x14ac:dyDescent="0.25">
      <c r="A1285">
        <v>46.461866755723698</v>
      </c>
      <c r="B1285">
        <v>96.522067035321299</v>
      </c>
      <c r="C1285">
        <v>2001</v>
      </c>
    </row>
    <row r="1286" spans="1:11" x14ac:dyDescent="0.25">
      <c r="A1286">
        <v>46.898882780172499</v>
      </c>
      <c r="B1286">
        <v>96.085051010872505</v>
      </c>
      <c r="C1286">
        <v>2000</v>
      </c>
    </row>
    <row r="1287" spans="1:11" x14ac:dyDescent="0.25">
      <c r="A1287" t="s">
        <v>88</v>
      </c>
    </row>
    <row r="1288" spans="1:11" x14ac:dyDescent="0.25">
      <c r="A1288">
        <v>258</v>
      </c>
      <c r="B1288">
        <v>0</v>
      </c>
      <c r="C1288">
        <v>0</v>
      </c>
      <c r="D1288">
        <v>65.813891829998497</v>
      </c>
      <c r="E1288">
        <v>6</v>
      </c>
      <c r="F1288">
        <v>1.5707963267949001</v>
      </c>
      <c r="G1288" t="s">
        <v>86</v>
      </c>
      <c r="H1288" t="s">
        <v>85</v>
      </c>
      <c r="I1288">
        <v>677</v>
      </c>
      <c r="J1288">
        <v>0</v>
      </c>
      <c r="K1288">
        <v>0</v>
      </c>
    </row>
    <row r="1289" spans="1:11" x14ac:dyDescent="0.25">
      <c r="A1289" t="s">
        <v>87</v>
      </c>
    </row>
    <row r="1290" spans="1:11" x14ac:dyDescent="0.25">
      <c r="A1290">
        <v>64.936066216293796</v>
      </c>
      <c r="B1290">
        <v>103.46255079073001</v>
      </c>
      <c r="C1290">
        <v>2000</v>
      </c>
    </row>
    <row r="1291" spans="1:11" x14ac:dyDescent="0.25">
      <c r="A1291">
        <v>64.936066216293796</v>
      </c>
      <c r="B1291">
        <v>103.46255079073001</v>
      </c>
      <c r="C1291">
        <v>2001</v>
      </c>
    </row>
    <row r="1292" spans="1:11" x14ac:dyDescent="0.25">
      <c r="A1292">
        <v>100</v>
      </c>
      <c r="B1292">
        <v>138.52648457443601</v>
      </c>
      <c r="C1292">
        <v>2001</v>
      </c>
    </row>
    <row r="1293" spans="1:11" x14ac:dyDescent="0.25">
      <c r="A1293">
        <v>111.473515425564</v>
      </c>
      <c r="B1293">
        <v>150</v>
      </c>
      <c r="C1293">
        <v>2001</v>
      </c>
    </row>
    <row r="1294" spans="1:11" x14ac:dyDescent="0.25">
      <c r="A1294">
        <v>111.473515425564</v>
      </c>
      <c r="B1294">
        <v>150</v>
      </c>
      <c r="C1294">
        <v>2000</v>
      </c>
    </row>
    <row r="1295" spans="1:11" x14ac:dyDescent="0.25">
      <c r="A1295">
        <v>100</v>
      </c>
      <c r="B1295">
        <v>138.52648457443601</v>
      </c>
      <c r="C1295">
        <v>2000</v>
      </c>
    </row>
    <row r="1296" spans="1:11" x14ac:dyDescent="0.25">
      <c r="A1296" t="s">
        <v>88</v>
      </c>
    </row>
    <row r="1297" spans="1:11" x14ac:dyDescent="0.25">
      <c r="A1297">
        <v>485</v>
      </c>
      <c r="B1297">
        <v>0</v>
      </c>
      <c r="C1297">
        <v>17.2004387798873</v>
      </c>
      <c r="D1297">
        <v>48.229370416423002</v>
      </c>
      <c r="E1297">
        <v>10</v>
      </c>
      <c r="F1297">
        <v>1.5707963267949001</v>
      </c>
      <c r="G1297" t="s">
        <v>86</v>
      </c>
      <c r="H1297" t="s">
        <v>86</v>
      </c>
      <c r="I1297">
        <v>29</v>
      </c>
      <c r="J1297">
        <v>402</v>
      </c>
      <c r="K1297">
        <v>0</v>
      </c>
    </row>
    <row r="1298" spans="1:11" x14ac:dyDescent="0.25">
      <c r="A1298" t="s">
        <v>87</v>
      </c>
    </row>
    <row r="1299" spans="1:11" x14ac:dyDescent="0.25">
      <c r="A1299">
        <v>79.131301249904197</v>
      </c>
      <c r="B1299">
        <v>61.591978120427598</v>
      </c>
      <c r="C1299">
        <v>2000</v>
      </c>
    </row>
    <row r="1300" spans="1:11" x14ac:dyDescent="0.25">
      <c r="A1300">
        <v>67.539323129476699</v>
      </c>
      <c r="B1300">
        <v>50</v>
      </c>
      <c r="C1300">
        <v>2000</v>
      </c>
    </row>
    <row r="1301" spans="1:11" x14ac:dyDescent="0.25">
      <c r="A1301">
        <v>66.9687543492619</v>
      </c>
      <c r="B1301">
        <v>49.429431219785201</v>
      </c>
      <c r="C1301">
        <v>2000</v>
      </c>
    </row>
    <row r="1302" spans="1:11" x14ac:dyDescent="0.25">
      <c r="A1302">
        <v>66.9687543492619</v>
      </c>
      <c r="B1302">
        <v>49.429431219785201</v>
      </c>
      <c r="C1302">
        <v>2001</v>
      </c>
    </row>
    <row r="1303" spans="1:11" x14ac:dyDescent="0.25">
      <c r="A1303">
        <v>67.539323129476699</v>
      </c>
      <c r="B1303">
        <v>50</v>
      </c>
      <c r="C1303">
        <v>2001</v>
      </c>
    </row>
    <row r="1304" spans="1:11" x14ac:dyDescent="0.25">
      <c r="A1304">
        <v>79.131301249904197</v>
      </c>
      <c r="B1304">
        <v>61.591978120427598</v>
      </c>
      <c r="C1304">
        <v>2001</v>
      </c>
    </row>
    <row r="1305" spans="1:11" x14ac:dyDescent="0.25">
      <c r="A1305">
        <v>100</v>
      </c>
      <c r="B1305">
        <v>82.460676870523301</v>
      </c>
      <c r="C1305">
        <v>2001</v>
      </c>
    </row>
    <row r="1306" spans="1:11" x14ac:dyDescent="0.25">
      <c r="A1306">
        <v>113.234616123715</v>
      </c>
      <c r="B1306">
        <v>95.695292994238102</v>
      </c>
      <c r="C1306">
        <v>2001</v>
      </c>
    </row>
    <row r="1307" spans="1:11" x14ac:dyDescent="0.25">
      <c r="A1307">
        <v>113.234616123715</v>
      </c>
      <c r="B1307">
        <v>95.695292994238102</v>
      </c>
      <c r="C1307">
        <v>2000</v>
      </c>
    </row>
    <row r="1308" spans="1:11" x14ac:dyDescent="0.25">
      <c r="A1308">
        <v>100</v>
      </c>
      <c r="B1308">
        <v>82.460676870523301</v>
      </c>
      <c r="C1308">
        <v>2000</v>
      </c>
    </row>
    <row r="1309" spans="1:11" x14ac:dyDescent="0.25">
      <c r="A1309" t="s">
        <v>88</v>
      </c>
    </row>
    <row r="1310" spans="1:11" x14ac:dyDescent="0.25">
      <c r="A1310">
        <v>250</v>
      </c>
      <c r="B1310">
        <v>0</v>
      </c>
      <c r="C1310">
        <v>15.8134341163331</v>
      </c>
      <c r="D1310">
        <v>49.1836657487328</v>
      </c>
      <c r="E1310">
        <v>8</v>
      </c>
      <c r="F1310">
        <v>1.5707963267949001</v>
      </c>
      <c r="G1310" t="s">
        <v>86</v>
      </c>
      <c r="H1310" t="s">
        <v>85</v>
      </c>
      <c r="I1310">
        <v>497</v>
      </c>
      <c r="J1310">
        <v>0</v>
      </c>
      <c r="K1310">
        <v>0</v>
      </c>
    </row>
    <row r="1311" spans="1:11" x14ac:dyDescent="0.25">
      <c r="A1311" t="s">
        <v>87</v>
      </c>
    </row>
    <row r="1312" spans="1:11" x14ac:dyDescent="0.25">
      <c r="A1312">
        <v>72.788891416410394</v>
      </c>
      <c r="B1312">
        <v>115.22189642545899</v>
      </c>
      <c r="C1312">
        <v>2000</v>
      </c>
    </row>
    <row r="1313" spans="1:11" x14ac:dyDescent="0.25">
      <c r="A1313">
        <v>61.607104918904597</v>
      </c>
      <c r="B1313">
        <v>104.040109927953</v>
      </c>
      <c r="C1313">
        <v>2000</v>
      </c>
    </row>
    <row r="1314" spans="1:11" x14ac:dyDescent="0.25">
      <c r="A1314">
        <v>61.607104918904597</v>
      </c>
      <c r="B1314">
        <v>104.040109927953</v>
      </c>
      <c r="C1314">
        <v>2001</v>
      </c>
    </row>
    <row r="1315" spans="1:11" x14ac:dyDescent="0.25">
      <c r="A1315">
        <v>72.788891416410394</v>
      </c>
      <c r="B1315">
        <v>115.22189642545899</v>
      </c>
      <c r="C1315">
        <v>2001</v>
      </c>
    </row>
    <row r="1316" spans="1:11" x14ac:dyDescent="0.25">
      <c r="A1316">
        <v>100</v>
      </c>
      <c r="B1316">
        <v>142.433005009048</v>
      </c>
      <c r="C1316">
        <v>2001</v>
      </c>
    </row>
    <row r="1317" spans="1:11" x14ac:dyDescent="0.25">
      <c r="A1317">
        <v>107.566994990952</v>
      </c>
      <c r="B1317">
        <v>150</v>
      </c>
      <c r="C1317">
        <v>2001</v>
      </c>
    </row>
    <row r="1318" spans="1:11" x14ac:dyDescent="0.25">
      <c r="A1318">
        <v>107.566994990952</v>
      </c>
      <c r="B1318">
        <v>150</v>
      </c>
      <c r="C1318">
        <v>2000</v>
      </c>
    </row>
    <row r="1319" spans="1:11" x14ac:dyDescent="0.25">
      <c r="A1319">
        <v>100</v>
      </c>
      <c r="B1319">
        <v>142.433005009048</v>
      </c>
      <c r="C1319">
        <v>2000</v>
      </c>
    </row>
    <row r="1320" spans="1:11" x14ac:dyDescent="0.25">
      <c r="A1320" t="s">
        <v>88</v>
      </c>
    </row>
    <row r="1321" spans="1:11" x14ac:dyDescent="0.25">
      <c r="A1321">
        <v>350</v>
      </c>
      <c r="B1321">
        <v>0</v>
      </c>
      <c r="C1321">
        <v>27.595543839945702</v>
      </c>
      <c r="D1321">
        <v>35.8280849810616</v>
      </c>
      <c r="E1321">
        <v>8</v>
      </c>
      <c r="F1321">
        <v>1.01722196789785</v>
      </c>
      <c r="G1321" t="s">
        <v>85</v>
      </c>
      <c r="H1321" t="s">
        <v>86</v>
      </c>
      <c r="I1321">
        <v>0</v>
      </c>
      <c r="J1321">
        <v>322</v>
      </c>
      <c r="K1321">
        <v>0</v>
      </c>
    </row>
    <row r="1322" spans="1:11" x14ac:dyDescent="0.25">
      <c r="A1322" t="s">
        <v>87</v>
      </c>
    </row>
    <row r="1323" spans="1:11" x14ac:dyDescent="0.25">
      <c r="A1323">
        <v>112.222817981031</v>
      </c>
      <c r="B1323">
        <v>19.385226903449301</v>
      </c>
      <c r="C1323">
        <v>2000</v>
      </c>
    </row>
    <row r="1324" spans="1:11" x14ac:dyDescent="0.25">
      <c r="A1324">
        <v>100.35191708711</v>
      </c>
      <c r="B1324">
        <v>7.5143260095281201</v>
      </c>
      <c r="C1324">
        <v>2000</v>
      </c>
    </row>
    <row r="1325" spans="1:11" x14ac:dyDescent="0.25">
      <c r="A1325">
        <v>92.837591077582104</v>
      </c>
      <c r="B1325">
        <v>0</v>
      </c>
      <c r="C1325">
        <v>2000</v>
      </c>
    </row>
    <row r="1326" spans="1:11" x14ac:dyDescent="0.25">
      <c r="A1326">
        <v>91.9635590286845</v>
      </c>
      <c r="B1326">
        <v>0</v>
      </c>
      <c r="C1326">
        <v>2001</v>
      </c>
    </row>
    <row r="1327" spans="1:11" x14ac:dyDescent="0.25">
      <c r="A1327">
        <v>99.648082912889706</v>
      </c>
      <c r="B1327">
        <v>7.6845238842052197</v>
      </c>
      <c r="C1327">
        <v>2001</v>
      </c>
    </row>
    <row r="1328" spans="1:11" x14ac:dyDescent="0.25">
      <c r="A1328">
        <v>111.60432448474801</v>
      </c>
      <c r="B1328">
        <v>19.6407654560632</v>
      </c>
      <c r="C1328">
        <v>2001</v>
      </c>
    </row>
    <row r="1329" spans="1:11" x14ac:dyDescent="0.25">
      <c r="A1329">
        <v>137.029345067702</v>
      </c>
      <c r="B1329">
        <v>45.065786039017198</v>
      </c>
      <c r="C1329">
        <v>2001</v>
      </c>
    </row>
    <row r="1330" spans="1:11" x14ac:dyDescent="0.25">
      <c r="A1330">
        <v>137.466361092151</v>
      </c>
      <c r="B1330">
        <v>44.628770014568403</v>
      </c>
      <c r="C1330">
        <v>2000</v>
      </c>
    </row>
    <row r="1331" spans="1:11" x14ac:dyDescent="0.25">
      <c r="A1331" t="s">
        <v>88</v>
      </c>
    </row>
    <row r="1332" spans="1:11" x14ac:dyDescent="0.25">
      <c r="A1332">
        <v>738</v>
      </c>
      <c r="B1332">
        <v>0</v>
      </c>
      <c r="C1332">
        <v>37.607070480918701</v>
      </c>
      <c r="D1332">
        <v>24.223759605847199</v>
      </c>
      <c r="E1332">
        <v>8</v>
      </c>
      <c r="F1332">
        <v>1.01722196789785</v>
      </c>
      <c r="G1332" t="s">
        <v>85</v>
      </c>
      <c r="H1332" t="s">
        <v>86</v>
      </c>
      <c r="I1332">
        <v>0</v>
      </c>
      <c r="J1332">
        <v>84</v>
      </c>
      <c r="K1332">
        <v>0.13301713194732501</v>
      </c>
    </row>
    <row r="1333" spans="1:11" x14ac:dyDescent="0.25">
      <c r="A1333" t="s">
        <v>87</v>
      </c>
    </row>
    <row r="1334" spans="1:11" x14ac:dyDescent="0.25">
      <c r="A1334">
        <v>47.888672800288901</v>
      </c>
      <c r="B1334">
        <v>26.796306091328798</v>
      </c>
      <c r="C1334">
        <v>2000</v>
      </c>
    </row>
    <row r="1335" spans="1:11" x14ac:dyDescent="0.25">
      <c r="A1335">
        <v>21.092366708960199</v>
      </c>
      <c r="B1335">
        <v>0</v>
      </c>
      <c r="C1335">
        <v>2000</v>
      </c>
    </row>
    <row r="1336" spans="1:11" x14ac:dyDescent="0.25">
      <c r="A1336">
        <v>21.966398757857799</v>
      </c>
      <c r="B1336">
        <v>0</v>
      </c>
      <c r="C1336">
        <v>2001</v>
      </c>
    </row>
    <row r="1337" spans="1:11" x14ac:dyDescent="0.25">
      <c r="A1337">
        <v>48.354521781765101</v>
      </c>
      <c r="B1337">
        <v>26.388123023907301</v>
      </c>
      <c r="C1337">
        <v>2001</v>
      </c>
    </row>
    <row r="1338" spans="1:11" x14ac:dyDescent="0.25">
      <c r="A1338">
        <v>50.218508012224397</v>
      </c>
      <c r="B1338">
        <v>28.252109254366601</v>
      </c>
      <c r="C1338">
        <v>2001</v>
      </c>
    </row>
    <row r="1339" spans="1:11" x14ac:dyDescent="0.25">
      <c r="A1339">
        <v>65.468889986378699</v>
      </c>
      <c r="B1339">
        <v>43.502491228520903</v>
      </c>
      <c r="C1339">
        <v>2001</v>
      </c>
    </row>
    <row r="1340" spans="1:11" x14ac:dyDescent="0.25">
      <c r="A1340">
        <v>65.031873961929904</v>
      </c>
      <c r="B1340">
        <v>43.939507252969698</v>
      </c>
      <c r="C1340">
        <v>2000</v>
      </c>
    </row>
    <row r="1341" spans="1:11" x14ac:dyDescent="0.25">
      <c r="A1341">
        <v>49.781491987775603</v>
      </c>
      <c r="B1341">
        <v>28.6891252788154</v>
      </c>
      <c r="C1341">
        <v>2000</v>
      </c>
    </row>
    <row r="1342" spans="1:11" x14ac:dyDescent="0.25">
      <c r="A1342" t="s">
        <v>88</v>
      </c>
    </row>
    <row r="1343" spans="1:11" x14ac:dyDescent="0.25">
      <c r="A1343">
        <v>353</v>
      </c>
      <c r="B1343">
        <v>0</v>
      </c>
      <c r="C1343">
        <v>9.9053926445667599</v>
      </c>
      <c r="D1343">
        <v>51.822639566417401</v>
      </c>
      <c r="E1343">
        <v>6</v>
      </c>
      <c r="F1343">
        <v>1.01722196789785</v>
      </c>
      <c r="G1343" t="s">
        <v>85</v>
      </c>
      <c r="H1343" t="s">
        <v>85</v>
      </c>
      <c r="I1343">
        <v>0</v>
      </c>
      <c r="J1343">
        <v>0</v>
      </c>
      <c r="K1343">
        <v>0</v>
      </c>
    </row>
    <row r="1344" spans="1:11" x14ac:dyDescent="0.25">
      <c r="A1344" t="s">
        <v>87</v>
      </c>
    </row>
    <row r="1345" spans="1:11" x14ac:dyDescent="0.25">
      <c r="A1345">
        <v>112.988971339461</v>
      </c>
      <c r="B1345">
        <v>7.0742975295980299</v>
      </c>
      <c r="C1345">
        <v>2000</v>
      </c>
    </row>
    <row r="1346" spans="1:11" x14ac:dyDescent="0.25">
      <c r="A1346">
        <v>105.914673809863</v>
      </c>
      <c r="B1346">
        <v>0</v>
      </c>
      <c r="C1346">
        <v>2000</v>
      </c>
    </row>
    <row r="1347" spans="1:11" x14ac:dyDescent="0.25">
      <c r="A1347">
        <v>106.78870585876</v>
      </c>
      <c r="B1347">
        <v>0</v>
      </c>
      <c r="C1347">
        <v>2001</v>
      </c>
    </row>
    <row r="1348" spans="1:11" x14ac:dyDescent="0.25">
      <c r="A1348">
        <v>113.72274894773901</v>
      </c>
      <c r="B1348">
        <v>6.9340430889789797</v>
      </c>
      <c r="C1348">
        <v>2001</v>
      </c>
    </row>
    <row r="1349" spans="1:11" x14ac:dyDescent="0.25">
      <c r="A1349">
        <v>150</v>
      </c>
      <c r="B1349">
        <v>43.211294141239698</v>
      </c>
      <c r="C1349">
        <v>2001</v>
      </c>
    </row>
    <row r="1350" spans="1:11" x14ac:dyDescent="0.25">
      <c r="A1350">
        <v>150</v>
      </c>
      <c r="B1350">
        <v>44.085326190137302</v>
      </c>
      <c r="C1350">
        <v>2000</v>
      </c>
    </row>
    <row r="1351" spans="1:11" x14ac:dyDescent="0.25">
      <c r="A1351" t="s">
        <v>88</v>
      </c>
    </row>
    <row r="1352" spans="1:11" x14ac:dyDescent="0.25">
      <c r="A1352">
        <v>593</v>
      </c>
      <c r="B1352">
        <v>0</v>
      </c>
      <c r="C1352">
        <v>58.3422077750417</v>
      </c>
      <c r="D1352">
        <v>3.3485697170006299</v>
      </c>
      <c r="E1352">
        <v>6</v>
      </c>
      <c r="F1352">
        <v>1.01722196789785</v>
      </c>
      <c r="G1352" t="s">
        <v>85</v>
      </c>
      <c r="H1352" t="s">
        <v>85</v>
      </c>
      <c r="I1352">
        <v>0</v>
      </c>
      <c r="J1352">
        <v>0</v>
      </c>
      <c r="K1352">
        <v>0</v>
      </c>
    </row>
    <row r="1353" spans="1:11" x14ac:dyDescent="0.25">
      <c r="A1353" t="s">
        <v>87</v>
      </c>
    </row>
    <row r="1354" spans="1:11" x14ac:dyDescent="0.25">
      <c r="A1354">
        <v>40.8408759122105</v>
      </c>
      <c r="B1354">
        <v>147.65592483536599</v>
      </c>
      <c r="C1354">
        <v>2000</v>
      </c>
    </row>
    <row r="1355" spans="1:11" x14ac:dyDescent="0.25">
      <c r="A1355">
        <v>0</v>
      </c>
      <c r="B1355">
        <v>106.815048923155</v>
      </c>
      <c r="C1355">
        <v>2000</v>
      </c>
    </row>
    <row r="1356" spans="1:11" x14ac:dyDescent="0.25">
      <c r="A1356">
        <v>0</v>
      </c>
      <c r="B1356">
        <v>105.941016874258</v>
      </c>
      <c r="C1356">
        <v>2001</v>
      </c>
    </row>
    <row r="1357" spans="1:11" x14ac:dyDescent="0.25">
      <c r="A1357">
        <v>41.667465582042603</v>
      </c>
      <c r="B1357">
        <v>147.60848245630001</v>
      </c>
      <c r="C1357">
        <v>2001</v>
      </c>
    </row>
    <row r="1358" spans="1:11" x14ac:dyDescent="0.25">
      <c r="A1358">
        <v>44.058983125742401</v>
      </c>
      <c r="B1358">
        <v>150</v>
      </c>
      <c r="C1358">
        <v>2001</v>
      </c>
    </row>
    <row r="1359" spans="1:11" x14ac:dyDescent="0.25">
      <c r="A1359">
        <v>43.184951076844698</v>
      </c>
      <c r="B1359">
        <v>150</v>
      </c>
      <c r="C1359">
        <v>2000</v>
      </c>
    </row>
    <row r="1360" spans="1:11" x14ac:dyDescent="0.25">
      <c r="A1360" t="s">
        <v>88</v>
      </c>
    </row>
    <row r="1361" spans="1:11" x14ac:dyDescent="0.25">
      <c r="A1361">
        <v>662</v>
      </c>
      <c r="B1361">
        <v>0</v>
      </c>
      <c r="C1361">
        <v>52.912874257379102</v>
      </c>
      <c r="D1361">
        <v>7.3384875671090599</v>
      </c>
      <c r="E1361">
        <v>6</v>
      </c>
      <c r="F1361">
        <v>1.01722196789785</v>
      </c>
      <c r="G1361" t="s">
        <v>85</v>
      </c>
      <c r="H1361" t="s">
        <v>86</v>
      </c>
      <c r="I1361">
        <v>0</v>
      </c>
      <c r="J1361">
        <v>642</v>
      </c>
      <c r="K1361">
        <v>0</v>
      </c>
    </row>
    <row r="1362" spans="1:11" x14ac:dyDescent="0.25">
      <c r="A1362" t="s">
        <v>87</v>
      </c>
    </row>
    <row r="1363" spans="1:11" x14ac:dyDescent="0.25">
      <c r="A1363">
        <v>37.606946401104302</v>
      </c>
      <c r="B1363">
        <v>93.190246861049204</v>
      </c>
      <c r="C1363">
        <v>2000</v>
      </c>
    </row>
    <row r="1364" spans="1:11" x14ac:dyDescent="0.25">
      <c r="A1364">
        <v>0</v>
      </c>
      <c r="B1364">
        <v>55.583300459944901</v>
      </c>
      <c r="C1364">
        <v>2000</v>
      </c>
    </row>
    <row r="1365" spans="1:11" x14ac:dyDescent="0.25">
      <c r="A1365">
        <v>0</v>
      </c>
      <c r="B1365">
        <v>56.457332508842498</v>
      </c>
      <c r="C1365">
        <v>2001</v>
      </c>
    </row>
    <row r="1366" spans="1:11" x14ac:dyDescent="0.25">
      <c r="A1366">
        <v>37.2231579978234</v>
      </c>
      <c r="B1366">
        <v>93.680490506665905</v>
      </c>
      <c r="C1366">
        <v>2001</v>
      </c>
    </row>
    <row r="1367" spans="1:11" x14ac:dyDescent="0.25">
      <c r="A1367">
        <v>42.385638509595402</v>
      </c>
      <c r="B1367">
        <v>98.842971018437893</v>
      </c>
      <c r="C1367">
        <v>2001</v>
      </c>
    </row>
    <row r="1368" spans="1:11" x14ac:dyDescent="0.25">
      <c r="A1368">
        <v>42.822654534044297</v>
      </c>
      <c r="B1368">
        <v>98.405954993989099</v>
      </c>
      <c r="C1368">
        <v>2000</v>
      </c>
    </row>
    <row r="1369" spans="1:11" x14ac:dyDescent="0.25">
      <c r="A1369" t="s">
        <v>88</v>
      </c>
    </row>
    <row r="1370" spans="1:11" x14ac:dyDescent="0.25">
      <c r="A1370">
        <v>590</v>
      </c>
      <c r="B1370">
        <v>0</v>
      </c>
      <c r="C1370">
        <v>32.7583522449575</v>
      </c>
      <c r="D1370">
        <v>27.4020856563602</v>
      </c>
      <c r="E1370">
        <v>6</v>
      </c>
      <c r="F1370">
        <v>1.01722196789785</v>
      </c>
      <c r="G1370" t="s">
        <v>86</v>
      </c>
      <c r="H1370" t="s">
        <v>85</v>
      </c>
      <c r="I1370">
        <v>578</v>
      </c>
      <c r="J1370">
        <v>0</v>
      </c>
      <c r="K1370">
        <v>0</v>
      </c>
    </row>
    <row r="1371" spans="1:11" x14ac:dyDescent="0.25">
      <c r="A1371" t="s">
        <v>87</v>
      </c>
    </row>
    <row r="1372" spans="1:11" x14ac:dyDescent="0.25">
      <c r="A1372">
        <v>27.860654199393998</v>
      </c>
      <c r="B1372">
        <v>130.723326203704</v>
      </c>
      <c r="C1372">
        <v>2000</v>
      </c>
    </row>
    <row r="1373" spans="1:11" x14ac:dyDescent="0.25">
      <c r="A1373">
        <v>4.8159824087403598</v>
      </c>
      <c r="B1373">
        <v>107.67865441305101</v>
      </c>
      <c r="C1373">
        <v>2000</v>
      </c>
    </row>
    <row r="1374" spans="1:11" x14ac:dyDescent="0.25">
      <c r="A1374">
        <v>5.2529984331891804</v>
      </c>
      <c r="B1374">
        <v>107.241638388602</v>
      </c>
      <c r="C1374">
        <v>2001</v>
      </c>
    </row>
    <row r="1375" spans="1:11" x14ac:dyDescent="0.25">
      <c r="A1375">
        <v>28.5356326683495</v>
      </c>
      <c r="B1375">
        <v>130.52427262376199</v>
      </c>
      <c r="C1375">
        <v>2001</v>
      </c>
    </row>
    <row r="1376" spans="1:11" x14ac:dyDescent="0.25">
      <c r="A1376">
        <v>48.011360044587498</v>
      </c>
      <c r="B1376">
        <v>150</v>
      </c>
      <c r="C1376">
        <v>2001</v>
      </c>
    </row>
    <row r="1377" spans="1:11" x14ac:dyDescent="0.25">
      <c r="A1377">
        <v>47.137327995689802</v>
      </c>
      <c r="B1377">
        <v>150</v>
      </c>
      <c r="C1377">
        <v>2000</v>
      </c>
    </row>
    <row r="1378" spans="1:11" x14ac:dyDescent="0.25">
      <c r="A1378" t="s">
        <v>88</v>
      </c>
    </row>
    <row r="1379" spans="1:11" x14ac:dyDescent="0.25">
      <c r="A1379">
        <v>648</v>
      </c>
      <c r="B1379">
        <v>0</v>
      </c>
      <c r="C1379">
        <v>36.981160837209302</v>
      </c>
      <c r="D1379">
        <v>22.986078204594101</v>
      </c>
      <c r="E1379">
        <v>8</v>
      </c>
      <c r="F1379">
        <v>1.5707963267949001</v>
      </c>
      <c r="G1379" t="s">
        <v>85</v>
      </c>
      <c r="H1379" t="s">
        <v>86</v>
      </c>
      <c r="I1379">
        <v>0</v>
      </c>
      <c r="J1379">
        <v>247</v>
      </c>
      <c r="K1379">
        <v>0</v>
      </c>
    </row>
    <row r="1380" spans="1:11" x14ac:dyDescent="0.25">
      <c r="A1380" t="s">
        <v>87</v>
      </c>
    </row>
    <row r="1381" spans="1:11" x14ac:dyDescent="0.25">
      <c r="A1381">
        <v>26.149629604141001</v>
      </c>
      <c r="B1381">
        <v>93.256675309155497</v>
      </c>
      <c r="C1381">
        <v>2000</v>
      </c>
    </row>
    <row r="1382" spans="1:11" x14ac:dyDescent="0.25">
      <c r="A1382">
        <v>0</v>
      </c>
      <c r="B1382">
        <v>67.1070457050144</v>
      </c>
      <c r="C1382">
        <v>2000</v>
      </c>
    </row>
    <row r="1383" spans="1:11" x14ac:dyDescent="0.25">
      <c r="A1383">
        <v>0</v>
      </c>
      <c r="B1383">
        <v>67.1070457050144</v>
      </c>
      <c r="C1383">
        <v>2001</v>
      </c>
    </row>
    <row r="1384" spans="1:11" x14ac:dyDescent="0.25">
      <c r="A1384">
        <v>26.149629604141001</v>
      </c>
      <c r="B1384">
        <v>93.256675309155497</v>
      </c>
      <c r="C1384">
        <v>2001</v>
      </c>
    </row>
    <row r="1385" spans="1:11" x14ac:dyDescent="0.25">
      <c r="A1385">
        <v>32.8929542949856</v>
      </c>
      <c r="B1385">
        <v>100</v>
      </c>
      <c r="C1385">
        <v>2001</v>
      </c>
    </row>
    <row r="1386" spans="1:11" x14ac:dyDescent="0.25">
      <c r="A1386">
        <v>42.403241375493799</v>
      </c>
      <c r="B1386">
        <v>109.51028708050799</v>
      </c>
      <c r="C1386">
        <v>2001</v>
      </c>
    </row>
    <row r="1387" spans="1:11" x14ac:dyDescent="0.25">
      <c r="A1387">
        <v>42.403241375493799</v>
      </c>
      <c r="B1387">
        <v>109.51028708050799</v>
      </c>
      <c r="C1387">
        <v>2000</v>
      </c>
    </row>
    <row r="1388" spans="1:11" x14ac:dyDescent="0.25">
      <c r="A1388">
        <v>32.8929542949856</v>
      </c>
      <c r="B1388">
        <v>100</v>
      </c>
      <c r="C1388">
        <v>2000</v>
      </c>
    </row>
    <row r="1389" spans="1:11" x14ac:dyDescent="0.25">
      <c r="A1389" t="s">
        <v>88</v>
      </c>
    </row>
    <row r="1390" spans="1:11" x14ac:dyDescent="0.25">
      <c r="A1390">
        <v>22</v>
      </c>
      <c r="B1390">
        <v>0</v>
      </c>
      <c r="C1390">
        <v>24.5449498066594</v>
      </c>
      <c r="D1390">
        <v>35.236051249357601</v>
      </c>
      <c r="E1390">
        <v>8</v>
      </c>
      <c r="F1390">
        <v>1.01722196789785</v>
      </c>
      <c r="G1390" t="s">
        <v>85</v>
      </c>
      <c r="H1390" t="s">
        <v>86</v>
      </c>
      <c r="I1390">
        <v>0</v>
      </c>
      <c r="J1390">
        <v>649</v>
      </c>
      <c r="K1390">
        <v>0</v>
      </c>
    </row>
    <row r="1391" spans="1:11" x14ac:dyDescent="0.25">
      <c r="A1391" t="s">
        <v>87</v>
      </c>
    </row>
    <row r="1392" spans="1:11" x14ac:dyDescent="0.25">
      <c r="A1392">
        <v>17.2359438218854</v>
      </c>
      <c r="B1392">
        <v>36.058172909612097</v>
      </c>
      <c r="C1392">
        <v>2000</v>
      </c>
    </row>
    <row r="1393" spans="1:11" x14ac:dyDescent="0.25">
      <c r="A1393">
        <v>0</v>
      </c>
      <c r="B1393">
        <v>18.822229087726701</v>
      </c>
      <c r="C1393">
        <v>2000</v>
      </c>
    </row>
    <row r="1394" spans="1:11" x14ac:dyDescent="0.25">
      <c r="A1394">
        <v>0</v>
      </c>
      <c r="B1394">
        <v>17.9481970388291</v>
      </c>
      <c r="C1394">
        <v>2001</v>
      </c>
    </row>
    <row r="1395" spans="1:11" x14ac:dyDescent="0.25">
      <c r="A1395">
        <v>17.475857082459299</v>
      </c>
      <c r="B1395">
        <v>35.4240541212883</v>
      </c>
      <c r="C1395">
        <v>2001</v>
      </c>
    </row>
    <row r="1396" spans="1:11" x14ac:dyDescent="0.25">
      <c r="A1396">
        <v>31.833294948946602</v>
      </c>
      <c r="B1396">
        <v>49.781491987775603</v>
      </c>
      <c r="C1396">
        <v>2001</v>
      </c>
    </row>
    <row r="1397" spans="1:11" x14ac:dyDescent="0.25">
      <c r="A1397">
        <v>42.490059245054198</v>
      </c>
      <c r="B1397">
        <v>60.438256283883199</v>
      </c>
      <c r="C1397">
        <v>2001</v>
      </c>
    </row>
    <row r="1398" spans="1:11" x14ac:dyDescent="0.25">
      <c r="A1398">
        <v>42.053043220605403</v>
      </c>
      <c r="B1398">
        <v>60.8752723083321</v>
      </c>
      <c r="C1398">
        <v>2000</v>
      </c>
    </row>
    <row r="1399" spans="1:11" x14ac:dyDescent="0.25">
      <c r="A1399">
        <v>31.3962789244977</v>
      </c>
      <c r="B1399">
        <v>50.218508012224397</v>
      </c>
      <c r="C1399">
        <v>2000</v>
      </c>
    </row>
    <row r="1400" spans="1:11" x14ac:dyDescent="0.25">
      <c r="A1400" t="s">
        <v>88</v>
      </c>
    </row>
    <row r="1401" spans="1:11" x14ac:dyDescent="0.25">
      <c r="A1401">
        <v>266</v>
      </c>
      <c r="B1401">
        <v>0</v>
      </c>
      <c r="C1401">
        <v>6.1796381413552597</v>
      </c>
      <c r="D1401">
        <v>52.9530655909195</v>
      </c>
      <c r="E1401">
        <v>8</v>
      </c>
      <c r="F1401">
        <v>1.01722196789785</v>
      </c>
      <c r="G1401" t="s">
        <v>86</v>
      </c>
      <c r="H1401" t="s">
        <v>85</v>
      </c>
      <c r="I1401">
        <v>269</v>
      </c>
      <c r="J1401">
        <v>0</v>
      </c>
      <c r="K1401">
        <v>0</v>
      </c>
    </row>
    <row r="1402" spans="1:11" x14ac:dyDescent="0.25">
      <c r="A1402" t="s">
        <v>87</v>
      </c>
    </row>
    <row r="1403" spans="1:11" x14ac:dyDescent="0.25">
      <c r="A1403">
        <v>71.692463800221603</v>
      </c>
      <c r="B1403">
        <v>112.752971496828</v>
      </c>
      <c r="C1403">
        <v>2000</v>
      </c>
    </row>
    <row r="1404" spans="1:11" x14ac:dyDescent="0.25">
      <c r="A1404">
        <v>67.344864516631105</v>
      </c>
      <c r="B1404">
        <v>108.405372213238</v>
      </c>
      <c r="C1404">
        <v>2000</v>
      </c>
    </row>
    <row r="1405" spans="1:11" x14ac:dyDescent="0.25">
      <c r="A1405">
        <v>67.7818805410799</v>
      </c>
      <c r="B1405">
        <v>107.968356188789</v>
      </c>
      <c r="C1405">
        <v>2001</v>
      </c>
    </row>
    <row r="1406" spans="1:11" x14ac:dyDescent="0.25">
      <c r="A1406">
        <v>72.173609327552001</v>
      </c>
      <c r="B1406">
        <v>112.360084975261</v>
      </c>
      <c r="C1406">
        <v>2001</v>
      </c>
    </row>
    <row r="1407" spans="1:11" x14ac:dyDescent="0.25">
      <c r="A1407">
        <v>100.382297749145</v>
      </c>
      <c r="B1407">
        <v>140.568773396854</v>
      </c>
      <c r="C1407">
        <v>2001</v>
      </c>
    </row>
    <row r="1408" spans="1:11" x14ac:dyDescent="0.25">
      <c r="A1408">
        <v>109.813524352291</v>
      </c>
      <c r="B1408">
        <v>150</v>
      </c>
      <c r="C1408">
        <v>2001</v>
      </c>
    </row>
    <row r="1409" spans="1:11" x14ac:dyDescent="0.25">
      <c r="A1409">
        <v>108.939492303393</v>
      </c>
      <c r="B1409">
        <v>150</v>
      </c>
      <c r="C1409">
        <v>2000</v>
      </c>
    </row>
    <row r="1410" spans="1:11" x14ac:dyDescent="0.25">
      <c r="A1410">
        <v>99.617702250855302</v>
      </c>
      <c r="B1410">
        <v>140.67820994746199</v>
      </c>
      <c r="C1410">
        <v>2000</v>
      </c>
    </row>
    <row r="1411" spans="1:11" x14ac:dyDescent="0.25">
      <c r="A1411" t="s">
        <v>88</v>
      </c>
    </row>
    <row r="1412" spans="1:11" x14ac:dyDescent="0.25">
      <c r="A1412">
        <v>676</v>
      </c>
      <c r="B1412">
        <v>0</v>
      </c>
      <c r="C1412">
        <v>30.419131983596198</v>
      </c>
      <c r="D1412">
        <v>28.2242047344381</v>
      </c>
      <c r="E1412">
        <v>8</v>
      </c>
      <c r="F1412">
        <v>1.01722196789785</v>
      </c>
      <c r="G1412" t="s">
        <v>85</v>
      </c>
      <c r="H1412" t="s">
        <v>86</v>
      </c>
      <c r="I1412">
        <v>0</v>
      </c>
      <c r="J1412">
        <v>658</v>
      </c>
      <c r="K1412">
        <v>0</v>
      </c>
    </row>
    <row r="1413" spans="1:11" x14ac:dyDescent="0.25">
      <c r="A1413" t="s">
        <v>87</v>
      </c>
    </row>
    <row r="1414" spans="1:11" x14ac:dyDescent="0.25">
      <c r="A1414">
        <v>21.6297329991237</v>
      </c>
      <c r="B1414">
        <v>68.485510888089905</v>
      </c>
      <c r="C1414">
        <v>2000</v>
      </c>
    </row>
    <row r="1415" spans="1:11" x14ac:dyDescent="0.25">
      <c r="A1415">
        <v>2.7347076171506499</v>
      </c>
      <c r="B1415">
        <v>49.590485506116899</v>
      </c>
      <c r="C1415">
        <v>2000</v>
      </c>
    </row>
    <row r="1416" spans="1:11" x14ac:dyDescent="0.25">
      <c r="A1416">
        <v>0</v>
      </c>
      <c r="B1416">
        <v>46.855777888966301</v>
      </c>
      <c r="C1416">
        <v>2000</v>
      </c>
    </row>
    <row r="1417" spans="1:11" x14ac:dyDescent="0.25">
      <c r="A1417">
        <v>0</v>
      </c>
      <c r="B1417">
        <v>47.729809937863898</v>
      </c>
      <c r="C1417">
        <v>2001</v>
      </c>
    </row>
    <row r="1418" spans="1:11" x14ac:dyDescent="0.25">
      <c r="A1418">
        <v>2.6797045560191801</v>
      </c>
      <c r="B1418">
        <v>50.409514493883101</v>
      </c>
      <c r="C1418">
        <v>2001</v>
      </c>
    </row>
    <row r="1419" spans="1:11" x14ac:dyDescent="0.25">
      <c r="A1419">
        <v>21.389416007695299</v>
      </c>
      <c r="B1419">
        <v>69.119225945559194</v>
      </c>
      <c r="C1419">
        <v>2001</v>
      </c>
    </row>
    <row r="1420" spans="1:11" x14ac:dyDescent="0.25">
      <c r="A1420">
        <v>41.248593052503701</v>
      </c>
      <c r="B1420">
        <v>88.978402990367599</v>
      </c>
      <c r="C1420">
        <v>2001</v>
      </c>
    </row>
    <row r="1421" spans="1:11" x14ac:dyDescent="0.25">
      <c r="A1421">
        <v>41.685609076952602</v>
      </c>
      <c r="B1421">
        <v>88.541386965918804</v>
      </c>
      <c r="C1421">
        <v>2000</v>
      </c>
    </row>
    <row r="1422" spans="1:11" x14ac:dyDescent="0.25">
      <c r="A1422" t="s">
        <v>88</v>
      </c>
    </row>
    <row r="1423" spans="1:11" x14ac:dyDescent="0.25">
      <c r="A1423">
        <v>427</v>
      </c>
      <c r="B1423">
        <v>0</v>
      </c>
      <c r="C1423">
        <v>43.3548114461124</v>
      </c>
      <c r="D1423">
        <v>14.882706908149601</v>
      </c>
      <c r="E1423">
        <v>6</v>
      </c>
      <c r="F1423">
        <v>1.01722196789785</v>
      </c>
      <c r="G1423" t="s">
        <v>86</v>
      </c>
      <c r="H1423" t="s">
        <v>85</v>
      </c>
      <c r="I1423">
        <v>110</v>
      </c>
      <c r="J1423">
        <v>0</v>
      </c>
      <c r="K1423">
        <v>0</v>
      </c>
    </row>
    <row r="1424" spans="1:11" x14ac:dyDescent="0.25">
      <c r="A1424" t="s">
        <v>87</v>
      </c>
    </row>
    <row r="1425" spans="1:11" x14ac:dyDescent="0.25">
      <c r="A1425">
        <v>139.53217715467699</v>
      </c>
      <c r="B1425">
        <v>86.573515828032299</v>
      </c>
      <c r="C1425">
        <v>2000</v>
      </c>
    </row>
    <row r="1426" spans="1:11" x14ac:dyDescent="0.25">
      <c r="A1426">
        <v>109.03836386445001</v>
      </c>
      <c r="B1426">
        <v>56.079702537805098</v>
      </c>
      <c r="C1426">
        <v>2000</v>
      </c>
    </row>
    <row r="1427" spans="1:11" x14ac:dyDescent="0.25">
      <c r="A1427">
        <v>108.601347840001</v>
      </c>
      <c r="B1427">
        <v>56.516718562253899</v>
      </c>
      <c r="C1427">
        <v>2001</v>
      </c>
    </row>
    <row r="1428" spans="1:11" x14ac:dyDescent="0.25">
      <c r="A1428">
        <v>139.420496890994</v>
      </c>
      <c r="B1428">
        <v>87.335867613247103</v>
      </c>
      <c r="C1428">
        <v>2001</v>
      </c>
    </row>
    <row r="1429" spans="1:11" x14ac:dyDescent="0.25">
      <c r="A1429">
        <v>150</v>
      </c>
      <c r="B1429">
        <v>97.915370722252902</v>
      </c>
      <c r="C1429">
        <v>2001</v>
      </c>
    </row>
    <row r="1430" spans="1:11" x14ac:dyDescent="0.25">
      <c r="A1430">
        <v>150</v>
      </c>
      <c r="B1430">
        <v>97.041338673355298</v>
      </c>
      <c r="C1430">
        <v>2000</v>
      </c>
    </row>
    <row r="1431" spans="1:11" x14ac:dyDescent="0.25">
      <c r="A1431" t="s">
        <v>88</v>
      </c>
    </row>
    <row r="1432" spans="1:11" x14ac:dyDescent="0.25">
      <c r="A1432">
        <v>656</v>
      </c>
      <c r="B1432">
        <v>0</v>
      </c>
      <c r="C1432">
        <v>25.039499643154802</v>
      </c>
      <c r="D1432">
        <v>32.9129040692182</v>
      </c>
      <c r="E1432">
        <v>8</v>
      </c>
      <c r="F1432">
        <v>1.5707963267949001</v>
      </c>
      <c r="G1432" t="s">
        <v>85</v>
      </c>
      <c r="H1432" t="s">
        <v>86</v>
      </c>
      <c r="I1432">
        <v>0</v>
      </c>
      <c r="J1432">
        <v>247</v>
      </c>
      <c r="K1432">
        <v>0</v>
      </c>
    </row>
    <row r="1433" spans="1:11" x14ac:dyDescent="0.25">
      <c r="A1433" t="s">
        <v>87</v>
      </c>
    </row>
    <row r="1434" spans="1:11" x14ac:dyDescent="0.25">
      <c r="A1434">
        <v>17.705599995192902</v>
      </c>
      <c r="B1434">
        <v>87.662053149036197</v>
      </c>
      <c r="C1434">
        <v>2000</v>
      </c>
    </row>
    <row r="1435" spans="1:11" x14ac:dyDescent="0.25">
      <c r="A1435">
        <v>0</v>
      </c>
      <c r="B1435">
        <v>69.956453153843299</v>
      </c>
      <c r="C1435">
        <v>2000</v>
      </c>
    </row>
    <row r="1436" spans="1:11" x14ac:dyDescent="0.25">
      <c r="A1436">
        <v>0</v>
      </c>
      <c r="B1436">
        <v>69.956453153843299</v>
      </c>
      <c r="C1436">
        <v>2001</v>
      </c>
    </row>
    <row r="1437" spans="1:11" x14ac:dyDescent="0.25">
      <c r="A1437">
        <v>17.705599995192902</v>
      </c>
      <c r="B1437">
        <v>87.662053149036197</v>
      </c>
      <c r="C1437">
        <v>2001</v>
      </c>
    </row>
    <row r="1438" spans="1:11" x14ac:dyDescent="0.25">
      <c r="A1438">
        <v>30.043546846156701</v>
      </c>
      <c r="B1438">
        <v>100</v>
      </c>
      <c r="C1438">
        <v>2001</v>
      </c>
    </row>
    <row r="1439" spans="1:11" x14ac:dyDescent="0.25">
      <c r="A1439">
        <v>40.978537651079399</v>
      </c>
      <c r="B1439">
        <v>110.934990804923</v>
      </c>
      <c r="C1439">
        <v>2001</v>
      </c>
    </row>
    <row r="1440" spans="1:11" x14ac:dyDescent="0.25">
      <c r="A1440">
        <v>40.978537651079399</v>
      </c>
      <c r="B1440">
        <v>110.934990804923</v>
      </c>
      <c r="C1440">
        <v>2000</v>
      </c>
    </row>
    <row r="1441" spans="1:11" x14ac:dyDescent="0.25">
      <c r="A1441">
        <v>30.043546846156701</v>
      </c>
      <c r="B1441">
        <v>100</v>
      </c>
      <c r="C1441">
        <v>2000</v>
      </c>
    </row>
    <row r="1442" spans="1:11" x14ac:dyDescent="0.25">
      <c r="A1442" t="s">
        <v>88</v>
      </c>
    </row>
    <row r="1443" spans="1:11" x14ac:dyDescent="0.25">
      <c r="A1443">
        <v>667</v>
      </c>
      <c r="B1443">
        <v>0</v>
      </c>
      <c r="C1443">
        <v>8.6184836032772392</v>
      </c>
      <c r="D1443">
        <v>49.2906412626917</v>
      </c>
      <c r="E1443">
        <v>8</v>
      </c>
      <c r="F1443">
        <v>1.01722196789785</v>
      </c>
      <c r="G1443" t="s">
        <v>85</v>
      </c>
      <c r="H1443" t="s">
        <v>86</v>
      </c>
      <c r="I1443">
        <v>0</v>
      </c>
      <c r="J1443">
        <v>278</v>
      </c>
      <c r="K1443">
        <v>0</v>
      </c>
    </row>
    <row r="1444" spans="1:11" x14ac:dyDescent="0.25">
      <c r="A1444" t="s">
        <v>87</v>
      </c>
    </row>
    <row r="1445" spans="1:11" x14ac:dyDescent="0.25">
      <c r="A1445">
        <v>6.0480543718708697</v>
      </c>
      <c r="B1445">
        <v>77.620590246916194</v>
      </c>
      <c r="C1445">
        <v>2000</v>
      </c>
    </row>
    <row r="1446" spans="1:11" x14ac:dyDescent="0.25">
      <c r="A1446">
        <v>0</v>
      </c>
      <c r="B1446">
        <v>71.572535875045403</v>
      </c>
      <c r="C1446">
        <v>2000</v>
      </c>
    </row>
    <row r="1447" spans="1:11" x14ac:dyDescent="0.25">
      <c r="A1447">
        <v>0</v>
      </c>
      <c r="B1447">
        <v>70.6985038261477</v>
      </c>
      <c r="C1447">
        <v>2001</v>
      </c>
    </row>
    <row r="1448" spans="1:11" x14ac:dyDescent="0.25">
      <c r="A1448">
        <v>6.1403220269739398</v>
      </c>
      <c r="B1448">
        <v>76.838825853121705</v>
      </c>
      <c r="C1448">
        <v>2001</v>
      </c>
    </row>
    <row r="1449" spans="1:11" x14ac:dyDescent="0.25">
      <c r="A1449">
        <v>29.082988161627899</v>
      </c>
      <c r="B1449">
        <v>99.781491987775595</v>
      </c>
      <c r="C1449">
        <v>2001</v>
      </c>
    </row>
    <row r="1450" spans="1:11" x14ac:dyDescent="0.25">
      <c r="A1450">
        <v>41.166442897529599</v>
      </c>
      <c r="B1450">
        <v>111.86494672367699</v>
      </c>
      <c r="C1450">
        <v>2001</v>
      </c>
    </row>
    <row r="1451" spans="1:11" x14ac:dyDescent="0.25">
      <c r="A1451">
        <v>40.729426873080797</v>
      </c>
      <c r="B1451">
        <v>112.301962748126</v>
      </c>
      <c r="C1451">
        <v>2000</v>
      </c>
    </row>
    <row r="1452" spans="1:11" x14ac:dyDescent="0.25">
      <c r="A1452">
        <v>28.645972137179001</v>
      </c>
      <c r="B1452">
        <v>100.21850801222401</v>
      </c>
      <c r="C1452">
        <v>2000</v>
      </c>
    </row>
    <row r="1453" spans="1:11" x14ac:dyDescent="0.25">
      <c r="A1453" t="s">
        <v>88</v>
      </c>
    </row>
    <row r="1454" spans="1:11" x14ac:dyDescent="0.25">
      <c r="A1454">
        <v>412</v>
      </c>
      <c r="B1454">
        <v>0</v>
      </c>
      <c r="C1454">
        <v>33.114827203525998</v>
      </c>
      <c r="D1454">
        <v>24.777320101078001</v>
      </c>
      <c r="E1454">
        <v>6</v>
      </c>
      <c r="F1454">
        <v>1.5707963267949001</v>
      </c>
      <c r="G1454" t="s">
        <v>86</v>
      </c>
      <c r="H1454" t="s">
        <v>85</v>
      </c>
      <c r="I1454">
        <v>110</v>
      </c>
      <c r="J1454">
        <v>0</v>
      </c>
      <c r="K1454">
        <v>0</v>
      </c>
    </row>
    <row r="1455" spans="1:11" x14ac:dyDescent="0.25">
      <c r="A1455" t="s">
        <v>87</v>
      </c>
    </row>
    <row r="1456" spans="1:11" x14ac:dyDescent="0.25">
      <c r="A1456">
        <v>132.47978893689799</v>
      </c>
      <c r="B1456">
        <v>79.469715212224898</v>
      </c>
      <c r="C1456">
        <v>2000</v>
      </c>
    </row>
    <row r="1457" spans="1:11" x14ac:dyDescent="0.25">
      <c r="A1457">
        <v>109.064070063464</v>
      </c>
      <c r="B1457">
        <v>56.053996338790803</v>
      </c>
      <c r="C1457">
        <v>2000</v>
      </c>
    </row>
    <row r="1458" spans="1:11" x14ac:dyDescent="0.25">
      <c r="A1458">
        <v>109.064070063464</v>
      </c>
      <c r="B1458">
        <v>56.053996338790803</v>
      </c>
      <c r="C1458">
        <v>2001</v>
      </c>
    </row>
    <row r="1459" spans="1:11" x14ac:dyDescent="0.25">
      <c r="A1459">
        <v>132.47978893689799</v>
      </c>
      <c r="B1459">
        <v>79.469715212224898</v>
      </c>
      <c r="C1459">
        <v>2001</v>
      </c>
    </row>
    <row r="1460" spans="1:11" x14ac:dyDescent="0.25">
      <c r="A1460">
        <v>150</v>
      </c>
      <c r="B1460">
        <v>96.989926275326795</v>
      </c>
      <c r="C1460">
        <v>2001</v>
      </c>
    </row>
    <row r="1461" spans="1:11" x14ac:dyDescent="0.25">
      <c r="A1461">
        <v>150</v>
      </c>
      <c r="B1461">
        <v>96.989926275326795</v>
      </c>
      <c r="C1461">
        <v>2000</v>
      </c>
    </row>
    <row r="1462" spans="1:11" x14ac:dyDescent="0.25">
      <c r="A1462" t="s">
        <v>88</v>
      </c>
    </row>
    <row r="1463" spans="1:11" x14ac:dyDescent="0.25">
      <c r="A1463">
        <v>113</v>
      </c>
      <c r="B1463">
        <v>0</v>
      </c>
      <c r="C1463">
        <v>30.290065952759001</v>
      </c>
      <c r="D1463">
        <v>27.499425150022599</v>
      </c>
      <c r="E1463">
        <v>8</v>
      </c>
      <c r="F1463">
        <v>1.01722196789785</v>
      </c>
      <c r="G1463" t="s">
        <v>85</v>
      </c>
      <c r="H1463" t="s">
        <v>86</v>
      </c>
      <c r="I1463">
        <v>0</v>
      </c>
      <c r="J1463">
        <v>422</v>
      </c>
      <c r="K1463">
        <v>0</v>
      </c>
    </row>
    <row r="1464" spans="1:11" x14ac:dyDescent="0.25">
      <c r="A1464" t="s">
        <v>87</v>
      </c>
    </row>
    <row r="1465" spans="1:11" x14ac:dyDescent="0.25">
      <c r="A1465">
        <v>66.324729072026301</v>
      </c>
      <c r="B1465">
        <v>21.545356680363401</v>
      </c>
      <c r="C1465">
        <v>2000</v>
      </c>
    </row>
    <row r="1466" spans="1:11" x14ac:dyDescent="0.25">
      <c r="A1466">
        <v>49.611786024256403</v>
      </c>
      <c r="B1466">
        <v>4.8324136325935596</v>
      </c>
      <c r="C1466">
        <v>2000</v>
      </c>
    </row>
    <row r="1467" spans="1:11" x14ac:dyDescent="0.25">
      <c r="A1467">
        <v>44.779372391662797</v>
      </c>
      <c r="B1467">
        <v>0</v>
      </c>
      <c r="C1467">
        <v>2000</v>
      </c>
    </row>
    <row r="1468" spans="1:11" x14ac:dyDescent="0.25">
      <c r="A1468">
        <v>45.6534044405605</v>
      </c>
      <c r="B1468">
        <v>0</v>
      </c>
      <c r="C1468">
        <v>2001</v>
      </c>
    </row>
    <row r="1469" spans="1:11" x14ac:dyDescent="0.25">
      <c r="A1469">
        <v>50.388213975743597</v>
      </c>
      <c r="B1469">
        <v>4.7348095351831496</v>
      </c>
      <c r="C1469">
        <v>2001</v>
      </c>
    </row>
    <row r="1470" spans="1:11" x14ac:dyDescent="0.25">
      <c r="A1470">
        <v>66.944669835764401</v>
      </c>
      <c r="B1470">
        <v>21.291265395203901</v>
      </c>
      <c r="C1470">
        <v>2001</v>
      </c>
    </row>
    <row r="1471" spans="1:11" x14ac:dyDescent="0.25">
      <c r="A1471">
        <v>86.298237468432603</v>
      </c>
      <c r="B1471">
        <v>40.644833027872103</v>
      </c>
      <c r="C1471">
        <v>2001</v>
      </c>
    </row>
    <row r="1472" spans="1:11" x14ac:dyDescent="0.25">
      <c r="A1472">
        <v>85.861221443983794</v>
      </c>
      <c r="B1472">
        <v>41.081849052320898</v>
      </c>
      <c r="C1472">
        <v>2000</v>
      </c>
    </row>
    <row r="1473" spans="1:11" x14ac:dyDescent="0.25">
      <c r="A1473" t="s">
        <v>88</v>
      </c>
    </row>
    <row r="1474" spans="1:11" x14ac:dyDescent="0.25">
      <c r="A1474">
        <v>354</v>
      </c>
      <c r="B1474">
        <v>0</v>
      </c>
      <c r="C1474">
        <v>7.2921890564349203</v>
      </c>
      <c r="D1474">
        <v>50.467354803721697</v>
      </c>
      <c r="E1474">
        <v>6</v>
      </c>
      <c r="F1474">
        <v>1.01722196789785</v>
      </c>
      <c r="G1474" t="s">
        <v>85</v>
      </c>
      <c r="H1474" t="s">
        <v>85</v>
      </c>
      <c r="I1474">
        <v>0</v>
      </c>
      <c r="J1474">
        <v>0</v>
      </c>
      <c r="K1474">
        <v>0</v>
      </c>
    </row>
    <row r="1475" spans="1:11" x14ac:dyDescent="0.25">
      <c r="A1475" t="s">
        <v>87</v>
      </c>
    </row>
    <row r="1476" spans="1:11" x14ac:dyDescent="0.25">
      <c r="A1476">
        <v>114.696033588188</v>
      </c>
      <c r="B1476">
        <v>5.1011827054977097</v>
      </c>
      <c r="C1476">
        <v>2000</v>
      </c>
    </row>
    <row r="1477" spans="1:11" x14ac:dyDescent="0.25">
      <c r="A1477">
        <v>109.59485088269</v>
      </c>
      <c r="B1477">
        <v>0</v>
      </c>
      <c r="C1477">
        <v>2000</v>
      </c>
    </row>
    <row r="1478" spans="1:11" x14ac:dyDescent="0.25">
      <c r="A1478">
        <v>108.720818833793</v>
      </c>
      <c r="B1478">
        <v>0</v>
      </c>
      <c r="C1478">
        <v>2001</v>
      </c>
    </row>
    <row r="1479" spans="1:11" x14ac:dyDescent="0.25">
      <c r="A1479">
        <v>113.932348791294</v>
      </c>
      <c r="B1479">
        <v>5.2115299575012202</v>
      </c>
      <c r="C1479">
        <v>2001</v>
      </c>
    </row>
    <row r="1480" spans="1:11" x14ac:dyDescent="0.25">
      <c r="A1480">
        <v>150</v>
      </c>
      <c r="B1480">
        <v>41.279181166207401</v>
      </c>
      <c r="C1480">
        <v>2001</v>
      </c>
    </row>
    <row r="1481" spans="1:11" x14ac:dyDescent="0.25">
      <c r="A1481">
        <v>150</v>
      </c>
      <c r="B1481">
        <v>40.405149117309698</v>
      </c>
      <c r="C1481">
        <v>2000</v>
      </c>
    </row>
    <row r="1482" spans="1:11" x14ac:dyDescent="0.25">
      <c r="A1482" t="s">
        <v>88</v>
      </c>
    </row>
    <row r="1483" spans="1:11" x14ac:dyDescent="0.25">
      <c r="A1483">
        <v>749</v>
      </c>
      <c r="B1483">
        <v>0</v>
      </c>
      <c r="C1483">
        <v>47.522076986271401</v>
      </c>
      <c r="D1483">
        <v>10.2077829287971</v>
      </c>
      <c r="E1483">
        <v>8</v>
      </c>
      <c r="F1483">
        <v>1.5707963267949001</v>
      </c>
      <c r="G1483" t="s">
        <v>85</v>
      </c>
      <c r="H1483" t="s">
        <v>86</v>
      </c>
      <c r="I1483">
        <v>0</v>
      </c>
      <c r="J1483">
        <v>336</v>
      </c>
      <c r="K1483">
        <v>0.38296526983079998</v>
      </c>
    </row>
    <row r="1484" spans="1:11" x14ac:dyDescent="0.25">
      <c r="A1484" t="s">
        <v>87</v>
      </c>
    </row>
    <row r="1485" spans="1:11" x14ac:dyDescent="0.25">
      <c r="A1485">
        <v>112.24796150915699</v>
      </c>
      <c r="B1485">
        <v>33.6031828930616</v>
      </c>
      <c r="C1485">
        <v>2000</v>
      </c>
    </row>
    <row r="1486" spans="1:11" x14ac:dyDescent="0.25">
      <c r="A1486">
        <v>100</v>
      </c>
      <c r="B1486">
        <v>21.355221383904698</v>
      </c>
      <c r="C1486">
        <v>2000</v>
      </c>
    </row>
    <row r="1487" spans="1:11" x14ac:dyDescent="0.25">
      <c r="A1487">
        <v>78.644778616095294</v>
      </c>
      <c r="B1487">
        <v>0</v>
      </c>
      <c r="C1487">
        <v>2000</v>
      </c>
    </row>
    <row r="1488" spans="1:11" x14ac:dyDescent="0.25">
      <c r="A1488">
        <v>78.644778616095294</v>
      </c>
      <c r="B1488">
        <v>0</v>
      </c>
      <c r="C1488">
        <v>2001</v>
      </c>
    </row>
    <row r="1489" spans="1:11" x14ac:dyDescent="0.25">
      <c r="A1489">
        <v>100</v>
      </c>
      <c r="B1489">
        <v>21.355221383904698</v>
      </c>
      <c r="C1489">
        <v>2001</v>
      </c>
    </row>
    <row r="1490" spans="1:11" x14ac:dyDescent="0.25">
      <c r="A1490">
        <v>112.24796150915699</v>
      </c>
      <c r="B1490">
        <v>33.6031828930616</v>
      </c>
      <c r="C1490">
        <v>2001</v>
      </c>
    </row>
    <row r="1491" spans="1:11" x14ac:dyDescent="0.25">
      <c r="A1491">
        <v>119.46595403899001</v>
      </c>
      <c r="B1491">
        <v>40.821175422894299</v>
      </c>
      <c r="C1491">
        <v>2001</v>
      </c>
    </row>
    <row r="1492" spans="1:11" x14ac:dyDescent="0.25">
      <c r="A1492">
        <v>119.46595403899001</v>
      </c>
      <c r="B1492">
        <v>40.821175422894299</v>
      </c>
      <c r="C1492">
        <v>2000</v>
      </c>
    </row>
    <row r="1493" spans="1:11" x14ac:dyDescent="0.25">
      <c r="A1493" t="s">
        <v>88</v>
      </c>
    </row>
    <row r="1494" spans="1:11" x14ac:dyDescent="0.25">
      <c r="A1494">
        <v>744</v>
      </c>
      <c r="B1494">
        <v>0</v>
      </c>
      <c r="C1494">
        <v>3.1063993254092401</v>
      </c>
      <c r="D1494">
        <v>54.210436671960899</v>
      </c>
      <c r="E1494">
        <v>8</v>
      </c>
      <c r="F1494">
        <v>1.01722196789785</v>
      </c>
      <c r="G1494" t="s">
        <v>85</v>
      </c>
      <c r="H1494" t="s">
        <v>86</v>
      </c>
      <c r="I1494">
        <v>0</v>
      </c>
      <c r="J1494">
        <v>562</v>
      </c>
      <c r="K1494">
        <v>0.13373198682896401</v>
      </c>
    </row>
    <row r="1495" spans="1:11" x14ac:dyDescent="0.25">
      <c r="A1495" t="s">
        <v>87</v>
      </c>
    </row>
    <row r="1496" spans="1:11" x14ac:dyDescent="0.25">
      <c r="A1496">
        <v>2.17560601398494</v>
      </c>
      <c r="B1496">
        <v>79.702609210755199</v>
      </c>
      <c r="C1496">
        <v>2000</v>
      </c>
    </row>
    <row r="1497" spans="1:11" x14ac:dyDescent="0.25">
      <c r="A1497">
        <v>0</v>
      </c>
      <c r="B1497">
        <v>77.527003196770195</v>
      </c>
      <c r="C1497">
        <v>2000</v>
      </c>
    </row>
    <row r="1498" spans="1:11" x14ac:dyDescent="0.25">
      <c r="A1498">
        <v>0</v>
      </c>
      <c r="B1498">
        <v>76.652971147872606</v>
      </c>
      <c r="C1498">
        <v>2001</v>
      </c>
    </row>
    <row r="1499" spans="1:11" x14ac:dyDescent="0.25">
      <c r="A1499">
        <v>2.2175060421554398</v>
      </c>
      <c r="B1499">
        <v>78.870477190027998</v>
      </c>
      <c r="C1499">
        <v>2001</v>
      </c>
    </row>
    <row r="1500" spans="1:11" x14ac:dyDescent="0.25">
      <c r="A1500">
        <v>23.128520839903</v>
      </c>
      <c r="B1500">
        <v>99.781491987775595</v>
      </c>
      <c r="C1500">
        <v>2001</v>
      </c>
    </row>
    <row r="1501" spans="1:11" x14ac:dyDescent="0.25">
      <c r="A1501">
        <v>40.747631422121998</v>
      </c>
      <c r="B1501">
        <v>117.400602569995</v>
      </c>
      <c r="C1501">
        <v>2001</v>
      </c>
    </row>
    <row r="1502" spans="1:11" x14ac:dyDescent="0.25">
      <c r="A1502">
        <v>40.310615397673203</v>
      </c>
      <c r="B1502">
        <v>117.837618594443</v>
      </c>
      <c r="C1502">
        <v>2000</v>
      </c>
    </row>
    <row r="1503" spans="1:11" x14ac:dyDescent="0.25">
      <c r="A1503">
        <v>22.691504815454199</v>
      </c>
      <c r="B1503">
        <v>100.21850801222401</v>
      </c>
      <c r="C1503">
        <v>2000</v>
      </c>
    </row>
    <row r="1504" spans="1:11" x14ac:dyDescent="0.25">
      <c r="A1504" t="s">
        <v>88</v>
      </c>
    </row>
    <row r="1505" spans="1:11" x14ac:dyDescent="0.25">
      <c r="A1505">
        <v>430</v>
      </c>
      <c r="B1505">
        <v>0</v>
      </c>
      <c r="C1505">
        <v>8.2896791261109399</v>
      </c>
      <c r="D1505">
        <v>48.839904428807202</v>
      </c>
      <c r="E1505">
        <v>8</v>
      </c>
      <c r="F1505">
        <v>1.01722196789785</v>
      </c>
      <c r="G1505" t="s">
        <v>86</v>
      </c>
      <c r="H1505" t="s">
        <v>85</v>
      </c>
      <c r="I1505">
        <v>407</v>
      </c>
      <c r="J1505">
        <v>0</v>
      </c>
      <c r="K1505">
        <v>0</v>
      </c>
    </row>
    <row r="1506" spans="1:11" x14ac:dyDescent="0.25">
      <c r="A1506" t="s">
        <v>87</v>
      </c>
    </row>
    <row r="1507" spans="1:11" x14ac:dyDescent="0.25">
      <c r="A1507">
        <v>115.655899923902</v>
      </c>
      <c r="B1507">
        <v>82.749204189710497</v>
      </c>
      <c r="C1507">
        <v>2000</v>
      </c>
    </row>
    <row r="1508" spans="1:11" x14ac:dyDescent="0.25">
      <c r="A1508">
        <v>109.82179207417801</v>
      </c>
      <c r="B1508">
        <v>76.915096339986903</v>
      </c>
      <c r="C1508">
        <v>2000</v>
      </c>
    </row>
    <row r="1509" spans="1:11" x14ac:dyDescent="0.25">
      <c r="A1509">
        <v>109.384776049729</v>
      </c>
      <c r="B1509">
        <v>77.352112364435698</v>
      </c>
      <c r="C1509">
        <v>2001</v>
      </c>
    </row>
    <row r="1510" spans="1:11" x14ac:dyDescent="0.25">
      <c r="A1510">
        <v>115.274044847873</v>
      </c>
      <c r="B1510">
        <v>83.241381162579202</v>
      </c>
      <c r="C1510">
        <v>2001</v>
      </c>
    </row>
    <row r="1511" spans="1:11" x14ac:dyDescent="0.25">
      <c r="A1511">
        <v>132.35876288978</v>
      </c>
      <c r="B1511">
        <v>100.326099204486</v>
      </c>
      <c r="C1511">
        <v>2001</v>
      </c>
    </row>
    <row r="1512" spans="1:11" x14ac:dyDescent="0.25">
      <c r="A1512">
        <v>150</v>
      </c>
      <c r="B1512">
        <v>117.967336314706</v>
      </c>
      <c r="C1512">
        <v>2001</v>
      </c>
    </row>
    <row r="1513" spans="1:11" x14ac:dyDescent="0.25">
      <c r="A1513">
        <v>150</v>
      </c>
      <c r="B1513">
        <v>117.093304265809</v>
      </c>
      <c r="C1513">
        <v>2000</v>
      </c>
    </row>
    <row r="1514" spans="1:11" x14ac:dyDescent="0.25">
      <c r="A1514">
        <v>132.58059652970499</v>
      </c>
      <c r="B1514">
        <v>99.673900795513902</v>
      </c>
      <c r="C1514">
        <v>2000</v>
      </c>
    </row>
    <row r="1515" spans="1:11" x14ac:dyDescent="0.25">
      <c r="A1515" t="s">
        <v>88</v>
      </c>
    </row>
    <row r="1516" spans="1:11" x14ac:dyDescent="0.25">
      <c r="A1516">
        <v>118</v>
      </c>
      <c r="B1516">
        <v>0</v>
      </c>
      <c r="C1516">
        <v>28.759880428521999</v>
      </c>
      <c r="D1516">
        <v>28.341298704908301</v>
      </c>
      <c r="E1516">
        <v>8</v>
      </c>
      <c r="F1516">
        <v>1.01722196789785</v>
      </c>
      <c r="G1516" t="s">
        <v>85</v>
      </c>
      <c r="H1516" t="s">
        <v>86</v>
      </c>
      <c r="I1516">
        <v>0</v>
      </c>
      <c r="J1516">
        <v>428</v>
      </c>
      <c r="K1516">
        <v>0</v>
      </c>
    </row>
    <row r="1517" spans="1:11" x14ac:dyDescent="0.25">
      <c r="A1517" t="s">
        <v>87</v>
      </c>
    </row>
    <row r="1518" spans="1:11" x14ac:dyDescent="0.25">
      <c r="A1518">
        <v>94.594670890684597</v>
      </c>
      <c r="B1518">
        <v>20.1654482331484</v>
      </c>
      <c r="C1518">
        <v>2000</v>
      </c>
    </row>
    <row r="1519" spans="1:11" x14ac:dyDescent="0.25">
      <c r="A1519">
        <v>74.429222657536201</v>
      </c>
      <c r="B1519">
        <v>0</v>
      </c>
      <c r="C1519">
        <v>2000</v>
      </c>
    </row>
    <row r="1520" spans="1:11" x14ac:dyDescent="0.25">
      <c r="A1520">
        <v>73.555190608638497</v>
      </c>
      <c r="B1520">
        <v>0</v>
      </c>
      <c r="C1520">
        <v>2001</v>
      </c>
    </row>
    <row r="1521" spans="1:11" x14ac:dyDescent="0.25">
      <c r="A1521">
        <v>94.062355329734402</v>
      </c>
      <c r="B1521">
        <v>20.507164721095901</v>
      </c>
      <c r="C1521">
        <v>2001</v>
      </c>
    </row>
    <row r="1522" spans="1:11" x14ac:dyDescent="0.25">
      <c r="A1522">
        <v>99.781491987775595</v>
      </c>
      <c r="B1522">
        <v>26.226301379137102</v>
      </c>
      <c r="C1522">
        <v>2001</v>
      </c>
    </row>
    <row r="1523" spans="1:11" x14ac:dyDescent="0.25">
      <c r="A1523">
        <v>114.15032959985901</v>
      </c>
      <c r="B1523">
        <v>40.595138991220701</v>
      </c>
      <c r="C1523">
        <v>2001</v>
      </c>
    </row>
    <row r="1524" spans="1:11" x14ac:dyDescent="0.25">
      <c r="A1524">
        <v>114.587345624308</v>
      </c>
      <c r="B1524">
        <v>40.158122966771899</v>
      </c>
      <c r="C1524">
        <v>2000</v>
      </c>
    </row>
    <row r="1525" spans="1:11" x14ac:dyDescent="0.25">
      <c r="A1525">
        <v>100.21850801222401</v>
      </c>
      <c r="B1525">
        <v>25.7892853546882</v>
      </c>
      <c r="C1525">
        <v>2000</v>
      </c>
    </row>
    <row r="1526" spans="1:11" x14ac:dyDescent="0.25">
      <c r="A1526" t="s">
        <v>88</v>
      </c>
    </row>
    <row r="1527" spans="1:11" x14ac:dyDescent="0.25">
      <c r="A1527">
        <v>743</v>
      </c>
      <c r="B1527">
        <v>0</v>
      </c>
      <c r="C1527">
        <v>46.980729067237903</v>
      </c>
      <c r="D1527">
        <v>10.064064366954799</v>
      </c>
      <c r="E1527">
        <v>8</v>
      </c>
      <c r="F1527">
        <v>1.01722196789785</v>
      </c>
      <c r="G1527" t="s">
        <v>86</v>
      </c>
      <c r="H1527" t="s">
        <v>85</v>
      </c>
      <c r="I1527">
        <v>419</v>
      </c>
      <c r="J1527">
        <v>0</v>
      </c>
      <c r="K1527">
        <v>0.13373198682896401</v>
      </c>
    </row>
    <row r="1528" spans="1:11" x14ac:dyDescent="0.25">
      <c r="A1528" t="s">
        <v>87</v>
      </c>
    </row>
    <row r="1529" spans="1:11" x14ac:dyDescent="0.25">
      <c r="A1529">
        <v>142.949287582669</v>
      </c>
      <c r="B1529">
        <v>116.196162618835</v>
      </c>
      <c r="C1529">
        <v>2000</v>
      </c>
    </row>
    <row r="1530" spans="1:11" x14ac:dyDescent="0.25">
      <c r="A1530">
        <v>126.53461695161</v>
      </c>
      <c r="B1530">
        <v>99.781491987775595</v>
      </c>
      <c r="C1530">
        <v>2000</v>
      </c>
    </row>
    <row r="1531" spans="1:11" x14ac:dyDescent="0.25">
      <c r="A1531">
        <v>109.881747743521</v>
      </c>
      <c r="B1531">
        <v>83.128622779687007</v>
      </c>
      <c r="C1531">
        <v>2000</v>
      </c>
    </row>
    <row r="1532" spans="1:11" x14ac:dyDescent="0.25">
      <c r="A1532">
        <v>109.444731719072</v>
      </c>
      <c r="B1532">
        <v>83.565638804135801</v>
      </c>
      <c r="C1532">
        <v>2001</v>
      </c>
    </row>
    <row r="1533" spans="1:11" x14ac:dyDescent="0.25">
      <c r="A1533">
        <v>126.097600927161</v>
      </c>
      <c r="B1533">
        <v>100.21850801222401</v>
      </c>
      <c r="C1533">
        <v>2001</v>
      </c>
    </row>
    <row r="1534" spans="1:11" x14ac:dyDescent="0.25">
      <c r="A1534">
        <v>142.81797609698799</v>
      </c>
      <c r="B1534">
        <v>116.938883182052</v>
      </c>
      <c r="C1534">
        <v>2001</v>
      </c>
    </row>
    <row r="1535" spans="1:11" x14ac:dyDescent="0.25">
      <c r="A1535">
        <v>150</v>
      </c>
      <c r="B1535">
        <v>124.120907085064</v>
      </c>
      <c r="C1535">
        <v>2001</v>
      </c>
    </row>
    <row r="1536" spans="1:11" x14ac:dyDescent="0.25">
      <c r="A1536">
        <v>150</v>
      </c>
      <c r="B1536">
        <v>123.246875036166</v>
      </c>
      <c r="C1536">
        <v>2000</v>
      </c>
    </row>
    <row r="1537" spans="1:11" x14ac:dyDescent="0.25">
      <c r="A1537" t="s">
        <v>88</v>
      </c>
    </row>
    <row r="1538" spans="1:11" x14ac:dyDescent="0.25">
      <c r="A1538">
        <v>493</v>
      </c>
      <c r="B1538">
        <v>0</v>
      </c>
      <c r="C1538">
        <v>44.276707844113801</v>
      </c>
      <c r="D1538">
        <v>12.7624838778771</v>
      </c>
      <c r="E1538">
        <v>8</v>
      </c>
      <c r="F1538">
        <v>1.5707963267949001</v>
      </c>
      <c r="G1538" t="s">
        <v>86</v>
      </c>
      <c r="H1538" t="s">
        <v>86</v>
      </c>
      <c r="I1538">
        <v>15</v>
      </c>
      <c r="J1538">
        <v>181</v>
      </c>
      <c r="K1538">
        <v>0</v>
      </c>
    </row>
    <row r="1539" spans="1:11" x14ac:dyDescent="0.25">
      <c r="A1539" t="s">
        <v>87</v>
      </c>
    </row>
    <row r="1540" spans="1:11" x14ac:dyDescent="0.25">
      <c r="A1540">
        <v>82.216494103063098</v>
      </c>
      <c r="B1540">
        <v>91.392912269287194</v>
      </c>
      <c r="C1540">
        <v>2000</v>
      </c>
    </row>
    <row r="1541" spans="1:11" x14ac:dyDescent="0.25">
      <c r="A1541">
        <v>50.9081337378746</v>
      </c>
      <c r="B1541">
        <v>60.084551904098802</v>
      </c>
      <c r="C1541">
        <v>2000</v>
      </c>
    </row>
    <row r="1542" spans="1:11" x14ac:dyDescent="0.25">
      <c r="A1542">
        <v>50.9081337378746</v>
      </c>
      <c r="B1542">
        <v>60.084551904098802</v>
      </c>
      <c r="C1542">
        <v>2001</v>
      </c>
    </row>
    <row r="1543" spans="1:11" x14ac:dyDescent="0.25">
      <c r="A1543">
        <v>82.216494103063098</v>
      </c>
      <c r="B1543">
        <v>91.392912269287194</v>
      </c>
      <c r="C1543">
        <v>2001</v>
      </c>
    </row>
    <row r="1544" spans="1:11" x14ac:dyDescent="0.25">
      <c r="A1544">
        <v>90.823581833775904</v>
      </c>
      <c r="B1544">
        <v>100</v>
      </c>
      <c r="C1544">
        <v>2001</v>
      </c>
    </row>
    <row r="1545" spans="1:11" x14ac:dyDescent="0.25">
      <c r="A1545">
        <v>91.240932997894006</v>
      </c>
      <c r="B1545">
        <v>100.417351164118</v>
      </c>
      <c r="C1545">
        <v>2001</v>
      </c>
    </row>
    <row r="1546" spans="1:11" x14ac:dyDescent="0.25">
      <c r="A1546">
        <v>91.240932997894006</v>
      </c>
      <c r="B1546">
        <v>100.417351164118</v>
      </c>
      <c r="C1546">
        <v>2000</v>
      </c>
    </row>
    <row r="1547" spans="1:11" x14ac:dyDescent="0.25">
      <c r="A1547">
        <v>90.823581833775904</v>
      </c>
      <c r="B1547">
        <v>100</v>
      </c>
      <c r="C1547">
        <v>2000</v>
      </c>
    </row>
    <row r="1548" spans="1:11" x14ac:dyDescent="0.25">
      <c r="A1548" t="s">
        <v>88</v>
      </c>
    </row>
    <row r="1549" spans="1:11" x14ac:dyDescent="0.25">
      <c r="A1549">
        <v>359</v>
      </c>
      <c r="B1549">
        <v>0</v>
      </c>
      <c r="C1549">
        <v>26.696162360985301</v>
      </c>
      <c r="D1549">
        <v>29.9986187668094</v>
      </c>
      <c r="E1549">
        <v>8</v>
      </c>
      <c r="F1549">
        <v>1.01722196789785</v>
      </c>
      <c r="G1549" t="s">
        <v>85</v>
      </c>
      <c r="H1549" t="s">
        <v>86</v>
      </c>
      <c r="I1549">
        <v>0</v>
      </c>
      <c r="J1549">
        <v>435</v>
      </c>
      <c r="K1549">
        <v>0</v>
      </c>
    </row>
    <row r="1550" spans="1:11" x14ac:dyDescent="0.25">
      <c r="A1550" t="s">
        <v>87</v>
      </c>
    </row>
    <row r="1551" spans="1:11" x14ac:dyDescent="0.25">
      <c r="A1551">
        <v>103.064967493438</v>
      </c>
      <c r="B1551">
        <v>19.062344942143302</v>
      </c>
      <c r="C1551">
        <v>2000</v>
      </c>
    </row>
    <row r="1552" spans="1:11" x14ac:dyDescent="0.25">
      <c r="A1552">
        <v>99.743100355339905</v>
      </c>
      <c r="B1552">
        <v>15.740477804045</v>
      </c>
      <c r="C1552">
        <v>2000</v>
      </c>
    </row>
    <row r="1553" spans="1:11" x14ac:dyDescent="0.25">
      <c r="A1553">
        <v>84.002622551294905</v>
      </c>
      <c r="B1553">
        <v>0</v>
      </c>
      <c r="C1553">
        <v>2000</v>
      </c>
    </row>
    <row r="1554" spans="1:11" x14ac:dyDescent="0.25">
      <c r="A1554">
        <v>84.876654600192495</v>
      </c>
      <c r="B1554">
        <v>0</v>
      </c>
      <c r="C1554">
        <v>2001</v>
      </c>
    </row>
    <row r="1555" spans="1:11" x14ac:dyDescent="0.25">
      <c r="A1555">
        <v>100.25689964466</v>
      </c>
      <c r="B1555">
        <v>15.3802450444676</v>
      </c>
      <c r="C1555">
        <v>2001</v>
      </c>
    </row>
    <row r="1556" spans="1:11" x14ac:dyDescent="0.25">
      <c r="A1556">
        <v>103.56838453226899</v>
      </c>
      <c r="B1556">
        <v>18.6917299320762</v>
      </c>
      <c r="C1556">
        <v>2001</v>
      </c>
    </row>
    <row r="1557" spans="1:11" x14ac:dyDescent="0.25">
      <c r="A1557">
        <v>124.747410781319</v>
      </c>
      <c r="B1557">
        <v>39.870756181126303</v>
      </c>
      <c r="C1557">
        <v>2001</v>
      </c>
    </row>
    <row r="1558" spans="1:11" x14ac:dyDescent="0.25">
      <c r="A1558">
        <v>124.31039475687</v>
      </c>
      <c r="B1558">
        <v>40.307772205575098</v>
      </c>
      <c r="C1558">
        <v>2000</v>
      </c>
    </row>
    <row r="1559" spans="1:11" x14ac:dyDescent="0.25">
      <c r="A1559" t="s">
        <v>88</v>
      </c>
    </row>
    <row r="1560" spans="1:11" x14ac:dyDescent="0.25">
      <c r="A1560">
        <v>176</v>
      </c>
      <c r="B1560">
        <v>0</v>
      </c>
      <c r="C1560">
        <v>12.5391428178644</v>
      </c>
      <c r="D1560">
        <v>42.293338891720602</v>
      </c>
      <c r="E1560">
        <v>6</v>
      </c>
      <c r="F1560">
        <v>1.5707963267949001</v>
      </c>
      <c r="G1560" t="s">
        <v>86</v>
      </c>
      <c r="H1560" t="s">
        <v>85</v>
      </c>
      <c r="I1560">
        <v>273</v>
      </c>
      <c r="J1560">
        <v>0</v>
      </c>
      <c r="K1560">
        <v>0</v>
      </c>
    </row>
    <row r="1561" spans="1:11" x14ac:dyDescent="0.25">
      <c r="A1561" t="s">
        <v>87</v>
      </c>
    </row>
    <row r="1562" spans="1:11" x14ac:dyDescent="0.25">
      <c r="A1562">
        <v>114.827271697497</v>
      </c>
      <c r="B1562">
        <v>120.094093270644</v>
      </c>
      <c r="C1562">
        <v>2000</v>
      </c>
    </row>
    <row r="1563" spans="1:11" x14ac:dyDescent="0.25">
      <c r="A1563">
        <v>105.960758780718</v>
      </c>
      <c r="B1563">
        <v>111.22758035386499</v>
      </c>
      <c r="C1563">
        <v>2000</v>
      </c>
    </row>
    <row r="1564" spans="1:11" x14ac:dyDescent="0.25">
      <c r="A1564">
        <v>105.960758780718</v>
      </c>
      <c r="B1564">
        <v>111.22758035386499</v>
      </c>
      <c r="C1564">
        <v>2001</v>
      </c>
    </row>
    <row r="1565" spans="1:11" x14ac:dyDescent="0.25">
      <c r="A1565">
        <v>114.827271697497</v>
      </c>
      <c r="B1565">
        <v>120.094093270644</v>
      </c>
      <c r="C1565">
        <v>2001</v>
      </c>
    </row>
    <row r="1566" spans="1:11" x14ac:dyDescent="0.25">
      <c r="A1566">
        <v>144.73317842685299</v>
      </c>
      <c r="B1566">
        <v>150</v>
      </c>
      <c r="C1566">
        <v>2001</v>
      </c>
    </row>
    <row r="1567" spans="1:11" x14ac:dyDescent="0.25">
      <c r="A1567">
        <v>144.73317842685299</v>
      </c>
      <c r="B1567">
        <v>150</v>
      </c>
      <c r="C1567">
        <v>2000</v>
      </c>
    </row>
    <row r="1568" spans="1:11" x14ac:dyDescent="0.25">
      <c r="A1568" t="s">
        <v>88</v>
      </c>
    </row>
    <row r="1569" spans="1:11" x14ac:dyDescent="0.25">
      <c r="A1569">
        <v>514</v>
      </c>
      <c r="B1569">
        <v>0</v>
      </c>
      <c r="C1569">
        <v>8.7744590610329301</v>
      </c>
      <c r="D1569">
        <v>45.410190882519501</v>
      </c>
      <c r="E1569">
        <v>10</v>
      </c>
      <c r="F1569">
        <v>1.01722196789785</v>
      </c>
      <c r="G1569" t="s">
        <v>86</v>
      </c>
      <c r="H1569" t="s">
        <v>86</v>
      </c>
      <c r="I1569">
        <v>490</v>
      </c>
      <c r="J1569">
        <v>172</v>
      </c>
      <c r="K1569">
        <v>0</v>
      </c>
    </row>
    <row r="1570" spans="1:11" x14ac:dyDescent="0.25">
      <c r="A1570" t="s">
        <v>87</v>
      </c>
    </row>
    <row r="1571" spans="1:11" x14ac:dyDescent="0.25">
      <c r="A1571">
        <v>69.300705963881299</v>
      </c>
      <c r="B1571">
        <v>93.424086137876699</v>
      </c>
      <c r="C1571">
        <v>2000</v>
      </c>
    </row>
    <row r="1572" spans="1:11" x14ac:dyDescent="0.25">
      <c r="A1572">
        <v>63.0962264605811</v>
      </c>
      <c r="B1572">
        <v>87.219606634576607</v>
      </c>
      <c r="C1572">
        <v>2000</v>
      </c>
    </row>
    <row r="1573" spans="1:11" x14ac:dyDescent="0.25">
      <c r="A1573">
        <v>62.659210436132298</v>
      </c>
      <c r="B1573">
        <v>87.656622659025402</v>
      </c>
      <c r="C1573">
        <v>2001</v>
      </c>
    </row>
    <row r="1574" spans="1:11" x14ac:dyDescent="0.25">
      <c r="A1574">
        <v>68.863689939432405</v>
      </c>
      <c r="B1574">
        <v>93.861102162325494</v>
      </c>
      <c r="C1574">
        <v>2001</v>
      </c>
    </row>
    <row r="1575" spans="1:11" x14ac:dyDescent="0.25">
      <c r="A1575">
        <v>75.2210957893314</v>
      </c>
      <c r="B1575">
        <v>100.21850801222401</v>
      </c>
      <c r="C1575">
        <v>2001</v>
      </c>
    </row>
    <row r="1576" spans="1:11" x14ac:dyDescent="0.25">
      <c r="A1576">
        <v>99.781491987775595</v>
      </c>
      <c r="B1576">
        <v>124.778904210669</v>
      </c>
      <c r="C1576">
        <v>2001</v>
      </c>
    </row>
    <row r="1577" spans="1:11" x14ac:dyDescent="0.25">
      <c r="A1577">
        <v>100.97354384743799</v>
      </c>
      <c r="B1577">
        <v>125.970956070331</v>
      </c>
      <c r="C1577">
        <v>2001</v>
      </c>
    </row>
    <row r="1578" spans="1:11" x14ac:dyDescent="0.25">
      <c r="A1578">
        <v>101.41055987188599</v>
      </c>
      <c r="B1578">
        <v>125.53394004588201</v>
      </c>
      <c r="C1578">
        <v>2000</v>
      </c>
    </row>
    <row r="1579" spans="1:11" x14ac:dyDescent="0.25">
      <c r="A1579">
        <v>100.21850801222401</v>
      </c>
      <c r="B1579">
        <v>124.34188818622</v>
      </c>
      <c r="C1579">
        <v>2000</v>
      </c>
    </row>
    <row r="1580" spans="1:11" x14ac:dyDescent="0.25">
      <c r="A1580">
        <v>75.658111813780195</v>
      </c>
      <c r="B1580">
        <v>99.781491987775595</v>
      </c>
      <c r="C1580">
        <v>2000</v>
      </c>
    </row>
    <row r="1581" spans="1:11" x14ac:dyDescent="0.25">
      <c r="A1581" t="s">
        <v>88</v>
      </c>
    </row>
    <row r="1582" spans="1:11" x14ac:dyDescent="0.25">
      <c r="A1582">
        <v>187</v>
      </c>
      <c r="B1582">
        <v>0</v>
      </c>
      <c r="C1582">
        <v>13.6203918488092</v>
      </c>
      <c r="D1582">
        <v>40.142155082862502</v>
      </c>
      <c r="E1582">
        <v>8</v>
      </c>
      <c r="F1582">
        <v>1.01722196789785</v>
      </c>
      <c r="G1582" t="s">
        <v>86</v>
      </c>
      <c r="H1582" t="s">
        <v>85</v>
      </c>
      <c r="I1582">
        <v>268</v>
      </c>
      <c r="J1582">
        <v>0</v>
      </c>
      <c r="K1582">
        <v>0</v>
      </c>
    </row>
    <row r="1583" spans="1:11" x14ac:dyDescent="0.25">
      <c r="A1583" t="s">
        <v>87</v>
      </c>
    </row>
    <row r="1584" spans="1:11" x14ac:dyDescent="0.25">
      <c r="A1584">
        <v>100.33072272865699</v>
      </c>
      <c r="B1584">
        <v>121.82953922976399</v>
      </c>
      <c r="C1584">
        <v>2000</v>
      </c>
    </row>
    <row r="1585" spans="1:11" x14ac:dyDescent="0.25">
      <c r="A1585">
        <v>99.781491987775595</v>
      </c>
      <c r="B1585">
        <v>121.280308488882</v>
      </c>
      <c r="C1585">
        <v>2000</v>
      </c>
    </row>
    <row r="1586" spans="1:11" x14ac:dyDescent="0.25">
      <c r="A1586">
        <v>90.703830001872404</v>
      </c>
      <c r="B1586">
        <v>112.20264650297899</v>
      </c>
      <c r="C1586">
        <v>2000</v>
      </c>
    </row>
    <row r="1587" spans="1:11" x14ac:dyDescent="0.25">
      <c r="A1587">
        <v>91.140846026321299</v>
      </c>
      <c r="B1587">
        <v>111.76563047853099</v>
      </c>
      <c r="C1587">
        <v>2001</v>
      </c>
    </row>
    <row r="1588" spans="1:11" x14ac:dyDescent="0.25">
      <c r="A1588">
        <v>100.21850801222401</v>
      </c>
      <c r="B1588">
        <v>120.843292464434</v>
      </c>
      <c r="C1588">
        <v>2001</v>
      </c>
    </row>
    <row r="1589" spans="1:11" x14ac:dyDescent="0.25">
      <c r="A1589">
        <v>100.776096176959</v>
      </c>
      <c r="B1589">
        <v>121.400880629168</v>
      </c>
      <c r="C1589">
        <v>2001</v>
      </c>
    </row>
    <row r="1590" spans="1:11" x14ac:dyDescent="0.25">
      <c r="A1590">
        <v>129.37521554779099</v>
      </c>
      <c r="B1590">
        <v>150</v>
      </c>
      <c r="C1590">
        <v>2001</v>
      </c>
    </row>
    <row r="1591" spans="1:11" x14ac:dyDescent="0.25">
      <c r="A1591">
        <v>128.501183498893</v>
      </c>
      <c r="B1591">
        <v>150</v>
      </c>
      <c r="C1591">
        <v>2000</v>
      </c>
    </row>
    <row r="1592" spans="1:11" x14ac:dyDescent="0.25">
      <c r="A1592" t="s">
        <v>88</v>
      </c>
    </row>
    <row r="1593" spans="1:11" x14ac:dyDescent="0.25">
      <c r="A1593">
        <v>186</v>
      </c>
      <c r="B1593">
        <v>0</v>
      </c>
      <c r="C1593">
        <v>10.5172664622603</v>
      </c>
      <c r="D1593">
        <v>43.2125189515599</v>
      </c>
      <c r="E1593">
        <v>6</v>
      </c>
      <c r="F1593">
        <v>1.01722196789785</v>
      </c>
      <c r="G1593" t="s">
        <v>86</v>
      </c>
      <c r="H1593" t="s">
        <v>85</v>
      </c>
      <c r="I1593">
        <v>161</v>
      </c>
      <c r="J1593">
        <v>0</v>
      </c>
      <c r="K1593">
        <v>0</v>
      </c>
    </row>
    <row r="1594" spans="1:11" x14ac:dyDescent="0.25">
      <c r="A1594" t="s">
        <v>87</v>
      </c>
    </row>
    <row r="1595" spans="1:11" x14ac:dyDescent="0.25">
      <c r="A1595">
        <v>112.879144764245</v>
      </c>
      <c r="B1595">
        <v>119.268398369593</v>
      </c>
      <c r="C1595">
        <v>2000</v>
      </c>
    </row>
    <row r="1596" spans="1:11" x14ac:dyDescent="0.25">
      <c r="A1596">
        <v>105.399542764618</v>
      </c>
      <c r="B1596">
        <v>111.788796369965</v>
      </c>
      <c r="C1596">
        <v>2000</v>
      </c>
    </row>
    <row r="1597" spans="1:11" x14ac:dyDescent="0.25">
      <c r="A1597">
        <v>104.962526740169</v>
      </c>
      <c r="B1597">
        <v>112.22581239441401</v>
      </c>
      <c r="C1597">
        <v>2001</v>
      </c>
    </row>
    <row r="1598" spans="1:11" x14ac:dyDescent="0.25">
      <c r="A1598">
        <v>112.35658561056201</v>
      </c>
      <c r="B1598">
        <v>119.619871264807</v>
      </c>
      <c r="C1598">
        <v>2001</v>
      </c>
    </row>
    <row r="1599" spans="1:11" x14ac:dyDescent="0.25">
      <c r="A1599">
        <v>142.73671434575499</v>
      </c>
      <c r="B1599">
        <v>150</v>
      </c>
      <c r="C1599">
        <v>2001</v>
      </c>
    </row>
    <row r="1600" spans="1:11" x14ac:dyDescent="0.25">
      <c r="A1600">
        <v>143.61074639465301</v>
      </c>
      <c r="B1600">
        <v>150</v>
      </c>
      <c r="C1600">
        <v>2000</v>
      </c>
    </row>
    <row r="1601" spans="1:11" x14ac:dyDescent="0.25">
      <c r="A1601" t="s">
        <v>88</v>
      </c>
    </row>
    <row r="1602" spans="1:11" x14ac:dyDescent="0.25">
      <c r="A1602">
        <v>355</v>
      </c>
      <c r="B1602">
        <v>0</v>
      </c>
      <c r="C1602">
        <v>41.728625253770197</v>
      </c>
      <c r="D1602">
        <v>11.933013582698299</v>
      </c>
      <c r="E1602">
        <v>6</v>
      </c>
      <c r="F1602">
        <v>1.01722196789785</v>
      </c>
      <c r="G1602" t="s">
        <v>85</v>
      </c>
      <c r="H1602" t="s">
        <v>85</v>
      </c>
      <c r="I1602">
        <v>0</v>
      </c>
      <c r="J1602">
        <v>0</v>
      </c>
      <c r="K1602">
        <v>0</v>
      </c>
    </row>
    <row r="1603" spans="1:11" x14ac:dyDescent="0.25">
      <c r="A1603" t="s">
        <v>87</v>
      </c>
    </row>
    <row r="1604" spans="1:11" x14ac:dyDescent="0.25">
      <c r="A1604">
        <v>141.464903683118</v>
      </c>
      <c r="B1604">
        <v>29.846428418417101</v>
      </c>
      <c r="C1604">
        <v>2000</v>
      </c>
    </row>
    <row r="1605" spans="1:11" x14ac:dyDescent="0.25">
      <c r="A1605">
        <v>111.618475264701</v>
      </c>
      <c r="B1605">
        <v>0</v>
      </c>
      <c r="C1605">
        <v>2000</v>
      </c>
    </row>
    <row r="1606" spans="1:11" x14ac:dyDescent="0.25">
      <c r="A1606">
        <v>112.49250731359901</v>
      </c>
      <c r="B1606">
        <v>0</v>
      </c>
      <c r="C1606">
        <v>2001</v>
      </c>
    </row>
    <row r="1607" spans="1:11" x14ac:dyDescent="0.25">
      <c r="A1607">
        <v>141.65926666824799</v>
      </c>
      <c r="B1607">
        <v>29.166759354649098</v>
      </c>
      <c r="C1607">
        <v>2001</v>
      </c>
    </row>
    <row r="1608" spans="1:11" x14ac:dyDescent="0.25">
      <c r="A1608">
        <v>150</v>
      </c>
      <c r="B1608">
        <v>37.507492686401399</v>
      </c>
      <c r="C1608">
        <v>2001</v>
      </c>
    </row>
    <row r="1609" spans="1:11" x14ac:dyDescent="0.25">
      <c r="A1609">
        <v>150</v>
      </c>
      <c r="B1609">
        <v>38.381524735299102</v>
      </c>
      <c r="C1609">
        <v>2000</v>
      </c>
    </row>
    <row r="1610" spans="1:11" x14ac:dyDescent="0.25">
      <c r="A1610" t="s">
        <v>88</v>
      </c>
    </row>
    <row r="1611" spans="1:11" x14ac:dyDescent="0.25">
      <c r="A1611">
        <v>278</v>
      </c>
      <c r="B1611">
        <v>0</v>
      </c>
      <c r="C1611">
        <v>49.258839332299999</v>
      </c>
      <c r="D1611">
        <v>4.3035442721162802</v>
      </c>
      <c r="E1611">
        <v>8</v>
      </c>
      <c r="F1611">
        <v>1.01722196789785</v>
      </c>
      <c r="G1611" t="s">
        <v>86</v>
      </c>
      <c r="H1611" t="s">
        <v>85</v>
      </c>
      <c r="I1611">
        <v>667</v>
      </c>
      <c r="J1611">
        <v>0</v>
      </c>
      <c r="K1611">
        <v>0</v>
      </c>
    </row>
    <row r="1612" spans="1:11" x14ac:dyDescent="0.25">
      <c r="A1612" t="s">
        <v>87</v>
      </c>
    </row>
    <row r="1613" spans="1:11" x14ac:dyDescent="0.25">
      <c r="A1613">
        <v>76.150885629298998</v>
      </c>
      <c r="B1613">
        <v>146.933830657247</v>
      </c>
      <c r="C1613">
        <v>2000</v>
      </c>
    </row>
    <row r="1614" spans="1:11" x14ac:dyDescent="0.25">
      <c r="A1614">
        <v>50.218508012224397</v>
      </c>
      <c r="B1614">
        <v>121.001453040173</v>
      </c>
      <c r="C1614">
        <v>2000</v>
      </c>
    </row>
    <row r="1615" spans="1:11" x14ac:dyDescent="0.25">
      <c r="A1615">
        <v>41.124222296629299</v>
      </c>
      <c r="B1615">
        <v>111.907167324578</v>
      </c>
      <c r="C1615">
        <v>2000</v>
      </c>
    </row>
    <row r="1616" spans="1:11" x14ac:dyDescent="0.25">
      <c r="A1616">
        <v>40.687206272180397</v>
      </c>
      <c r="B1616">
        <v>112.344183349026</v>
      </c>
      <c r="C1616">
        <v>2001</v>
      </c>
    </row>
    <row r="1617" spans="1:11" x14ac:dyDescent="0.25">
      <c r="A1617">
        <v>49.781491987775603</v>
      </c>
      <c r="B1617">
        <v>121.438469064622</v>
      </c>
      <c r="C1617">
        <v>2001</v>
      </c>
    </row>
    <row r="1618" spans="1:11" x14ac:dyDescent="0.25">
      <c r="A1618">
        <v>75.323061590006603</v>
      </c>
      <c r="B1618">
        <v>146.98003866685301</v>
      </c>
      <c r="C1618">
        <v>2001</v>
      </c>
    </row>
    <row r="1619" spans="1:11" x14ac:dyDescent="0.25">
      <c r="A1619">
        <v>78.343022923153995</v>
      </c>
      <c r="B1619">
        <v>150</v>
      </c>
      <c r="C1619">
        <v>2001</v>
      </c>
    </row>
    <row r="1620" spans="1:11" x14ac:dyDescent="0.25">
      <c r="A1620">
        <v>79.217054972051599</v>
      </c>
      <c r="B1620">
        <v>150</v>
      </c>
      <c r="C1620">
        <v>2000</v>
      </c>
    </row>
    <row r="1621" spans="1:11" x14ac:dyDescent="0.25">
      <c r="A1621" t="s">
        <v>88</v>
      </c>
    </row>
    <row r="1622" spans="1:11" x14ac:dyDescent="0.25">
      <c r="A1622">
        <v>19</v>
      </c>
      <c r="B1622">
        <v>0</v>
      </c>
      <c r="C1622">
        <v>4.1822519760523198</v>
      </c>
      <c r="D1622">
        <v>49.284226325223102</v>
      </c>
      <c r="E1622">
        <v>10</v>
      </c>
      <c r="F1622">
        <v>1.5707963267949001</v>
      </c>
      <c r="G1622" t="s">
        <v>86</v>
      </c>
      <c r="H1622" t="s">
        <v>86</v>
      </c>
      <c r="I1622">
        <v>11</v>
      </c>
      <c r="J1622">
        <v>507</v>
      </c>
      <c r="K1622">
        <v>0</v>
      </c>
    </row>
    <row r="1623" spans="1:11" x14ac:dyDescent="0.25">
      <c r="A1623" t="s">
        <v>87</v>
      </c>
    </row>
    <row r="1624" spans="1:11" x14ac:dyDescent="0.25">
      <c r="A1624">
        <v>20.2610607586154</v>
      </c>
      <c r="B1624">
        <v>15.993450938720899</v>
      </c>
      <c r="C1624">
        <v>2000</v>
      </c>
    </row>
    <row r="1625" spans="1:11" x14ac:dyDescent="0.25">
      <c r="A1625">
        <v>17.303762025718001</v>
      </c>
      <c r="B1625">
        <v>13.0361522058235</v>
      </c>
      <c r="C1625">
        <v>2000</v>
      </c>
    </row>
    <row r="1626" spans="1:11" x14ac:dyDescent="0.25">
      <c r="A1626">
        <v>17.303762025718001</v>
      </c>
      <c r="B1626">
        <v>13.0361522058235</v>
      </c>
      <c r="C1626">
        <v>2001</v>
      </c>
    </row>
    <row r="1627" spans="1:11" x14ac:dyDescent="0.25">
      <c r="A1627">
        <v>20.2610607586154</v>
      </c>
      <c r="B1627">
        <v>15.993450938720899</v>
      </c>
      <c r="C1627">
        <v>2001</v>
      </c>
    </row>
    <row r="1628" spans="1:11" x14ac:dyDescent="0.25">
      <c r="A1628">
        <v>50</v>
      </c>
      <c r="B1628">
        <v>45.732390180105497</v>
      </c>
      <c r="C1628">
        <v>2001</v>
      </c>
    </row>
    <row r="1629" spans="1:11" x14ac:dyDescent="0.25">
      <c r="A1629">
        <v>54.267609819894503</v>
      </c>
      <c r="B1629">
        <v>50</v>
      </c>
      <c r="C1629">
        <v>2001</v>
      </c>
    </row>
    <row r="1630" spans="1:11" x14ac:dyDescent="0.25">
      <c r="A1630">
        <v>55.110271398713301</v>
      </c>
      <c r="B1630">
        <v>50.842661578818799</v>
      </c>
      <c r="C1630">
        <v>2001</v>
      </c>
    </row>
    <row r="1631" spans="1:11" x14ac:dyDescent="0.25">
      <c r="A1631">
        <v>55.110271398713301</v>
      </c>
      <c r="B1631">
        <v>50.842661578818799</v>
      </c>
      <c r="C1631">
        <v>2000</v>
      </c>
    </row>
    <row r="1632" spans="1:11" x14ac:dyDescent="0.25">
      <c r="A1632">
        <v>54.267609819894503</v>
      </c>
      <c r="B1632">
        <v>50</v>
      </c>
      <c r="C1632">
        <v>2000</v>
      </c>
    </row>
    <row r="1633" spans="1:11" x14ac:dyDescent="0.25">
      <c r="A1633">
        <v>50</v>
      </c>
      <c r="B1633">
        <v>45.732390180105497</v>
      </c>
      <c r="C1633">
        <v>2000</v>
      </c>
    </row>
    <row r="1634" spans="1:11" x14ac:dyDescent="0.25">
      <c r="A1634" t="s">
        <v>88</v>
      </c>
    </row>
    <row r="1635" spans="1:11" x14ac:dyDescent="0.25">
      <c r="A1635">
        <v>324</v>
      </c>
      <c r="B1635">
        <v>0</v>
      </c>
      <c r="C1635">
        <v>8.2613935894581498</v>
      </c>
      <c r="D1635">
        <v>44.415025405453797</v>
      </c>
      <c r="E1635">
        <v>6</v>
      </c>
      <c r="F1635">
        <v>1.5707963267949001</v>
      </c>
      <c r="G1635" t="s">
        <v>86</v>
      </c>
      <c r="H1635" t="s">
        <v>86</v>
      </c>
      <c r="I1635">
        <v>81</v>
      </c>
      <c r="J1635">
        <v>322</v>
      </c>
      <c r="K1635">
        <v>0</v>
      </c>
    </row>
    <row r="1636" spans="1:11" x14ac:dyDescent="0.25">
      <c r="A1636" t="s">
        <v>87</v>
      </c>
    </row>
    <row r="1637" spans="1:11" x14ac:dyDescent="0.25">
      <c r="A1637">
        <v>106.140026685847</v>
      </c>
      <c r="B1637">
        <v>13.142773119333601</v>
      </c>
      <c r="C1637">
        <v>2000</v>
      </c>
    </row>
    <row r="1638" spans="1:11" x14ac:dyDescent="0.25">
      <c r="A1638">
        <v>100.29833925669</v>
      </c>
      <c r="B1638">
        <v>7.3010856901766203</v>
      </c>
      <c r="C1638">
        <v>2000</v>
      </c>
    </row>
    <row r="1639" spans="1:11" x14ac:dyDescent="0.25">
      <c r="A1639">
        <v>100.29833925669</v>
      </c>
      <c r="B1639">
        <v>7.3010856901766203</v>
      </c>
      <c r="C1639">
        <v>2001</v>
      </c>
    </row>
    <row r="1640" spans="1:11" x14ac:dyDescent="0.25">
      <c r="A1640">
        <v>106.140026685847</v>
      </c>
      <c r="B1640">
        <v>13.142773119333601</v>
      </c>
      <c r="C1640">
        <v>2001</v>
      </c>
    </row>
    <row r="1641" spans="1:11" x14ac:dyDescent="0.25">
      <c r="A1641">
        <v>137.546192336616</v>
      </c>
      <c r="B1641">
        <v>44.548938770102801</v>
      </c>
      <c r="C1641">
        <v>2001</v>
      </c>
    </row>
    <row r="1642" spans="1:11" x14ac:dyDescent="0.25">
      <c r="A1642">
        <v>137.546192336616</v>
      </c>
      <c r="B1642">
        <v>44.548938770102801</v>
      </c>
      <c r="C1642">
        <v>2000</v>
      </c>
    </row>
    <row r="1643" spans="1:11" x14ac:dyDescent="0.25">
      <c r="A1643" t="s">
        <v>88</v>
      </c>
    </row>
    <row r="1644" spans="1:11" x14ac:dyDescent="0.25">
      <c r="A1644">
        <v>38</v>
      </c>
      <c r="B1644">
        <v>0</v>
      </c>
      <c r="C1644">
        <v>12.7003345092131</v>
      </c>
      <c r="D1644">
        <v>39.9571293213614</v>
      </c>
      <c r="E1644">
        <v>8</v>
      </c>
      <c r="F1644">
        <v>1.01722196789785</v>
      </c>
      <c r="G1644" t="s">
        <v>86</v>
      </c>
      <c r="H1644" t="s">
        <v>86</v>
      </c>
      <c r="I1644">
        <v>11</v>
      </c>
      <c r="J1644">
        <v>503</v>
      </c>
      <c r="K1644">
        <v>0</v>
      </c>
    </row>
    <row r="1645" spans="1:11" x14ac:dyDescent="0.25">
      <c r="A1645" t="s">
        <v>87</v>
      </c>
    </row>
    <row r="1646" spans="1:11" x14ac:dyDescent="0.25">
      <c r="A1646">
        <v>27.5146560093877</v>
      </c>
      <c r="B1646">
        <v>20.786243531757901</v>
      </c>
      <c r="C1646">
        <v>2000</v>
      </c>
    </row>
    <row r="1647" spans="1:11" x14ac:dyDescent="0.25">
      <c r="A1647">
        <v>18.534163354585701</v>
      </c>
      <c r="B1647">
        <v>11.8057508769558</v>
      </c>
      <c r="C1647">
        <v>2000</v>
      </c>
    </row>
    <row r="1648" spans="1:11" x14ac:dyDescent="0.25">
      <c r="A1648">
        <v>18.097147330136799</v>
      </c>
      <c r="B1648">
        <v>12.2427669014047</v>
      </c>
      <c r="C1648">
        <v>2001</v>
      </c>
    </row>
    <row r="1649" spans="1:11" x14ac:dyDescent="0.25">
      <c r="A1649">
        <v>27.077639984938902</v>
      </c>
      <c r="B1649">
        <v>21.223259556206699</v>
      </c>
      <c r="C1649">
        <v>2001</v>
      </c>
    </row>
    <row r="1650" spans="1:11" x14ac:dyDescent="0.25">
      <c r="A1650">
        <v>49.781491987775603</v>
      </c>
      <c r="B1650">
        <v>43.927111559043396</v>
      </c>
      <c r="C1650">
        <v>2001</v>
      </c>
    </row>
    <row r="1651" spans="1:11" x14ac:dyDescent="0.25">
      <c r="A1651">
        <v>55.331597084821396</v>
      </c>
      <c r="B1651">
        <v>49.477216656089197</v>
      </c>
      <c r="C1651">
        <v>2001</v>
      </c>
    </row>
    <row r="1652" spans="1:11" x14ac:dyDescent="0.25">
      <c r="A1652">
        <v>55.768613109270198</v>
      </c>
      <c r="B1652">
        <v>49.040200631640403</v>
      </c>
      <c r="C1652">
        <v>2000</v>
      </c>
    </row>
    <row r="1653" spans="1:11" x14ac:dyDescent="0.25">
      <c r="A1653">
        <v>50.218508012224397</v>
      </c>
      <c r="B1653">
        <v>43.490095534594602</v>
      </c>
      <c r="C1653">
        <v>2000</v>
      </c>
    </row>
    <row r="1654" spans="1:11" x14ac:dyDescent="0.25">
      <c r="A1654" t="s">
        <v>88</v>
      </c>
    </row>
    <row r="1655" spans="1:11" x14ac:dyDescent="0.25">
      <c r="A1655">
        <v>582</v>
      </c>
      <c r="B1655">
        <v>0</v>
      </c>
      <c r="C1655">
        <v>7.8022659565650097</v>
      </c>
      <c r="D1655">
        <v>44.822584936835597</v>
      </c>
      <c r="E1655">
        <v>6</v>
      </c>
      <c r="F1655">
        <v>1.01722196789785</v>
      </c>
      <c r="G1655" t="s">
        <v>85</v>
      </c>
      <c r="H1655" t="s">
        <v>85</v>
      </c>
      <c r="I1655">
        <v>0</v>
      </c>
      <c r="J1655">
        <v>0</v>
      </c>
      <c r="K1655">
        <v>0</v>
      </c>
    </row>
    <row r="1656" spans="1:11" x14ac:dyDescent="0.25">
      <c r="A1656" t="s">
        <v>87</v>
      </c>
    </row>
    <row r="1657" spans="1:11" x14ac:dyDescent="0.25">
      <c r="A1657">
        <v>5.5818280389275499</v>
      </c>
      <c r="B1657">
        <v>117.933423088824</v>
      </c>
      <c r="C1657">
        <v>2000</v>
      </c>
    </row>
    <row r="1658" spans="1:11" x14ac:dyDescent="0.25">
      <c r="A1658">
        <v>0</v>
      </c>
      <c r="B1658">
        <v>112.351595049897</v>
      </c>
      <c r="C1658">
        <v>2000</v>
      </c>
    </row>
    <row r="1659" spans="1:11" x14ac:dyDescent="0.25">
      <c r="A1659">
        <v>0</v>
      </c>
      <c r="B1659">
        <v>113.22562709879401</v>
      </c>
      <c r="C1659">
        <v>2001</v>
      </c>
    </row>
    <row r="1660" spans="1:11" x14ac:dyDescent="0.25">
      <c r="A1660">
        <v>5.4522422940885802</v>
      </c>
      <c r="B1660">
        <v>118.677869392883</v>
      </c>
      <c r="C1660">
        <v>2001</v>
      </c>
    </row>
    <row r="1661" spans="1:11" x14ac:dyDescent="0.25">
      <c r="A1661">
        <v>36.774372901205702</v>
      </c>
      <c r="B1661">
        <v>150</v>
      </c>
      <c r="C1661">
        <v>2001</v>
      </c>
    </row>
    <row r="1662" spans="1:11" x14ac:dyDescent="0.25">
      <c r="A1662">
        <v>37.648404950103398</v>
      </c>
      <c r="B1662">
        <v>150</v>
      </c>
      <c r="C1662">
        <v>2000</v>
      </c>
    </row>
    <row r="1663" spans="1:11" x14ac:dyDescent="0.25">
      <c r="A1663" t="s">
        <v>88</v>
      </c>
    </row>
    <row r="1664" spans="1:11" x14ac:dyDescent="0.25">
      <c r="A1664">
        <v>183</v>
      </c>
      <c r="B1664">
        <v>0</v>
      </c>
      <c r="C1664">
        <v>45.581005589413998</v>
      </c>
      <c r="D1664">
        <v>6.8649579065396198</v>
      </c>
      <c r="E1664">
        <v>10</v>
      </c>
      <c r="F1664">
        <v>1.01722196789785</v>
      </c>
      <c r="G1664" t="s">
        <v>86</v>
      </c>
      <c r="H1664" t="s">
        <v>86</v>
      </c>
      <c r="I1664">
        <v>482</v>
      </c>
      <c r="J1664">
        <v>200</v>
      </c>
      <c r="K1664">
        <v>0</v>
      </c>
    </row>
    <row r="1665" spans="1:11" x14ac:dyDescent="0.25">
      <c r="A1665" t="s">
        <v>87</v>
      </c>
    </row>
    <row r="1666" spans="1:11" x14ac:dyDescent="0.25">
      <c r="A1666">
        <v>129.626922268708</v>
      </c>
      <c r="B1666">
        <v>106.241407419206</v>
      </c>
      <c r="C1666">
        <v>2000</v>
      </c>
    </row>
    <row r="1667" spans="1:11" x14ac:dyDescent="0.25">
      <c r="A1667">
        <v>123.167006837277</v>
      </c>
      <c r="B1667">
        <v>99.781491987775595</v>
      </c>
      <c r="C1667">
        <v>2000</v>
      </c>
    </row>
    <row r="1668" spans="1:11" x14ac:dyDescent="0.25">
      <c r="A1668">
        <v>100.21850801222401</v>
      </c>
      <c r="B1668">
        <v>76.832993162722602</v>
      </c>
      <c r="C1668">
        <v>2000</v>
      </c>
    </row>
    <row r="1669" spans="1:11" x14ac:dyDescent="0.25">
      <c r="A1669">
        <v>97.396284123131394</v>
      </c>
      <c r="B1669">
        <v>74.010769273629606</v>
      </c>
      <c r="C1669">
        <v>2000</v>
      </c>
    </row>
    <row r="1670" spans="1:11" x14ac:dyDescent="0.25">
      <c r="A1670">
        <v>96.9592680986826</v>
      </c>
      <c r="B1670">
        <v>74.447785298078401</v>
      </c>
      <c r="C1670">
        <v>2001</v>
      </c>
    </row>
    <row r="1671" spans="1:11" x14ac:dyDescent="0.25">
      <c r="A1671">
        <v>99.781491987775595</v>
      </c>
      <c r="B1671">
        <v>77.270009187171397</v>
      </c>
      <c r="C1671">
        <v>2001</v>
      </c>
    </row>
    <row r="1672" spans="1:11" x14ac:dyDescent="0.25">
      <c r="A1672">
        <v>122.729990812829</v>
      </c>
      <c r="B1672">
        <v>100.21850801222401</v>
      </c>
      <c r="C1672">
        <v>2001</v>
      </c>
    </row>
    <row r="1673" spans="1:11" x14ac:dyDescent="0.25">
      <c r="A1673">
        <v>129.18990624425899</v>
      </c>
      <c r="B1673">
        <v>106.67842344365501</v>
      </c>
      <c r="C1673">
        <v>2001</v>
      </c>
    </row>
    <row r="1674" spans="1:11" x14ac:dyDescent="0.25">
      <c r="A1674">
        <v>134.04416453253299</v>
      </c>
      <c r="B1674">
        <v>111.532681731929</v>
      </c>
      <c r="C1674">
        <v>2001</v>
      </c>
    </row>
    <row r="1675" spans="1:11" x14ac:dyDescent="0.25">
      <c r="A1675">
        <v>134.481180556982</v>
      </c>
      <c r="B1675">
        <v>111.09566570747999</v>
      </c>
      <c r="C1675">
        <v>2000</v>
      </c>
    </row>
    <row r="1676" spans="1:11" x14ac:dyDescent="0.25">
      <c r="A1676" t="s">
        <v>88</v>
      </c>
    </row>
    <row r="1677" spans="1:11" x14ac:dyDescent="0.25">
      <c r="A1677">
        <v>170</v>
      </c>
      <c r="B1677">
        <v>0</v>
      </c>
      <c r="C1677">
        <v>41.6908452926994</v>
      </c>
      <c r="D1677">
        <v>10.4633640709141</v>
      </c>
      <c r="E1677">
        <v>6</v>
      </c>
      <c r="F1677">
        <v>1.5707963267949001</v>
      </c>
      <c r="G1677" t="s">
        <v>86</v>
      </c>
      <c r="H1677" t="s">
        <v>85</v>
      </c>
      <c r="I1677">
        <v>161</v>
      </c>
      <c r="J1677">
        <v>0</v>
      </c>
      <c r="K1677">
        <v>0</v>
      </c>
    </row>
    <row r="1678" spans="1:11" x14ac:dyDescent="0.25">
      <c r="A1678" t="s">
        <v>87</v>
      </c>
    </row>
    <row r="1679" spans="1:11" x14ac:dyDescent="0.25">
      <c r="A1679">
        <v>133.54681366288401</v>
      </c>
      <c r="B1679">
        <v>142.60128431143301</v>
      </c>
      <c r="C1679">
        <v>2000</v>
      </c>
    </row>
    <row r="1680" spans="1:11" x14ac:dyDescent="0.25">
      <c r="A1680">
        <v>104.066934243017</v>
      </c>
      <c r="B1680">
        <v>113.121404891566</v>
      </c>
      <c r="C1680">
        <v>2000</v>
      </c>
    </row>
    <row r="1681" spans="1:11" x14ac:dyDescent="0.25">
      <c r="A1681">
        <v>104.066934243017</v>
      </c>
      <c r="B1681">
        <v>113.121404891566</v>
      </c>
      <c r="C1681">
        <v>2001</v>
      </c>
    </row>
    <row r="1682" spans="1:11" x14ac:dyDescent="0.25">
      <c r="A1682">
        <v>133.54681366288401</v>
      </c>
      <c r="B1682">
        <v>142.60128431143301</v>
      </c>
      <c r="C1682">
        <v>2001</v>
      </c>
    </row>
    <row r="1683" spans="1:11" x14ac:dyDescent="0.25">
      <c r="A1683">
        <v>140.945529351451</v>
      </c>
      <c r="B1683">
        <v>150</v>
      </c>
      <c r="C1683">
        <v>2001</v>
      </c>
    </row>
    <row r="1684" spans="1:11" x14ac:dyDescent="0.25">
      <c r="A1684">
        <v>140.945529351451</v>
      </c>
      <c r="B1684">
        <v>150</v>
      </c>
      <c r="C1684">
        <v>2000</v>
      </c>
    </row>
    <row r="1685" spans="1:11" x14ac:dyDescent="0.25">
      <c r="A1685" t="s">
        <v>88</v>
      </c>
    </row>
    <row r="1686" spans="1:11" x14ac:dyDescent="0.25">
      <c r="A1686">
        <v>272</v>
      </c>
      <c r="B1686">
        <v>0</v>
      </c>
      <c r="C1686">
        <v>45.4694003723056</v>
      </c>
      <c r="D1686">
        <v>6.0860642534725002</v>
      </c>
      <c r="E1686">
        <v>10</v>
      </c>
      <c r="F1686">
        <v>1.01722196789785</v>
      </c>
      <c r="G1686" t="s">
        <v>86</v>
      </c>
      <c r="H1686" t="s">
        <v>86</v>
      </c>
      <c r="I1686">
        <v>654</v>
      </c>
      <c r="J1686">
        <v>263</v>
      </c>
      <c r="K1686">
        <v>0</v>
      </c>
    </row>
    <row r="1687" spans="1:11" x14ac:dyDescent="0.25">
      <c r="A1687" t="s">
        <v>87</v>
      </c>
    </row>
    <row r="1688" spans="1:11" x14ac:dyDescent="0.25">
      <c r="A1688">
        <v>65.333381263698897</v>
      </c>
      <c r="B1688">
        <v>123.88655566930601</v>
      </c>
      <c r="C1688">
        <v>2000</v>
      </c>
    </row>
    <row r="1689" spans="1:11" x14ac:dyDescent="0.25">
      <c r="A1689">
        <v>49.781491987775603</v>
      </c>
      <c r="B1689">
        <v>108.334666393383</v>
      </c>
      <c r="C1689">
        <v>2000</v>
      </c>
    </row>
    <row r="1690" spans="1:11" x14ac:dyDescent="0.25">
      <c r="A1690">
        <v>41.665333606616997</v>
      </c>
      <c r="B1690">
        <v>100.21850801222401</v>
      </c>
      <c r="C1690">
        <v>2000</v>
      </c>
    </row>
    <row r="1691" spans="1:11" x14ac:dyDescent="0.25">
      <c r="A1691">
        <v>33.181659923955401</v>
      </c>
      <c r="B1691">
        <v>91.734834329562801</v>
      </c>
      <c r="C1691">
        <v>2000</v>
      </c>
    </row>
    <row r="1692" spans="1:11" x14ac:dyDescent="0.25">
      <c r="A1692">
        <v>33.618675948404302</v>
      </c>
      <c r="B1692">
        <v>91.297818305114006</v>
      </c>
      <c r="C1692">
        <v>2001</v>
      </c>
    </row>
    <row r="1693" spans="1:11" x14ac:dyDescent="0.25">
      <c r="A1693">
        <v>42.102349631065799</v>
      </c>
      <c r="B1693">
        <v>99.781491987775595</v>
      </c>
      <c r="C1693">
        <v>2001</v>
      </c>
    </row>
    <row r="1694" spans="1:11" x14ac:dyDescent="0.25">
      <c r="A1694">
        <v>50.218508012224397</v>
      </c>
      <c r="B1694">
        <v>107.89765036893399</v>
      </c>
      <c r="C1694">
        <v>2001</v>
      </c>
    </row>
    <row r="1695" spans="1:11" x14ac:dyDescent="0.25">
      <c r="A1695">
        <v>65.770397288147706</v>
      </c>
      <c r="B1695">
        <v>123.449539644857</v>
      </c>
      <c r="C1695">
        <v>2001</v>
      </c>
    </row>
    <row r="1696" spans="1:11" x14ac:dyDescent="0.25">
      <c r="A1696">
        <v>70.073894592515202</v>
      </c>
      <c r="B1696">
        <v>127.75303694922501</v>
      </c>
      <c r="C1696">
        <v>2001</v>
      </c>
    </row>
    <row r="1697" spans="1:11" x14ac:dyDescent="0.25">
      <c r="A1697">
        <v>69.636878568066393</v>
      </c>
      <c r="B1697">
        <v>128.190052973674</v>
      </c>
      <c r="C1697">
        <v>2000</v>
      </c>
    </row>
    <row r="1698" spans="1:11" x14ac:dyDescent="0.25">
      <c r="A1698" t="s">
        <v>88</v>
      </c>
    </row>
    <row r="1699" spans="1:11" x14ac:dyDescent="0.25">
      <c r="A1699">
        <v>736</v>
      </c>
      <c r="B1699">
        <v>0</v>
      </c>
      <c r="C1699">
        <v>13.427011625223701</v>
      </c>
      <c r="D1699">
        <v>38.109721369755498</v>
      </c>
      <c r="E1699">
        <v>8</v>
      </c>
      <c r="F1699">
        <v>1.01722196789785</v>
      </c>
      <c r="G1699" t="s">
        <v>86</v>
      </c>
      <c r="H1699" t="s">
        <v>85</v>
      </c>
      <c r="I1699">
        <v>255</v>
      </c>
      <c r="J1699">
        <v>0</v>
      </c>
      <c r="K1699">
        <v>0.132280897398523</v>
      </c>
    </row>
    <row r="1700" spans="1:11" x14ac:dyDescent="0.25">
      <c r="A1700" t="s">
        <v>87</v>
      </c>
    </row>
    <row r="1701" spans="1:11" x14ac:dyDescent="0.25">
      <c r="A1701">
        <v>88.759435177670596</v>
      </c>
      <c r="B1701">
        <v>122.876021949527</v>
      </c>
      <c r="C1701">
        <v>2000</v>
      </c>
    </row>
    <row r="1702" spans="1:11" x14ac:dyDescent="0.25">
      <c r="A1702">
        <v>79.222931834968406</v>
      </c>
      <c r="B1702">
        <v>113.339518606825</v>
      </c>
      <c r="C1702">
        <v>2000</v>
      </c>
    </row>
    <row r="1703" spans="1:11" x14ac:dyDescent="0.25">
      <c r="A1703">
        <v>78.785915810519597</v>
      </c>
      <c r="B1703">
        <v>113.776534631274</v>
      </c>
      <c r="C1703">
        <v>2001</v>
      </c>
    </row>
    <row r="1704" spans="1:11" x14ac:dyDescent="0.25">
      <c r="A1704">
        <v>88.238074410350094</v>
      </c>
      <c r="B1704">
        <v>123.228693231105</v>
      </c>
      <c r="C1704">
        <v>2001</v>
      </c>
    </row>
    <row r="1705" spans="1:11" x14ac:dyDescent="0.25">
      <c r="A1705">
        <v>99.688232837685206</v>
      </c>
      <c r="B1705">
        <v>134.67885165844001</v>
      </c>
      <c r="C1705">
        <v>2001</v>
      </c>
    </row>
    <row r="1706" spans="1:11" x14ac:dyDescent="0.25">
      <c r="A1706">
        <v>115.009381179245</v>
      </c>
      <c r="B1706">
        <v>150</v>
      </c>
      <c r="C1706">
        <v>2001</v>
      </c>
    </row>
    <row r="1707" spans="1:11" x14ac:dyDescent="0.25">
      <c r="A1707">
        <v>115.883413228143</v>
      </c>
      <c r="B1707">
        <v>150</v>
      </c>
      <c r="C1707">
        <v>2000</v>
      </c>
    </row>
    <row r="1708" spans="1:11" x14ac:dyDescent="0.25">
      <c r="A1708">
        <v>100.31176716231499</v>
      </c>
      <c r="B1708">
        <v>134.42835393417201</v>
      </c>
      <c r="C1708">
        <v>2000</v>
      </c>
    </row>
    <row r="1709" spans="1:11" x14ac:dyDescent="0.25">
      <c r="A1709" t="s">
        <v>88</v>
      </c>
    </row>
    <row r="1710" spans="1:11" x14ac:dyDescent="0.25">
      <c r="A1710">
        <v>190</v>
      </c>
      <c r="B1710">
        <v>0</v>
      </c>
      <c r="C1710">
        <v>18.6357723440616</v>
      </c>
      <c r="D1710">
        <v>32.737800651360502</v>
      </c>
      <c r="E1710">
        <v>8</v>
      </c>
      <c r="F1710">
        <v>1.01722196789785</v>
      </c>
      <c r="G1710" t="s">
        <v>86</v>
      </c>
      <c r="H1710" t="s">
        <v>85</v>
      </c>
      <c r="I1710">
        <v>402</v>
      </c>
      <c r="J1710">
        <v>0</v>
      </c>
      <c r="K1710">
        <v>0</v>
      </c>
    </row>
    <row r="1711" spans="1:11" x14ac:dyDescent="0.25">
      <c r="A1711" t="s">
        <v>87</v>
      </c>
    </row>
    <row r="1712" spans="1:11" x14ac:dyDescent="0.25">
      <c r="A1712">
        <v>127.011036531396</v>
      </c>
      <c r="B1712">
        <v>108.15713330259</v>
      </c>
      <c r="C1712">
        <v>2000</v>
      </c>
    </row>
    <row r="1713" spans="1:11" x14ac:dyDescent="0.25">
      <c r="A1713">
        <v>118.635395216581</v>
      </c>
      <c r="B1713">
        <v>99.781491987775595</v>
      </c>
      <c r="C1713">
        <v>2000</v>
      </c>
    </row>
    <row r="1714" spans="1:11" x14ac:dyDescent="0.25">
      <c r="A1714">
        <v>113.891906173379</v>
      </c>
      <c r="B1714">
        <v>95.038002944573606</v>
      </c>
      <c r="C1714">
        <v>2000</v>
      </c>
    </row>
    <row r="1715" spans="1:11" x14ac:dyDescent="0.25">
      <c r="A1715">
        <v>113.454890148931</v>
      </c>
      <c r="B1715">
        <v>95.4750189690224</v>
      </c>
      <c r="C1715">
        <v>2001</v>
      </c>
    </row>
    <row r="1716" spans="1:11" x14ac:dyDescent="0.25">
      <c r="A1716">
        <v>118.198379192133</v>
      </c>
      <c r="B1716">
        <v>100.21850801222401</v>
      </c>
      <c r="C1716">
        <v>2001</v>
      </c>
    </row>
    <row r="1717" spans="1:11" x14ac:dyDescent="0.25">
      <c r="A1717">
        <v>126.690721785183</v>
      </c>
      <c r="B1717">
        <v>108.710850605275</v>
      </c>
      <c r="C1717">
        <v>2001</v>
      </c>
    </row>
    <row r="1718" spans="1:11" x14ac:dyDescent="0.25">
      <c r="A1718">
        <v>150</v>
      </c>
      <c r="B1718">
        <v>132.020128820092</v>
      </c>
      <c r="C1718">
        <v>2001</v>
      </c>
    </row>
    <row r="1719" spans="1:11" x14ac:dyDescent="0.25">
      <c r="A1719">
        <v>150</v>
      </c>
      <c r="B1719">
        <v>131.14609677119401</v>
      </c>
      <c r="C1719">
        <v>2000</v>
      </c>
    </row>
    <row r="1720" spans="1:11" x14ac:dyDescent="0.25">
      <c r="A1720" t="s">
        <v>88</v>
      </c>
    </row>
    <row r="1721" spans="1:11" x14ac:dyDescent="0.25">
      <c r="A1721">
        <v>17</v>
      </c>
      <c r="B1721">
        <v>0</v>
      </c>
      <c r="C1721">
        <v>6.9400336717112596</v>
      </c>
      <c r="D1721">
        <v>44.2767078441289</v>
      </c>
      <c r="E1721">
        <v>8</v>
      </c>
      <c r="F1721">
        <v>1.5707963267949001</v>
      </c>
      <c r="G1721" t="s">
        <v>86</v>
      </c>
      <c r="H1721" t="s">
        <v>86</v>
      </c>
      <c r="I1721">
        <v>12</v>
      </c>
      <c r="J1721">
        <v>484</v>
      </c>
      <c r="K1721">
        <v>0</v>
      </c>
    </row>
    <row r="1722" spans="1:11" x14ac:dyDescent="0.25">
      <c r="A1722" t="s">
        <v>87</v>
      </c>
    </row>
    <row r="1723" spans="1:11" x14ac:dyDescent="0.25">
      <c r="A1723">
        <v>16.226616299816701</v>
      </c>
      <c r="B1723">
        <v>19.180788131980599</v>
      </c>
      <c r="C1723">
        <v>2000</v>
      </c>
    </row>
    <row r="1724" spans="1:11" x14ac:dyDescent="0.25">
      <c r="A1724">
        <v>11.319271428886699</v>
      </c>
      <c r="B1724">
        <v>14.2734432610506</v>
      </c>
      <c r="C1724">
        <v>2000</v>
      </c>
    </row>
    <row r="1725" spans="1:11" x14ac:dyDescent="0.25">
      <c r="A1725">
        <v>11.319271428886699</v>
      </c>
      <c r="B1725">
        <v>14.2734432610506</v>
      </c>
      <c r="C1725">
        <v>2001</v>
      </c>
    </row>
    <row r="1726" spans="1:11" x14ac:dyDescent="0.25">
      <c r="A1726">
        <v>16.226616299816701</v>
      </c>
      <c r="B1726">
        <v>19.180788131980599</v>
      </c>
      <c r="C1726">
        <v>2001</v>
      </c>
    </row>
    <row r="1727" spans="1:11" x14ac:dyDescent="0.25">
      <c r="A1727">
        <v>47.045828167836099</v>
      </c>
      <c r="B1727">
        <v>50</v>
      </c>
      <c r="C1727">
        <v>2001</v>
      </c>
    </row>
    <row r="1728" spans="1:11" x14ac:dyDescent="0.25">
      <c r="A1728">
        <v>47.534976665015897</v>
      </c>
      <c r="B1728">
        <v>50.489148497179698</v>
      </c>
      <c r="C1728">
        <v>2001</v>
      </c>
    </row>
    <row r="1729" spans="1:11" x14ac:dyDescent="0.25">
      <c r="A1729">
        <v>47.534976665015897</v>
      </c>
      <c r="B1729">
        <v>50.489148497179698</v>
      </c>
      <c r="C1729">
        <v>2000</v>
      </c>
    </row>
    <row r="1730" spans="1:11" x14ac:dyDescent="0.25">
      <c r="A1730">
        <v>47.045828167836099</v>
      </c>
      <c r="B1730">
        <v>50</v>
      </c>
      <c r="C1730">
        <v>2000</v>
      </c>
    </row>
    <row r="1731" spans="1:11" x14ac:dyDescent="0.25">
      <c r="A1731" t="s">
        <v>88</v>
      </c>
    </row>
    <row r="1732" spans="1:11" x14ac:dyDescent="0.25">
      <c r="A1732">
        <v>741</v>
      </c>
      <c r="B1732">
        <v>0</v>
      </c>
      <c r="C1732">
        <v>38.190588099977099</v>
      </c>
      <c r="D1732">
        <v>12.6410917180224</v>
      </c>
      <c r="E1732">
        <v>8</v>
      </c>
      <c r="F1732">
        <v>1.01722196789785</v>
      </c>
      <c r="G1732" t="s">
        <v>85</v>
      </c>
      <c r="H1732" t="s">
        <v>86</v>
      </c>
      <c r="I1732">
        <v>0</v>
      </c>
      <c r="J1732">
        <v>98</v>
      </c>
      <c r="K1732">
        <v>0.13301713194732501</v>
      </c>
    </row>
    <row r="1733" spans="1:11" x14ac:dyDescent="0.25">
      <c r="A1733" t="s">
        <v>87</v>
      </c>
    </row>
    <row r="1734" spans="1:11" x14ac:dyDescent="0.25">
      <c r="A1734">
        <v>51.120838445109698</v>
      </c>
      <c r="B1734">
        <v>27.213848836252801</v>
      </c>
      <c r="C1734">
        <v>2000</v>
      </c>
    </row>
    <row r="1735" spans="1:11" x14ac:dyDescent="0.25">
      <c r="A1735">
        <v>49.770578010137399</v>
      </c>
      <c r="B1735">
        <v>25.863588401280499</v>
      </c>
      <c r="C1735">
        <v>2000</v>
      </c>
    </row>
    <row r="1736" spans="1:11" x14ac:dyDescent="0.25">
      <c r="A1736">
        <v>23.9069896088569</v>
      </c>
      <c r="B1736">
        <v>0</v>
      </c>
      <c r="C1736">
        <v>2000</v>
      </c>
    </row>
    <row r="1737" spans="1:11" x14ac:dyDescent="0.25">
      <c r="A1737">
        <v>24.7810216577546</v>
      </c>
      <c r="B1737">
        <v>0</v>
      </c>
      <c r="C1737">
        <v>2001</v>
      </c>
    </row>
    <row r="1738" spans="1:11" x14ac:dyDescent="0.25">
      <c r="A1738">
        <v>50.229421989862601</v>
      </c>
      <c r="B1738">
        <v>25.448400332108001</v>
      </c>
      <c r="C1738">
        <v>2001</v>
      </c>
    </row>
    <row r="1739" spans="1:11" x14ac:dyDescent="0.25">
      <c r="A1739">
        <v>51.576820467493903</v>
      </c>
      <c r="B1739">
        <v>26.795798809739299</v>
      </c>
      <c r="C1739">
        <v>2001</v>
      </c>
    </row>
    <row r="1740" spans="1:11" x14ac:dyDescent="0.25">
      <c r="A1740">
        <v>60.505939143940999</v>
      </c>
      <c r="B1740">
        <v>35.724917486186399</v>
      </c>
      <c r="C1740">
        <v>2001</v>
      </c>
    </row>
    <row r="1741" spans="1:11" x14ac:dyDescent="0.25">
      <c r="A1741">
        <v>60.068923119492098</v>
      </c>
      <c r="B1741">
        <v>36.161933510635201</v>
      </c>
      <c r="C1741">
        <v>2000</v>
      </c>
    </row>
    <row r="1742" spans="1:11" x14ac:dyDescent="0.25">
      <c r="A1742" t="s">
        <v>88</v>
      </c>
    </row>
    <row r="1743" spans="1:11" x14ac:dyDescent="0.25">
      <c r="A1743">
        <v>35</v>
      </c>
      <c r="B1743">
        <v>0</v>
      </c>
      <c r="C1743">
        <v>0.207535988320871</v>
      </c>
      <c r="D1743">
        <v>50.524122918516198</v>
      </c>
      <c r="E1743">
        <v>8</v>
      </c>
      <c r="F1743">
        <v>1.01722196789785</v>
      </c>
      <c r="G1743" t="s">
        <v>85</v>
      </c>
      <c r="H1743" t="s">
        <v>86</v>
      </c>
      <c r="I1743">
        <v>0</v>
      </c>
      <c r="J1743">
        <v>440</v>
      </c>
      <c r="K1743">
        <v>0</v>
      </c>
    </row>
    <row r="1744" spans="1:11" x14ac:dyDescent="0.25">
      <c r="A1744" t="s">
        <v>87</v>
      </c>
    </row>
    <row r="1745" spans="1:11" x14ac:dyDescent="0.25">
      <c r="A1745">
        <v>34.251597091102099</v>
      </c>
      <c r="B1745">
        <v>0.148824207905772</v>
      </c>
      <c r="C1745">
        <v>2000</v>
      </c>
    </row>
    <row r="1746" spans="1:11" x14ac:dyDescent="0.25">
      <c r="A1746">
        <v>34.102772883196302</v>
      </c>
      <c r="B1746">
        <v>0</v>
      </c>
      <c r="C1746">
        <v>2000</v>
      </c>
    </row>
    <row r="1747" spans="1:11" x14ac:dyDescent="0.25">
      <c r="A1747">
        <v>34.976804932093998</v>
      </c>
      <c r="B1747">
        <v>0</v>
      </c>
      <c r="C1747">
        <v>2001</v>
      </c>
    </row>
    <row r="1748" spans="1:11" x14ac:dyDescent="0.25">
      <c r="A1748">
        <v>35.1214809335521</v>
      </c>
      <c r="B1748">
        <v>0.14467600145810799</v>
      </c>
      <c r="C1748">
        <v>2001</v>
      </c>
    </row>
    <row r="1749" spans="1:11" x14ac:dyDescent="0.25">
      <c r="A1749">
        <v>50.218508012224397</v>
      </c>
      <c r="B1749">
        <v>15.241703080130399</v>
      </c>
      <c r="C1749">
        <v>2001</v>
      </c>
    </row>
    <row r="1750" spans="1:11" x14ac:dyDescent="0.25">
      <c r="A1750">
        <v>70.630996953736997</v>
      </c>
      <c r="B1750">
        <v>35.654192021642999</v>
      </c>
      <c r="C1750">
        <v>2001</v>
      </c>
    </row>
    <row r="1751" spans="1:11" x14ac:dyDescent="0.25">
      <c r="A1751">
        <v>70.193980929288202</v>
      </c>
      <c r="B1751">
        <v>36.091208046091801</v>
      </c>
      <c r="C1751">
        <v>2000</v>
      </c>
    </row>
    <row r="1752" spans="1:11" x14ac:dyDescent="0.25">
      <c r="A1752">
        <v>49.781491987775603</v>
      </c>
      <c r="B1752">
        <v>15.6787191045792</v>
      </c>
      <c r="C1752">
        <v>2000</v>
      </c>
    </row>
    <row r="1753" spans="1:11" x14ac:dyDescent="0.25">
      <c r="A1753" t="s">
        <v>88</v>
      </c>
    </row>
    <row r="1754" spans="1:11" x14ac:dyDescent="0.25">
      <c r="A1754">
        <v>428</v>
      </c>
      <c r="B1754">
        <v>0</v>
      </c>
      <c r="C1754">
        <v>28.108963134424499</v>
      </c>
      <c r="D1754">
        <v>22.3409670272132</v>
      </c>
      <c r="E1754">
        <v>8</v>
      </c>
      <c r="F1754">
        <v>1.01722196789785</v>
      </c>
      <c r="G1754" t="s">
        <v>86</v>
      </c>
      <c r="H1754" t="s">
        <v>85</v>
      </c>
      <c r="I1754">
        <v>337</v>
      </c>
      <c r="J1754">
        <v>0</v>
      </c>
      <c r="K1754">
        <v>0</v>
      </c>
    </row>
    <row r="1755" spans="1:11" x14ac:dyDescent="0.25">
      <c r="A1755" t="s">
        <v>87</v>
      </c>
    </row>
    <row r="1756" spans="1:11" x14ac:dyDescent="0.25">
      <c r="A1756">
        <v>134.07025689123299</v>
      </c>
      <c r="B1756">
        <v>60.599716962125797</v>
      </c>
      <c r="C1756">
        <v>2000</v>
      </c>
    </row>
    <row r="1757" spans="1:11" x14ac:dyDescent="0.25">
      <c r="A1757">
        <v>123.68904794133201</v>
      </c>
      <c r="B1757">
        <v>50.218508012224397</v>
      </c>
      <c r="C1757">
        <v>2000</v>
      </c>
    </row>
    <row r="1758" spans="1:11" x14ac:dyDescent="0.25">
      <c r="A1758">
        <v>114.10800426009401</v>
      </c>
      <c r="B1758">
        <v>40.637464330986198</v>
      </c>
      <c r="C1758">
        <v>2000</v>
      </c>
    </row>
    <row r="1759" spans="1:11" x14ac:dyDescent="0.25">
      <c r="A1759">
        <v>114.545020284543</v>
      </c>
      <c r="B1759">
        <v>40.200448306537297</v>
      </c>
      <c r="C1759">
        <v>2001</v>
      </c>
    </row>
    <row r="1760" spans="1:11" x14ac:dyDescent="0.25">
      <c r="A1760">
        <v>124.126063965781</v>
      </c>
      <c r="B1760">
        <v>49.781491987775603</v>
      </c>
      <c r="C1760">
        <v>2001</v>
      </c>
    </row>
    <row r="1761" spans="1:11" x14ac:dyDescent="0.25">
      <c r="A1761">
        <v>134.33484454235199</v>
      </c>
      <c r="B1761">
        <v>59.990272564346199</v>
      </c>
      <c r="C1761">
        <v>2001</v>
      </c>
    </row>
    <row r="1762" spans="1:11" x14ac:dyDescent="0.25">
      <c r="A1762">
        <v>150</v>
      </c>
      <c r="B1762">
        <v>75.655428021994695</v>
      </c>
      <c r="C1762">
        <v>2001</v>
      </c>
    </row>
    <row r="1763" spans="1:11" x14ac:dyDescent="0.25">
      <c r="A1763">
        <v>150</v>
      </c>
      <c r="B1763">
        <v>76.529460070892398</v>
      </c>
      <c r="C1763">
        <v>2000</v>
      </c>
    </row>
    <row r="1764" spans="1:11" x14ac:dyDescent="0.25">
      <c r="A1764" t="s">
        <v>88</v>
      </c>
    </row>
    <row r="1765" spans="1:11" x14ac:dyDescent="0.25">
      <c r="A1765">
        <v>581</v>
      </c>
      <c r="B1765">
        <v>0</v>
      </c>
      <c r="C1765">
        <v>47.549108806002302</v>
      </c>
      <c r="D1765">
        <v>2.6149054811682202</v>
      </c>
      <c r="E1765">
        <v>6</v>
      </c>
      <c r="F1765">
        <v>1.01722196789785</v>
      </c>
      <c r="G1765" t="s">
        <v>86</v>
      </c>
      <c r="H1765" t="s">
        <v>86</v>
      </c>
      <c r="I1765">
        <v>564</v>
      </c>
      <c r="J1765">
        <v>568</v>
      </c>
      <c r="K1765">
        <v>0</v>
      </c>
    </row>
    <row r="1766" spans="1:11" x14ac:dyDescent="0.25">
      <c r="A1766" t="s">
        <v>87</v>
      </c>
    </row>
    <row r="1767" spans="1:11" x14ac:dyDescent="0.25">
      <c r="A1767">
        <v>39.567672355360401</v>
      </c>
      <c r="B1767">
        <v>143.986611143218</v>
      </c>
      <c r="C1767">
        <v>2000</v>
      </c>
    </row>
    <row r="1768" spans="1:11" x14ac:dyDescent="0.25">
      <c r="A1768">
        <v>5.94537507925914</v>
      </c>
      <c r="B1768">
        <v>110.364313867117</v>
      </c>
      <c r="C1768">
        <v>2000</v>
      </c>
    </row>
    <row r="1769" spans="1:11" x14ac:dyDescent="0.25">
      <c r="A1769">
        <v>5.5083590548103203</v>
      </c>
      <c r="B1769">
        <v>110.801329891566</v>
      </c>
      <c r="C1769">
        <v>2001</v>
      </c>
    </row>
    <row r="1770" spans="1:11" x14ac:dyDescent="0.25">
      <c r="A1770">
        <v>39.130656330911599</v>
      </c>
      <c r="B1770">
        <v>144.42362716766701</v>
      </c>
      <c r="C1770">
        <v>2001</v>
      </c>
    </row>
    <row r="1771" spans="1:11" x14ac:dyDescent="0.25">
      <c r="A1771">
        <v>40.979673728807498</v>
      </c>
      <c r="B1771">
        <v>146.27264456556301</v>
      </c>
      <c r="C1771">
        <v>2001</v>
      </c>
    </row>
    <row r="1772" spans="1:11" x14ac:dyDescent="0.25">
      <c r="A1772">
        <v>41.4166897532563</v>
      </c>
      <c r="B1772">
        <v>145.835628541114</v>
      </c>
      <c r="C1772">
        <v>2000</v>
      </c>
    </row>
    <row r="1773" spans="1:11" x14ac:dyDescent="0.25">
      <c r="A1773" t="s">
        <v>88</v>
      </c>
    </row>
    <row r="1774" spans="1:11" x14ac:dyDescent="0.25">
      <c r="A1774">
        <v>565</v>
      </c>
      <c r="B1774">
        <v>0</v>
      </c>
      <c r="C1774">
        <v>31.4148855079806</v>
      </c>
      <c r="D1774">
        <v>18.749128779189999</v>
      </c>
      <c r="E1774">
        <v>6</v>
      </c>
      <c r="F1774">
        <v>1.5707963267949001</v>
      </c>
      <c r="G1774" t="s">
        <v>86</v>
      </c>
      <c r="H1774" t="s">
        <v>86</v>
      </c>
      <c r="I1774">
        <v>564</v>
      </c>
      <c r="J1774">
        <v>568</v>
      </c>
      <c r="K1774">
        <v>0</v>
      </c>
    </row>
    <row r="1775" spans="1:11" x14ac:dyDescent="0.25">
      <c r="A1775" t="s">
        <v>87</v>
      </c>
    </row>
    <row r="1776" spans="1:11" x14ac:dyDescent="0.25">
      <c r="A1776">
        <v>28.696810001831899</v>
      </c>
      <c r="B1776">
        <v>132.04023609032899</v>
      </c>
      <c r="C1776">
        <v>2000</v>
      </c>
    </row>
    <row r="1777" spans="1:11" x14ac:dyDescent="0.25">
      <c r="A1777">
        <v>6.4831314289398003</v>
      </c>
      <c r="B1777">
        <v>109.826557517437</v>
      </c>
      <c r="C1777">
        <v>2000</v>
      </c>
    </row>
    <row r="1778" spans="1:11" x14ac:dyDescent="0.25">
      <c r="A1778">
        <v>6.4831314289398003</v>
      </c>
      <c r="B1778">
        <v>109.826557517437</v>
      </c>
      <c r="C1778">
        <v>2001</v>
      </c>
    </row>
    <row r="1779" spans="1:11" x14ac:dyDescent="0.25">
      <c r="A1779">
        <v>28.696810001831899</v>
      </c>
      <c r="B1779">
        <v>132.04023609032899</v>
      </c>
      <c r="C1779">
        <v>2001</v>
      </c>
    </row>
    <row r="1780" spans="1:11" x14ac:dyDescent="0.25">
      <c r="A1780">
        <v>41.954446102936998</v>
      </c>
      <c r="B1780">
        <v>145.29787219143401</v>
      </c>
      <c r="C1780">
        <v>2001</v>
      </c>
    </row>
    <row r="1781" spans="1:11" x14ac:dyDescent="0.25">
      <c r="A1781">
        <v>41.954446102936998</v>
      </c>
      <c r="B1781">
        <v>145.29787219143401</v>
      </c>
      <c r="C1781">
        <v>2000</v>
      </c>
    </row>
    <row r="1782" spans="1:11" x14ac:dyDescent="0.25">
      <c r="A1782" t="s">
        <v>88</v>
      </c>
    </row>
    <row r="1783" spans="1:11" x14ac:dyDescent="0.25">
      <c r="A1783">
        <v>642</v>
      </c>
      <c r="B1783">
        <v>0</v>
      </c>
      <c r="C1783">
        <v>0</v>
      </c>
      <c r="D1783">
        <v>50.086167123739202</v>
      </c>
      <c r="E1783">
        <v>8</v>
      </c>
      <c r="F1783">
        <v>1.5707963267949001</v>
      </c>
      <c r="G1783" t="s">
        <v>86</v>
      </c>
      <c r="H1783" t="s">
        <v>86</v>
      </c>
      <c r="I1783">
        <v>662</v>
      </c>
      <c r="J1783">
        <v>241</v>
      </c>
      <c r="K1783">
        <v>0</v>
      </c>
    </row>
    <row r="1784" spans="1:11" x14ac:dyDescent="0.25">
      <c r="A1784" t="s">
        <v>87</v>
      </c>
    </row>
    <row r="1785" spans="1:11" x14ac:dyDescent="0.25">
      <c r="A1785">
        <v>42.6280456327964</v>
      </c>
      <c r="B1785">
        <v>98.600563895237002</v>
      </c>
      <c r="C1785">
        <v>2000</v>
      </c>
    </row>
    <row r="1786" spans="1:11" x14ac:dyDescent="0.25">
      <c r="A1786">
        <v>42.6280456327964</v>
      </c>
      <c r="B1786">
        <v>98.600563895237002</v>
      </c>
      <c r="C1786">
        <v>2001</v>
      </c>
    </row>
    <row r="1787" spans="1:11" x14ac:dyDescent="0.25">
      <c r="A1787">
        <v>44.027481737559398</v>
      </c>
      <c r="B1787">
        <v>100</v>
      </c>
      <c r="C1787">
        <v>2001</v>
      </c>
    </row>
    <row r="1788" spans="1:11" x14ac:dyDescent="0.25">
      <c r="A1788">
        <v>50</v>
      </c>
      <c r="B1788">
        <v>105.972518262441</v>
      </c>
      <c r="C1788">
        <v>2001</v>
      </c>
    </row>
    <row r="1789" spans="1:11" x14ac:dyDescent="0.25">
      <c r="A1789">
        <v>78.044314049635105</v>
      </c>
      <c r="B1789">
        <v>134.01683231207599</v>
      </c>
      <c r="C1789">
        <v>2001</v>
      </c>
    </row>
    <row r="1790" spans="1:11" x14ac:dyDescent="0.25">
      <c r="A1790">
        <v>78.044314049635105</v>
      </c>
      <c r="B1790">
        <v>134.01683231207599</v>
      </c>
      <c r="C1790">
        <v>2000</v>
      </c>
    </row>
    <row r="1791" spans="1:11" x14ac:dyDescent="0.25">
      <c r="A1791">
        <v>50</v>
      </c>
      <c r="B1791">
        <v>105.972518262441</v>
      </c>
      <c r="C1791">
        <v>2000</v>
      </c>
    </row>
    <row r="1792" spans="1:11" x14ac:dyDescent="0.25">
      <c r="A1792">
        <v>44.027481737559398</v>
      </c>
      <c r="B1792">
        <v>100</v>
      </c>
      <c r="C1792">
        <v>2000</v>
      </c>
    </row>
    <row r="1793" spans="1:11" x14ac:dyDescent="0.25">
      <c r="A1793" t="s">
        <v>88</v>
      </c>
    </row>
    <row r="1794" spans="1:11" x14ac:dyDescent="0.25">
      <c r="A1794">
        <v>31</v>
      </c>
      <c r="B1794">
        <v>0</v>
      </c>
      <c r="C1794">
        <v>39.622742820418999</v>
      </c>
      <c r="D1794">
        <v>9.7653391509666303</v>
      </c>
      <c r="E1794">
        <v>6</v>
      </c>
      <c r="F1794">
        <v>1.01722196789785</v>
      </c>
      <c r="G1794" t="s">
        <v>85</v>
      </c>
      <c r="H1794" t="s">
        <v>86</v>
      </c>
      <c r="I1794">
        <v>0</v>
      </c>
      <c r="J1794">
        <v>23</v>
      </c>
      <c r="K1794">
        <v>0</v>
      </c>
    </row>
    <row r="1795" spans="1:11" x14ac:dyDescent="0.25">
      <c r="A1795" t="s">
        <v>87</v>
      </c>
    </row>
    <row r="1796" spans="1:11" x14ac:dyDescent="0.25">
      <c r="A1796">
        <v>28.192813296246101</v>
      </c>
      <c r="B1796">
        <v>28.556782952132</v>
      </c>
      <c r="C1796">
        <v>2000</v>
      </c>
    </row>
    <row r="1797" spans="1:11" x14ac:dyDescent="0.25">
      <c r="A1797">
        <v>0</v>
      </c>
      <c r="B1797">
        <v>0.363969655885925</v>
      </c>
      <c r="C1797">
        <v>2000</v>
      </c>
    </row>
    <row r="1798" spans="1:11" x14ac:dyDescent="0.25">
      <c r="A1798">
        <v>0</v>
      </c>
      <c r="B1798">
        <v>1.2380017047835701</v>
      </c>
      <c r="C1798">
        <v>2001</v>
      </c>
    </row>
    <row r="1799" spans="1:11" x14ac:dyDescent="0.25">
      <c r="A1799">
        <v>27.842206978811699</v>
      </c>
      <c r="B1799">
        <v>29.080208683595199</v>
      </c>
      <c r="C1799">
        <v>2001</v>
      </c>
    </row>
    <row r="1800" spans="1:11" x14ac:dyDescent="0.25">
      <c r="A1800">
        <v>34.7041396595395</v>
      </c>
      <c r="B1800">
        <v>35.942141364323</v>
      </c>
      <c r="C1800">
        <v>2001</v>
      </c>
    </row>
    <row r="1801" spans="1:11" x14ac:dyDescent="0.25">
      <c r="A1801">
        <v>35.141155683988302</v>
      </c>
      <c r="B1801">
        <v>35.505125339874198</v>
      </c>
      <c r="C1801">
        <v>2000</v>
      </c>
    </row>
    <row r="1802" spans="1:11" x14ac:dyDescent="0.25">
      <c r="A1802" t="s">
        <v>88</v>
      </c>
    </row>
    <row r="1803" spans="1:11" x14ac:dyDescent="0.25">
      <c r="A1803">
        <v>184</v>
      </c>
      <c r="B1803">
        <v>0</v>
      </c>
      <c r="C1803">
        <v>42.592399141260998</v>
      </c>
      <c r="D1803">
        <v>5.8309954866276703</v>
      </c>
      <c r="E1803">
        <v>8</v>
      </c>
      <c r="F1803">
        <v>1.01722196789785</v>
      </c>
      <c r="G1803" t="s">
        <v>86</v>
      </c>
      <c r="H1803" t="s">
        <v>85</v>
      </c>
      <c r="I1803">
        <v>519</v>
      </c>
      <c r="J1803">
        <v>0</v>
      </c>
      <c r="K1803">
        <v>0</v>
      </c>
    </row>
    <row r="1804" spans="1:11" x14ac:dyDescent="0.25">
      <c r="A1804" t="s">
        <v>87</v>
      </c>
    </row>
    <row r="1805" spans="1:11" x14ac:dyDescent="0.25">
      <c r="A1805">
        <v>127.340175449003</v>
      </c>
      <c r="B1805">
        <v>145.90513088960699</v>
      </c>
      <c r="C1805">
        <v>2000</v>
      </c>
    </row>
    <row r="1806" spans="1:11" x14ac:dyDescent="0.25">
      <c r="A1806">
        <v>99.781491987775595</v>
      </c>
      <c r="B1806">
        <v>118.34644742838</v>
      </c>
      <c r="C1806">
        <v>2000</v>
      </c>
    </row>
    <row r="1807" spans="1:11" x14ac:dyDescent="0.25">
      <c r="A1807">
        <v>97.4130418621681</v>
      </c>
      <c r="B1807">
        <v>115.977997302772</v>
      </c>
      <c r="C1807">
        <v>2000</v>
      </c>
    </row>
    <row r="1808" spans="1:11" x14ac:dyDescent="0.25">
      <c r="A1808">
        <v>97.850057886616895</v>
      </c>
      <c r="B1808">
        <v>115.540981278323</v>
      </c>
      <c r="C1808">
        <v>2001</v>
      </c>
    </row>
    <row r="1809" spans="1:11" x14ac:dyDescent="0.25">
      <c r="A1809">
        <v>100.21850801222401</v>
      </c>
      <c r="B1809">
        <v>117.90943140393099</v>
      </c>
      <c r="C1809">
        <v>2001</v>
      </c>
    </row>
    <row r="1810" spans="1:11" x14ac:dyDescent="0.25">
      <c r="A1810">
        <v>128.15767281936101</v>
      </c>
      <c r="B1810">
        <v>145.84859621106801</v>
      </c>
      <c r="C1810">
        <v>2001</v>
      </c>
    </row>
    <row r="1811" spans="1:11" x14ac:dyDescent="0.25">
      <c r="A1811">
        <v>132.30907660829399</v>
      </c>
      <c r="B1811">
        <v>150</v>
      </c>
      <c r="C1811">
        <v>2001</v>
      </c>
    </row>
    <row r="1812" spans="1:11" x14ac:dyDescent="0.25">
      <c r="A1812">
        <v>131.435044559396</v>
      </c>
      <c r="B1812">
        <v>150</v>
      </c>
      <c r="C1812">
        <v>2000</v>
      </c>
    </row>
    <row r="1813" spans="1:11" x14ac:dyDescent="0.25">
      <c r="A1813" t="s">
        <v>88</v>
      </c>
    </row>
    <row r="1814" spans="1:11" x14ac:dyDescent="0.25">
      <c r="A1814">
        <v>112</v>
      </c>
      <c r="B1814">
        <v>0</v>
      </c>
      <c r="C1814">
        <v>21.441518147836899</v>
      </c>
      <c r="D1814">
        <v>25.888575839777801</v>
      </c>
      <c r="E1814">
        <v>10</v>
      </c>
      <c r="F1814">
        <v>1.01722196789785</v>
      </c>
      <c r="G1814" t="s">
        <v>86</v>
      </c>
      <c r="H1814" t="s">
        <v>86</v>
      </c>
      <c r="I1814">
        <v>114</v>
      </c>
      <c r="J1814">
        <v>735</v>
      </c>
      <c r="K1814">
        <v>0</v>
      </c>
    </row>
    <row r="1815" spans="1:11" x14ac:dyDescent="0.25">
      <c r="A1815" t="s">
        <v>87</v>
      </c>
    </row>
    <row r="1816" spans="1:11" x14ac:dyDescent="0.25">
      <c r="A1816">
        <v>83.952216245681896</v>
      </c>
      <c r="B1816">
        <v>36.9175165518689</v>
      </c>
      <c r="C1816">
        <v>2000</v>
      </c>
    </row>
    <row r="1817" spans="1:11" x14ac:dyDescent="0.25">
      <c r="A1817">
        <v>68.790773364412004</v>
      </c>
      <c r="B1817">
        <v>21.756073670599001</v>
      </c>
      <c r="C1817">
        <v>2000</v>
      </c>
    </row>
    <row r="1818" spans="1:11" x14ac:dyDescent="0.25">
      <c r="A1818">
        <v>69.227789388860799</v>
      </c>
      <c r="B1818">
        <v>21.319057646150199</v>
      </c>
      <c r="C1818">
        <v>2001</v>
      </c>
    </row>
    <row r="1819" spans="1:11" x14ac:dyDescent="0.25">
      <c r="A1819">
        <v>84.389232270130705</v>
      </c>
      <c r="B1819">
        <v>36.480500527420098</v>
      </c>
      <c r="C1819">
        <v>2001</v>
      </c>
    </row>
    <row r="1820" spans="1:11" x14ac:dyDescent="0.25">
      <c r="A1820">
        <v>97.690223730486196</v>
      </c>
      <c r="B1820">
        <v>49.781491987775603</v>
      </c>
      <c r="C1820">
        <v>2001</v>
      </c>
    </row>
    <row r="1821" spans="1:11" x14ac:dyDescent="0.25">
      <c r="A1821">
        <v>100.21850801222401</v>
      </c>
      <c r="B1821">
        <v>52.309776269513797</v>
      </c>
      <c r="C1821">
        <v>2001</v>
      </c>
    </row>
    <row r="1822" spans="1:11" x14ac:dyDescent="0.25">
      <c r="A1822">
        <v>102.69521980170001</v>
      </c>
      <c r="B1822">
        <v>54.7864880589892</v>
      </c>
      <c r="C1822">
        <v>2001</v>
      </c>
    </row>
    <row r="1823" spans="1:11" x14ac:dyDescent="0.25">
      <c r="A1823">
        <v>102.258203777251</v>
      </c>
      <c r="B1823">
        <v>55.223504083438002</v>
      </c>
      <c r="C1823">
        <v>2000</v>
      </c>
    </row>
    <row r="1824" spans="1:11" x14ac:dyDescent="0.25">
      <c r="A1824">
        <v>99.781491987775595</v>
      </c>
      <c r="B1824">
        <v>52.746792293962599</v>
      </c>
      <c r="C1824">
        <v>2000</v>
      </c>
    </row>
    <row r="1825" spans="1:11" x14ac:dyDescent="0.25">
      <c r="A1825">
        <v>97.253207706037401</v>
      </c>
      <c r="B1825">
        <v>50.218508012224397</v>
      </c>
      <c r="C1825">
        <v>2000</v>
      </c>
    </row>
    <row r="1826" spans="1:11" x14ac:dyDescent="0.25">
      <c r="A1826" t="s">
        <v>88</v>
      </c>
    </row>
    <row r="1827" spans="1:11" x14ac:dyDescent="0.25">
      <c r="A1827">
        <v>437</v>
      </c>
      <c r="B1827">
        <v>0</v>
      </c>
      <c r="C1827">
        <v>19.969209530495299</v>
      </c>
      <c r="D1827">
        <v>27.171544558662099</v>
      </c>
      <c r="E1827">
        <v>10</v>
      </c>
      <c r="F1827">
        <v>1.01722196789785</v>
      </c>
      <c r="G1827" t="s">
        <v>86</v>
      </c>
      <c r="H1827" t="s">
        <v>86</v>
      </c>
      <c r="I1827">
        <v>518</v>
      </c>
      <c r="J1827">
        <v>195</v>
      </c>
      <c r="K1827">
        <v>0</v>
      </c>
    </row>
    <row r="1828" spans="1:11" x14ac:dyDescent="0.25">
      <c r="A1828" t="s">
        <v>87</v>
      </c>
    </row>
    <row r="1829" spans="1:11" x14ac:dyDescent="0.25">
      <c r="A1829">
        <v>103.71391851023</v>
      </c>
      <c r="B1829">
        <v>84.538227840107197</v>
      </c>
      <c r="C1829">
        <v>2000</v>
      </c>
    </row>
    <row r="1830" spans="1:11" x14ac:dyDescent="0.25">
      <c r="A1830">
        <v>99.781491987775595</v>
      </c>
      <c r="B1830">
        <v>80.605801317652805</v>
      </c>
      <c r="C1830">
        <v>2000</v>
      </c>
    </row>
    <row r="1831" spans="1:11" x14ac:dyDescent="0.25">
      <c r="A1831">
        <v>89.593555036281799</v>
      </c>
      <c r="B1831">
        <v>70.417864366158994</v>
      </c>
      <c r="C1831">
        <v>2000</v>
      </c>
    </row>
    <row r="1832" spans="1:11" x14ac:dyDescent="0.25">
      <c r="A1832">
        <v>90.030571060730594</v>
      </c>
      <c r="B1832">
        <v>69.9808483417102</v>
      </c>
      <c r="C1832">
        <v>2001</v>
      </c>
    </row>
    <row r="1833" spans="1:11" x14ac:dyDescent="0.25">
      <c r="A1833">
        <v>100.21850801222401</v>
      </c>
      <c r="B1833">
        <v>80.168785293203996</v>
      </c>
      <c r="C1833">
        <v>2001</v>
      </c>
    </row>
    <row r="1834" spans="1:11" x14ac:dyDescent="0.25">
      <c r="A1834">
        <v>104.150934534679</v>
      </c>
      <c r="B1834">
        <v>84.101211815658402</v>
      </c>
      <c r="C1834">
        <v>2001</v>
      </c>
    </row>
    <row r="1835" spans="1:11" x14ac:dyDescent="0.25">
      <c r="A1835">
        <v>119.831214706796</v>
      </c>
      <c r="B1835">
        <v>99.781491987775595</v>
      </c>
      <c r="C1835">
        <v>2001</v>
      </c>
    </row>
    <row r="1836" spans="1:11" x14ac:dyDescent="0.25">
      <c r="A1836">
        <v>123.36411794742099</v>
      </c>
      <c r="B1836">
        <v>103.314395228401</v>
      </c>
      <c r="C1836">
        <v>2001</v>
      </c>
    </row>
    <row r="1837" spans="1:11" x14ac:dyDescent="0.25">
      <c r="A1837">
        <v>122.927101922972</v>
      </c>
      <c r="B1837">
        <v>103.75141125285</v>
      </c>
      <c r="C1837">
        <v>2000</v>
      </c>
    </row>
    <row r="1838" spans="1:11" x14ac:dyDescent="0.25">
      <c r="A1838">
        <v>119.394198682347</v>
      </c>
      <c r="B1838">
        <v>100.21850801222401</v>
      </c>
      <c r="C1838">
        <v>2000</v>
      </c>
    </row>
    <row r="1839" spans="1:11" x14ac:dyDescent="0.25">
      <c r="A1839" t="s">
        <v>88</v>
      </c>
    </row>
    <row r="1840" spans="1:11" x14ac:dyDescent="0.25">
      <c r="A1840">
        <v>733</v>
      </c>
      <c r="B1840">
        <v>0</v>
      </c>
      <c r="C1840">
        <v>6.0772766631628103</v>
      </c>
      <c r="D1840">
        <v>40.344899386095797</v>
      </c>
      <c r="E1840">
        <v>8</v>
      </c>
      <c r="F1840">
        <v>1.01722196789785</v>
      </c>
      <c r="G1840" t="s">
        <v>86</v>
      </c>
      <c r="H1840" t="s">
        <v>86</v>
      </c>
      <c r="I1840">
        <v>672</v>
      </c>
      <c r="J1840">
        <v>571</v>
      </c>
      <c r="K1840">
        <v>0.132280897398523</v>
      </c>
    </row>
    <row r="1841" spans="1:11" x14ac:dyDescent="0.25">
      <c r="A1841" t="s">
        <v>87</v>
      </c>
    </row>
    <row r="1842" spans="1:11" x14ac:dyDescent="0.25">
      <c r="A1842">
        <v>10.7619768445158</v>
      </c>
      <c r="B1842">
        <v>92.334223659403605</v>
      </c>
      <c r="C1842">
        <v>2000</v>
      </c>
    </row>
    <row r="1843" spans="1:11" x14ac:dyDescent="0.25">
      <c r="A1843">
        <v>6.4646933048466497</v>
      </c>
      <c r="B1843">
        <v>88.036940119734396</v>
      </c>
      <c r="C1843">
        <v>2000</v>
      </c>
    </row>
    <row r="1844" spans="1:11" x14ac:dyDescent="0.25">
      <c r="A1844">
        <v>6.02767728039783</v>
      </c>
      <c r="B1844">
        <v>88.473956144183205</v>
      </c>
      <c r="C1844">
        <v>2001</v>
      </c>
    </row>
    <row r="1845" spans="1:11" x14ac:dyDescent="0.25">
      <c r="A1845">
        <v>10.324960820067</v>
      </c>
      <c r="B1845">
        <v>92.7712396838524</v>
      </c>
      <c r="C1845">
        <v>2001</v>
      </c>
    </row>
    <row r="1846" spans="1:11" x14ac:dyDescent="0.25">
      <c r="A1846">
        <v>17.772229148438999</v>
      </c>
      <c r="B1846">
        <v>100.21850801222401</v>
      </c>
      <c r="C1846">
        <v>2001</v>
      </c>
    </row>
    <row r="1847" spans="1:11" x14ac:dyDescent="0.25">
      <c r="A1847">
        <v>38.853112762264303</v>
      </c>
      <c r="B1847">
        <v>121.29939162605</v>
      </c>
      <c r="C1847">
        <v>2001</v>
      </c>
    </row>
    <row r="1848" spans="1:11" x14ac:dyDescent="0.25">
      <c r="A1848">
        <v>39.290128786713097</v>
      </c>
      <c r="B1848">
        <v>120.862375601601</v>
      </c>
      <c r="C1848">
        <v>2000</v>
      </c>
    </row>
    <row r="1849" spans="1:11" x14ac:dyDescent="0.25">
      <c r="A1849">
        <v>18.209245172887901</v>
      </c>
      <c r="B1849">
        <v>99.781491987775595</v>
      </c>
      <c r="C1849">
        <v>2000</v>
      </c>
    </row>
    <row r="1850" spans="1:11" x14ac:dyDescent="0.25">
      <c r="A1850" t="s">
        <v>88</v>
      </c>
    </row>
    <row r="1851" spans="1:11" x14ac:dyDescent="0.25">
      <c r="A1851">
        <v>262</v>
      </c>
      <c r="B1851">
        <v>0</v>
      </c>
      <c r="C1851">
        <v>16.3868171839121</v>
      </c>
      <c r="D1851">
        <v>29.5556410157015</v>
      </c>
      <c r="E1851">
        <v>6</v>
      </c>
      <c r="F1851">
        <v>1.01722196789785</v>
      </c>
      <c r="G1851" t="s">
        <v>86</v>
      </c>
      <c r="H1851" t="s">
        <v>85</v>
      </c>
      <c r="I1851">
        <v>280</v>
      </c>
      <c r="J1851">
        <v>0</v>
      </c>
      <c r="K1851">
        <v>0</v>
      </c>
    </row>
    <row r="1852" spans="1:11" x14ac:dyDescent="0.25">
      <c r="A1852" t="s">
        <v>87</v>
      </c>
    </row>
    <row r="1853" spans="1:11" x14ac:dyDescent="0.25">
      <c r="A1853">
        <v>77.285161385522301</v>
      </c>
      <c r="B1853">
        <v>128.960435532101</v>
      </c>
      <c r="C1853">
        <v>2000</v>
      </c>
    </row>
    <row r="1854" spans="1:11" x14ac:dyDescent="0.25">
      <c r="A1854">
        <v>65.619994103870795</v>
      </c>
      <c r="B1854">
        <v>117.295268250449</v>
      </c>
      <c r="C1854">
        <v>2000</v>
      </c>
    </row>
    <row r="1855" spans="1:11" x14ac:dyDescent="0.25">
      <c r="A1855">
        <v>65.182978079422</v>
      </c>
      <c r="B1855">
        <v>117.73228427489801</v>
      </c>
      <c r="C1855">
        <v>2001</v>
      </c>
    </row>
    <row r="1856" spans="1:11" x14ac:dyDescent="0.25">
      <c r="A1856">
        <v>76.692269903387498</v>
      </c>
      <c r="B1856">
        <v>129.24157609886399</v>
      </c>
      <c r="C1856">
        <v>2001</v>
      </c>
    </row>
    <row r="1857" spans="1:11" x14ac:dyDescent="0.25">
      <c r="A1857">
        <v>97.450693804523894</v>
      </c>
      <c r="B1857">
        <v>150</v>
      </c>
      <c r="C1857">
        <v>2001</v>
      </c>
    </row>
    <row r="1858" spans="1:11" x14ac:dyDescent="0.25">
      <c r="A1858">
        <v>98.324725853421498</v>
      </c>
      <c r="B1858">
        <v>150</v>
      </c>
      <c r="C1858">
        <v>2000</v>
      </c>
    </row>
    <row r="1859" spans="1:11" x14ac:dyDescent="0.25">
      <c r="A1859" t="s">
        <v>88</v>
      </c>
    </row>
    <row r="1860" spans="1:11" x14ac:dyDescent="0.25">
      <c r="A1860">
        <v>589</v>
      </c>
      <c r="B1860">
        <v>0</v>
      </c>
      <c r="C1860">
        <v>35.218259085123499</v>
      </c>
      <c r="D1860">
        <v>9.5754876114676808</v>
      </c>
      <c r="E1860">
        <v>8</v>
      </c>
      <c r="F1860">
        <v>1.01722196789785</v>
      </c>
      <c r="G1860" t="s">
        <v>85</v>
      </c>
      <c r="H1860" t="s">
        <v>86</v>
      </c>
      <c r="I1860">
        <v>0</v>
      </c>
      <c r="J1860">
        <v>574</v>
      </c>
      <c r="K1860">
        <v>0</v>
      </c>
    </row>
    <row r="1861" spans="1:11" x14ac:dyDescent="0.25">
      <c r="A1861" t="s">
        <v>87</v>
      </c>
    </row>
    <row r="1862" spans="1:11" x14ac:dyDescent="0.25">
      <c r="A1862">
        <v>24.689772974540201</v>
      </c>
      <c r="B1862">
        <v>100.87473263397</v>
      </c>
      <c r="C1862">
        <v>2000</v>
      </c>
    </row>
    <row r="1863" spans="1:11" x14ac:dyDescent="0.25">
      <c r="A1863">
        <v>24.039260566475299</v>
      </c>
      <c r="B1863">
        <v>100.224220225905</v>
      </c>
      <c r="C1863">
        <v>2000</v>
      </c>
    </row>
    <row r="1864" spans="1:11" x14ac:dyDescent="0.25">
      <c r="A1864">
        <v>0</v>
      </c>
      <c r="B1864">
        <v>76.184959659430106</v>
      </c>
      <c r="C1864">
        <v>2000</v>
      </c>
    </row>
    <row r="1865" spans="1:11" x14ac:dyDescent="0.25">
      <c r="A1865">
        <v>0</v>
      </c>
      <c r="B1865">
        <v>75.310927610532502</v>
      </c>
      <c r="C1865">
        <v>2001</v>
      </c>
    </row>
    <row r="1866" spans="1:11" x14ac:dyDescent="0.25">
      <c r="A1866">
        <v>24.464852163562199</v>
      </c>
      <c r="B1866">
        <v>99.775779774094701</v>
      </c>
      <c r="C1866">
        <v>2001</v>
      </c>
    </row>
    <row r="1867" spans="1:11" x14ac:dyDescent="0.25">
      <c r="A1867">
        <v>25.116366666811</v>
      </c>
      <c r="B1867">
        <v>100.42729427734299</v>
      </c>
      <c r="C1867">
        <v>2001</v>
      </c>
    </row>
    <row r="1868" spans="1:11" x14ac:dyDescent="0.25">
      <c r="A1868">
        <v>31.892470056136599</v>
      </c>
      <c r="B1868">
        <v>107.20339766666901</v>
      </c>
      <c r="C1868">
        <v>2001</v>
      </c>
    </row>
    <row r="1869" spans="1:11" x14ac:dyDescent="0.25">
      <c r="A1869">
        <v>31.455454031687701</v>
      </c>
      <c r="B1869">
        <v>107.640413691118</v>
      </c>
      <c r="C1869">
        <v>2000</v>
      </c>
    </row>
    <row r="1870" spans="1:11" x14ac:dyDescent="0.25">
      <c r="A1870" t="s">
        <v>88</v>
      </c>
    </row>
    <row r="1871" spans="1:11" x14ac:dyDescent="0.25">
      <c r="A1871">
        <v>665</v>
      </c>
      <c r="B1871">
        <v>0</v>
      </c>
      <c r="C1871">
        <v>42.561635258608099</v>
      </c>
      <c r="D1871">
        <v>2.22725236078348</v>
      </c>
      <c r="E1871">
        <v>6</v>
      </c>
      <c r="F1871">
        <v>1.01722196789785</v>
      </c>
      <c r="G1871" t="s">
        <v>85</v>
      </c>
      <c r="H1871" t="s">
        <v>86</v>
      </c>
      <c r="I1871">
        <v>0</v>
      </c>
      <c r="J1871">
        <v>671</v>
      </c>
      <c r="K1871">
        <v>0</v>
      </c>
    </row>
    <row r="1872" spans="1:11" x14ac:dyDescent="0.25">
      <c r="A1872" t="s">
        <v>87</v>
      </c>
    </row>
    <row r="1873" spans="1:11" x14ac:dyDescent="0.25">
      <c r="A1873">
        <v>30.3032630016104</v>
      </c>
      <c r="B1873">
        <v>87.862931014308998</v>
      </c>
      <c r="C1873">
        <v>2000</v>
      </c>
    </row>
    <row r="1874" spans="1:11" x14ac:dyDescent="0.25">
      <c r="A1874">
        <v>0</v>
      </c>
      <c r="B1874">
        <v>57.559668012698602</v>
      </c>
      <c r="C1874">
        <v>2000</v>
      </c>
    </row>
    <row r="1875" spans="1:11" x14ac:dyDescent="0.25">
      <c r="A1875">
        <v>0</v>
      </c>
      <c r="B1875">
        <v>58.433700061596198</v>
      </c>
      <c r="C1875">
        <v>2001</v>
      </c>
    </row>
    <row r="1876" spans="1:11" x14ac:dyDescent="0.25">
      <c r="A1876">
        <v>29.8879788178902</v>
      </c>
      <c r="B1876">
        <v>88.321678879486399</v>
      </c>
      <c r="C1876">
        <v>2001</v>
      </c>
    </row>
    <row r="1877" spans="1:11" x14ac:dyDescent="0.25">
      <c r="A1877">
        <v>31.4520181452496</v>
      </c>
      <c r="B1877">
        <v>89.885718206845794</v>
      </c>
      <c r="C1877">
        <v>2001</v>
      </c>
    </row>
    <row r="1878" spans="1:11" x14ac:dyDescent="0.25">
      <c r="A1878">
        <v>31.889034169698402</v>
      </c>
      <c r="B1878">
        <v>89.448702182397</v>
      </c>
      <c r="C1878">
        <v>2000</v>
      </c>
    </row>
    <row r="1879" spans="1:11" x14ac:dyDescent="0.25">
      <c r="A1879" t="s">
        <v>88</v>
      </c>
    </row>
    <row r="1880" spans="1:11" x14ac:dyDescent="0.25">
      <c r="A1880">
        <v>185</v>
      </c>
      <c r="B1880">
        <v>0</v>
      </c>
      <c r="C1880">
        <v>26.314779809171899</v>
      </c>
      <c r="D1880">
        <v>18.464629994810799</v>
      </c>
      <c r="E1880">
        <v>8</v>
      </c>
      <c r="F1880">
        <v>1.01722196789785</v>
      </c>
      <c r="G1880" t="s">
        <v>86</v>
      </c>
      <c r="H1880" t="s">
        <v>85</v>
      </c>
      <c r="I1880">
        <v>404</v>
      </c>
      <c r="J1880">
        <v>0</v>
      </c>
      <c r="K1880">
        <v>0</v>
      </c>
    </row>
    <row r="1881" spans="1:11" x14ac:dyDescent="0.25">
      <c r="A1881" t="s">
        <v>87</v>
      </c>
    </row>
    <row r="1882" spans="1:11" x14ac:dyDescent="0.25">
      <c r="A1882">
        <v>136.83389598014401</v>
      </c>
      <c r="B1882">
        <v>113.292162051392</v>
      </c>
      <c r="C1882">
        <v>2000</v>
      </c>
    </row>
    <row r="1883" spans="1:11" x14ac:dyDescent="0.25">
      <c r="A1883">
        <v>123.760241940976</v>
      </c>
      <c r="B1883">
        <v>100.21850801222401</v>
      </c>
      <c r="C1883">
        <v>2000</v>
      </c>
    </row>
    <row r="1884" spans="1:11" x14ac:dyDescent="0.25">
      <c r="A1884">
        <v>118.117667657848</v>
      </c>
      <c r="B1884">
        <v>94.575933729096505</v>
      </c>
      <c r="C1884">
        <v>2000</v>
      </c>
    </row>
    <row r="1885" spans="1:11" x14ac:dyDescent="0.25">
      <c r="A1885">
        <v>118.554683682297</v>
      </c>
      <c r="B1885">
        <v>94.138917704647696</v>
      </c>
      <c r="C1885">
        <v>2001</v>
      </c>
    </row>
    <row r="1886" spans="1:11" x14ac:dyDescent="0.25">
      <c r="A1886">
        <v>124.197257965425</v>
      </c>
      <c r="B1886">
        <v>99.781491987775595</v>
      </c>
      <c r="C1886">
        <v>2001</v>
      </c>
    </row>
    <row r="1887" spans="1:11" x14ac:dyDescent="0.25">
      <c r="A1887">
        <v>137.05317385699399</v>
      </c>
      <c r="B1887">
        <v>112.637407879344</v>
      </c>
      <c r="C1887">
        <v>2001</v>
      </c>
    </row>
    <row r="1888" spans="1:11" x14ac:dyDescent="0.25">
      <c r="A1888">
        <v>150</v>
      </c>
      <c r="B1888">
        <v>125.584234022351</v>
      </c>
      <c r="C1888">
        <v>2001</v>
      </c>
    </row>
    <row r="1889" spans="1:11" x14ac:dyDescent="0.25">
      <c r="A1889">
        <v>150</v>
      </c>
      <c r="B1889">
        <v>126.458266071248</v>
      </c>
      <c r="C1889">
        <v>2000</v>
      </c>
    </row>
    <row r="1890" spans="1:11" x14ac:dyDescent="0.25">
      <c r="A1890" t="s">
        <v>88</v>
      </c>
    </row>
    <row r="1891" spans="1:11" x14ac:dyDescent="0.25">
      <c r="A1891">
        <v>659</v>
      </c>
      <c r="B1891">
        <v>0</v>
      </c>
      <c r="C1891">
        <v>39.543731094831998</v>
      </c>
      <c r="D1891">
        <v>5.1634283644481096</v>
      </c>
      <c r="E1891">
        <v>6</v>
      </c>
      <c r="F1891">
        <v>1.5707963267949001</v>
      </c>
      <c r="G1891" t="s">
        <v>86</v>
      </c>
      <c r="H1891" t="s">
        <v>86</v>
      </c>
      <c r="I1891">
        <v>644</v>
      </c>
      <c r="J1891">
        <v>497</v>
      </c>
      <c r="K1891">
        <v>0</v>
      </c>
    </row>
    <row r="1892" spans="1:11" x14ac:dyDescent="0.25">
      <c r="A1892" t="s">
        <v>87</v>
      </c>
    </row>
    <row r="1893" spans="1:11" x14ac:dyDescent="0.25">
      <c r="A1893">
        <v>44.099352506035601</v>
      </c>
      <c r="B1893">
        <v>85.843562281617693</v>
      </c>
      <c r="C1893">
        <v>2000</v>
      </c>
    </row>
    <row r="1894" spans="1:11" x14ac:dyDescent="0.25">
      <c r="A1894">
        <v>16.1377120954626</v>
      </c>
      <c r="B1894">
        <v>57.881921871044597</v>
      </c>
      <c r="C1894">
        <v>2000</v>
      </c>
    </row>
    <row r="1895" spans="1:11" x14ac:dyDescent="0.25">
      <c r="A1895">
        <v>16.1377120954626</v>
      </c>
      <c r="B1895">
        <v>57.881921871044597</v>
      </c>
      <c r="C1895">
        <v>2001</v>
      </c>
    </row>
    <row r="1896" spans="1:11" x14ac:dyDescent="0.25">
      <c r="A1896">
        <v>44.099352506035601</v>
      </c>
      <c r="B1896">
        <v>85.843562281617693</v>
      </c>
      <c r="C1896">
        <v>2001</v>
      </c>
    </row>
    <row r="1897" spans="1:11" x14ac:dyDescent="0.25">
      <c r="A1897">
        <v>47.750447716707903</v>
      </c>
      <c r="B1897">
        <v>89.494657492289903</v>
      </c>
      <c r="C1897">
        <v>2001</v>
      </c>
    </row>
    <row r="1898" spans="1:11" x14ac:dyDescent="0.25">
      <c r="A1898">
        <v>47.750447716707903</v>
      </c>
      <c r="B1898">
        <v>89.494657492289903</v>
      </c>
      <c r="C1898">
        <v>2000</v>
      </c>
    </row>
    <row r="1899" spans="1:11" x14ac:dyDescent="0.25">
      <c r="A1899" t="s">
        <v>88</v>
      </c>
    </row>
    <row r="1900" spans="1:11" x14ac:dyDescent="0.25">
      <c r="A1900">
        <v>646</v>
      </c>
      <c r="B1900">
        <v>0</v>
      </c>
      <c r="C1900">
        <v>32.821883021488901</v>
      </c>
      <c r="D1900">
        <v>11.429218779041801</v>
      </c>
      <c r="E1900">
        <v>6</v>
      </c>
      <c r="F1900">
        <v>1.5707963267949001</v>
      </c>
      <c r="G1900" t="s">
        <v>85</v>
      </c>
      <c r="H1900" t="s">
        <v>86</v>
      </c>
      <c r="I1900">
        <v>0</v>
      </c>
      <c r="J1900">
        <v>671</v>
      </c>
      <c r="K1900">
        <v>0</v>
      </c>
    </row>
    <row r="1901" spans="1:11" x14ac:dyDescent="0.25">
      <c r="A1901" t="s">
        <v>87</v>
      </c>
    </row>
    <row r="1902" spans="1:11" x14ac:dyDescent="0.25">
      <c r="A1902">
        <v>23.2085760558064</v>
      </c>
      <c r="B1902">
        <v>81.965804091638802</v>
      </c>
      <c r="C1902">
        <v>2000</v>
      </c>
    </row>
    <row r="1903" spans="1:11" x14ac:dyDescent="0.25">
      <c r="A1903">
        <v>0</v>
      </c>
      <c r="B1903">
        <v>58.757228035832398</v>
      </c>
      <c r="C1903">
        <v>2000</v>
      </c>
    </row>
    <row r="1904" spans="1:11" x14ac:dyDescent="0.25">
      <c r="A1904">
        <v>0</v>
      </c>
      <c r="B1904">
        <v>58.757228035832398</v>
      </c>
      <c r="C1904">
        <v>2001</v>
      </c>
    </row>
    <row r="1905" spans="1:11" x14ac:dyDescent="0.25">
      <c r="A1905">
        <v>23.2085760558064</v>
      </c>
      <c r="B1905">
        <v>81.965804091638802</v>
      </c>
      <c r="C1905">
        <v>2001</v>
      </c>
    </row>
    <row r="1906" spans="1:11" x14ac:dyDescent="0.25">
      <c r="A1906">
        <v>31.2902541581315</v>
      </c>
      <c r="B1906">
        <v>90.047482193963901</v>
      </c>
      <c r="C1906">
        <v>2001</v>
      </c>
    </row>
    <row r="1907" spans="1:11" x14ac:dyDescent="0.25">
      <c r="A1907">
        <v>31.2902541581315</v>
      </c>
      <c r="B1907">
        <v>90.047482193963901</v>
      </c>
      <c r="C1907">
        <v>2000</v>
      </c>
    </row>
    <row r="1908" spans="1:11" x14ac:dyDescent="0.25">
      <c r="A1908" t="s">
        <v>88</v>
      </c>
    </row>
    <row r="1909" spans="1:11" x14ac:dyDescent="0.25">
      <c r="A1909">
        <v>438</v>
      </c>
      <c r="B1909">
        <v>0</v>
      </c>
      <c r="C1909">
        <v>15.227484433471201</v>
      </c>
      <c r="D1909">
        <v>28.998897873643799</v>
      </c>
      <c r="E1909">
        <v>6</v>
      </c>
      <c r="F1909">
        <v>1.01722196789785</v>
      </c>
      <c r="G1909" t="s">
        <v>86</v>
      </c>
      <c r="H1909" t="s">
        <v>85</v>
      </c>
      <c r="I1909">
        <v>424</v>
      </c>
      <c r="J1909">
        <v>0</v>
      </c>
      <c r="K1909">
        <v>0</v>
      </c>
    </row>
    <row r="1910" spans="1:11" x14ac:dyDescent="0.25">
      <c r="A1910" t="s">
        <v>87</v>
      </c>
    </row>
    <row r="1911" spans="1:11" x14ac:dyDescent="0.25">
      <c r="A1911">
        <v>129.63795668543199</v>
      </c>
      <c r="B1911">
        <v>78.824161982770093</v>
      </c>
      <c r="C1911">
        <v>2000</v>
      </c>
    </row>
    <row r="1912" spans="1:11" x14ac:dyDescent="0.25">
      <c r="A1912">
        <v>118.945733175515</v>
      </c>
      <c r="B1912">
        <v>68.131938472853193</v>
      </c>
      <c r="C1912">
        <v>2000</v>
      </c>
    </row>
    <row r="1913" spans="1:11" x14ac:dyDescent="0.25">
      <c r="A1913">
        <v>118.50871715106599</v>
      </c>
      <c r="B1913">
        <v>68.568954497302002</v>
      </c>
      <c r="C1913">
        <v>2001</v>
      </c>
    </row>
    <row r="1914" spans="1:11" x14ac:dyDescent="0.25">
      <c r="A1914">
        <v>129.27617465438601</v>
      </c>
      <c r="B1914">
        <v>79.336412000622005</v>
      </c>
      <c r="C1914">
        <v>2001</v>
      </c>
    </row>
    <row r="1915" spans="1:11" x14ac:dyDescent="0.25">
      <c r="A1915">
        <v>149.78149198777601</v>
      </c>
      <c r="B1915">
        <v>99.841729334011703</v>
      </c>
      <c r="C1915">
        <v>2001</v>
      </c>
    </row>
    <row r="1916" spans="1:11" x14ac:dyDescent="0.25">
      <c r="A1916">
        <v>150</v>
      </c>
      <c r="B1916">
        <v>99.186205297338503</v>
      </c>
      <c r="C1916">
        <v>2000</v>
      </c>
    </row>
    <row r="1917" spans="1:11" x14ac:dyDescent="0.25">
      <c r="A1917" t="s">
        <v>88</v>
      </c>
    </row>
    <row r="1918" spans="1:11" x14ac:dyDescent="0.25">
      <c r="A1918">
        <v>417</v>
      </c>
      <c r="B1918">
        <v>0</v>
      </c>
      <c r="C1918">
        <v>28.3784761776671</v>
      </c>
      <c r="D1918">
        <v>15.8134341163331</v>
      </c>
      <c r="E1918">
        <v>8</v>
      </c>
      <c r="F1918">
        <v>1.5707963267949001</v>
      </c>
      <c r="G1918" t="s">
        <v>86</v>
      </c>
      <c r="H1918" t="s">
        <v>86</v>
      </c>
      <c r="I1918">
        <v>740</v>
      </c>
      <c r="J1918">
        <v>162</v>
      </c>
      <c r="K1918">
        <v>0</v>
      </c>
    </row>
    <row r="1919" spans="1:11" x14ac:dyDescent="0.25">
      <c r="A1919" t="s">
        <v>87</v>
      </c>
    </row>
    <row r="1920" spans="1:11" x14ac:dyDescent="0.25">
      <c r="A1920">
        <v>119.79006187514899</v>
      </c>
      <c r="B1920">
        <v>81.405572188741303</v>
      </c>
      <c r="C1920">
        <v>2000</v>
      </c>
    </row>
    <row r="1921" spans="1:11" x14ac:dyDescent="0.25">
      <c r="A1921">
        <v>100</v>
      </c>
      <c r="B1921">
        <v>61.615510313592601</v>
      </c>
      <c r="C1921">
        <v>2000</v>
      </c>
    </row>
    <row r="1922" spans="1:11" x14ac:dyDescent="0.25">
      <c r="A1922">
        <v>99.723448930179401</v>
      </c>
      <c r="B1922">
        <v>61.338959243772102</v>
      </c>
      <c r="C1922">
        <v>2000</v>
      </c>
    </row>
    <row r="1923" spans="1:11" x14ac:dyDescent="0.25">
      <c r="A1923">
        <v>99.723448930179401</v>
      </c>
      <c r="B1923">
        <v>61.338959243772102</v>
      </c>
      <c r="C1923">
        <v>2001</v>
      </c>
    </row>
    <row r="1924" spans="1:11" x14ac:dyDescent="0.25">
      <c r="A1924">
        <v>100</v>
      </c>
      <c r="B1924">
        <v>61.615510313592601</v>
      </c>
      <c r="C1924">
        <v>2001</v>
      </c>
    </row>
    <row r="1925" spans="1:11" x14ac:dyDescent="0.25">
      <c r="A1925">
        <v>119.79006187514899</v>
      </c>
      <c r="B1925">
        <v>81.405572188741303</v>
      </c>
      <c r="C1925">
        <v>2001</v>
      </c>
    </row>
    <row r="1926" spans="1:11" x14ac:dyDescent="0.25">
      <c r="A1926">
        <v>130.97184837265499</v>
      </c>
      <c r="B1926">
        <v>92.5873586862472</v>
      </c>
      <c r="C1926">
        <v>2001</v>
      </c>
    </row>
    <row r="1927" spans="1:11" x14ac:dyDescent="0.25">
      <c r="A1927">
        <v>130.97184837265499</v>
      </c>
      <c r="B1927">
        <v>92.5873586862472</v>
      </c>
      <c r="C1927">
        <v>2000</v>
      </c>
    </row>
    <row r="1928" spans="1:11" x14ac:dyDescent="0.25">
      <c r="A1928" t="s">
        <v>88</v>
      </c>
    </row>
    <row r="1929" spans="1:11" x14ac:dyDescent="0.25">
      <c r="A1929">
        <v>92</v>
      </c>
      <c r="B1929">
        <v>0</v>
      </c>
      <c r="C1929">
        <v>41.176115680329303</v>
      </c>
      <c r="D1929">
        <v>2.90147935575671</v>
      </c>
      <c r="E1929">
        <v>10</v>
      </c>
      <c r="F1929">
        <v>1.5707963267949001</v>
      </c>
      <c r="G1929" t="s">
        <v>86</v>
      </c>
      <c r="H1929" t="s">
        <v>86</v>
      </c>
      <c r="I1929">
        <v>1</v>
      </c>
      <c r="J1929">
        <v>515</v>
      </c>
      <c r="K1929">
        <v>0</v>
      </c>
    </row>
    <row r="1930" spans="1:11" x14ac:dyDescent="0.25">
      <c r="A1930" t="s">
        <v>87</v>
      </c>
    </row>
    <row r="1931" spans="1:11" x14ac:dyDescent="0.25">
      <c r="A1931">
        <v>78.098826635674996</v>
      </c>
      <c r="B1931">
        <v>48.4476382138429</v>
      </c>
      <c r="C1931">
        <v>2000</v>
      </c>
    </row>
    <row r="1932" spans="1:11" x14ac:dyDescent="0.25">
      <c r="A1932">
        <v>50</v>
      </c>
      <c r="B1932">
        <v>20.348811578168</v>
      </c>
      <c r="C1932">
        <v>2000</v>
      </c>
    </row>
    <row r="1933" spans="1:11" x14ac:dyDescent="0.25">
      <c r="A1933">
        <v>48.982916015192302</v>
      </c>
      <c r="B1933">
        <v>19.331727593360402</v>
      </c>
      <c r="C1933">
        <v>2000</v>
      </c>
    </row>
    <row r="1934" spans="1:11" x14ac:dyDescent="0.25">
      <c r="A1934">
        <v>48.982916015192302</v>
      </c>
      <c r="B1934">
        <v>19.331727593360402</v>
      </c>
      <c r="C1934">
        <v>2001</v>
      </c>
    </row>
    <row r="1935" spans="1:11" x14ac:dyDescent="0.25">
      <c r="A1935">
        <v>50</v>
      </c>
      <c r="B1935">
        <v>20.348811578168</v>
      </c>
      <c r="C1935">
        <v>2001</v>
      </c>
    </row>
    <row r="1936" spans="1:11" x14ac:dyDescent="0.25">
      <c r="A1936">
        <v>78.098826635674996</v>
      </c>
      <c r="B1936">
        <v>48.4476382138429</v>
      </c>
      <c r="C1936">
        <v>2001</v>
      </c>
    </row>
    <row r="1937" spans="1:11" x14ac:dyDescent="0.25">
      <c r="A1937">
        <v>79.651188421832003</v>
      </c>
      <c r="B1937">
        <v>50</v>
      </c>
      <c r="C1937">
        <v>2001</v>
      </c>
    </row>
    <row r="1938" spans="1:11" x14ac:dyDescent="0.25">
      <c r="A1938">
        <v>80.150482363603302</v>
      </c>
      <c r="B1938">
        <v>50.499293941771299</v>
      </c>
      <c r="C1938">
        <v>2001</v>
      </c>
    </row>
    <row r="1939" spans="1:11" x14ac:dyDescent="0.25">
      <c r="A1939">
        <v>80.150482363603302</v>
      </c>
      <c r="B1939">
        <v>50.499293941771299</v>
      </c>
      <c r="C1939">
        <v>2000</v>
      </c>
    </row>
    <row r="1940" spans="1:11" x14ac:dyDescent="0.25">
      <c r="A1940">
        <v>79.651188421832003</v>
      </c>
      <c r="B1940">
        <v>50</v>
      </c>
      <c r="C1940">
        <v>2000</v>
      </c>
    </row>
    <row r="1941" spans="1:11" x14ac:dyDescent="0.25">
      <c r="A1941" t="s">
        <v>88</v>
      </c>
    </row>
    <row r="1942" spans="1:11" x14ac:dyDescent="0.25">
      <c r="A1942">
        <v>598</v>
      </c>
      <c r="B1942">
        <v>0</v>
      </c>
      <c r="C1942">
        <v>3.8409586384736798</v>
      </c>
      <c r="D1942">
        <v>39.948145269469698</v>
      </c>
      <c r="E1942">
        <v>6</v>
      </c>
      <c r="F1942">
        <v>1.01722196789785</v>
      </c>
      <c r="G1942" t="s">
        <v>85</v>
      </c>
      <c r="H1942" t="s">
        <v>86</v>
      </c>
      <c r="I1942">
        <v>0</v>
      </c>
      <c r="J1942">
        <v>576</v>
      </c>
      <c r="K1942">
        <v>0</v>
      </c>
    </row>
    <row r="1943" spans="1:11" x14ac:dyDescent="0.25">
      <c r="A1943" t="s">
        <v>87</v>
      </c>
    </row>
    <row r="1944" spans="1:11" x14ac:dyDescent="0.25">
      <c r="A1944">
        <v>2.6968014822574999</v>
      </c>
      <c r="B1944">
        <v>118.670068689158</v>
      </c>
      <c r="C1944">
        <v>2000</v>
      </c>
    </row>
    <row r="1945" spans="1:11" x14ac:dyDescent="0.25">
      <c r="A1945">
        <v>0</v>
      </c>
      <c r="B1945">
        <v>115.973267206901</v>
      </c>
      <c r="C1945">
        <v>2000</v>
      </c>
    </row>
    <row r="1946" spans="1:11" x14ac:dyDescent="0.25">
      <c r="A1946">
        <v>0</v>
      </c>
      <c r="B1946">
        <v>115.099235158003</v>
      </c>
      <c r="C1946">
        <v>2001</v>
      </c>
    </row>
    <row r="1947" spans="1:11" x14ac:dyDescent="0.25">
      <c r="A1947">
        <v>2.73513431678608</v>
      </c>
      <c r="B1947">
        <v>117.834369474789</v>
      </c>
      <c r="C1947">
        <v>2001</v>
      </c>
    </row>
    <row r="1948" spans="1:11" x14ac:dyDescent="0.25">
      <c r="A1948">
        <v>31.182080327613502</v>
      </c>
      <c r="B1948">
        <v>146.281315485617</v>
      </c>
      <c r="C1948">
        <v>2001</v>
      </c>
    </row>
    <row r="1949" spans="1:11" x14ac:dyDescent="0.25">
      <c r="A1949">
        <v>30.7450643031647</v>
      </c>
      <c r="B1949">
        <v>146.71833151006501</v>
      </c>
      <c r="C1949">
        <v>2000</v>
      </c>
    </row>
    <row r="1950" spans="1:11" x14ac:dyDescent="0.25">
      <c r="A1950" t="s">
        <v>88</v>
      </c>
    </row>
    <row r="1951" spans="1:11" x14ac:dyDescent="0.25">
      <c r="A1951">
        <v>24</v>
      </c>
      <c r="B1951">
        <v>0</v>
      </c>
      <c r="C1951">
        <v>19.785136462260802</v>
      </c>
      <c r="D1951">
        <v>23.216710130854601</v>
      </c>
      <c r="E1951">
        <v>6</v>
      </c>
      <c r="F1951">
        <v>1.01722196789785</v>
      </c>
      <c r="G1951" t="s">
        <v>85</v>
      </c>
      <c r="H1951" t="s">
        <v>86</v>
      </c>
      <c r="I1951">
        <v>0</v>
      </c>
      <c r="J1951">
        <v>102</v>
      </c>
      <c r="K1951">
        <v>0</v>
      </c>
    </row>
    <row r="1952" spans="1:11" x14ac:dyDescent="0.25">
      <c r="A1952" t="s">
        <v>87</v>
      </c>
    </row>
    <row r="1953" spans="1:11" x14ac:dyDescent="0.25">
      <c r="A1953">
        <v>26.851992466362798</v>
      </c>
      <c r="B1953">
        <v>14.090739628743799</v>
      </c>
      <c r="C1953">
        <v>2000</v>
      </c>
    </row>
    <row r="1954" spans="1:11" x14ac:dyDescent="0.25">
      <c r="A1954">
        <v>12.761252837619001</v>
      </c>
      <c r="B1954">
        <v>0</v>
      </c>
      <c r="C1954">
        <v>2000</v>
      </c>
    </row>
    <row r="1955" spans="1:11" x14ac:dyDescent="0.25">
      <c r="A1955">
        <v>13.6352848865167</v>
      </c>
      <c r="B1955">
        <v>0</v>
      </c>
      <c r="C1955">
        <v>2001</v>
      </c>
    </row>
    <row r="1956" spans="1:11" x14ac:dyDescent="0.25">
      <c r="A1956">
        <v>27.5249535761046</v>
      </c>
      <c r="B1956">
        <v>13.8896686895879</v>
      </c>
      <c r="C1956">
        <v>2001</v>
      </c>
    </row>
    <row r="1957" spans="1:11" x14ac:dyDescent="0.25">
      <c r="A1957">
        <v>43.8236742038278</v>
      </c>
      <c r="B1957">
        <v>30.188389317311099</v>
      </c>
      <c r="C1957">
        <v>2001</v>
      </c>
    </row>
    <row r="1958" spans="1:11" x14ac:dyDescent="0.25">
      <c r="A1958">
        <v>43.386658179378898</v>
      </c>
      <c r="B1958">
        <v>30.625405341759901</v>
      </c>
      <c r="C1958">
        <v>2000</v>
      </c>
    </row>
    <row r="1959" spans="1:11" x14ac:dyDescent="0.25">
      <c r="A1959" t="s">
        <v>88</v>
      </c>
    </row>
    <row r="1960" spans="1:11" x14ac:dyDescent="0.25">
      <c r="A1960">
        <v>418</v>
      </c>
      <c r="B1960">
        <v>0</v>
      </c>
      <c r="C1960">
        <v>0</v>
      </c>
      <c r="D1960">
        <v>42.989861447776001</v>
      </c>
      <c r="E1960">
        <v>4</v>
      </c>
      <c r="F1960">
        <v>1.5707963267949001</v>
      </c>
      <c r="G1960" t="s">
        <v>86</v>
      </c>
      <c r="H1960" t="s">
        <v>86</v>
      </c>
      <c r="I1960">
        <v>106</v>
      </c>
      <c r="J1960">
        <v>401</v>
      </c>
      <c r="K1960">
        <v>0</v>
      </c>
    </row>
    <row r="1961" spans="1:11" x14ac:dyDescent="0.25">
      <c r="A1961" t="s">
        <v>87</v>
      </c>
    </row>
    <row r="1962" spans="1:11" x14ac:dyDescent="0.25">
      <c r="A1962">
        <v>110.96006343651599</v>
      </c>
      <c r="B1962">
        <v>66.9303158144142</v>
      </c>
      <c r="C1962">
        <v>2000</v>
      </c>
    </row>
    <row r="1963" spans="1:11" x14ac:dyDescent="0.25">
      <c r="A1963">
        <v>110.96006343651599</v>
      </c>
      <c r="B1963">
        <v>66.9303158144142</v>
      </c>
      <c r="C1963">
        <v>2001</v>
      </c>
    </row>
    <row r="1964" spans="1:11" x14ac:dyDescent="0.25">
      <c r="A1964">
        <v>141.35848598850799</v>
      </c>
      <c r="B1964">
        <v>97.328738366406796</v>
      </c>
      <c r="C1964">
        <v>2001</v>
      </c>
    </row>
    <row r="1965" spans="1:11" x14ac:dyDescent="0.25">
      <c r="A1965">
        <v>141.35848598850799</v>
      </c>
      <c r="B1965">
        <v>97.328738366406796</v>
      </c>
      <c r="C1965">
        <v>2000</v>
      </c>
    </row>
    <row r="1966" spans="1:11" x14ac:dyDescent="0.25">
      <c r="A1966" t="s">
        <v>88</v>
      </c>
    </row>
    <row r="1967" spans="1:11" x14ac:dyDescent="0.25">
      <c r="A1967">
        <v>747</v>
      </c>
      <c r="B1967">
        <v>0</v>
      </c>
      <c r="C1967">
        <v>14.4159472547774</v>
      </c>
      <c r="D1967">
        <v>28.5578269878688</v>
      </c>
      <c r="E1967">
        <v>6</v>
      </c>
      <c r="F1967">
        <v>1.01722196789785</v>
      </c>
      <c r="G1967" t="s">
        <v>85</v>
      </c>
      <c r="H1967" t="s">
        <v>85</v>
      </c>
      <c r="I1967">
        <v>0</v>
      </c>
      <c r="J1967">
        <v>0</v>
      </c>
      <c r="K1967">
        <v>0.13373198682896401</v>
      </c>
    </row>
    <row r="1968" spans="1:11" x14ac:dyDescent="0.25">
      <c r="A1968" t="s">
        <v>87</v>
      </c>
    </row>
    <row r="1969" spans="1:11" x14ac:dyDescent="0.25">
      <c r="A1969">
        <v>10.3402151001789</v>
      </c>
      <c r="B1969">
        <v>129.51615189557501</v>
      </c>
      <c r="C1969">
        <v>2000</v>
      </c>
    </row>
    <row r="1970" spans="1:11" x14ac:dyDescent="0.25">
      <c r="A1970">
        <v>0</v>
      </c>
      <c r="B1970">
        <v>119.175936795396</v>
      </c>
      <c r="C1970">
        <v>2000</v>
      </c>
    </row>
    <row r="1971" spans="1:11" x14ac:dyDescent="0.25">
      <c r="A1971">
        <v>0</v>
      </c>
      <c r="B1971">
        <v>120.049968844294</v>
      </c>
      <c r="C1971">
        <v>2001</v>
      </c>
    </row>
    <row r="1972" spans="1:11" x14ac:dyDescent="0.25">
      <c r="A1972">
        <v>10.0470130219824</v>
      </c>
      <c r="B1972">
        <v>130.096981866276</v>
      </c>
      <c r="C1972">
        <v>2001</v>
      </c>
    </row>
    <row r="1973" spans="1:11" x14ac:dyDescent="0.25">
      <c r="A1973">
        <v>29.950031155706</v>
      </c>
      <c r="B1973">
        <v>150</v>
      </c>
      <c r="C1973">
        <v>2001</v>
      </c>
    </row>
    <row r="1974" spans="1:11" x14ac:dyDescent="0.25">
      <c r="A1974">
        <v>30.8240632046037</v>
      </c>
      <c r="B1974">
        <v>150</v>
      </c>
      <c r="C1974">
        <v>2000</v>
      </c>
    </row>
    <row r="1975" spans="1:11" x14ac:dyDescent="0.25">
      <c r="A1975" t="s">
        <v>88</v>
      </c>
    </row>
    <row r="1976" spans="1:11" x14ac:dyDescent="0.25">
      <c r="A1976">
        <v>561</v>
      </c>
      <c r="B1976">
        <v>0</v>
      </c>
      <c r="C1976">
        <v>39.031129178598</v>
      </c>
      <c r="D1976">
        <v>3.7126079186813898</v>
      </c>
      <c r="E1976">
        <v>8</v>
      </c>
      <c r="F1976">
        <v>1.5707963267949001</v>
      </c>
      <c r="G1976" t="s">
        <v>86</v>
      </c>
      <c r="H1976" t="s">
        <v>85</v>
      </c>
      <c r="I1976">
        <v>657</v>
      </c>
      <c r="J1976">
        <v>0</v>
      </c>
      <c r="K1976">
        <v>0</v>
      </c>
    </row>
    <row r="1977" spans="1:11" x14ac:dyDescent="0.25">
      <c r="A1977" t="s">
        <v>87</v>
      </c>
    </row>
    <row r="1978" spans="1:11" x14ac:dyDescent="0.25">
      <c r="A1978">
        <v>49.592519877288701</v>
      </c>
      <c r="B1978">
        <v>147.37478976481299</v>
      </c>
      <c r="C1978">
        <v>2000</v>
      </c>
    </row>
    <row r="1979" spans="1:11" x14ac:dyDescent="0.25">
      <c r="A1979">
        <v>21.993343757733999</v>
      </c>
      <c r="B1979">
        <v>119.775613645259</v>
      </c>
      <c r="C1979">
        <v>2000</v>
      </c>
    </row>
    <row r="1980" spans="1:11" x14ac:dyDescent="0.25">
      <c r="A1980">
        <v>21.993343757733999</v>
      </c>
      <c r="B1980">
        <v>119.775613645259</v>
      </c>
      <c r="C1980">
        <v>2001</v>
      </c>
    </row>
    <row r="1981" spans="1:11" x14ac:dyDescent="0.25">
      <c r="A1981">
        <v>49.592519877288701</v>
      </c>
      <c r="B1981">
        <v>147.37478976481299</v>
      </c>
      <c r="C1981">
        <v>2001</v>
      </c>
    </row>
    <row r="1982" spans="1:11" x14ac:dyDescent="0.25">
      <c r="A1982">
        <v>50</v>
      </c>
      <c r="B1982">
        <v>147.78226988752499</v>
      </c>
      <c r="C1982">
        <v>2001</v>
      </c>
    </row>
    <row r="1983" spans="1:11" x14ac:dyDescent="0.25">
      <c r="A1983">
        <v>52.217730112475202</v>
      </c>
      <c r="B1983">
        <v>150</v>
      </c>
      <c r="C1983">
        <v>2001</v>
      </c>
    </row>
    <row r="1984" spans="1:11" x14ac:dyDescent="0.25">
      <c r="A1984">
        <v>52.217730112475202</v>
      </c>
      <c r="B1984">
        <v>150</v>
      </c>
      <c r="C1984">
        <v>2000</v>
      </c>
    </row>
    <row r="1985" spans="1:11" x14ac:dyDescent="0.25">
      <c r="A1985">
        <v>50</v>
      </c>
      <c r="B1985">
        <v>147.78226988752499</v>
      </c>
      <c r="C1985">
        <v>2000</v>
      </c>
    </row>
    <row r="1986" spans="1:11" x14ac:dyDescent="0.25">
      <c r="A1986" t="s">
        <v>88</v>
      </c>
    </row>
    <row r="1987" spans="1:11" x14ac:dyDescent="0.25">
      <c r="A1987">
        <v>182</v>
      </c>
      <c r="B1987">
        <v>0</v>
      </c>
      <c r="C1987">
        <v>33.508151019988297</v>
      </c>
      <c r="D1987">
        <v>8.83624522608417</v>
      </c>
      <c r="E1987">
        <v>6</v>
      </c>
      <c r="F1987">
        <v>1.01722196789785</v>
      </c>
      <c r="G1987" t="s">
        <v>86</v>
      </c>
      <c r="H1987" t="s">
        <v>86</v>
      </c>
      <c r="I1987">
        <v>503</v>
      </c>
      <c r="J1987">
        <v>737</v>
      </c>
      <c r="K1987">
        <v>0</v>
      </c>
    </row>
    <row r="1988" spans="1:11" x14ac:dyDescent="0.25">
      <c r="A1988" t="s">
        <v>87</v>
      </c>
    </row>
    <row r="1989" spans="1:11" x14ac:dyDescent="0.25">
      <c r="A1989">
        <v>134.33290971505599</v>
      </c>
      <c r="B1989">
        <v>127.818501885426</v>
      </c>
      <c r="C1989">
        <v>2000</v>
      </c>
    </row>
    <row r="1990" spans="1:11" x14ac:dyDescent="0.25">
      <c r="A1990">
        <v>110.639068903799</v>
      </c>
      <c r="B1990">
        <v>104.124661074169</v>
      </c>
      <c r="C1990">
        <v>2000</v>
      </c>
    </row>
    <row r="1991" spans="1:11" x14ac:dyDescent="0.25">
      <c r="A1991">
        <v>111.07608492824799</v>
      </c>
      <c r="B1991">
        <v>103.68764504972</v>
      </c>
      <c r="C1991">
        <v>2001</v>
      </c>
    </row>
    <row r="1992" spans="1:11" x14ac:dyDescent="0.25">
      <c r="A1992">
        <v>134.769925739505</v>
      </c>
      <c r="B1992">
        <v>127.38148586097699</v>
      </c>
      <c r="C1992">
        <v>2001</v>
      </c>
    </row>
    <row r="1993" spans="1:11" x14ac:dyDescent="0.25">
      <c r="A1993">
        <v>141.01809465909599</v>
      </c>
      <c r="B1993">
        <v>133.62965478056799</v>
      </c>
      <c r="C1993">
        <v>2001</v>
      </c>
    </row>
    <row r="1994" spans="1:11" x14ac:dyDescent="0.25">
      <c r="A1994">
        <v>140.58107863464701</v>
      </c>
      <c r="B1994">
        <v>134.066670805017</v>
      </c>
      <c r="C1994">
        <v>2000</v>
      </c>
    </row>
    <row r="1995" spans="1:11" x14ac:dyDescent="0.25">
      <c r="A1995" t="s">
        <v>88</v>
      </c>
    </row>
    <row r="1996" spans="1:11" x14ac:dyDescent="0.25">
      <c r="A1996">
        <v>254</v>
      </c>
      <c r="B1996">
        <v>0</v>
      </c>
      <c r="C1996">
        <v>36.614792326395097</v>
      </c>
      <c r="D1996">
        <v>5.6928780135017103</v>
      </c>
      <c r="E1996">
        <v>10</v>
      </c>
      <c r="F1996">
        <v>1.5707963267949001</v>
      </c>
      <c r="G1996" t="s">
        <v>86</v>
      </c>
      <c r="H1996" t="s">
        <v>86</v>
      </c>
      <c r="I1996">
        <v>654</v>
      </c>
      <c r="J1996">
        <v>252</v>
      </c>
      <c r="K1996">
        <v>0</v>
      </c>
    </row>
    <row r="1997" spans="1:11" x14ac:dyDescent="0.25">
      <c r="A1997" t="s">
        <v>87</v>
      </c>
    </row>
    <row r="1998" spans="1:11" x14ac:dyDescent="0.25">
      <c r="A1998">
        <v>59.048768695932203</v>
      </c>
      <c r="B1998">
        <v>117.648861449048</v>
      </c>
      <c r="C1998">
        <v>2000</v>
      </c>
    </row>
    <row r="1999" spans="1:11" x14ac:dyDescent="0.25">
      <c r="A1999">
        <v>50</v>
      </c>
      <c r="B1999">
        <v>108.600092753116</v>
      </c>
      <c r="C1999">
        <v>2000</v>
      </c>
    </row>
    <row r="2000" spans="1:11" x14ac:dyDescent="0.25">
      <c r="A2000">
        <v>41.399907246883899</v>
      </c>
      <c r="B2000">
        <v>100</v>
      </c>
      <c r="C2000">
        <v>2000</v>
      </c>
    </row>
    <row r="2001" spans="1:11" x14ac:dyDescent="0.25">
      <c r="A2001">
        <v>33.158200750201097</v>
      </c>
      <c r="B2001">
        <v>91.758293503317205</v>
      </c>
      <c r="C2001">
        <v>2000</v>
      </c>
    </row>
    <row r="2002" spans="1:11" x14ac:dyDescent="0.25">
      <c r="A2002">
        <v>33.158200750201097</v>
      </c>
      <c r="B2002">
        <v>91.758293503317205</v>
      </c>
      <c r="C2002">
        <v>2001</v>
      </c>
    </row>
    <row r="2003" spans="1:11" x14ac:dyDescent="0.25">
      <c r="A2003">
        <v>41.399907246883899</v>
      </c>
      <c r="B2003">
        <v>100</v>
      </c>
      <c r="C2003">
        <v>2001</v>
      </c>
    </row>
    <row r="2004" spans="1:11" x14ac:dyDescent="0.25">
      <c r="A2004">
        <v>50</v>
      </c>
      <c r="B2004">
        <v>108.600092753116</v>
      </c>
      <c r="C2004">
        <v>2001</v>
      </c>
    </row>
    <row r="2005" spans="1:11" x14ac:dyDescent="0.25">
      <c r="A2005">
        <v>59.048768695932203</v>
      </c>
      <c r="B2005">
        <v>117.648861449048</v>
      </c>
      <c r="C2005">
        <v>2001</v>
      </c>
    </row>
    <row r="2006" spans="1:11" x14ac:dyDescent="0.25">
      <c r="A2006">
        <v>63.074241343747097</v>
      </c>
      <c r="B2006">
        <v>121.67433409686301</v>
      </c>
      <c r="C2006">
        <v>2001</v>
      </c>
    </row>
    <row r="2007" spans="1:11" x14ac:dyDescent="0.25">
      <c r="A2007">
        <v>63.074241343747097</v>
      </c>
      <c r="B2007">
        <v>121.67433409686301</v>
      </c>
      <c r="C2007">
        <v>2000</v>
      </c>
    </row>
    <row r="2008" spans="1:11" x14ac:dyDescent="0.25">
      <c r="A2008" t="s">
        <v>88</v>
      </c>
    </row>
    <row r="2009" spans="1:11" x14ac:dyDescent="0.25">
      <c r="A2009">
        <v>39</v>
      </c>
      <c r="B2009">
        <v>0</v>
      </c>
      <c r="C2009">
        <v>21.781737286946701</v>
      </c>
      <c r="D2009">
        <v>20.389757024842002</v>
      </c>
      <c r="E2009">
        <v>8</v>
      </c>
      <c r="F2009">
        <v>1.01722196789785</v>
      </c>
      <c r="G2009" t="s">
        <v>85</v>
      </c>
      <c r="H2009" t="s">
        <v>86</v>
      </c>
      <c r="I2009">
        <v>0</v>
      </c>
      <c r="J2009">
        <v>679</v>
      </c>
      <c r="K2009">
        <v>0</v>
      </c>
    </row>
    <row r="2010" spans="1:11" x14ac:dyDescent="0.25">
      <c r="A2010" t="s">
        <v>87</v>
      </c>
    </row>
    <row r="2011" spans="1:11" x14ac:dyDescent="0.25">
      <c r="A2011">
        <v>15.530580208667701</v>
      </c>
      <c r="B2011">
        <v>38.916645408362001</v>
      </c>
      <c r="C2011">
        <v>2000</v>
      </c>
    </row>
    <row r="2012" spans="1:11" x14ac:dyDescent="0.25">
      <c r="A2012">
        <v>0</v>
      </c>
      <c r="B2012">
        <v>23.386065199694301</v>
      </c>
      <c r="C2012">
        <v>2000</v>
      </c>
    </row>
    <row r="2013" spans="1:11" x14ac:dyDescent="0.25">
      <c r="A2013">
        <v>0</v>
      </c>
      <c r="B2013">
        <v>24.260097248591901</v>
      </c>
      <c r="C2013">
        <v>2001</v>
      </c>
    </row>
    <row r="2014" spans="1:11" x14ac:dyDescent="0.25">
      <c r="A2014">
        <v>15.273448074579999</v>
      </c>
      <c r="B2014">
        <v>39.5335453231719</v>
      </c>
      <c r="C2014">
        <v>2001</v>
      </c>
    </row>
    <row r="2015" spans="1:11" x14ac:dyDescent="0.25">
      <c r="A2015">
        <v>25.9584107636325</v>
      </c>
      <c r="B2015">
        <v>50.218508012224397</v>
      </c>
      <c r="C2015">
        <v>2001</v>
      </c>
    </row>
    <row r="2016" spans="1:11" x14ac:dyDescent="0.25">
      <c r="A2016">
        <v>29.601241588411298</v>
      </c>
      <c r="B2016">
        <v>53.861338837003203</v>
      </c>
      <c r="C2016">
        <v>2001</v>
      </c>
    </row>
    <row r="2017" spans="1:11" x14ac:dyDescent="0.25">
      <c r="A2017">
        <v>30.0382576128601</v>
      </c>
      <c r="B2017">
        <v>53.424322812554401</v>
      </c>
      <c r="C2017">
        <v>2000</v>
      </c>
    </row>
    <row r="2018" spans="1:11" x14ac:dyDescent="0.25">
      <c r="A2018">
        <v>26.395426788081298</v>
      </c>
      <c r="B2018">
        <v>49.781491987775603</v>
      </c>
      <c r="C2018">
        <v>2000</v>
      </c>
    </row>
    <row r="2019" spans="1:11" x14ac:dyDescent="0.25">
      <c r="A2019" t="s">
        <v>88</v>
      </c>
    </row>
    <row r="2020" spans="1:11" x14ac:dyDescent="0.25">
      <c r="A2020">
        <v>583</v>
      </c>
      <c r="B2020">
        <v>0</v>
      </c>
      <c r="C2020">
        <v>25.998884824755301</v>
      </c>
      <c r="D2020">
        <v>16.001919006273901</v>
      </c>
      <c r="E2020">
        <v>8</v>
      </c>
      <c r="F2020">
        <v>1.01722196789785</v>
      </c>
      <c r="G2020" t="s">
        <v>86</v>
      </c>
      <c r="H2020" t="s">
        <v>85</v>
      </c>
      <c r="I2020">
        <v>728</v>
      </c>
      <c r="J2020">
        <v>0</v>
      </c>
      <c r="K2020">
        <v>0</v>
      </c>
    </row>
    <row r="2021" spans="1:11" x14ac:dyDescent="0.25">
      <c r="A2021" t="s">
        <v>87</v>
      </c>
    </row>
    <row r="2022" spans="1:11" x14ac:dyDescent="0.25">
      <c r="A2022">
        <v>39.507220848514002</v>
      </c>
      <c r="B2022">
        <v>138.77717306155699</v>
      </c>
      <c r="C2022">
        <v>2000</v>
      </c>
    </row>
    <row r="2023" spans="1:11" x14ac:dyDescent="0.25">
      <c r="A2023">
        <v>21.249502594974999</v>
      </c>
      <c r="B2023">
        <v>120.519454808018</v>
      </c>
      <c r="C2023">
        <v>2000</v>
      </c>
    </row>
    <row r="2024" spans="1:11" x14ac:dyDescent="0.25">
      <c r="A2024">
        <v>21.686518619423801</v>
      </c>
      <c r="B2024">
        <v>120.082438783569</v>
      </c>
      <c r="C2024">
        <v>2001</v>
      </c>
    </row>
    <row r="2025" spans="1:11" x14ac:dyDescent="0.25">
      <c r="A2025">
        <v>40.196775891629699</v>
      </c>
      <c r="B2025">
        <v>138.59269605577501</v>
      </c>
      <c r="C2025">
        <v>2001</v>
      </c>
    </row>
    <row r="2026" spans="1:11" x14ac:dyDescent="0.25">
      <c r="A2026">
        <v>50.414478568090999</v>
      </c>
      <c r="B2026">
        <v>148.810398732236</v>
      </c>
      <c r="C2026">
        <v>2001</v>
      </c>
    </row>
    <row r="2027" spans="1:11" x14ac:dyDescent="0.25">
      <c r="A2027">
        <v>51.604079835854897</v>
      </c>
      <c r="B2027">
        <v>150</v>
      </c>
      <c r="C2027">
        <v>2001</v>
      </c>
    </row>
    <row r="2028" spans="1:11" x14ac:dyDescent="0.25">
      <c r="A2028">
        <v>50.730047786957201</v>
      </c>
      <c r="B2028">
        <v>150</v>
      </c>
      <c r="C2028">
        <v>2000</v>
      </c>
    </row>
    <row r="2029" spans="1:11" x14ac:dyDescent="0.25">
      <c r="A2029">
        <v>49.585521431908901</v>
      </c>
      <c r="B2029">
        <v>148.85547364495201</v>
      </c>
      <c r="C2029">
        <v>2000</v>
      </c>
    </row>
    <row r="2030" spans="1:11" x14ac:dyDescent="0.25">
      <c r="A2030" t="s">
        <v>88</v>
      </c>
    </row>
    <row r="2031" spans="1:11" x14ac:dyDescent="0.25">
      <c r="A2031">
        <v>753</v>
      </c>
      <c r="B2031">
        <v>0</v>
      </c>
      <c r="C2031">
        <v>10.326434228394501</v>
      </c>
      <c r="D2031">
        <v>31.0739615106054</v>
      </c>
      <c r="E2031">
        <v>6</v>
      </c>
      <c r="F2031">
        <v>1.5707963267949001</v>
      </c>
      <c r="G2031" t="s">
        <v>85</v>
      </c>
      <c r="H2031" t="s">
        <v>85</v>
      </c>
      <c r="I2031">
        <v>0</v>
      </c>
      <c r="J2031">
        <v>0</v>
      </c>
      <c r="K2031">
        <v>0.39094694227753402</v>
      </c>
    </row>
    <row r="2032" spans="1:11" x14ac:dyDescent="0.25">
      <c r="A2032" t="s">
        <v>87</v>
      </c>
    </row>
    <row r="2033" spans="1:11" x14ac:dyDescent="0.25">
      <c r="A2033">
        <v>128.02739109752099</v>
      </c>
      <c r="B2033">
        <v>7.3018916683745996</v>
      </c>
      <c r="C2033">
        <v>2000</v>
      </c>
    </row>
    <row r="2034" spans="1:11" x14ac:dyDescent="0.25">
      <c r="A2034">
        <v>120.72549942914701</v>
      </c>
      <c r="B2034">
        <v>0</v>
      </c>
      <c r="C2034">
        <v>2000</v>
      </c>
    </row>
    <row r="2035" spans="1:11" x14ac:dyDescent="0.25">
      <c r="A2035">
        <v>120.72549942914701</v>
      </c>
      <c r="B2035">
        <v>0</v>
      </c>
      <c r="C2035">
        <v>2001</v>
      </c>
    </row>
    <row r="2036" spans="1:11" x14ac:dyDescent="0.25">
      <c r="A2036">
        <v>128.02739109752099</v>
      </c>
      <c r="B2036">
        <v>7.3018916683745996</v>
      </c>
      <c r="C2036">
        <v>2001</v>
      </c>
    </row>
    <row r="2037" spans="1:11" x14ac:dyDescent="0.25">
      <c r="A2037">
        <v>150</v>
      </c>
      <c r="B2037">
        <v>29.274500570853501</v>
      </c>
      <c r="C2037">
        <v>2001</v>
      </c>
    </row>
    <row r="2038" spans="1:11" x14ac:dyDescent="0.25">
      <c r="A2038">
        <v>150</v>
      </c>
      <c r="B2038">
        <v>29.274500570853501</v>
      </c>
      <c r="C2038">
        <v>2000</v>
      </c>
    </row>
    <row r="2039" spans="1:11" x14ac:dyDescent="0.25">
      <c r="A2039" t="s">
        <v>88</v>
      </c>
    </row>
    <row r="2040" spans="1:11" x14ac:dyDescent="0.25">
      <c r="A2040">
        <v>327</v>
      </c>
      <c r="B2040">
        <v>0</v>
      </c>
      <c r="C2040">
        <v>41.360385669835402</v>
      </c>
      <c r="D2040">
        <v>0</v>
      </c>
      <c r="E2040">
        <v>5</v>
      </c>
      <c r="F2040">
        <v>1.5707963267949001</v>
      </c>
      <c r="G2040" t="s">
        <v>85</v>
      </c>
      <c r="H2040" t="s">
        <v>86</v>
      </c>
      <c r="I2040">
        <v>0</v>
      </c>
      <c r="J2040">
        <v>341</v>
      </c>
      <c r="K2040">
        <v>0</v>
      </c>
    </row>
    <row r="2041" spans="1:11" x14ac:dyDescent="0.25">
      <c r="A2041" t="s">
        <v>87</v>
      </c>
    </row>
    <row r="2042" spans="1:11" x14ac:dyDescent="0.25">
      <c r="A2042">
        <v>142.419925072426</v>
      </c>
      <c r="B2042">
        <v>29.246209179631499</v>
      </c>
      <c r="C2042">
        <v>2000</v>
      </c>
    </row>
    <row r="2043" spans="1:11" x14ac:dyDescent="0.25">
      <c r="A2043">
        <v>113.17371589279399</v>
      </c>
      <c r="B2043">
        <v>0</v>
      </c>
      <c r="C2043">
        <v>2000</v>
      </c>
    </row>
    <row r="2044" spans="1:11" x14ac:dyDescent="0.25">
      <c r="A2044">
        <v>113.17371589279399</v>
      </c>
      <c r="B2044">
        <v>0</v>
      </c>
      <c r="C2044">
        <v>2001</v>
      </c>
    </row>
    <row r="2045" spans="1:11" x14ac:dyDescent="0.25">
      <c r="A2045">
        <v>142.419925072426</v>
      </c>
      <c r="B2045">
        <v>29.246209179631499</v>
      </c>
      <c r="C2045">
        <v>2001</v>
      </c>
    </row>
    <row r="2046" spans="1:11" x14ac:dyDescent="0.25">
      <c r="A2046">
        <v>142.419925072426</v>
      </c>
      <c r="B2046">
        <v>29.246209179631499</v>
      </c>
      <c r="C2046">
        <v>2000</v>
      </c>
    </row>
    <row r="2047" spans="1:11" x14ac:dyDescent="0.25">
      <c r="A2047" t="s">
        <v>88</v>
      </c>
    </row>
    <row r="2048" spans="1:11" x14ac:dyDescent="0.25">
      <c r="A2048">
        <v>739</v>
      </c>
      <c r="B2048">
        <v>0</v>
      </c>
      <c r="C2048">
        <v>32.756890506639699</v>
      </c>
      <c r="D2048">
        <v>8.3349342260519794</v>
      </c>
      <c r="E2048">
        <v>8</v>
      </c>
      <c r="F2048">
        <v>1.01722196789785</v>
      </c>
      <c r="G2048" t="s">
        <v>86</v>
      </c>
      <c r="H2048" t="s">
        <v>85</v>
      </c>
      <c r="I2048">
        <v>245</v>
      </c>
      <c r="J2048">
        <v>0</v>
      </c>
      <c r="K2048">
        <v>0.13301713194732501</v>
      </c>
    </row>
    <row r="2049" spans="1:11" x14ac:dyDescent="0.25">
      <c r="A2049" t="s">
        <v>87</v>
      </c>
    </row>
    <row r="2050" spans="1:11" x14ac:dyDescent="0.25">
      <c r="A2050">
        <v>116.815678756438</v>
      </c>
      <c r="B2050">
        <v>144.16208386085901</v>
      </c>
      <c r="C2050">
        <v>2000</v>
      </c>
    </row>
    <row r="2051" spans="1:11" x14ac:dyDescent="0.25">
      <c r="A2051">
        <v>99.781491987775595</v>
      </c>
      <c r="B2051">
        <v>127.12789709219599</v>
      </c>
      <c r="C2051">
        <v>2000</v>
      </c>
    </row>
    <row r="2052" spans="1:11" x14ac:dyDescent="0.25">
      <c r="A2052">
        <v>93.815794987988397</v>
      </c>
      <c r="B2052">
        <v>121.16220009240899</v>
      </c>
      <c r="C2052">
        <v>2000</v>
      </c>
    </row>
    <row r="2053" spans="1:11" x14ac:dyDescent="0.25">
      <c r="A2053">
        <v>94.252811012437206</v>
      </c>
      <c r="B2053">
        <v>120.72518406796</v>
      </c>
      <c r="C2053">
        <v>2001</v>
      </c>
    </row>
    <row r="2054" spans="1:11" x14ac:dyDescent="0.25">
      <c r="A2054">
        <v>100.21850801222401</v>
      </c>
      <c r="B2054">
        <v>126.69088106774799</v>
      </c>
      <c r="C2054">
        <v>2001</v>
      </c>
    </row>
    <row r="2055" spans="1:11" x14ac:dyDescent="0.25">
      <c r="A2055">
        <v>117.578166059648</v>
      </c>
      <c r="B2055">
        <v>144.05053911517101</v>
      </c>
      <c r="C2055">
        <v>2001</v>
      </c>
    </row>
    <row r="2056" spans="1:11" x14ac:dyDescent="0.25">
      <c r="A2056">
        <v>123.52762694447701</v>
      </c>
      <c r="B2056">
        <v>150</v>
      </c>
      <c r="C2056">
        <v>2001</v>
      </c>
    </row>
    <row r="2057" spans="1:11" x14ac:dyDescent="0.25">
      <c r="A2057">
        <v>122.653594895579</v>
      </c>
      <c r="B2057">
        <v>150</v>
      </c>
      <c r="C2057">
        <v>2000</v>
      </c>
    </row>
    <row r="2058" spans="1:11" x14ac:dyDescent="0.25">
      <c r="A2058" t="s">
        <v>88</v>
      </c>
    </row>
    <row r="2059" spans="1:11" x14ac:dyDescent="0.25">
      <c r="A2059">
        <v>83</v>
      </c>
      <c r="B2059">
        <v>0</v>
      </c>
      <c r="C2059">
        <v>5.20033994313778E-2</v>
      </c>
      <c r="D2059">
        <v>41.0293115360993</v>
      </c>
      <c r="E2059">
        <v>6</v>
      </c>
      <c r="F2059">
        <v>1.5707963267949001</v>
      </c>
      <c r="G2059" t="s">
        <v>86</v>
      </c>
      <c r="H2059" t="s">
        <v>86</v>
      </c>
      <c r="I2059">
        <v>91</v>
      </c>
      <c r="J2059">
        <v>422</v>
      </c>
      <c r="K2059">
        <v>0</v>
      </c>
    </row>
    <row r="2060" spans="1:11" x14ac:dyDescent="0.25">
      <c r="A2060" t="s">
        <v>87</v>
      </c>
    </row>
    <row r="2061" spans="1:11" x14ac:dyDescent="0.25">
      <c r="A2061">
        <v>56.758725809286702</v>
      </c>
      <c r="B2061">
        <v>12.160135857835501</v>
      </c>
      <c r="C2061">
        <v>2000</v>
      </c>
    </row>
    <row r="2062" spans="1:11" x14ac:dyDescent="0.25">
      <c r="A2062">
        <v>56.721953852904001</v>
      </c>
      <c r="B2062">
        <v>12.1233639014528</v>
      </c>
      <c r="C2062">
        <v>2000</v>
      </c>
    </row>
    <row r="2063" spans="1:11" x14ac:dyDescent="0.25">
      <c r="A2063">
        <v>56.721953852904001</v>
      </c>
      <c r="B2063">
        <v>12.1233639014528</v>
      </c>
      <c r="C2063">
        <v>2001</v>
      </c>
    </row>
    <row r="2064" spans="1:11" x14ac:dyDescent="0.25">
      <c r="A2064">
        <v>56.758725809286702</v>
      </c>
      <c r="B2064">
        <v>12.160135857835501</v>
      </c>
      <c r="C2064">
        <v>2001</v>
      </c>
    </row>
    <row r="2065" spans="1:11" x14ac:dyDescent="0.25">
      <c r="A2065">
        <v>85.770830223877994</v>
      </c>
      <c r="B2065">
        <v>41.172240272426698</v>
      </c>
      <c r="C2065">
        <v>2001</v>
      </c>
    </row>
    <row r="2066" spans="1:11" x14ac:dyDescent="0.25">
      <c r="A2066">
        <v>85.770830223877994</v>
      </c>
      <c r="B2066">
        <v>41.172240272426698</v>
      </c>
      <c r="C2066">
        <v>2000</v>
      </c>
    </row>
    <row r="2067" spans="1:11" x14ac:dyDescent="0.25">
      <c r="A2067" t="s">
        <v>88</v>
      </c>
    </row>
    <row r="2068" spans="1:11" x14ac:dyDescent="0.25">
      <c r="A2068">
        <v>663</v>
      </c>
      <c r="B2068">
        <v>0</v>
      </c>
      <c r="C2068">
        <v>37.443262835764898</v>
      </c>
      <c r="D2068">
        <v>3.5771426675668399</v>
      </c>
      <c r="E2068">
        <v>8</v>
      </c>
      <c r="F2068">
        <v>1.01722196789785</v>
      </c>
      <c r="G2068" t="s">
        <v>85</v>
      </c>
      <c r="H2068" t="s">
        <v>86</v>
      </c>
      <c r="I2068">
        <v>0</v>
      </c>
      <c r="J2068">
        <v>641</v>
      </c>
      <c r="K2068">
        <v>0</v>
      </c>
    </row>
    <row r="2069" spans="1:11" x14ac:dyDescent="0.25">
      <c r="A2069" t="s">
        <v>87</v>
      </c>
    </row>
    <row r="2070" spans="1:11" x14ac:dyDescent="0.25">
      <c r="A2070">
        <v>26.268576268868699</v>
      </c>
      <c r="B2070">
        <v>52.888698659947799</v>
      </c>
      <c r="C2070">
        <v>2000</v>
      </c>
    </row>
    <row r="2071" spans="1:11" x14ac:dyDescent="0.25">
      <c r="A2071">
        <v>23.620334243815101</v>
      </c>
      <c r="B2071">
        <v>50.240456634894201</v>
      </c>
      <c r="C2071">
        <v>2000</v>
      </c>
    </row>
    <row r="2072" spans="1:11" x14ac:dyDescent="0.25">
      <c r="A2072">
        <v>0</v>
      </c>
      <c r="B2072">
        <v>26.6201223910791</v>
      </c>
      <c r="C2072">
        <v>2000</v>
      </c>
    </row>
    <row r="2073" spans="1:11" x14ac:dyDescent="0.25">
      <c r="A2073">
        <v>0</v>
      </c>
      <c r="B2073">
        <v>25.7460903421814</v>
      </c>
      <c r="C2073">
        <v>2001</v>
      </c>
    </row>
    <row r="2074" spans="1:11" x14ac:dyDescent="0.25">
      <c r="A2074">
        <v>24.013453022924399</v>
      </c>
      <c r="B2074">
        <v>49.759543365105799</v>
      </c>
      <c r="C2074">
        <v>2001</v>
      </c>
    </row>
    <row r="2075" spans="1:11" x14ac:dyDescent="0.25">
      <c r="A2075">
        <v>26.684193852970498</v>
      </c>
      <c r="B2075">
        <v>52.430284195151899</v>
      </c>
      <c r="C2075">
        <v>2001</v>
      </c>
    </row>
    <row r="2076" spans="1:11" x14ac:dyDescent="0.25">
      <c r="A2076">
        <v>29.2243149106523</v>
      </c>
      <c r="B2076">
        <v>54.9704052528337</v>
      </c>
      <c r="C2076">
        <v>2001</v>
      </c>
    </row>
    <row r="2077" spans="1:11" x14ac:dyDescent="0.25">
      <c r="A2077">
        <v>28.787298886203502</v>
      </c>
      <c r="B2077">
        <v>55.407421277282502</v>
      </c>
      <c r="C2077">
        <v>2000</v>
      </c>
    </row>
    <row r="2078" spans="1:11" x14ac:dyDescent="0.25">
      <c r="A2078" t="s">
        <v>88</v>
      </c>
    </row>
    <row r="2079" spans="1:11" x14ac:dyDescent="0.25">
      <c r="A2079">
        <v>494</v>
      </c>
      <c r="B2079">
        <v>0</v>
      </c>
      <c r="C2079">
        <v>15.8134341163331</v>
      </c>
      <c r="D2079">
        <v>24.969925930506399</v>
      </c>
      <c r="E2079">
        <v>8</v>
      </c>
      <c r="F2079">
        <v>1.5707963267949001</v>
      </c>
      <c r="G2079" t="s">
        <v>86</v>
      </c>
      <c r="H2079" t="s">
        <v>86</v>
      </c>
      <c r="I2079">
        <v>649</v>
      </c>
      <c r="J2079">
        <v>196</v>
      </c>
      <c r="K2079">
        <v>0</v>
      </c>
    </row>
    <row r="2080" spans="1:11" x14ac:dyDescent="0.25">
      <c r="A2080" t="s">
        <v>87</v>
      </c>
    </row>
    <row r="2081" spans="1:11" x14ac:dyDescent="0.25">
      <c r="A2081">
        <v>66.403117923253703</v>
      </c>
      <c r="B2081">
        <v>83.112493219372098</v>
      </c>
      <c r="C2081">
        <v>2000</v>
      </c>
    </row>
    <row r="2082" spans="1:11" x14ac:dyDescent="0.25">
      <c r="A2082">
        <v>55.221331425747898</v>
      </c>
      <c r="B2082">
        <v>71.930706721866301</v>
      </c>
      <c r="C2082">
        <v>2000</v>
      </c>
    </row>
    <row r="2083" spans="1:11" x14ac:dyDescent="0.25">
      <c r="A2083">
        <v>55.221331425747898</v>
      </c>
      <c r="B2083">
        <v>71.930706721866301</v>
      </c>
      <c r="C2083">
        <v>2001</v>
      </c>
    </row>
    <row r="2084" spans="1:11" x14ac:dyDescent="0.25">
      <c r="A2084">
        <v>66.403117923253703</v>
      </c>
      <c r="B2084">
        <v>83.112493219372098</v>
      </c>
      <c r="C2084">
        <v>2001</v>
      </c>
    </row>
    <row r="2085" spans="1:11" x14ac:dyDescent="0.25">
      <c r="A2085">
        <v>83.290624703881605</v>
      </c>
      <c r="B2085">
        <v>100</v>
      </c>
      <c r="C2085">
        <v>2001</v>
      </c>
    </row>
    <row r="2086" spans="1:11" x14ac:dyDescent="0.25">
      <c r="A2086">
        <v>84.059521874440605</v>
      </c>
      <c r="B2086">
        <v>100.768897170559</v>
      </c>
      <c r="C2086">
        <v>2001</v>
      </c>
    </row>
    <row r="2087" spans="1:11" x14ac:dyDescent="0.25">
      <c r="A2087">
        <v>84.059521874440605</v>
      </c>
      <c r="B2087">
        <v>100.768897170559</v>
      </c>
      <c r="C2087">
        <v>2000</v>
      </c>
    </row>
    <row r="2088" spans="1:11" x14ac:dyDescent="0.25">
      <c r="A2088">
        <v>83.290624703881605</v>
      </c>
      <c r="B2088">
        <v>100</v>
      </c>
      <c r="C2088">
        <v>2000</v>
      </c>
    </row>
    <row r="2089" spans="1:11" x14ac:dyDescent="0.25">
      <c r="A2089" t="s">
        <v>88</v>
      </c>
    </row>
    <row r="2090" spans="1:11" x14ac:dyDescent="0.25">
      <c r="A2090">
        <v>571</v>
      </c>
      <c r="B2090">
        <v>0</v>
      </c>
      <c r="C2090">
        <v>0</v>
      </c>
      <c r="D2090">
        <v>40.704608958260003</v>
      </c>
      <c r="E2090">
        <v>6</v>
      </c>
      <c r="F2090">
        <v>1.5707963267949001</v>
      </c>
      <c r="G2090" t="s">
        <v>86</v>
      </c>
      <c r="H2090" t="s">
        <v>85</v>
      </c>
      <c r="I2090">
        <v>733</v>
      </c>
      <c r="J2090">
        <v>0</v>
      </c>
      <c r="K2090">
        <v>0</v>
      </c>
    </row>
    <row r="2091" spans="1:11" x14ac:dyDescent="0.25">
      <c r="A2091" t="s">
        <v>87</v>
      </c>
    </row>
    <row r="2092" spans="1:11" x14ac:dyDescent="0.25">
      <c r="A2092">
        <v>38.935009408246302</v>
      </c>
      <c r="B2092">
        <v>121.217494980068</v>
      </c>
      <c r="C2092">
        <v>2000</v>
      </c>
    </row>
    <row r="2093" spans="1:11" x14ac:dyDescent="0.25">
      <c r="A2093">
        <v>38.935009408246302</v>
      </c>
      <c r="B2093">
        <v>121.217494980068</v>
      </c>
      <c r="C2093">
        <v>2001</v>
      </c>
    </row>
    <row r="2094" spans="1:11" x14ac:dyDescent="0.25">
      <c r="A2094">
        <v>50</v>
      </c>
      <c r="B2094">
        <v>132.28248557182101</v>
      </c>
      <c r="C2094">
        <v>2001</v>
      </c>
    </row>
    <row r="2095" spans="1:11" x14ac:dyDescent="0.25">
      <c r="A2095">
        <v>67.717514428178603</v>
      </c>
      <c r="B2095">
        <v>150</v>
      </c>
      <c r="C2095">
        <v>2001</v>
      </c>
    </row>
    <row r="2096" spans="1:11" x14ac:dyDescent="0.25">
      <c r="A2096">
        <v>67.717514428178603</v>
      </c>
      <c r="B2096">
        <v>150</v>
      </c>
      <c r="C2096">
        <v>2000</v>
      </c>
    </row>
    <row r="2097" spans="1:11" x14ac:dyDescent="0.25">
      <c r="A2097">
        <v>50</v>
      </c>
      <c r="B2097">
        <v>132.28248557182101</v>
      </c>
      <c r="C2097">
        <v>2000</v>
      </c>
    </row>
    <row r="2098" spans="1:11" x14ac:dyDescent="0.25">
      <c r="A2098" t="s">
        <v>88</v>
      </c>
    </row>
    <row r="2099" spans="1:11" x14ac:dyDescent="0.25">
      <c r="A2099">
        <v>88</v>
      </c>
      <c r="B2099">
        <v>0</v>
      </c>
      <c r="C2099">
        <v>34.750241611740499</v>
      </c>
      <c r="D2099">
        <v>4.6238906742138104</v>
      </c>
      <c r="E2099">
        <v>8</v>
      </c>
      <c r="F2099">
        <v>1.5707963267949001</v>
      </c>
      <c r="G2099" t="s">
        <v>85</v>
      </c>
      <c r="H2099" t="s">
        <v>86</v>
      </c>
      <c r="I2099">
        <v>0</v>
      </c>
      <c r="J2099">
        <v>97</v>
      </c>
      <c r="K2099">
        <v>0</v>
      </c>
    </row>
    <row r="2100" spans="1:11" x14ac:dyDescent="0.25">
      <c r="A2100" t="s">
        <v>87</v>
      </c>
    </row>
    <row r="2101" spans="1:11" x14ac:dyDescent="0.25">
      <c r="A2101">
        <v>60.6462639340415</v>
      </c>
      <c r="B2101">
        <v>24.572131491532598</v>
      </c>
      <c r="C2101">
        <v>2000</v>
      </c>
    </row>
    <row r="2102" spans="1:11" x14ac:dyDescent="0.25">
      <c r="A2102">
        <v>50</v>
      </c>
      <c r="B2102">
        <v>13.925867557491101</v>
      </c>
      <c r="C2102">
        <v>2000</v>
      </c>
    </row>
    <row r="2103" spans="1:11" x14ac:dyDescent="0.25">
      <c r="A2103">
        <v>36.074132442508898</v>
      </c>
      <c r="B2103">
        <v>0</v>
      </c>
      <c r="C2103">
        <v>2000</v>
      </c>
    </row>
    <row r="2104" spans="1:11" x14ac:dyDescent="0.25">
      <c r="A2104">
        <v>36.074132442508898</v>
      </c>
      <c r="B2104">
        <v>0</v>
      </c>
      <c r="C2104">
        <v>2001</v>
      </c>
    </row>
    <row r="2105" spans="1:11" x14ac:dyDescent="0.25">
      <c r="A2105">
        <v>50</v>
      </c>
      <c r="B2105">
        <v>13.925867557491101</v>
      </c>
      <c r="C2105">
        <v>2001</v>
      </c>
    </row>
    <row r="2106" spans="1:11" x14ac:dyDescent="0.25">
      <c r="A2106">
        <v>60.6462639340415</v>
      </c>
      <c r="B2106">
        <v>24.572131491532598</v>
      </c>
      <c r="C2106">
        <v>2001</v>
      </c>
    </row>
    <row r="2107" spans="1:11" x14ac:dyDescent="0.25">
      <c r="A2107">
        <v>63.915848385243301</v>
      </c>
      <c r="B2107">
        <v>27.8417159427344</v>
      </c>
      <c r="C2107">
        <v>2001</v>
      </c>
    </row>
    <row r="2108" spans="1:11" x14ac:dyDescent="0.25">
      <c r="A2108">
        <v>63.915848385243301</v>
      </c>
      <c r="B2108">
        <v>27.8417159427344</v>
      </c>
      <c r="C2108">
        <v>2000</v>
      </c>
    </row>
    <row r="2109" spans="1:11" x14ac:dyDescent="0.25">
      <c r="A2109" t="s">
        <v>88</v>
      </c>
    </row>
    <row r="2110" spans="1:11" x14ac:dyDescent="0.25">
      <c r="A2110">
        <v>323</v>
      </c>
      <c r="B2110">
        <v>0</v>
      </c>
      <c r="C2110">
        <v>0</v>
      </c>
      <c r="D2110">
        <v>39.0290934941006</v>
      </c>
      <c r="E2110">
        <v>6</v>
      </c>
      <c r="F2110">
        <v>1.5707963267949001</v>
      </c>
      <c r="G2110" t="s">
        <v>86</v>
      </c>
      <c r="H2110" t="s">
        <v>85</v>
      </c>
      <c r="I2110">
        <v>344</v>
      </c>
      <c r="J2110">
        <v>0</v>
      </c>
      <c r="K2110">
        <v>0</v>
      </c>
    </row>
    <row r="2111" spans="1:11" x14ac:dyDescent="0.25">
      <c r="A2111" t="s">
        <v>87</v>
      </c>
    </row>
    <row r="2112" spans="1:11" x14ac:dyDescent="0.25">
      <c r="A2112">
        <v>122.402263326758</v>
      </c>
      <c r="B2112">
        <v>27.002418798861299</v>
      </c>
      <c r="C2112">
        <v>2000</v>
      </c>
    </row>
    <row r="2113" spans="1:11" x14ac:dyDescent="0.25">
      <c r="A2113">
        <v>122.402263326758</v>
      </c>
      <c r="B2113">
        <v>27.002418798861299</v>
      </c>
      <c r="C2113">
        <v>2001</v>
      </c>
    </row>
    <row r="2114" spans="1:11" x14ac:dyDescent="0.25">
      <c r="A2114">
        <v>145.39984452789599</v>
      </c>
      <c r="B2114">
        <v>50</v>
      </c>
      <c r="C2114">
        <v>2001</v>
      </c>
    </row>
    <row r="2115" spans="1:11" x14ac:dyDescent="0.25">
      <c r="A2115">
        <v>150</v>
      </c>
      <c r="B2115">
        <v>54.600155472103602</v>
      </c>
      <c r="C2115">
        <v>2001</v>
      </c>
    </row>
    <row r="2116" spans="1:11" x14ac:dyDescent="0.25">
      <c r="A2116">
        <v>150</v>
      </c>
      <c r="B2116">
        <v>54.600155472103602</v>
      </c>
      <c r="C2116">
        <v>2000</v>
      </c>
    </row>
    <row r="2117" spans="1:11" x14ac:dyDescent="0.25">
      <c r="A2117">
        <v>145.39984452789599</v>
      </c>
      <c r="B2117">
        <v>50</v>
      </c>
      <c r="C2117">
        <v>2000</v>
      </c>
    </row>
    <row r="2118" spans="1:11" x14ac:dyDescent="0.25">
      <c r="A2118" t="s">
        <v>88</v>
      </c>
    </row>
    <row r="2119" spans="1:11" x14ac:dyDescent="0.25">
      <c r="A2119">
        <v>188</v>
      </c>
      <c r="B2119">
        <v>0</v>
      </c>
      <c r="C2119">
        <v>37.335325372962501</v>
      </c>
      <c r="D2119">
        <v>1.5142703144690599</v>
      </c>
      <c r="E2119">
        <v>8</v>
      </c>
      <c r="F2119">
        <v>1.01722196789785</v>
      </c>
      <c r="G2119" t="s">
        <v>86</v>
      </c>
      <c r="H2119" t="s">
        <v>85</v>
      </c>
      <c r="I2119">
        <v>509</v>
      </c>
      <c r="J2119">
        <v>0</v>
      </c>
      <c r="K2119">
        <v>0</v>
      </c>
    </row>
    <row r="2120" spans="1:11" x14ac:dyDescent="0.25">
      <c r="A2120" t="s">
        <v>87</v>
      </c>
    </row>
    <row r="2121" spans="1:11" x14ac:dyDescent="0.25">
      <c r="A2121">
        <v>148.91880181433601</v>
      </c>
      <c r="B2121">
        <v>121.75068439210401</v>
      </c>
      <c r="C2121">
        <v>2000</v>
      </c>
    </row>
    <row r="2122" spans="1:11" x14ac:dyDescent="0.25">
      <c r="A2122">
        <v>127.38662543445599</v>
      </c>
      <c r="B2122">
        <v>100.21850801222401</v>
      </c>
      <c r="C2122">
        <v>2000</v>
      </c>
    </row>
    <row r="2123" spans="1:11" x14ac:dyDescent="0.25">
      <c r="A2123">
        <v>122.310679430837</v>
      </c>
      <c r="B2123">
        <v>95.142562008604997</v>
      </c>
      <c r="C2123">
        <v>2000</v>
      </c>
    </row>
    <row r="2124" spans="1:11" x14ac:dyDescent="0.25">
      <c r="A2124">
        <v>122.74769545528601</v>
      </c>
      <c r="B2124">
        <v>94.705545984156203</v>
      </c>
      <c r="C2124">
        <v>2001</v>
      </c>
    </row>
    <row r="2125" spans="1:11" x14ac:dyDescent="0.25">
      <c r="A2125">
        <v>127.823641458905</v>
      </c>
      <c r="B2125">
        <v>99.781491987775595</v>
      </c>
      <c r="C2125">
        <v>2001</v>
      </c>
    </row>
    <row r="2126" spans="1:11" x14ac:dyDescent="0.25">
      <c r="A2126">
        <v>148.93969656984299</v>
      </c>
      <c r="B2126">
        <v>120.89754709871301</v>
      </c>
      <c r="C2126">
        <v>2001</v>
      </c>
    </row>
    <row r="2127" spans="1:11" x14ac:dyDescent="0.25">
      <c r="A2127">
        <v>150</v>
      </c>
      <c r="B2127">
        <v>121.95785052887</v>
      </c>
      <c r="C2127">
        <v>2001</v>
      </c>
    </row>
    <row r="2128" spans="1:11" x14ac:dyDescent="0.25">
      <c r="A2128">
        <v>150</v>
      </c>
      <c r="B2128">
        <v>122.831882577768</v>
      </c>
      <c r="C2128">
        <v>2000</v>
      </c>
    </row>
    <row r="2129" spans="1:11" x14ac:dyDescent="0.25">
      <c r="A2129" t="s">
        <v>88</v>
      </c>
    </row>
    <row r="2130" spans="1:11" x14ac:dyDescent="0.25">
      <c r="A2130">
        <v>727</v>
      </c>
      <c r="B2130">
        <v>0</v>
      </c>
      <c r="C2130">
        <v>8.2350844564705792</v>
      </c>
      <c r="D2130">
        <v>30.137919220692101</v>
      </c>
      <c r="E2130">
        <v>8</v>
      </c>
      <c r="F2130">
        <v>1.01722196789785</v>
      </c>
      <c r="G2130" t="s">
        <v>85</v>
      </c>
      <c r="H2130" t="s">
        <v>86</v>
      </c>
      <c r="I2130">
        <v>0</v>
      </c>
      <c r="J2130">
        <v>661</v>
      </c>
      <c r="K2130">
        <v>0.13160878275062499</v>
      </c>
    </row>
    <row r="2131" spans="1:11" x14ac:dyDescent="0.25">
      <c r="A2131" t="s">
        <v>87</v>
      </c>
    </row>
    <row r="2132" spans="1:11" x14ac:dyDescent="0.25">
      <c r="A2132">
        <v>5.6208131994898798</v>
      </c>
      <c r="B2132">
        <v>49.767301252342001</v>
      </c>
      <c r="C2132">
        <v>2000</v>
      </c>
    </row>
    <row r="2133" spans="1:11" x14ac:dyDescent="0.25">
      <c r="A2133">
        <v>0</v>
      </c>
      <c r="B2133">
        <v>44.146488052852099</v>
      </c>
      <c r="C2133">
        <v>2000</v>
      </c>
    </row>
    <row r="2134" spans="1:11" x14ac:dyDescent="0.25">
      <c r="A2134">
        <v>0</v>
      </c>
      <c r="B2134">
        <v>43.272456003954503</v>
      </c>
      <c r="C2134">
        <v>2001</v>
      </c>
    </row>
    <row r="2135" spans="1:11" x14ac:dyDescent="0.25">
      <c r="A2135">
        <v>6.0253549261386903</v>
      </c>
      <c r="B2135">
        <v>49.297810930093199</v>
      </c>
      <c r="C2135">
        <v>2001</v>
      </c>
    </row>
    <row r="2136" spans="1:11" x14ac:dyDescent="0.25">
      <c r="A2136">
        <v>6.5090359838211196</v>
      </c>
      <c r="B2136">
        <v>49.781491987775603</v>
      </c>
      <c r="C2136">
        <v>2001</v>
      </c>
    </row>
    <row r="2137" spans="1:11" x14ac:dyDescent="0.25">
      <c r="A2137">
        <v>27.352319126842499</v>
      </c>
      <c r="B2137">
        <v>70.624775130797005</v>
      </c>
      <c r="C2137">
        <v>2001</v>
      </c>
    </row>
    <row r="2138" spans="1:11" x14ac:dyDescent="0.25">
      <c r="A2138">
        <v>26.9153031023937</v>
      </c>
      <c r="B2138">
        <v>71.0617911552458</v>
      </c>
      <c r="C2138">
        <v>2000</v>
      </c>
    </row>
    <row r="2139" spans="1:11" x14ac:dyDescent="0.25">
      <c r="A2139">
        <v>6.0720199593722901</v>
      </c>
      <c r="B2139">
        <v>50.218508012224397</v>
      </c>
      <c r="C2139">
        <v>2000</v>
      </c>
    </row>
    <row r="2140" spans="1:11" x14ac:dyDescent="0.25">
      <c r="A2140" t="s">
        <v>88</v>
      </c>
    </row>
    <row r="2141" spans="1:11" x14ac:dyDescent="0.25">
      <c r="A2141">
        <v>89</v>
      </c>
      <c r="B2141">
        <v>0</v>
      </c>
      <c r="C2141">
        <v>37.224527570815503</v>
      </c>
      <c r="D2141">
        <v>0.949950074544333</v>
      </c>
      <c r="E2141">
        <v>8</v>
      </c>
      <c r="F2141">
        <v>1.5707963267949001</v>
      </c>
      <c r="G2141" t="s">
        <v>86</v>
      </c>
      <c r="H2141" t="s">
        <v>86</v>
      </c>
      <c r="I2141">
        <v>28</v>
      </c>
      <c r="J2141">
        <v>84</v>
      </c>
      <c r="K2141">
        <v>0</v>
      </c>
    </row>
    <row r="2142" spans="1:11" x14ac:dyDescent="0.25">
      <c r="A2142" t="s">
        <v>87</v>
      </c>
    </row>
    <row r="2143" spans="1:11" x14ac:dyDescent="0.25">
      <c r="A2143">
        <v>63.480041042659401</v>
      </c>
      <c r="B2143">
        <v>44.147907893242298</v>
      </c>
      <c r="C2143">
        <v>2000</v>
      </c>
    </row>
    <row r="2144" spans="1:11" x14ac:dyDescent="0.25">
      <c r="A2144">
        <v>50</v>
      </c>
      <c r="B2144">
        <v>30.667866850582801</v>
      </c>
      <c r="C2144">
        <v>2000</v>
      </c>
    </row>
    <row r="2145" spans="1:11" x14ac:dyDescent="0.25">
      <c r="A2145">
        <v>37.158325170870199</v>
      </c>
      <c r="B2145">
        <v>17.826192021453</v>
      </c>
      <c r="C2145">
        <v>2000</v>
      </c>
    </row>
    <row r="2146" spans="1:11" x14ac:dyDescent="0.25">
      <c r="A2146">
        <v>37.158325170870199</v>
      </c>
      <c r="B2146">
        <v>17.826192021453</v>
      </c>
      <c r="C2146">
        <v>2001</v>
      </c>
    </row>
    <row r="2147" spans="1:11" x14ac:dyDescent="0.25">
      <c r="A2147">
        <v>50</v>
      </c>
      <c r="B2147">
        <v>30.667866850582801</v>
      </c>
      <c r="C2147">
        <v>2001</v>
      </c>
    </row>
    <row r="2148" spans="1:11" x14ac:dyDescent="0.25">
      <c r="A2148">
        <v>63.480041042659401</v>
      </c>
      <c r="B2148">
        <v>44.147907893242298</v>
      </c>
      <c r="C2148">
        <v>2001</v>
      </c>
    </row>
    <row r="2149" spans="1:11" x14ac:dyDescent="0.25">
      <c r="A2149">
        <v>64.151757182158406</v>
      </c>
      <c r="B2149">
        <v>44.819624032741203</v>
      </c>
      <c r="C2149">
        <v>2001</v>
      </c>
    </row>
    <row r="2150" spans="1:11" x14ac:dyDescent="0.25">
      <c r="A2150">
        <v>64.151757182158406</v>
      </c>
      <c r="B2150">
        <v>44.819624032741203</v>
      </c>
      <c r="C2150">
        <v>2000</v>
      </c>
    </row>
    <row r="2151" spans="1:11" x14ac:dyDescent="0.25">
      <c r="A2151" t="s">
        <v>88</v>
      </c>
    </row>
    <row r="2152" spans="1:11" x14ac:dyDescent="0.25">
      <c r="A2152">
        <v>195</v>
      </c>
      <c r="B2152">
        <v>0</v>
      </c>
      <c r="C2152">
        <v>27.198295182290501</v>
      </c>
      <c r="D2152">
        <v>10.858178889208499</v>
      </c>
      <c r="E2152">
        <v>6</v>
      </c>
      <c r="F2152">
        <v>1.01722196789785</v>
      </c>
      <c r="G2152" t="s">
        <v>86</v>
      </c>
      <c r="H2152" t="s">
        <v>85</v>
      </c>
      <c r="I2152">
        <v>437</v>
      </c>
      <c r="J2152">
        <v>0</v>
      </c>
      <c r="K2152">
        <v>0</v>
      </c>
    </row>
    <row r="2153" spans="1:11" x14ac:dyDescent="0.25">
      <c r="A2153" t="s">
        <v>87</v>
      </c>
    </row>
    <row r="2154" spans="1:11" x14ac:dyDescent="0.25">
      <c r="A2154">
        <v>142.38445224075301</v>
      </c>
      <c r="B2154">
        <v>122.44593116014001</v>
      </c>
      <c r="C2154">
        <v>2000</v>
      </c>
    </row>
    <row r="2155" spans="1:11" x14ac:dyDescent="0.25">
      <c r="A2155">
        <v>123.30851712821701</v>
      </c>
      <c r="B2155">
        <v>103.369996047605</v>
      </c>
      <c r="C2155">
        <v>2000</v>
      </c>
    </row>
    <row r="2156" spans="1:11" x14ac:dyDescent="0.25">
      <c r="A2156">
        <v>122.87150110376901</v>
      </c>
      <c r="B2156">
        <v>103.807012072053</v>
      </c>
      <c r="C2156">
        <v>2001</v>
      </c>
    </row>
    <row r="2157" spans="1:11" x14ac:dyDescent="0.25">
      <c r="A2157">
        <v>142.259763911455</v>
      </c>
      <c r="B2157">
        <v>123.19527487974</v>
      </c>
      <c r="C2157">
        <v>2001</v>
      </c>
    </row>
    <row r="2158" spans="1:11" x14ac:dyDescent="0.25">
      <c r="A2158">
        <v>150</v>
      </c>
      <c r="B2158">
        <v>130.935510968285</v>
      </c>
      <c r="C2158">
        <v>2001</v>
      </c>
    </row>
    <row r="2159" spans="1:11" x14ac:dyDescent="0.25">
      <c r="A2159">
        <v>150</v>
      </c>
      <c r="B2159">
        <v>130.06147891938701</v>
      </c>
      <c r="C2159">
        <v>2000</v>
      </c>
    </row>
    <row r="2160" spans="1:11" x14ac:dyDescent="0.25">
      <c r="A2160" t="s">
        <v>88</v>
      </c>
    </row>
    <row r="2161" spans="1:11" x14ac:dyDescent="0.25">
      <c r="A2161">
        <v>337</v>
      </c>
      <c r="B2161">
        <v>0</v>
      </c>
      <c r="C2161">
        <v>19.955253276612499</v>
      </c>
      <c r="D2161">
        <v>17.631195128895399</v>
      </c>
      <c r="E2161">
        <v>8</v>
      </c>
      <c r="F2161">
        <v>1.5707963267949001</v>
      </c>
      <c r="G2161" t="s">
        <v>86</v>
      </c>
      <c r="H2161" t="s">
        <v>86</v>
      </c>
      <c r="I2161">
        <v>96</v>
      </c>
      <c r="J2161">
        <v>428</v>
      </c>
      <c r="K2161">
        <v>0</v>
      </c>
    </row>
    <row r="2162" spans="1:11" x14ac:dyDescent="0.25">
      <c r="A2162" t="s">
        <v>87</v>
      </c>
    </row>
    <row r="2163" spans="1:11" x14ac:dyDescent="0.25">
      <c r="A2163">
        <v>102.26583697472999</v>
      </c>
      <c r="B2163">
        <v>27.545356344219901</v>
      </c>
      <c r="C2163">
        <v>2000</v>
      </c>
    </row>
    <row r="2164" spans="1:11" x14ac:dyDescent="0.25">
      <c r="A2164">
        <v>100</v>
      </c>
      <c r="B2164">
        <v>25.279519369490199</v>
      </c>
      <c r="C2164">
        <v>2000</v>
      </c>
    </row>
    <row r="2165" spans="1:11" x14ac:dyDescent="0.25">
      <c r="A2165">
        <v>88.155342062541905</v>
      </c>
      <c r="B2165">
        <v>13.4348614320321</v>
      </c>
      <c r="C2165">
        <v>2000</v>
      </c>
    </row>
    <row r="2166" spans="1:11" x14ac:dyDescent="0.25">
      <c r="A2166">
        <v>88.155342062541905</v>
      </c>
      <c r="B2166">
        <v>13.4348614320321</v>
      </c>
      <c r="C2166">
        <v>2001</v>
      </c>
    </row>
    <row r="2167" spans="1:11" x14ac:dyDescent="0.25">
      <c r="A2167">
        <v>100</v>
      </c>
      <c r="B2167">
        <v>25.279519369490199</v>
      </c>
      <c r="C2167">
        <v>2001</v>
      </c>
    </row>
    <row r="2168" spans="1:11" x14ac:dyDescent="0.25">
      <c r="A2168">
        <v>102.26583697472999</v>
      </c>
      <c r="B2168">
        <v>27.545356344219901</v>
      </c>
      <c r="C2168">
        <v>2001</v>
      </c>
    </row>
    <row r="2169" spans="1:11" x14ac:dyDescent="0.25">
      <c r="A2169">
        <v>114.732974610795</v>
      </c>
      <c r="B2169">
        <v>40.0124939802851</v>
      </c>
      <c r="C2169">
        <v>2001</v>
      </c>
    </row>
    <row r="2170" spans="1:11" x14ac:dyDescent="0.25">
      <c r="A2170">
        <v>114.732974610795</v>
      </c>
      <c r="B2170">
        <v>40.0124939802851</v>
      </c>
      <c r="C2170">
        <v>2000</v>
      </c>
    </row>
    <row r="2171" spans="1:11" x14ac:dyDescent="0.25">
      <c r="A2171" t="s">
        <v>88</v>
      </c>
    </row>
    <row r="2172" spans="1:11" x14ac:dyDescent="0.25">
      <c r="A2172">
        <v>98</v>
      </c>
      <c r="B2172">
        <v>0</v>
      </c>
      <c r="C2172">
        <v>0</v>
      </c>
      <c r="D2172">
        <v>37.344164401167802</v>
      </c>
      <c r="E2172">
        <v>6</v>
      </c>
      <c r="F2172">
        <v>1.5707963267949001</v>
      </c>
      <c r="G2172" t="s">
        <v>86</v>
      </c>
      <c r="H2172" t="s">
        <v>86</v>
      </c>
      <c r="I2172">
        <v>741</v>
      </c>
      <c r="J2172">
        <v>482</v>
      </c>
      <c r="K2172">
        <v>0</v>
      </c>
    </row>
    <row r="2173" spans="1:11" x14ac:dyDescent="0.25">
      <c r="A2173" t="s">
        <v>87</v>
      </c>
    </row>
    <row r="2174" spans="1:11" x14ac:dyDescent="0.25">
      <c r="A2174">
        <v>60.187909035099601</v>
      </c>
      <c r="B2174">
        <v>36.042947595027698</v>
      </c>
      <c r="C2174">
        <v>2000</v>
      </c>
    </row>
    <row r="2175" spans="1:11" x14ac:dyDescent="0.25">
      <c r="A2175">
        <v>60.187909035099601</v>
      </c>
      <c r="B2175">
        <v>36.042947595027698</v>
      </c>
      <c r="C2175">
        <v>2001</v>
      </c>
    </row>
    <row r="2176" spans="1:11" x14ac:dyDescent="0.25">
      <c r="A2176">
        <v>74.144961440071896</v>
      </c>
      <c r="B2176">
        <v>50</v>
      </c>
      <c r="C2176">
        <v>2001</v>
      </c>
    </row>
    <row r="2177" spans="1:11" x14ac:dyDescent="0.25">
      <c r="A2177">
        <v>86.594220920910601</v>
      </c>
      <c r="B2177">
        <v>62.449259480838698</v>
      </c>
      <c r="C2177">
        <v>2001</v>
      </c>
    </row>
    <row r="2178" spans="1:11" x14ac:dyDescent="0.25">
      <c r="A2178">
        <v>86.594220920910601</v>
      </c>
      <c r="B2178">
        <v>62.449259480838698</v>
      </c>
      <c r="C2178">
        <v>2000</v>
      </c>
    </row>
    <row r="2179" spans="1:11" x14ac:dyDescent="0.25">
      <c r="A2179">
        <v>74.144961440071896</v>
      </c>
      <c r="B2179">
        <v>50</v>
      </c>
      <c r="C2179">
        <v>2000</v>
      </c>
    </row>
    <row r="2180" spans="1:11" x14ac:dyDescent="0.25">
      <c r="A2180" t="s">
        <v>88</v>
      </c>
    </row>
    <row r="2181" spans="1:11" x14ac:dyDescent="0.25">
      <c r="A2181">
        <v>588</v>
      </c>
      <c r="B2181">
        <v>0</v>
      </c>
      <c r="C2181">
        <v>25.062461970633201</v>
      </c>
      <c r="D2181">
        <v>12.2636642363533</v>
      </c>
      <c r="E2181">
        <v>6</v>
      </c>
      <c r="F2181">
        <v>1.01722196789785</v>
      </c>
      <c r="G2181" t="s">
        <v>85</v>
      </c>
      <c r="H2181" t="s">
        <v>85</v>
      </c>
      <c r="I2181">
        <v>0</v>
      </c>
      <c r="J2181">
        <v>0</v>
      </c>
      <c r="K2181">
        <v>0</v>
      </c>
    </row>
    <row r="2182" spans="1:11" x14ac:dyDescent="0.25">
      <c r="A2182" t="s">
        <v>87</v>
      </c>
    </row>
    <row r="2183" spans="1:11" x14ac:dyDescent="0.25">
      <c r="A2183">
        <v>17.4284043403913</v>
      </c>
      <c r="B2183">
        <v>141.47186340845499</v>
      </c>
      <c r="C2183">
        <v>2000</v>
      </c>
    </row>
    <row r="2184" spans="1:11" x14ac:dyDescent="0.25">
      <c r="A2184">
        <v>0</v>
      </c>
      <c r="B2184">
        <v>124.043459068064</v>
      </c>
      <c r="C2184">
        <v>2000</v>
      </c>
    </row>
    <row r="2185" spans="1:11" x14ac:dyDescent="0.25">
      <c r="A2185">
        <v>0</v>
      </c>
      <c r="B2185">
        <v>123.16942701916599</v>
      </c>
      <c r="C2185">
        <v>2001</v>
      </c>
    </row>
    <row r="2186" spans="1:11" x14ac:dyDescent="0.25">
      <c r="A2186">
        <v>18.0152692849381</v>
      </c>
      <c r="B2186">
        <v>141.18469630410399</v>
      </c>
      <c r="C2186">
        <v>2001</v>
      </c>
    </row>
    <row r="2187" spans="1:11" x14ac:dyDescent="0.25">
      <c r="A2187">
        <v>26.8305729808339</v>
      </c>
      <c r="B2187">
        <v>150</v>
      </c>
      <c r="C2187">
        <v>2001</v>
      </c>
    </row>
    <row r="2188" spans="1:11" x14ac:dyDescent="0.25">
      <c r="A2188">
        <v>25.9565409319362</v>
      </c>
      <c r="B2188">
        <v>150</v>
      </c>
      <c r="C2188">
        <v>2000</v>
      </c>
    </row>
    <row r="2189" spans="1:11" x14ac:dyDescent="0.25">
      <c r="A2189" t="s">
        <v>88</v>
      </c>
    </row>
    <row r="2190" spans="1:11" x14ac:dyDescent="0.25">
      <c r="A2190">
        <v>342</v>
      </c>
      <c r="B2190">
        <v>0</v>
      </c>
      <c r="C2190">
        <v>1.9692783908415901</v>
      </c>
      <c r="D2190">
        <v>34.722496670624999</v>
      </c>
      <c r="E2190">
        <v>8</v>
      </c>
      <c r="F2190">
        <v>1.01722196789785</v>
      </c>
      <c r="G2190" t="s">
        <v>86</v>
      </c>
      <c r="H2190" t="s">
        <v>85</v>
      </c>
      <c r="I2190">
        <v>333</v>
      </c>
      <c r="J2190">
        <v>0</v>
      </c>
      <c r="K2190">
        <v>0</v>
      </c>
    </row>
    <row r="2191" spans="1:11" x14ac:dyDescent="0.25">
      <c r="A2191" t="s">
        <v>87</v>
      </c>
    </row>
    <row r="2192" spans="1:11" x14ac:dyDescent="0.25">
      <c r="A2192">
        <v>125.239537600265</v>
      </c>
      <c r="B2192">
        <v>42.213116871474398</v>
      </c>
      <c r="C2192">
        <v>2000</v>
      </c>
    </row>
    <row r="2193" spans="1:11" x14ac:dyDescent="0.25">
      <c r="A2193">
        <v>123.836489028041</v>
      </c>
      <c r="B2193">
        <v>40.810068299250702</v>
      </c>
      <c r="C2193">
        <v>2000</v>
      </c>
    </row>
    <row r="2194" spans="1:11" x14ac:dyDescent="0.25">
      <c r="A2194">
        <v>124.27350505248999</v>
      </c>
      <c r="B2194">
        <v>40.3730522748018</v>
      </c>
      <c r="C2194">
        <v>2001</v>
      </c>
    </row>
    <row r="2195" spans="1:11" x14ac:dyDescent="0.25">
      <c r="A2195">
        <v>125.655436688683</v>
      </c>
      <c r="B2195">
        <v>41.754983910994497</v>
      </c>
      <c r="C2195">
        <v>2001</v>
      </c>
    </row>
    <row r="2196" spans="1:11" x14ac:dyDescent="0.25">
      <c r="A2196">
        <v>133.610605867266</v>
      </c>
      <c r="B2196">
        <v>49.710153089577702</v>
      </c>
      <c r="C2196">
        <v>2001</v>
      </c>
    </row>
    <row r="2197" spans="1:11" x14ac:dyDescent="0.25">
      <c r="A2197">
        <v>150</v>
      </c>
      <c r="B2197">
        <v>66.099547222311898</v>
      </c>
      <c r="C2197">
        <v>2001</v>
      </c>
    </row>
    <row r="2198" spans="1:11" x14ac:dyDescent="0.25">
      <c r="A2198">
        <v>150</v>
      </c>
      <c r="B2198">
        <v>66.973579271209601</v>
      </c>
      <c r="C2198">
        <v>2000</v>
      </c>
    </row>
    <row r="2199" spans="1:11" x14ac:dyDescent="0.25">
      <c r="A2199">
        <v>133.31626763921301</v>
      </c>
      <c r="B2199">
        <v>50.289846910422298</v>
      </c>
      <c r="C2199">
        <v>2000</v>
      </c>
    </row>
    <row r="2200" spans="1:11" x14ac:dyDescent="0.25">
      <c r="A2200" t="s">
        <v>88</v>
      </c>
    </row>
    <row r="2201" spans="1:11" x14ac:dyDescent="0.25">
      <c r="A2201">
        <v>90</v>
      </c>
      <c r="B2201">
        <v>0</v>
      </c>
      <c r="C2201">
        <v>0</v>
      </c>
      <c r="D2201">
        <v>36.285779774985599</v>
      </c>
      <c r="E2201">
        <v>4</v>
      </c>
      <c r="F2201">
        <v>1.5707963267949001</v>
      </c>
      <c r="G2201" t="s">
        <v>86</v>
      </c>
      <c r="H2201" t="s">
        <v>86</v>
      </c>
      <c r="I2201">
        <v>722</v>
      </c>
      <c r="J2201">
        <v>340</v>
      </c>
      <c r="K2201">
        <v>0</v>
      </c>
    </row>
    <row r="2202" spans="1:11" x14ac:dyDescent="0.25">
      <c r="A2202" t="s">
        <v>87</v>
      </c>
    </row>
    <row r="2203" spans="1:11" x14ac:dyDescent="0.25">
      <c r="A2203">
        <v>66.686483247525302</v>
      </c>
      <c r="B2203">
        <v>2.2378970413645201</v>
      </c>
      <c r="C2203">
        <v>2000</v>
      </c>
    </row>
    <row r="2204" spans="1:11" x14ac:dyDescent="0.25">
      <c r="A2204">
        <v>66.686483247525302</v>
      </c>
      <c r="B2204">
        <v>2.2378970413645201</v>
      </c>
      <c r="C2204">
        <v>2001</v>
      </c>
    </row>
    <row r="2205" spans="1:11" x14ac:dyDescent="0.25">
      <c r="A2205">
        <v>92.344404187059297</v>
      </c>
      <c r="B2205">
        <v>27.895817980898499</v>
      </c>
      <c r="C2205">
        <v>2001</v>
      </c>
    </row>
    <row r="2206" spans="1:11" x14ac:dyDescent="0.25">
      <c r="A2206">
        <v>92.344404187059297</v>
      </c>
      <c r="B2206">
        <v>27.895817980898499</v>
      </c>
      <c r="C2206">
        <v>2000</v>
      </c>
    </row>
    <row r="2207" spans="1:11" x14ac:dyDescent="0.25">
      <c r="A2207" t="s">
        <v>88</v>
      </c>
    </row>
    <row r="2208" spans="1:11" x14ac:dyDescent="0.25">
      <c r="A2208">
        <v>93</v>
      </c>
      <c r="B2208">
        <v>0</v>
      </c>
      <c r="C2208">
        <v>35.511113037706401</v>
      </c>
      <c r="D2208">
        <v>0</v>
      </c>
      <c r="E2208">
        <v>7</v>
      </c>
      <c r="F2208">
        <v>1.5707963267949001</v>
      </c>
      <c r="G2208" t="s">
        <v>85</v>
      </c>
      <c r="H2208" t="s">
        <v>86</v>
      </c>
      <c r="I2208">
        <v>0</v>
      </c>
      <c r="J2208">
        <v>434</v>
      </c>
      <c r="K2208">
        <v>0</v>
      </c>
    </row>
    <row r="2209" spans="1:11" x14ac:dyDescent="0.25">
      <c r="A2209" t="s">
        <v>87</v>
      </c>
    </row>
    <row r="2210" spans="1:11" x14ac:dyDescent="0.25">
      <c r="A2210">
        <v>52.306397842385998</v>
      </c>
      <c r="B2210">
        <v>25.1101488364442</v>
      </c>
      <c r="C2210">
        <v>2000</v>
      </c>
    </row>
    <row r="2211" spans="1:11" x14ac:dyDescent="0.25">
      <c r="A2211">
        <v>50</v>
      </c>
      <c r="B2211">
        <v>22.803750994058198</v>
      </c>
      <c r="C2211">
        <v>2000</v>
      </c>
    </row>
    <row r="2212" spans="1:11" x14ac:dyDescent="0.25">
      <c r="A2212">
        <v>27.196249005941802</v>
      </c>
      <c r="B2212">
        <v>0</v>
      </c>
      <c r="C2212">
        <v>2000</v>
      </c>
    </row>
    <row r="2213" spans="1:11" x14ac:dyDescent="0.25">
      <c r="A2213">
        <v>27.196249005941802</v>
      </c>
      <c r="B2213">
        <v>0</v>
      </c>
      <c r="C2213">
        <v>2001</v>
      </c>
    </row>
    <row r="2214" spans="1:11" x14ac:dyDescent="0.25">
      <c r="A2214">
        <v>50</v>
      </c>
      <c r="B2214">
        <v>22.803750994058198</v>
      </c>
      <c r="C2214">
        <v>2001</v>
      </c>
    </row>
    <row r="2215" spans="1:11" x14ac:dyDescent="0.25">
      <c r="A2215">
        <v>52.306397842385998</v>
      </c>
      <c r="B2215">
        <v>25.1101488364442</v>
      </c>
      <c r="C2215">
        <v>2001</v>
      </c>
    </row>
    <row r="2216" spans="1:11" x14ac:dyDescent="0.25">
      <c r="A2216">
        <v>52.306397842385998</v>
      </c>
      <c r="B2216">
        <v>25.1101488364442</v>
      </c>
      <c r="C2216">
        <v>2000</v>
      </c>
    </row>
    <row r="2217" spans="1:11" x14ac:dyDescent="0.25">
      <c r="A2217" t="s">
        <v>88</v>
      </c>
    </row>
    <row r="2218" spans="1:11" x14ac:dyDescent="0.25">
      <c r="A2218">
        <v>331</v>
      </c>
      <c r="B2218">
        <v>0</v>
      </c>
      <c r="C2218">
        <v>18.3482990967929</v>
      </c>
      <c r="D2218">
        <v>17.057778225665199</v>
      </c>
      <c r="E2218">
        <v>10</v>
      </c>
      <c r="F2218">
        <v>1.5707963267949001</v>
      </c>
      <c r="G2218" t="s">
        <v>86</v>
      </c>
      <c r="H2218" t="s">
        <v>86</v>
      </c>
      <c r="I2218">
        <v>82</v>
      </c>
      <c r="J2218">
        <v>416</v>
      </c>
      <c r="K2218">
        <v>0</v>
      </c>
    </row>
    <row r="2219" spans="1:11" x14ac:dyDescent="0.25">
      <c r="A2219" t="s">
        <v>87</v>
      </c>
    </row>
    <row r="2220" spans="1:11" x14ac:dyDescent="0.25">
      <c r="A2220">
        <v>101.621975820336</v>
      </c>
      <c r="B2220">
        <v>40.6974120720743</v>
      </c>
      <c r="C2220">
        <v>2000</v>
      </c>
    </row>
    <row r="2221" spans="1:11" x14ac:dyDescent="0.25">
      <c r="A2221">
        <v>100</v>
      </c>
      <c r="B2221">
        <v>39.0754362517388</v>
      </c>
      <c r="C2221">
        <v>2000</v>
      </c>
    </row>
    <row r="2222" spans="1:11" x14ac:dyDescent="0.25">
      <c r="A2222">
        <v>88.647769105754307</v>
      </c>
      <c r="B2222">
        <v>27.7232053574931</v>
      </c>
      <c r="C2222">
        <v>2000</v>
      </c>
    </row>
    <row r="2223" spans="1:11" x14ac:dyDescent="0.25">
      <c r="A2223">
        <v>88.647769105754307</v>
      </c>
      <c r="B2223">
        <v>27.7232053574931</v>
      </c>
      <c r="C2223">
        <v>2001</v>
      </c>
    </row>
    <row r="2224" spans="1:11" x14ac:dyDescent="0.25">
      <c r="A2224">
        <v>100</v>
      </c>
      <c r="B2224">
        <v>39.0754362517388</v>
      </c>
      <c r="C2224">
        <v>2001</v>
      </c>
    </row>
    <row r="2225" spans="1:11" x14ac:dyDescent="0.25">
      <c r="A2225">
        <v>101.621975820336</v>
      </c>
      <c r="B2225">
        <v>40.6974120720743</v>
      </c>
      <c r="C2225">
        <v>2001</v>
      </c>
    </row>
    <row r="2226" spans="1:11" x14ac:dyDescent="0.25">
      <c r="A2226">
        <v>110.92456374826099</v>
      </c>
      <c r="B2226">
        <v>50</v>
      </c>
      <c r="C2226">
        <v>2001</v>
      </c>
    </row>
    <row r="2227" spans="1:11" x14ac:dyDescent="0.25">
      <c r="A2227">
        <v>113.68364647568001</v>
      </c>
      <c r="B2227">
        <v>52.759082727418402</v>
      </c>
      <c r="C2227">
        <v>2001</v>
      </c>
    </row>
    <row r="2228" spans="1:11" x14ac:dyDescent="0.25">
      <c r="A2228">
        <v>113.68364647568001</v>
      </c>
      <c r="B2228">
        <v>52.759082727418402</v>
      </c>
      <c r="C2228">
        <v>2000</v>
      </c>
    </row>
    <row r="2229" spans="1:11" x14ac:dyDescent="0.25">
      <c r="A2229">
        <v>110.92456374826099</v>
      </c>
      <c r="B2229">
        <v>50</v>
      </c>
      <c r="C2229">
        <v>2000</v>
      </c>
    </row>
    <row r="2230" spans="1:11" x14ac:dyDescent="0.25">
      <c r="A2230" t="s">
        <v>88</v>
      </c>
    </row>
    <row r="2231" spans="1:11" x14ac:dyDescent="0.25">
      <c r="A2231">
        <v>481</v>
      </c>
      <c r="B2231">
        <v>0</v>
      </c>
      <c r="C2231">
        <v>7.55554432140831</v>
      </c>
      <c r="D2231">
        <v>27.762267981163198</v>
      </c>
      <c r="E2231">
        <v>8</v>
      </c>
      <c r="F2231">
        <v>1.5707963267949001</v>
      </c>
      <c r="G2231" t="s">
        <v>86</v>
      </c>
      <c r="H2231" t="s">
        <v>86</v>
      </c>
      <c r="I2231">
        <v>500</v>
      </c>
      <c r="J2231">
        <v>408</v>
      </c>
      <c r="K2231">
        <v>0</v>
      </c>
    </row>
    <row r="2232" spans="1:11" x14ac:dyDescent="0.25">
      <c r="A2232" t="s">
        <v>87</v>
      </c>
    </row>
    <row r="2233" spans="1:11" x14ac:dyDescent="0.25">
      <c r="A2233">
        <v>88.136955671076194</v>
      </c>
      <c r="B2233">
        <v>75.811845146031999</v>
      </c>
      <c r="C2233">
        <v>2000</v>
      </c>
    </row>
    <row r="2234" spans="1:11" x14ac:dyDescent="0.25">
      <c r="A2234">
        <v>82.794379045852907</v>
      </c>
      <c r="B2234">
        <v>70.469268520808697</v>
      </c>
      <c r="C2234">
        <v>2000</v>
      </c>
    </row>
    <row r="2235" spans="1:11" x14ac:dyDescent="0.25">
      <c r="A2235">
        <v>82.794379045852907</v>
      </c>
      <c r="B2235">
        <v>70.469268520808697</v>
      </c>
      <c r="C2235">
        <v>2001</v>
      </c>
    </row>
    <row r="2236" spans="1:11" x14ac:dyDescent="0.25">
      <c r="A2236">
        <v>88.136955671076194</v>
      </c>
      <c r="B2236">
        <v>75.811845146031999</v>
      </c>
      <c r="C2236">
        <v>2001</v>
      </c>
    </row>
    <row r="2237" spans="1:11" x14ac:dyDescent="0.25">
      <c r="A2237">
        <v>100</v>
      </c>
      <c r="B2237">
        <v>87.674889474955805</v>
      </c>
      <c r="C2237">
        <v>2001</v>
      </c>
    </row>
    <row r="2238" spans="1:11" x14ac:dyDescent="0.25">
      <c r="A2238">
        <v>107.767843621675</v>
      </c>
      <c r="B2238">
        <v>95.442733096630704</v>
      </c>
      <c r="C2238">
        <v>2001</v>
      </c>
    </row>
    <row r="2239" spans="1:11" x14ac:dyDescent="0.25">
      <c r="A2239">
        <v>107.767843621675</v>
      </c>
      <c r="B2239">
        <v>95.442733096630704</v>
      </c>
      <c r="C2239">
        <v>2000</v>
      </c>
    </row>
    <row r="2240" spans="1:11" x14ac:dyDescent="0.25">
      <c r="A2240">
        <v>100</v>
      </c>
      <c r="B2240">
        <v>87.674889474955805</v>
      </c>
      <c r="C2240">
        <v>2000</v>
      </c>
    </row>
    <row r="2241" spans="1:11" x14ac:dyDescent="0.25">
      <c r="A2241" t="s">
        <v>88</v>
      </c>
    </row>
    <row r="2242" spans="1:11" x14ac:dyDescent="0.25">
      <c r="A2242">
        <v>403</v>
      </c>
      <c r="B2242">
        <v>0</v>
      </c>
      <c r="C2242">
        <v>4.0744368600641003</v>
      </c>
      <c r="D2242">
        <v>30.9155688464528</v>
      </c>
      <c r="E2242">
        <v>6</v>
      </c>
      <c r="F2242">
        <v>1.5707963267949001</v>
      </c>
      <c r="G2242" t="s">
        <v>86</v>
      </c>
      <c r="H2242" t="s">
        <v>86</v>
      </c>
      <c r="I2242">
        <v>405</v>
      </c>
      <c r="J2242">
        <v>413</v>
      </c>
      <c r="K2242">
        <v>0</v>
      </c>
    </row>
    <row r="2243" spans="1:11" x14ac:dyDescent="0.25">
      <c r="A2243" t="s">
        <v>87</v>
      </c>
    </row>
    <row r="2244" spans="1:11" x14ac:dyDescent="0.25">
      <c r="A2244">
        <v>122.91346274917601</v>
      </c>
      <c r="B2244">
        <v>62.086280440951803</v>
      </c>
      <c r="C2244">
        <v>2000</v>
      </c>
    </row>
    <row r="2245" spans="1:11" x14ac:dyDescent="0.25">
      <c r="A2245">
        <v>120.032400815909</v>
      </c>
      <c r="B2245">
        <v>59.205218507684101</v>
      </c>
      <c r="C2245">
        <v>2000</v>
      </c>
    </row>
    <row r="2246" spans="1:11" x14ac:dyDescent="0.25">
      <c r="A2246">
        <v>120.032400815909</v>
      </c>
      <c r="B2246">
        <v>59.205218507684101</v>
      </c>
      <c r="C2246">
        <v>2001</v>
      </c>
    </row>
    <row r="2247" spans="1:11" x14ac:dyDescent="0.25">
      <c r="A2247">
        <v>122.91346274917601</v>
      </c>
      <c r="B2247">
        <v>62.086280440951803</v>
      </c>
      <c r="C2247">
        <v>2001</v>
      </c>
    </row>
    <row r="2248" spans="1:11" x14ac:dyDescent="0.25">
      <c r="A2248">
        <v>144.77407112474299</v>
      </c>
      <c r="B2248">
        <v>83.946888816518197</v>
      </c>
      <c r="C2248">
        <v>2001</v>
      </c>
    </row>
    <row r="2249" spans="1:11" x14ac:dyDescent="0.25">
      <c r="A2249">
        <v>144.77407112474299</v>
      </c>
      <c r="B2249">
        <v>83.946888816518197</v>
      </c>
      <c r="C2249">
        <v>2000</v>
      </c>
    </row>
    <row r="2250" spans="1:11" x14ac:dyDescent="0.25">
      <c r="A2250" t="s">
        <v>88</v>
      </c>
    </row>
    <row r="2251" spans="1:11" x14ac:dyDescent="0.25">
      <c r="A2251">
        <v>275</v>
      </c>
      <c r="B2251">
        <v>0</v>
      </c>
      <c r="C2251">
        <v>18.733378501894101</v>
      </c>
      <c r="D2251">
        <v>15.2918704893175</v>
      </c>
      <c r="E2251">
        <v>6</v>
      </c>
      <c r="F2251">
        <v>1.01722196789785</v>
      </c>
      <c r="G2251" t="s">
        <v>86</v>
      </c>
      <c r="H2251" t="s">
        <v>85</v>
      </c>
      <c r="I2251">
        <v>247</v>
      </c>
      <c r="J2251">
        <v>0</v>
      </c>
      <c r="K2251">
        <v>0</v>
      </c>
    </row>
    <row r="2252" spans="1:11" x14ac:dyDescent="0.25">
      <c r="A2252" t="s">
        <v>87</v>
      </c>
    </row>
    <row r="2253" spans="1:11" x14ac:dyDescent="0.25">
      <c r="A2253">
        <v>71.051464054195705</v>
      </c>
      <c r="B2253">
        <v>139.088811248029</v>
      </c>
      <c r="C2253">
        <v>2000</v>
      </c>
    </row>
    <row r="2254" spans="1:11" x14ac:dyDescent="0.25">
      <c r="A2254">
        <v>57.6846605006955</v>
      </c>
      <c r="B2254">
        <v>125.722007694529</v>
      </c>
      <c r="C2254">
        <v>2000</v>
      </c>
    </row>
    <row r="2255" spans="1:11" x14ac:dyDescent="0.25">
      <c r="A2255">
        <v>57.247644476246698</v>
      </c>
      <c r="B2255">
        <v>126.15902371897801</v>
      </c>
      <c r="C2255">
        <v>2001</v>
      </c>
    </row>
    <row r="2256" spans="1:11" x14ac:dyDescent="0.25">
      <c r="A2256">
        <v>70.373838869193605</v>
      </c>
      <c r="B2256">
        <v>139.28521811192499</v>
      </c>
      <c r="C2256">
        <v>2001</v>
      </c>
    </row>
    <row r="2257" spans="1:11" x14ac:dyDescent="0.25">
      <c r="A2257">
        <v>81.0886207572687</v>
      </c>
      <c r="B2257">
        <v>150</v>
      </c>
      <c r="C2257">
        <v>2001</v>
      </c>
    </row>
    <row r="2258" spans="1:11" x14ac:dyDescent="0.25">
      <c r="A2258">
        <v>81.962652806166304</v>
      </c>
      <c r="B2258">
        <v>150</v>
      </c>
      <c r="C2258">
        <v>2000</v>
      </c>
    </row>
    <row r="2259" spans="1:11" x14ac:dyDescent="0.25">
      <c r="A2259" t="s">
        <v>88</v>
      </c>
    </row>
    <row r="2260" spans="1:11" x14ac:dyDescent="0.25">
      <c r="A2260">
        <v>117</v>
      </c>
      <c r="B2260">
        <v>0</v>
      </c>
      <c r="C2260">
        <v>12.2223707956511</v>
      </c>
      <c r="D2260">
        <v>21.680831217306</v>
      </c>
      <c r="E2260">
        <v>6</v>
      </c>
      <c r="F2260">
        <v>1.01722196789785</v>
      </c>
      <c r="G2260" t="s">
        <v>85</v>
      </c>
      <c r="H2260" t="s">
        <v>86</v>
      </c>
      <c r="I2260">
        <v>0</v>
      </c>
      <c r="J2260">
        <v>358</v>
      </c>
      <c r="K2260">
        <v>0</v>
      </c>
    </row>
    <row r="2261" spans="1:11" x14ac:dyDescent="0.25">
      <c r="A2261" t="s">
        <v>87</v>
      </c>
    </row>
    <row r="2262" spans="1:11" x14ac:dyDescent="0.25">
      <c r="A2262">
        <v>80.341187016636098</v>
      </c>
      <c r="B2262">
        <v>8.5637474159606501</v>
      </c>
      <c r="C2262">
        <v>2000</v>
      </c>
    </row>
    <row r="2263" spans="1:11" x14ac:dyDescent="0.25">
      <c r="A2263">
        <v>71.777439600675507</v>
      </c>
      <c r="B2263">
        <v>0</v>
      </c>
      <c r="C2263">
        <v>2000</v>
      </c>
    </row>
    <row r="2264" spans="1:11" x14ac:dyDescent="0.25">
      <c r="A2264">
        <v>70.903407551777804</v>
      </c>
      <c r="B2264">
        <v>0</v>
      </c>
      <c r="C2264">
        <v>2001</v>
      </c>
    </row>
    <row r="2265" spans="1:11" x14ac:dyDescent="0.25">
      <c r="A2265">
        <v>79.624702679379794</v>
      </c>
      <c r="B2265">
        <v>8.7212951276019695</v>
      </c>
      <c r="C2265">
        <v>2001</v>
      </c>
    </row>
    <row r="2266" spans="1:11" x14ac:dyDescent="0.25">
      <c r="A2266">
        <v>95.095099611301606</v>
      </c>
      <c r="B2266">
        <v>24.191692059523799</v>
      </c>
      <c r="C2266">
        <v>2001</v>
      </c>
    </row>
    <row r="2267" spans="1:11" x14ac:dyDescent="0.25">
      <c r="A2267">
        <v>95.532115635750401</v>
      </c>
      <c r="B2267">
        <v>23.754676035075001</v>
      </c>
      <c r="C2267">
        <v>2000</v>
      </c>
    </row>
    <row r="2268" spans="1:11" x14ac:dyDescent="0.25">
      <c r="A2268" t="s">
        <v>88</v>
      </c>
    </row>
    <row r="2269" spans="1:11" x14ac:dyDescent="0.25">
      <c r="A2269">
        <v>483</v>
      </c>
      <c r="B2269">
        <v>0</v>
      </c>
      <c r="C2269">
        <v>15.8134341163339</v>
      </c>
      <c r="D2269">
        <v>17.903662190950701</v>
      </c>
      <c r="E2269">
        <v>10</v>
      </c>
      <c r="F2269">
        <v>1.5707963267949001</v>
      </c>
      <c r="G2269" t="s">
        <v>86</v>
      </c>
      <c r="H2269" t="s">
        <v>86</v>
      </c>
      <c r="I2269">
        <v>645</v>
      </c>
      <c r="J2269">
        <v>265</v>
      </c>
      <c r="K2269">
        <v>0</v>
      </c>
    </row>
    <row r="2270" spans="1:11" x14ac:dyDescent="0.25">
      <c r="A2270" t="s">
        <v>87</v>
      </c>
    </row>
    <row r="2271" spans="1:11" x14ac:dyDescent="0.25">
      <c r="A2271">
        <v>51.185408048883701</v>
      </c>
      <c r="B2271">
        <v>87.917901919185098</v>
      </c>
      <c r="C2271">
        <v>2000</v>
      </c>
    </row>
    <row r="2272" spans="1:11" x14ac:dyDescent="0.25">
      <c r="A2272">
        <v>50</v>
      </c>
      <c r="B2272">
        <v>86.732493870301397</v>
      </c>
      <c r="C2272">
        <v>2000</v>
      </c>
    </row>
    <row r="2273" spans="1:11" x14ac:dyDescent="0.25">
      <c r="A2273">
        <v>40.0036215513774</v>
      </c>
      <c r="B2273">
        <v>76.736115421678804</v>
      </c>
      <c r="C2273">
        <v>2000</v>
      </c>
    </row>
    <row r="2274" spans="1:11" x14ac:dyDescent="0.25">
      <c r="A2274">
        <v>40.0036215513774</v>
      </c>
      <c r="B2274">
        <v>76.736115421678804</v>
      </c>
      <c r="C2274">
        <v>2001</v>
      </c>
    </row>
    <row r="2275" spans="1:11" x14ac:dyDescent="0.25">
      <c r="A2275">
        <v>50</v>
      </c>
      <c r="B2275">
        <v>86.732493870301397</v>
      </c>
      <c r="C2275">
        <v>2001</v>
      </c>
    </row>
    <row r="2276" spans="1:11" x14ac:dyDescent="0.25">
      <c r="A2276">
        <v>51.185408048883701</v>
      </c>
      <c r="B2276">
        <v>87.917901919185098</v>
      </c>
      <c r="C2276">
        <v>2001</v>
      </c>
    </row>
    <row r="2277" spans="1:11" x14ac:dyDescent="0.25">
      <c r="A2277">
        <v>63.267506129698603</v>
      </c>
      <c r="B2277">
        <v>100</v>
      </c>
      <c r="C2277">
        <v>2001</v>
      </c>
    </row>
    <row r="2278" spans="1:11" x14ac:dyDescent="0.25">
      <c r="A2278">
        <v>63.8452089921782</v>
      </c>
      <c r="B2278">
        <v>100.57770286248</v>
      </c>
      <c r="C2278">
        <v>2001</v>
      </c>
    </row>
    <row r="2279" spans="1:11" x14ac:dyDescent="0.25">
      <c r="A2279">
        <v>63.8452089921782</v>
      </c>
      <c r="B2279">
        <v>100.57770286248</v>
      </c>
      <c r="C2279">
        <v>2000</v>
      </c>
    </row>
    <row r="2280" spans="1:11" x14ac:dyDescent="0.25">
      <c r="A2280">
        <v>63.267506129698603</v>
      </c>
      <c r="B2280">
        <v>100</v>
      </c>
      <c r="C2280">
        <v>2000</v>
      </c>
    </row>
    <row r="2281" spans="1:11" x14ac:dyDescent="0.25">
      <c r="A2281" t="s">
        <v>88</v>
      </c>
    </row>
    <row r="2282" spans="1:11" x14ac:dyDescent="0.25">
      <c r="A2282">
        <v>410</v>
      </c>
      <c r="B2282">
        <v>0</v>
      </c>
      <c r="C2282">
        <v>1.30667961793026</v>
      </c>
      <c r="D2282">
        <v>32.209044333816102</v>
      </c>
      <c r="E2282">
        <v>6</v>
      </c>
      <c r="F2282">
        <v>1.5707963267949001</v>
      </c>
      <c r="G2282" t="s">
        <v>86</v>
      </c>
      <c r="H2282" t="s">
        <v>85</v>
      </c>
      <c r="I2282">
        <v>415</v>
      </c>
      <c r="J2282">
        <v>0</v>
      </c>
      <c r="K2282">
        <v>0</v>
      </c>
    </row>
    <row r="2283" spans="1:11" x14ac:dyDescent="0.25">
      <c r="A2283" t="s">
        <v>87</v>
      </c>
    </row>
    <row r="2284" spans="1:11" x14ac:dyDescent="0.25">
      <c r="A2284">
        <v>127.22476633602</v>
      </c>
      <c r="B2284">
        <v>63.448820572089801</v>
      </c>
      <c r="C2284">
        <v>2000</v>
      </c>
    </row>
    <row r="2285" spans="1:11" x14ac:dyDescent="0.25">
      <c r="A2285">
        <v>126.300804317344</v>
      </c>
      <c r="B2285">
        <v>62.524858553413097</v>
      </c>
      <c r="C2285">
        <v>2000</v>
      </c>
    </row>
    <row r="2286" spans="1:11" x14ac:dyDescent="0.25">
      <c r="A2286">
        <v>126.300804317344</v>
      </c>
      <c r="B2286">
        <v>62.524858553413097</v>
      </c>
      <c r="C2286">
        <v>2001</v>
      </c>
    </row>
    <row r="2287" spans="1:11" x14ac:dyDescent="0.25">
      <c r="A2287">
        <v>127.22476633602</v>
      </c>
      <c r="B2287">
        <v>63.448820572089801</v>
      </c>
      <c r="C2287">
        <v>2001</v>
      </c>
    </row>
    <row r="2288" spans="1:11" x14ac:dyDescent="0.25">
      <c r="A2288">
        <v>150</v>
      </c>
      <c r="B2288">
        <v>86.224054236069406</v>
      </c>
      <c r="C2288">
        <v>2001</v>
      </c>
    </row>
    <row r="2289" spans="1:11" x14ac:dyDescent="0.25">
      <c r="A2289">
        <v>150</v>
      </c>
      <c r="B2289">
        <v>86.224054236069406</v>
      </c>
      <c r="C2289">
        <v>2000</v>
      </c>
    </row>
    <row r="2290" spans="1:11" x14ac:dyDescent="0.25">
      <c r="A2290" t="s">
        <v>88</v>
      </c>
    </row>
    <row r="2291" spans="1:11" x14ac:dyDescent="0.25">
      <c r="A2291">
        <v>356</v>
      </c>
      <c r="B2291">
        <v>0</v>
      </c>
      <c r="C2291">
        <v>31.449558353786799</v>
      </c>
      <c r="D2291">
        <v>2.0351063156340699</v>
      </c>
      <c r="E2291">
        <v>6</v>
      </c>
      <c r="F2291">
        <v>1.01722196789785</v>
      </c>
      <c r="G2291" t="s">
        <v>86</v>
      </c>
      <c r="H2291" t="s">
        <v>86</v>
      </c>
      <c r="I2291">
        <v>334</v>
      </c>
      <c r="J2291">
        <v>342</v>
      </c>
      <c r="K2291">
        <v>0</v>
      </c>
    </row>
    <row r="2292" spans="1:11" x14ac:dyDescent="0.25">
      <c r="A2292" t="s">
        <v>87</v>
      </c>
    </row>
    <row r="2293" spans="1:11" x14ac:dyDescent="0.25">
      <c r="A2293">
        <v>122.396424500926</v>
      </c>
      <c r="B2293">
        <v>39.372057873924497</v>
      </c>
      <c r="C2293">
        <v>2000</v>
      </c>
    </row>
    <row r="2294" spans="1:11" x14ac:dyDescent="0.25">
      <c r="A2294">
        <v>100.15822852364199</v>
      </c>
      <c r="B2294">
        <v>17.1338618966398</v>
      </c>
      <c r="C2294">
        <v>2000</v>
      </c>
    </row>
    <row r="2295" spans="1:11" x14ac:dyDescent="0.25">
      <c r="A2295">
        <v>100.595244548091</v>
      </c>
      <c r="B2295">
        <v>16.696845872190998</v>
      </c>
      <c r="C2295">
        <v>2001</v>
      </c>
    </row>
    <row r="2296" spans="1:11" x14ac:dyDescent="0.25">
      <c r="A2296">
        <v>122.833440525375</v>
      </c>
      <c r="B2296">
        <v>38.935041849475702</v>
      </c>
      <c r="C2296">
        <v>2001</v>
      </c>
    </row>
    <row r="2297" spans="1:11" x14ac:dyDescent="0.25">
      <c r="A2297">
        <v>124.272478001596</v>
      </c>
      <c r="B2297">
        <v>40.374079325696101</v>
      </c>
      <c r="C2297">
        <v>2001</v>
      </c>
    </row>
    <row r="2298" spans="1:11" x14ac:dyDescent="0.25">
      <c r="A2298">
        <v>123.83546197714701</v>
      </c>
      <c r="B2298">
        <v>40.811095350144903</v>
      </c>
      <c r="C2298">
        <v>2000</v>
      </c>
    </row>
    <row r="2299" spans="1:11" x14ac:dyDescent="0.25">
      <c r="A2299" t="s">
        <v>88</v>
      </c>
    </row>
    <row r="2300" spans="1:11" x14ac:dyDescent="0.25">
      <c r="A2300">
        <v>332</v>
      </c>
      <c r="B2300">
        <v>0</v>
      </c>
      <c r="C2300">
        <v>33.260357447367497</v>
      </c>
      <c r="D2300">
        <v>0.20423220254993199</v>
      </c>
      <c r="E2300">
        <v>6</v>
      </c>
      <c r="F2300">
        <v>1.5707963267949001</v>
      </c>
      <c r="G2300" t="s">
        <v>86</v>
      </c>
      <c r="H2300" t="s">
        <v>86</v>
      </c>
      <c r="I2300">
        <v>334</v>
      </c>
      <c r="J2300">
        <v>435</v>
      </c>
      <c r="K2300">
        <v>0</v>
      </c>
    </row>
    <row r="2301" spans="1:11" x14ac:dyDescent="0.25">
      <c r="A2301" t="s">
        <v>87</v>
      </c>
    </row>
    <row r="2302" spans="1:11" x14ac:dyDescent="0.25">
      <c r="A2302">
        <v>124.678174301366</v>
      </c>
      <c r="B2302">
        <v>39.651164710359303</v>
      </c>
      <c r="C2302">
        <v>2000</v>
      </c>
    </row>
    <row r="2303" spans="1:11" x14ac:dyDescent="0.25">
      <c r="A2303">
        <v>101.15955000564399</v>
      </c>
      <c r="B2303">
        <v>16.132540414637202</v>
      </c>
      <c r="C2303">
        <v>2000</v>
      </c>
    </row>
    <row r="2304" spans="1:11" x14ac:dyDescent="0.25">
      <c r="A2304">
        <v>101.15955000564399</v>
      </c>
      <c r="B2304">
        <v>16.132540414637202</v>
      </c>
      <c r="C2304">
        <v>2001</v>
      </c>
    </row>
    <row r="2305" spans="1:11" x14ac:dyDescent="0.25">
      <c r="A2305">
        <v>124.678174301366</v>
      </c>
      <c r="B2305">
        <v>39.651164710359303</v>
      </c>
      <c r="C2305">
        <v>2001</v>
      </c>
    </row>
    <row r="2306" spans="1:11" x14ac:dyDescent="0.25">
      <c r="A2306">
        <v>124.82258827672599</v>
      </c>
      <c r="B2306">
        <v>39.795578685719001</v>
      </c>
      <c r="C2306">
        <v>2001</v>
      </c>
    </row>
    <row r="2307" spans="1:11" x14ac:dyDescent="0.25">
      <c r="A2307">
        <v>124.82258827672599</v>
      </c>
      <c r="B2307">
        <v>39.795578685719001</v>
      </c>
      <c r="C2307">
        <v>2000</v>
      </c>
    </row>
    <row r="2308" spans="1:11" x14ac:dyDescent="0.25">
      <c r="A2308" t="s">
        <v>88</v>
      </c>
    </row>
    <row r="2309" spans="1:11" x14ac:dyDescent="0.25">
      <c r="A2309">
        <v>731</v>
      </c>
      <c r="B2309">
        <v>0</v>
      </c>
      <c r="C2309">
        <v>28.287545224533901</v>
      </c>
      <c r="D2309">
        <v>4.9243678666034301</v>
      </c>
      <c r="E2309">
        <v>8</v>
      </c>
      <c r="F2309">
        <v>1.01722196789785</v>
      </c>
      <c r="G2309" t="s">
        <v>86</v>
      </c>
      <c r="H2309" t="s">
        <v>86</v>
      </c>
      <c r="I2309">
        <v>496</v>
      </c>
      <c r="J2309">
        <v>279</v>
      </c>
      <c r="K2309">
        <v>0.132280897398523</v>
      </c>
    </row>
    <row r="2310" spans="1:11" x14ac:dyDescent="0.25">
      <c r="A2310" t="s">
        <v>87</v>
      </c>
    </row>
    <row r="2311" spans="1:11" x14ac:dyDescent="0.25">
      <c r="A2311">
        <v>74.182679034393402</v>
      </c>
      <c r="B2311">
        <v>97.552875909275997</v>
      </c>
      <c r="C2311">
        <v>2000</v>
      </c>
    </row>
    <row r="2312" spans="1:11" x14ac:dyDescent="0.25">
      <c r="A2312">
        <v>54.180363983004298</v>
      </c>
      <c r="B2312">
        <v>77.550560857886893</v>
      </c>
      <c r="C2312">
        <v>2000</v>
      </c>
    </row>
    <row r="2313" spans="1:11" x14ac:dyDescent="0.25">
      <c r="A2313">
        <v>54.6173800074532</v>
      </c>
      <c r="B2313">
        <v>77.113544833438098</v>
      </c>
      <c r="C2313">
        <v>2001</v>
      </c>
    </row>
    <row r="2314" spans="1:11" x14ac:dyDescent="0.25">
      <c r="A2314">
        <v>74.619695058842197</v>
      </c>
      <c r="B2314">
        <v>97.115859884827202</v>
      </c>
      <c r="C2314">
        <v>2001</v>
      </c>
    </row>
    <row r="2315" spans="1:11" x14ac:dyDescent="0.25">
      <c r="A2315">
        <v>77.285327161790704</v>
      </c>
      <c r="B2315">
        <v>99.781491987775595</v>
      </c>
      <c r="C2315">
        <v>2001</v>
      </c>
    </row>
    <row r="2316" spans="1:11" x14ac:dyDescent="0.25">
      <c r="A2316">
        <v>78.101748970374601</v>
      </c>
      <c r="B2316">
        <v>100.59791379636</v>
      </c>
      <c r="C2316">
        <v>2001</v>
      </c>
    </row>
    <row r="2317" spans="1:11" x14ac:dyDescent="0.25">
      <c r="A2317">
        <v>77.664732945925806</v>
      </c>
      <c r="B2317">
        <v>101.034929820808</v>
      </c>
      <c r="C2317">
        <v>2000</v>
      </c>
    </row>
    <row r="2318" spans="1:11" x14ac:dyDescent="0.25">
      <c r="A2318">
        <v>76.848311137341895</v>
      </c>
      <c r="B2318">
        <v>100.21850801222401</v>
      </c>
      <c r="C2318">
        <v>2000</v>
      </c>
    </row>
    <row r="2319" spans="1:11" x14ac:dyDescent="0.25">
      <c r="A2319" t="s">
        <v>88</v>
      </c>
    </row>
    <row r="2320" spans="1:11" x14ac:dyDescent="0.25">
      <c r="A2320">
        <v>351</v>
      </c>
      <c r="B2320">
        <v>0</v>
      </c>
      <c r="C2320">
        <v>14.94576323629</v>
      </c>
      <c r="D2320">
        <v>18.189505673825099</v>
      </c>
      <c r="E2320">
        <v>6</v>
      </c>
      <c r="F2320">
        <v>1.01722196789785</v>
      </c>
      <c r="G2320" t="s">
        <v>85</v>
      </c>
      <c r="H2320" t="s">
        <v>85</v>
      </c>
      <c r="I2320">
        <v>0</v>
      </c>
      <c r="J2320">
        <v>0</v>
      </c>
      <c r="K2320">
        <v>0</v>
      </c>
    </row>
    <row r="2321" spans="1:11" x14ac:dyDescent="0.25">
      <c r="A2321" t="s">
        <v>87</v>
      </c>
    </row>
    <row r="2322" spans="1:11" x14ac:dyDescent="0.25">
      <c r="A2322">
        <v>136.89817856643401</v>
      </c>
      <c r="B2322">
        <v>10.7653679336654</v>
      </c>
      <c r="C2322">
        <v>2000</v>
      </c>
    </row>
    <row r="2323" spans="1:11" x14ac:dyDescent="0.25">
      <c r="A2323">
        <v>126.13281063276899</v>
      </c>
      <c r="B2323">
        <v>0</v>
      </c>
      <c r="C2323">
        <v>2000</v>
      </c>
    </row>
    <row r="2324" spans="1:11" x14ac:dyDescent="0.25">
      <c r="A2324">
        <v>127.006842681667</v>
      </c>
      <c r="B2324">
        <v>0</v>
      </c>
      <c r="C2324">
        <v>2001</v>
      </c>
    </row>
    <row r="2325" spans="1:11" x14ac:dyDescent="0.25">
      <c r="A2325">
        <v>137.37797581678001</v>
      </c>
      <c r="B2325">
        <v>10.371133135113199</v>
      </c>
      <c r="C2325">
        <v>2001</v>
      </c>
    </row>
    <row r="2326" spans="1:11" x14ac:dyDescent="0.25">
      <c r="A2326">
        <v>150</v>
      </c>
      <c r="B2326">
        <v>22.993157318333299</v>
      </c>
      <c r="C2326">
        <v>2001</v>
      </c>
    </row>
    <row r="2327" spans="1:11" x14ac:dyDescent="0.25">
      <c r="A2327">
        <v>150</v>
      </c>
      <c r="B2327">
        <v>23.867189367230999</v>
      </c>
      <c r="C2327">
        <v>2000</v>
      </c>
    </row>
    <row r="2328" spans="1:11" x14ac:dyDescent="0.25">
      <c r="A2328" t="s">
        <v>88</v>
      </c>
    </row>
    <row r="2329" spans="1:11" x14ac:dyDescent="0.25">
      <c r="A2329">
        <v>168</v>
      </c>
      <c r="B2329">
        <v>0</v>
      </c>
      <c r="C2329">
        <v>14.7448126271976</v>
      </c>
      <c r="D2329">
        <v>17.937852405950402</v>
      </c>
      <c r="E2329">
        <v>6</v>
      </c>
      <c r="F2329">
        <v>1.5707963267949001</v>
      </c>
      <c r="G2329" t="s">
        <v>86</v>
      </c>
      <c r="H2329" t="s">
        <v>85</v>
      </c>
      <c r="I2329">
        <v>174</v>
      </c>
      <c r="J2329">
        <v>0</v>
      </c>
      <c r="K2329">
        <v>0</v>
      </c>
    </row>
    <row r="2330" spans="1:11" x14ac:dyDescent="0.25">
      <c r="A2330" t="s">
        <v>87</v>
      </c>
    </row>
    <row r="2331" spans="1:11" x14ac:dyDescent="0.25">
      <c r="A2331">
        <v>137.316022923829</v>
      </c>
      <c r="B2331">
        <v>121.946881791552</v>
      </c>
      <c r="C2331">
        <v>2000</v>
      </c>
    </row>
    <row r="2332" spans="1:11" x14ac:dyDescent="0.25">
      <c r="A2332">
        <v>126.88986592781301</v>
      </c>
      <c r="B2332">
        <v>111.520724795536</v>
      </c>
      <c r="C2332">
        <v>2000</v>
      </c>
    </row>
    <row r="2333" spans="1:11" x14ac:dyDescent="0.25">
      <c r="A2333">
        <v>126.88986592781301</v>
      </c>
      <c r="B2333">
        <v>111.520724795536</v>
      </c>
      <c r="C2333">
        <v>2001</v>
      </c>
    </row>
    <row r="2334" spans="1:11" x14ac:dyDescent="0.25">
      <c r="A2334">
        <v>137.316022923829</v>
      </c>
      <c r="B2334">
        <v>121.946881791552</v>
      </c>
      <c r="C2334">
        <v>2001</v>
      </c>
    </row>
    <row r="2335" spans="1:11" x14ac:dyDescent="0.25">
      <c r="A2335">
        <v>150</v>
      </c>
      <c r="B2335">
        <v>134.63085886772299</v>
      </c>
      <c r="C2335">
        <v>2001</v>
      </c>
    </row>
    <row r="2336" spans="1:11" x14ac:dyDescent="0.25">
      <c r="A2336">
        <v>150</v>
      </c>
      <c r="B2336">
        <v>134.63085886772299</v>
      </c>
      <c r="C2336">
        <v>2000</v>
      </c>
    </row>
    <row r="2337" spans="1:11" x14ac:dyDescent="0.25">
      <c r="A2337" t="s">
        <v>88</v>
      </c>
    </row>
    <row r="2338" spans="1:11" x14ac:dyDescent="0.25">
      <c r="A2338">
        <v>657</v>
      </c>
      <c r="B2338">
        <v>0</v>
      </c>
      <c r="C2338">
        <v>5.0760354854403698</v>
      </c>
      <c r="D2338">
        <v>27.5502030753002</v>
      </c>
      <c r="E2338">
        <v>8</v>
      </c>
      <c r="F2338">
        <v>1.5707963267949001</v>
      </c>
      <c r="G2338" t="s">
        <v>85</v>
      </c>
      <c r="H2338" t="s">
        <v>86</v>
      </c>
      <c r="I2338">
        <v>0</v>
      </c>
      <c r="J2338">
        <v>561</v>
      </c>
      <c r="K2338">
        <v>0</v>
      </c>
    </row>
    <row r="2339" spans="1:11" x14ac:dyDescent="0.25">
      <c r="A2339" t="s">
        <v>87</v>
      </c>
    </row>
    <row r="2340" spans="1:11" x14ac:dyDescent="0.25">
      <c r="A2340">
        <v>3.5892991132984302</v>
      </c>
      <c r="B2340">
        <v>99.217787454471804</v>
      </c>
      <c r="C2340">
        <v>2000</v>
      </c>
    </row>
    <row r="2341" spans="1:11" x14ac:dyDescent="0.25">
      <c r="A2341">
        <v>0</v>
      </c>
      <c r="B2341">
        <v>95.628488341173394</v>
      </c>
      <c r="C2341">
        <v>2000</v>
      </c>
    </row>
    <row r="2342" spans="1:11" x14ac:dyDescent="0.25">
      <c r="A2342">
        <v>0</v>
      </c>
      <c r="B2342">
        <v>95.628488341173394</v>
      </c>
      <c r="C2342">
        <v>2001</v>
      </c>
    </row>
    <row r="2343" spans="1:11" x14ac:dyDescent="0.25">
      <c r="A2343">
        <v>3.5892991132984302</v>
      </c>
      <c r="B2343">
        <v>99.217787454471804</v>
      </c>
      <c r="C2343">
        <v>2001</v>
      </c>
    </row>
    <row r="2344" spans="1:11" x14ac:dyDescent="0.25">
      <c r="A2344">
        <v>4.3715116588266101</v>
      </c>
      <c r="B2344">
        <v>100</v>
      </c>
      <c r="C2344">
        <v>2001</v>
      </c>
    </row>
    <row r="2345" spans="1:11" x14ac:dyDescent="0.25">
      <c r="A2345">
        <v>23.070234530909701</v>
      </c>
      <c r="B2345">
        <v>118.698722872083</v>
      </c>
      <c r="C2345">
        <v>2001</v>
      </c>
    </row>
    <row r="2346" spans="1:11" x14ac:dyDescent="0.25">
      <c r="A2346">
        <v>23.070234530909701</v>
      </c>
      <c r="B2346">
        <v>118.698722872083</v>
      </c>
      <c r="C2346">
        <v>2000</v>
      </c>
    </row>
    <row r="2347" spans="1:11" x14ac:dyDescent="0.25">
      <c r="A2347">
        <v>4.3715116588266101</v>
      </c>
      <c r="B2347">
        <v>100</v>
      </c>
      <c r="C2347">
        <v>2000</v>
      </c>
    </row>
    <row r="2348" spans="1:11" x14ac:dyDescent="0.25">
      <c r="A2348" t="s">
        <v>88</v>
      </c>
    </row>
    <row r="2349" spans="1:11" x14ac:dyDescent="0.25">
      <c r="A2349">
        <v>734</v>
      </c>
      <c r="B2349">
        <v>0</v>
      </c>
      <c r="C2349">
        <v>7.4317572051188696</v>
      </c>
      <c r="D2349">
        <v>25.177231618007202</v>
      </c>
      <c r="E2349">
        <v>10</v>
      </c>
      <c r="F2349">
        <v>1.01722196789785</v>
      </c>
      <c r="G2349" t="s">
        <v>86</v>
      </c>
      <c r="H2349" t="s">
        <v>86</v>
      </c>
      <c r="I2349">
        <v>103</v>
      </c>
      <c r="J2349">
        <v>432</v>
      </c>
      <c r="K2349">
        <v>0.132280897398523</v>
      </c>
    </row>
    <row r="2350" spans="1:11" x14ac:dyDescent="0.25">
      <c r="A2350" t="s">
        <v>87</v>
      </c>
    </row>
    <row r="2351" spans="1:11" x14ac:dyDescent="0.25">
      <c r="A2351">
        <v>93.914522266436805</v>
      </c>
      <c r="B2351">
        <v>37.926707209523897</v>
      </c>
      <c r="C2351">
        <v>2000</v>
      </c>
    </row>
    <row r="2352" spans="1:11" x14ac:dyDescent="0.25">
      <c r="A2352">
        <v>88.659476350565299</v>
      </c>
      <c r="B2352">
        <v>32.671661293652399</v>
      </c>
      <c r="C2352">
        <v>2000</v>
      </c>
    </row>
    <row r="2353" spans="1:11" x14ac:dyDescent="0.25">
      <c r="A2353">
        <v>88.222460326116405</v>
      </c>
      <c r="B2353">
        <v>33.108677318101201</v>
      </c>
      <c r="C2353">
        <v>2001</v>
      </c>
    </row>
    <row r="2354" spans="1:11" x14ac:dyDescent="0.25">
      <c r="A2354">
        <v>93.477506241987996</v>
      </c>
      <c r="B2354">
        <v>38.363723233972699</v>
      </c>
      <c r="C2354">
        <v>2001</v>
      </c>
    </row>
    <row r="2355" spans="1:11" x14ac:dyDescent="0.25">
      <c r="A2355">
        <v>99.781491987775595</v>
      </c>
      <c r="B2355">
        <v>44.667708979760299</v>
      </c>
      <c r="C2355">
        <v>2001</v>
      </c>
    </row>
    <row r="2356" spans="1:11" x14ac:dyDescent="0.25">
      <c r="A2356">
        <v>105.33229102024001</v>
      </c>
      <c r="B2356">
        <v>50.218508012224397</v>
      </c>
      <c r="C2356">
        <v>2001</v>
      </c>
    </row>
    <row r="2357" spans="1:11" x14ac:dyDescent="0.25">
      <c r="A2357">
        <v>111.280497450585</v>
      </c>
      <c r="B2357">
        <v>56.166714442569997</v>
      </c>
      <c r="C2357">
        <v>2001</v>
      </c>
    </row>
    <row r="2358" spans="1:11" x14ac:dyDescent="0.25">
      <c r="A2358">
        <v>111.717513475034</v>
      </c>
      <c r="B2358">
        <v>55.729698418121103</v>
      </c>
      <c r="C2358">
        <v>2000</v>
      </c>
    </row>
    <row r="2359" spans="1:11" x14ac:dyDescent="0.25">
      <c r="A2359">
        <v>105.76930704468801</v>
      </c>
      <c r="B2359">
        <v>49.781491987775603</v>
      </c>
      <c r="C2359">
        <v>2000</v>
      </c>
    </row>
    <row r="2360" spans="1:11" x14ac:dyDescent="0.25">
      <c r="A2360">
        <v>100.21850801222401</v>
      </c>
      <c r="B2360">
        <v>44.230692955311497</v>
      </c>
      <c r="C2360">
        <v>2000</v>
      </c>
    </row>
    <row r="2361" spans="1:11" x14ac:dyDescent="0.25">
      <c r="A2361" t="s">
        <v>88</v>
      </c>
    </row>
    <row r="2362" spans="1:11" x14ac:dyDescent="0.25">
      <c r="A2362">
        <v>491</v>
      </c>
      <c r="B2362">
        <v>0</v>
      </c>
      <c r="C2362">
        <v>26.828303319978499</v>
      </c>
      <c r="D2362">
        <v>5.4489253320295603</v>
      </c>
      <c r="E2362">
        <v>10</v>
      </c>
      <c r="F2362">
        <v>1.5707963267949001</v>
      </c>
      <c r="G2362" t="s">
        <v>86</v>
      </c>
      <c r="H2362" t="s">
        <v>86</v>
      </c>
      <c r="I2362">
        <v>675</v>
      </c>
      <c r="J2362">
        <v>261</v>
      </c>
      <c r="K2362">
        <v>0</v>
      </c>
    </row>
    <row r="2363" spans="1:11" x14ac:dyDescent="0.25">
      <c r="A2363" t="s">
        <v>87</v>
      </c>
    </row>
    <row r="2364" spans="1:11" x14ac:dyDescent="0.25">
      <c r="A2364">
        <v>67.520188525095705</v>
      </c>
      <c r="B2364">
        <v>96.531662273468299</v>
      </c>
      <c r="C2364">
        <v>2000</v>
      </c>
    </row>
    <row r="2365" spans="1:11" x14ac:dyDescent="0.25">
      <c r="A2365">
        <v>50</v>
      </c>
      <c r="B2365">
        <v>79.011473748372595</v>
      </c>
      <c r="C2365">
        <v>2000</v>
      </c>
    </row>
    <row r="2366" spans="1:11" x14ac:dyDescent="0.25">
      <c r="A2366">
        <v>48.5497133198093</v>
      </c>
      <c r="B2366">
        <v>77.561187068181894</v>
      </c>
      <c r="C2366">
        <v>2000</v>
      </c>
    </row>
    <row r="2367" spans="1:11" x14ac:dyDescent="0.25">
      <c r="A2367">
        <v>48.5497133198093</v>
      </c>
      <c r="B2367">
        <v>77.561187068181894</v>
      </c>
      <c r="C2367">
        <v>2001</v>
      </c>
    </row>
    <row r="2368" spans="1:11" x14ac:dyDescent="0.25">
      <c r="A2368">
        <v>50</v>
      </c>
      <c r="B2368">
        <v>79.011473748372595</v>
      </c>
      <c r="C2368">
        <v>2001</v>
      </c>
    </row>
    <row r="2369" spans="1:11" x14ac:dyDescent="0.25">
      <c r="A2369">
        <v>67.520188525095705</v>
      </c>
      <c r="B2369">
        <v>96.531662273468299</v>
      </c>
      <c r="C2369">
        <v>2001</v>
      </c>
    </row>
    <row r="2370" spans="1:11" x14ac:dyDescent="0.25">
      <c r="A2370">
        <v>70.988526251627405</v>
      </c>
      <c r="B2370">
        <v>100</v>
      </c>
      <c r="C2370">
        <v>2001</v>
      </c>
    </row>
    <row r="2371" spans="1:11" x14ac:dyDescent="0.25">
      <c r="A2371">
        <v>71.373160577552895</v>
      </c>
      <c r="B2371">
        <v>100.384634325926</v>
      </c>
      <c r="C2371">
        <v>2001</v>
      </c>
    </row>
    <row r="2372" spans="1:11" x14ac:dyDescent="0.25">
      <c r="A2372">
        <v>71.373160577552895</v>
      </c>
      <c r="B2372">
        <v>100.384634325926</v>
      </c>
      <c r="C2372">
        <v>2000</v>
      </c>
    </row>
    <row r="2373" spans="1:11" x14ac:dyDescent="0.25">
      <c r="A2373">
        <v>70.988526251627405</v>
      </c>
      <c r="B2373">
        <v>100</v>
      </c>
      <c r="C2373">
        <v>2000</v>
      </c>
    </row>
    <row r="2374" spans="1:11" x14ac:dyDescent="0.25">
      <c r="A2374" t="s">
        <v>88</v>
      </c>
    </row>
    <row r="2375" spans="1:11" x14ac:dyDescent="0.25">
      <c r="A2375">
        <v>723</v>
      </c>
      <c r="B2375">
        <v>0</v>
      </c>
      <c r="C2375">
        <v>19.357347661891701</v>
      </c>
      <c r="D2375">
        <v>12.8597132330055</v>
      </c>
      <c r="E2375">
        <v>8</v>
      </c>
      <c r="F2375">
        <v>1.01722196789785</v>
      </c>
      <c r="G2375" t="s">
        <v>86</v>
      </c>
      <c r="H2375" t="s">
        <v>85</v>
      </c>
      <c r="I2375">
        <v>336</v>
      </c>
      <c r="J2375">
        <v>0</v>
      </c>
      <c r="K2375">
        <v>0.13160878275062499</v>
      </c>
    </row>
    <row r="2376" spans="1:11" x14ac:dyDescent="0.25">
      <c r="A2376" t="s">
        <v>87</v>
      </c>
    </row>
    <row r="2377" spans="1:11" x14ac:dyDescent="0.25">
      <c r="A2377">
        <v>140.81115382176301</v>
      </c>
      <c r="B2377">
        <v>62.019895820617101</v>
      </c>
      <c r="C2377">
        <v>2000</v>
      </c>
    </row>
    <row r="2378" spans="1:11" x14ac:dyDescent="0.25">
      <c r="A2378">
        <v>129.00976601337101</v>
      </c>
      <c r="B2378">
        <v>50.218508012224397</v>
      </c>
      <c r="C2378">
        <v>2000</v>
      </c>
    </row>
    <row r="2379" spans="1:11" x14ac:dyDescent="0.25">
      <c r="A2379">
        <v>127.000589759094</v>
      </c>
      <c r="B2379">
        <v>48.209331757947702</v>
      </c>
      <c r="C2379">
        <v>2000</v>
      </c>
    </row>
    <row r="2380" spans="1:11" x14ac:dyDescent="0.25">
      <c r="A2380">
        <v>127.43760578354301</v>
      </c>
      <c r="B2380">
        <v>47.7723157334988</v>
      </c>
      <c r="C2380">
        <v>2001</v>
      </c>
    </row>
    <row r="2381" spans="1:11" x14ac:dyDescent="0.25">
      <c r="A2381">
        <v>129.44678203781899</v>
      </c>
      <c r="B2381">
        <v>49.781491987775603</v>
      </c>
      <c r="C2381">
        <v>2001</v>
      </c>
    </row>
    <row r="2382" spans="1:11" x14ac:dyDescent="0.25">
      <c r="A2382">
        <v>141.00246531589201</v>
      </c>
      <c r="B2382">
        <v>61.337175265847797</v>
      </c>
      <c r="C2382">
        <v>2001</v>
      </c>
    </row>
    <row r="2383" spans="1:11" x14ac:dyDescent="0.25">
      <c r="A2383">
        <v>150</v>
      </c>
      <c r="B2383">
        <v>70.334709949956206</v>
      </c>
      <c r="C2383">
        <v>2001</v>
      </c>
    </row>
    <row r="2384" spans="1:11" x14ac:dyDescent="0.25">
      <c r="A2384">
        <v>150</v>
      </c>
      <c r="B2384">
        <v>71.208741998853895</v>
      </c>
      <c r="C2384">
        <v>2000</v>
      </c>
    </row>
    <row r="2385" spans="1:11" x14ac:dyDescent="0.25">
      <c r="A2385" t="s">
        <v>88</v>
      </c>
    </row>
    <row r="2386" spans="1:11" x14ac:dyDescent="0.25">
      <c r="A2386">
        <v>573</v>
      </c>
      <c r="B2386">
        <v>0</v>
      </c>
      <c r="C2386">
        <v>3.6966272166620802</v>
      </c>
      <c r="D2386">
        <v>28.3730122997362</v>
      </c>
      <c r="E2386">
        <v>6</v>
      </c>
      <c r="F2386">
        <v>1.5707963267949001</v>
      </c>
      <c r="G2386" t="s">
        <v>85</v>
      </c>
      <c r="H2386" t="s">
        <v>85</v>
      </c>
      <c r="I2386">
        <v>0</v>
      </c>
      <c r="J2386">
        <v>0</v>
      </c>
      <c r="K2386">
        <v>0</v>
      </c>
    </row>
    <row r="2387" spans="1:11" x14ac:dyDescent="0.25">
      <c r="A2387" t="s">
        <v>87</v>
      </c>
    </row>
    <row r="2388" spans="1:11" x14ac:dyDescent="0.25">
      <c r="A2388">
        <v>2.61391017242051</v>
      </c>
      <c r="B2388">
        <v>129.937250600167</v>
      </c>
      <c r="C2388">
        <v>2000</v>
      </c>
    </row>
    <row r="2389" spans="1:11" x14ac:dyDescent="0.25">
      <c r="A2389">
        <v>0</v>
      </c>
      <c r="B2389">
        <v>127.323340427747</v>
      </c>
      <c r="C2389">
        <v>2000</v>
      </c>
    </row>
    <row r="2390" spans="1:11" x14ac:dyDescent="0.25">
      <c r="A2390">
        <v>0</v>
      </c>
      <c r="B2390">
        <v>127.323340427747</v>
      </c>
      <c r="C2390">
        <v>2001</v>
      </c>
    </row>
    <row r="2391" spans="1:11" x14ac:dyDescent="0.25">
      <c r="A2391">
        <v>2.61391017242051</v>
      </c>
      <c r="B2391">
        <v>129.937250600167</v>
      </c>
      <c r="C2391">
        <v>2001</v>
      </c>
    </row>
    <row r="2392" spans="1:11" x14ac:dyDescent="0.25">
      <c r="A2392">
        <v>22.6766595722533</v>
      </c>
      <c r="B2392">
        <v>150</v>
      </c>
      <c r="C2392">
        <v>2001</v>
      </c>
    </row>
    <row r="2393" spans="1:11" x14ac:dyDescent="0.25">
      <c r="A2393">
        <v>22.6766595722533</v>
      </c>
      <c r="B2393">
        <v>150</v>
      </c>
      <c r="C2393">
        <v>2000</v>
      </c>
    </row>
    <row r="2394" spans="1:11" x14ac:dyDescent="0.25">
      <c r="A2394" t="s">
        <v>88</v>
      </c>
    </row>
    <row r="2395" spans="1:11" x14ac:dyDescent="0.25">
      <c r="A2395">
        <v>584</v>
      </c>
      <c r="B2395">
        <v>0</v>
      </c>
      <c r="C2395">
        <v>15.097468249252101</v>
      </c>
      <c r="D2395">
        <v>16.8912389952825</v>
      </c>
      <c r="E2395">
        <v>6</v>
      </c>
      <c r="F2395">
        <v>1.01722196789785</v>
      </c>
      <c r="G2395" t="s">
        <v>85</v>
      </c>
      <c r="H2395" t="s">
        <v>86</v>
      </c>
      <c r="I2395">
        <v>0</v>
      </c>
      <c r="J2395">
        <v>566</v>
      </c>
      <c r="K2395">
        <v>0</v>
      </c>
    </row>
    <row r="2396" spans="1:11" x14ac:dyDescent="0.25">
      <c r="A2396" t="s">
        <v>87</v>
      </c>
    </row>
    <row r="2397" spans="1:11" x14ac:dyDescent="0.25">
      <c r="A2397">
        <v>10.5723946036934</v>
      </c>
      <c r="B2397">
        <v>121.20127852924399</v>
      </c>
      <c r="C2397">
        <v>2000</v>
      </c>
    </row>
    <row r="2398" spans="1:11" x14ac:dyDescent="0.25">
      <c r="A2398">
        <v>0</v>
      </c>
      <c r="B2398">
        <v>110.62888392555</v>
      </c>
      <c r="C2398">
        <v>2000</v>
      </c>
    </row>
    <row r="2399" spans="1:11" x14ac:dyDescent="0.25">
      <c r="A2399">
        <v>0</v>
      </c>
      <c r="B2399">
        <v>109.75485187665301</v>
      </c>
      <c r="C2399">
        <v>2001</v>
      </c>
    </row>
    <row r="2400" spans="1:11" x14ac:dyDescent="0.25">
      <c r="A2400">
        <v>10.778649751895999</v>
      </c>
      <c r="B2400">
        <v>120.533501628549</v>
      </c>
      <c r="C2400">
        <v>2001</v>
      </c>
    </row>
    <row r="2401" spans="1:11" x14ac:dyDescent="0.25">
      <c r="A2401">
        <v>22.837939826225998</v>
      </c>
      <c r="B2401">
        <v>132.592791702879</v>
      </c>
      <c r="C2401">
        <v>2001</v>
      </c>
    </row>
    <row r="2402" spans="1:11" x14ac:dyDescent="0.25">
      <c r="A2402">
        <v>22.4009238017772</v>
      </c>
      <c r="B2402">
        <v>133.02980772732801</v>
      </c>
      <c r="C2402">
        <v>2000</v>
      </c>
    </row>
    <row r="2403" spans="1:11" x14ac:dyDescent="0.25">
      <c r="A2403" t="s">
        <v>88</v>
      </c>
    </row>
    <row r="2404" spans="1:11" x14ac:dyDescent="0.25">
      <c r="A2404">
        <v>562</v>
      </c>
      <c r="B2404">
        <v>0</v>
      </c>
      <c r="C2404">
        <v>0</v>
      </c>
      <c r="D2404">
        <v>31.985502786595401</v>
      </c>
      <c r="E2404">
        <v>6</v>
      </c>
      <c r="F2404">
        <v>1.5707963267949001</v>
      </c>
      <c r="G2404" t="s">
        <v>86</v>
      </c>
      <c r="H2404" t="s">
        <v>86</v>
      </c>
      <c r="I2404">
        <v>744</v>
      </c>
      <c r="J2404">
        <v>243</v>
      </c>
      <c r="K2404">
        <v>0</v>
      </c>
    </row>
    <row r="2405" spans="1:11" x14ac:dyDescent="0.25">
      <c r="A2405" t="s">
        <v>87</v>
      </c>
    </row>
    <row r="2406" spans="1:11" x14ac:dyDescent="0.25">
      <c r="A2406">
        <v>40.482508922220497</v>
      </c>
      <c r="B2406">
        <v>117.665725069896</v>
      </c>
      <c r="C2406">
        <v>2000</v>
      </c>
    </row>
    <row r="2407" spans="1:11" x14ac:dyDescent="0.25">
      <c r="A2407">
        <v>40.482508922220497</v>
      </c>
      <c r="B2407">
        <v>117.665725069896</v>
      </c>
      <c r="C2407">
        <v>2001</v>
      </c>
    </row>
    <row r="2408" spans="1:11" x14ac:dyDescent="0.25">
      <c r="A2408">
        <v>50</v>
      </c>
      <c r="B2408">
        <v>127.18321614767601</v>
      </c>
      <c r="C2408">
        <v>2001</v>
      </c>
    </row>
    <row r="2409" spans="1:11" x14ac:dyDescent="0.25">
      <c r="A2409">
        <v>63.099674842283299</v>
      </c>
      <c r="B2409">
        <v>140.28289098995899</v>
      </c>
      <c r="C2409">
        <v>2001</v>
      </c>
    </row>
    <row r="2410" spans="1:11" x14ac:dyDescent="0.25">
      <c r="A2410">
        <v>63.099674842283299</v>
      </c>
      <c r="B2410">
        <v>140.28289098995899</v>
      </c>
      <c r="C2410">
        <v>2000</v>
      </c>
    </row>
    <row r="2411" spans="1:11" x14ac:dyDescent="0.25">
      <c r="A2411">
        <v>50</v>
      </c>
      <c r="B2411">
        <v>127.18321614767601</v>
      </c>
      <c r="C2411">
        <v>2000</v>
      </c>
    </row>
    <row r="2412" spans="1:11" x14ac:dyDescent="0.25">
      <c r="A2412" t="s">
        <v>88</v>
      </c>
    </row>
    <row r="2413" spans="1:11" x14ac:dyDescent="0.25">
      <c r="A2413">
        <v>189</v>
      </c>
      <c r="B2413">
        <v>0</v>
      </c>
      <c r="C2413">
        <v>8.77848489410027</v>
      </c>
      <c r="D2413">
        <v>23.0702535390359</v>
      </c>
      <c r="E2413">
        <v>6</v>
      </c>
      <c r="F2413">
        <v>1.01722196789785</v>
      </c>
      <c r="G2413" t="s">
        <v>86</v>
      </c>
      <c r="H2413" t="s">
        <v>85</v>
      </c>
      <c r="I2413">
        <v>174</v>
      </c>
      <c r="J2413">
        <v>0</v>
      </c>
      <c r="K2413">
        <v>0</v>
      </c>
    </row>
    <row r="2414" spans="1:11" x14ac:dyDescent="0.25">
      <c r="A2414" t="s">
        <v>87</v>
      </c>
    </row>
    <row r="2415" spans="1:11" x14ac:dyDescent="0.25">
      <c r="A2415">
        <v>133.52858674749501</v>
      </c>
      <c r="B2415">
        <v>117.41711133190699</v>
      </c>
      <c r="C2415">
        <v>2000</v>
      </c>
    </row>
    <row r="2416" spans="1:11" x14ac:dyDescent="0.25">
      <c r="A2416">
        <v>127.261033069468</v>
      </c>
      <c r="B2416">
        <v>111.14955765388</v>
      </c>
      <c r="C2416">
        <v>2000</v>
      </c>
    </row>
    <row r="2417" spans="1:11" x14ac:dyDescent="0.25">
      <c r="A2417">
        <v>127.69804909391701</v>
      </c>
      <c r="B2417">
        <v>110.712541629431</v>
      </c>
      <c r="C2417">
        <v>2001</v>
      </c>
    </row>
    <row r="2418" spans="1:11" x14ac:dyDescent="0.25">
      <c r="A2418">
        <v>133.845147810214</v>
      </c>
      <c r="B2418">
        <v>116.859640345728</v>
      </c>
      <c r="C2418">
        <v>2001</v>
      </c>
    </row>
    <row r="2419" spans="1:11" x14ac:dyDescent="0.25">
      <c r="A2419">
        <v>150</v>
      </c>
      <c r="B2419">
        <v>133.01449253551399</v>
      </c>
      <c r="C2419">
        <v>2001</v>
      </c>
    </row>
    <row r="2420" spans="1:11" x14ac:dyDescent="0.25">
      <c r="A2420">
        <v>150</v>
      </c>
      <c r="B2420">
        <v>133.88852458441099</v>
      </c>
      <c r="C2420">
        <v>2000</v>
      </c>
    </row>
    <row r="2421" spans="1:11" x14ac:dyDescent="0.25">
      <c r="A2421" t="s">
        <v>88</v>
      </c>
    </row>
    <row r="2422" spans="1:11" x14ac:dyDescent="0.25">
      <c r="A2422">
        <v>163</v>
      </c>
      <c r="B2422">
        <v>0</v>
      </c>
      <c r="C2422">
        <v>0</v>
      </c>
      <c r="D2422">
        <v>31.546463276963198</v>
      </c>
      <c r="E2422">
        <v>4</v>
      </c>
      <c r="F2422">
        <v>1.5707963267949001</v>
      </c>
      <c r="G2422" t="s">
        <v>86</v>
      </c>
      <c r="H2422" t="s">
        <v>85</v>
      </c>
      <c r="I2422">
        <v>501</v>
      </c>
      <c r="J2422">
        <v>0</v>
      </c>
      <c r="K2422">
        <v>0</v>
      </c>
    </row>
    <row r="2423" spans="1:11" x14ac:dyDescent="0.25">
      <c r="A2423" t="s">
        <v>87</v>
      </c>
    </row>
    <row r="2424" spans="1:11" x14ac:dyDescent="0.25">
      <c r="A2424">
        <v>127.69328189440699</v>
      </c>
      <c r="B2424">
        <v>123.917571070566</v>
      </c>
      <c r="C2424">
        <v>2000</v>
      </c>
    </row>
    <row r="2425" spans="1:11" x14ac:dyDescent="0.25">
      <c r="A2425">
        <v>127.69328189440699</v>
      </c>
      <c r="B2425">
        <v>123.917571070566</v>
      </c>
      <c r="C2425">
        <v>2001</v>
      </c>
    </row>
    <row r="2426" spans="1:11" x14ac:dyDescent="0.25">
      <c r="A2426">
        <v>150</v>
      </c>
      <c r="B2426">
        <v>146.224289176159</v>
      </c>
      <c r="C2426">
        <v>2001</v>
      </c>
    </row>
    <row r="2427" spans="1:11" x14ac:dyDescent="0.25">
      <c r="A2427">
        <v>150</v>
      </c>
      <c r="B2427">
        <v>146.224289176159</v>
      </c>
      <c r="C2427">
        <v>2000</v>
      </c>
    </row>
    <row r="2428" spans="1:11" x14ac:dyDescent="0.25">
      <c r="A2428" t="s">
        <v>88</v>
      </c>
    </row>
    <row r="2429" spans="1:11" x14ac:dyDescent="0.25">
      <c r="A2429">
        <v>432</v>
      </c>
      <c r="B2429">
        <v>0</v>
      </c>
      <c r="C2429">
        <v>30.9751248537011</v>
      </c>
      <c r="D2429">
        <v>0.30310766152393898</v>
      </c>
      <c r="E2429">
        <v>6</v>
      </c>
      <c r="F2429">
        <v>1.01722196789785</v>
      </c>
      <c r="G2429" t="s">
        <v>86</v>
      </c>
      <c r="H2429" t="s">
        <v>86</v>
      </c>
      <c r="I2429">
        <v>734</v>
      </c>
      <c r="J2429">
        <v>429</v>
      </c>
      <c r="K2429">
        <v>0</v>
      </c>
    </row>
    <row r="2430" spans="1:11" x14ac:dyDescent="0.25">
      <c r="A2430" t="s">
        <v>87</v>
      </c>
    </row>
    <row r="2431" spans="1:11" x14ac:dyDescent="0.25">
      <c r="A2431">
        <v>133.22739641471699</v>
      </c>
      <c r="B2431">
        <v>78.025257142742603</v>
      </c>
      <c r="C2431">
        <v>2000</v>
      </c>
    </row>
    <row r="2432" spans="1:11" x14ac:dyDescent="0.25">
      <c r="A2432">
        <v>111.32467558256501</v>
      </c>
      <c r="B2432">
        <v>56.122536310590597</v>
      </c>
      <c r="C2432">
        <v>2000</v>
      </c>
    </row>
    <row r="2433" spans="1:11" x14ac:dyDescent="0.25">
      <c r="A2433">
        <v>110.887659558116</v>
      </c>
      <c r="B2433">
        <v>56.559552335039399</v>
      </c>
      <c r="C2433">
        <v>2001</v>
      </c>
    </row>
    <row r="2434" spans="1:11" x14ac:dyDescent="0.25">
      <c r="A2434">
        <v>132.79038039026801</v>
      </c>
      <c r="B2434">
        <v>78.462273167191398</v>
      </c>
      <c r="C2434">
        <v>2001</v>
      </c>
    </row>
    <row r="2435" spans="1:11" x14ac:dyDescent="0.25">
      <c r="A2435">
        <v>133.004709873161</v>
      </c>
      <c r="B2435">
        <v>78.676602650084604</v>
      </c>
      <c r="C2435">
        <v>2001</v>
      </c>
    </row>
    <row r="2436" spans="1:11" x14ac:dyDescent="0.25">
      <c r="A2436">
        <v>133.44172589761001</v>
      </c>
      <c r="B2436">
        <v>78.239586625635795</v>
      </c>
      <c r="C2436">
        <v>2000</v>
      </c>
    </row>
    <row r="2437" spans="1:11" x14ac:dyDescent="0.25">
      <c r="A2437" t="s">
        <v>88</v>
      </c>
    </row>
    <row r="2438" spans="1:11" x14ac:dyDescent="0.25">
      <c r="A2438">
        <v>335</v>
      </c>
      <c r="B2438">
        <v>0</v>
      </c>
      <c r="C2438">
        <v>31.1157753990326</v>
      </c>
      <c r="D2438">
        <v>9.4646524248915398E-2</v>
      </c>
      <c r="E2438">
        <v>6</v>
      </c>
      <c r="F2438">
        <v>1.5707963267949001</v>
      </c>
      <c r="G2438" t="s">
        <v>85</v>
      </c>
      <c r="H2438" t="s">
        <v>86</v>
      </c>
      <c r="I2438">
        <v>0</v>
      </c>
      <c r="J2438">
        <v>345</v>
      </c>
      <c r="K2438">
        <v>0</v>
      </c>
    </row>
    <row r="2439" spans="1:11" x14ac:dyDescent="0.25">
      <c r="A2439" t="s">
        <v>87</v>
      </c>
    </row>
    <row r="2440" spans="1:11" x14ac:dyDescent="0.25">
      <c r="A2440">
        <v>137.679791561179</v>
      </c>
      <c r="B2440">
        <v>22.002175786533499</v>
      </c>
      <c r="C2440">
        <v>2000</v>
      </c>
    </row>
    <row r="2441" spans="1:11" x14ac:dyDescent="0.25">
      <c r="A2441">
        <v>115.67761577464501</v>
      </c>
      <c r="B2441">
        <v>0</v>
      </c>
      <c r="C2441">
        <v>2000</v>
      </c>
    </row>
    <row r="2442" spans="1:11" x14ac:dyDescent="0.25">
      <c r="A2442">
        <v>115.67761577464501</v>
      </c>
      <c r="B2442">
        <v>0</v>
      </c>
      <c r="C2442">
        <v>2001</v>
      </c>
    </row>
    <row r="2443" spans="1:11" x14ac:dyDescent="0.25">
      <c r="A2443">
        <v>137.679791561179</v>
      </c>
      <c r="B2443">
        <v>22.002175786533499</v>
      </c>
      <c r="C2443">
        <v>2001</v>
      </c>
    </row>
    <row r="2444" spans="1:11" x14ac:dyDescent="0.25">
      <c r="A2444">
        <v>137.74671676029101</v>
      </c>
      <c r="B2444">
        <v>22.069100985645601</v>
      </c>
      <c r="C2444">
        <v>2001</v>
      </c>
    </row>
    <row r="2445" spans="1:11" x14ac:dyDescent="0.25">
      <c r="A2445">
        <v>137.74671676029101</v>
      </c>
      <c r="B2445">
        <v>22.069100985645601</v>
      </c>
      <c r="C2445">
        <v>2000</v>
      </c>
    </row>
    <row r="2446" spans="1:11" x14ac:dyDescent="0.25">
      <c r="A2446" t="s">
        <v>88</v>
      </c>
    </row>
    <row r="2447" spans="1:11" x14ac:dyDescent="0.25">
      <c r="A2447">
        <v>435</v>
      </c>
      <c r="B2447">
        <v>0</v>
      </c>
      <c r="C2447">
        <v>29.9822483375136</v>
      </c>
      <c r="D2447">
        <v>1.1957427408127299</v>
      </c>
      <c r="E2447">
        <v>8</v>
      </c>
      <c r="F2447">
        <v>1.01722196789785</v>
      </c>
      <c r="G2447" t="s">
        <v>86</v>
      </c>
      <c r="H2447" t="s">
        <v>86</v>
      </c>
      <c r="I2447">
        <v>332</v>
      </c>
      <c r="J2447">
        <v>409</v>
      </c>
      <c r="K2447">
        <v>0</v>
      </c>
    </row>
    <row r="2448" spans="1:11" x14ac:dyDescent="0.25">
      <c r="A2448" t="s">
        <v>87</v>
      </c>
    </row>
    <row r="2449" spans="1:11" x14ac:dyDescent="0.25">
      <c r="A2449">
        <v>145.93426609827401</v>
      </c>
      <c r="B2449">
        <v>61.085203093520697</v>
      </c>
      <c r="C2449">
        <v>2000</v>
      </c>
    </row>
    <row r="2450" spans="1:11" x14ac:dyDescent="0.25">
      <c r="A2450">
        <v>134.630554992529</v>
      </c>
      <c r="B2450">
        <v>49.781491987775603</v>
      </c>
      <c r="C2450">
        <v>2000</v>
      </c>
    </row>
    <row r="2451" spans="1:11" x14ac:dyDescent="0.25">
      <c r="A2451">
        <v>124.733614983599</v>
      </c>
      <c r="B2451">
        <v>39.884551978845799</v>
      </c>
      <c r="C2451">
        <v>2000</v>
      </c>
    </row>
    <row r="2452" spans="1:11" x14ac:dyDescent="0.25">
      <c r="A2452">
        <v>124.29659895915</v>
      </c>
      <c r="B2452">
        <v>40.321568003294701</v>
      </c>
      <c r="C2452">
        <v>2001</v>
      </c>
    </row>
    <row r="2453" spans="1:11" x14ac:dyDescent="0.25">
      <c r="A2453">
        <v>134.19353896807999</v>
      </c>
      <c r="B2453">
        <v>50.218508012224397</v>
      </c>
      <c r="C2453">
        <v>2001</v>
      </c>
    </row>
    <row r="2454" spans="1:11" x14ac:dyDescent="0.25">
      <c r="A2454">
        <v>145.497250073825</v>
      </c>
      <c r="B2454">
        <v>61.522219117969598</v>
      </c>
      <c r="C2454">
        <v>2001</v>
      </c>
    </row>
    <row r="2455" spans="1:11" x14ac:dyDescent="0.25">
      <c r="A2455">
        <v>146.34276787440899</v>
      </c>
      <c r="B2455">
        <v>62.367736918552801</v>
      </c>
      <c r="C2455">
        <v>2001</v>
      </c>
    </row>
    <row r="2456" spans="1:11" x14ac:dyDescent="0.25">
      <c r="A2456">
        <v>146.779783898858</v>
      </c>
      <c r="B2456">
        <v>61.930720894103999</v>
      </c>
      <c r="C2456">
        <v>2000</v>
      </c>
    </row>
    <row r="2457" spans="1:11" x14ac:dyDescent="0.25">
      <c r="A2457" t="s">
        <v>88</v>
      </c>
    </row>
    <row r="2458" spans="1:11" x14ac:dyDescent="0.25">
      <c r="A2458">
        <v>2</v>
      </c>
      <c r="B2458">
        <v>0</v>
      </c>
      <c r="C2458">
        <v>11.7457987632509</v>
      </c>
      <c r="D2458">
        <v>19.0733992124065</v>
      </c>
      <c r="E2458">
        <v>8</v>
      </c>
      <c r="F2458">
        <v>1.5707963267949001</v>
      </c>
      <c r="G2458" t="s">
        <v>85</v>
      </c>
      <c r="H2458" t="s">
        <v>86</v>
      </c>
      <c r="I2458">
        <v>0</v>
      </c>
      <c r="J2458">
        <v>86</v>
      </c>
      <c r="K2458">
        <v>0</v>
      </c>
    </row>
    <row r="2459" spans="1:11" x14ac:dyDescent="0.25">
      <c r="A2459" t="s">
        <v>87</v>
      </c>
    </row>
    <row r="2460" spans="1:11" x14ac:dyDescent="0.25">
      <c r="A2460">
        <v>47.841479139328698</v>
      </c>
      <c r="B2460">
        <v>8.3055339559472792</v>
      </c>
      <c r="C2460">
        <v>2000</v>
      </c>
    </row>
    <row r="2461" spans="1:11" x14ac:dyDescent="0.25">
      <c r="A2461">
        <v>39.535945183381401</v>
      </c>
      <c r="B2461">
        <v>0</v>
      </c>
      <c r="C2461">
        <v>2000</v>
      </c>
    </row>
    <row r="2462" spans="1:11" x14ac:dyDescent="0.25">
      <c r="A2462">
        <v>39.535945183381401</v>
      </c>
      <c r="B2462">
        <v>0</v>
      </c>
      <c r="C2462">
        <v>2001</v>
      </c>
    </row>
    <row r="2463" spans="1:11" x14ac:dyDescent="0.25">
      <c r="A2463">
        <v>47.841479139328698</v>
      </c>
      <c r="B2463">
        <v>8.3055339559472792</v>
      </c>
      <c r="C2463">
        <v>2001</v>
      </c>
    </row>
    <row r="2464" spans="1:11" x14ac:dyDescent="0.25">
      <c r="A2464">
        <v>50</v>
      </c>
      <c r="B2464">
        <v>10.464054816618599</v>
      </c>
      <c r="C2464">
        <v>2001</v>
      </c>
    </row>
    <row r="2465" spans="1:11" x14ac:dyDescent="0.25">
      <c r="A2465">
        <v>61.3284090626995</v>
      </c>
      <c r="B2465">
        <v>21.792463879318099</v>
      </c>
      <c r="C2465">
        <v>2001</v>
      </c>
    </row>
    <row r="2466" spans="1:11" x14ac:dyDescent="0.25">
      <c r="A2466">
        <v>61.3284090626995</v>
      </c>
      <c r="B2466">
        <v>21.792463879318099</v>
      </c>
      <c r="C2466">
        <v>2000</v>
      </c>
    </row>
    <row r="2467" spans="1:11" x14ac:dyDescent="0.25">
      <c r="A2467">
        <v>50</v>
      </c>
      <c r="B2467">
        <v>10.464054816618599</v>
      </c>
      <c r="C2467">
        <v>2000</v>
      </c>
    </row>
    <row r="2468" spans="1:11" x14ac:dyDescent="0.25">
      <c r="A2468" t="s">
        <v>88</v>
      </c>
    </row>
    <row r="2469" spans="1:11" x14ac:dyDescent="0.25">
      <c r="A2469">
        <v>732</v>
      </c>
      <c r="B2469">
        <v>0</v>
      </c>
      <c r="C2469">
        <v>29.685240072463699</v>
      </c>
      <c r="D2469">
        <v>0.70690584092686504</v>
      </c>
      <c r="E2469">
        <v>6</v>
      </c>
      <c r="F2469">
        <v>1.01722196789785</v>
      </c>
      <c r="G2469" t="s">
        <v>85</v>
      </c>
      <c r="H2469" t="s">
        <v>86</v>
      </c>
      <c r="I2469">
        <v>0</v>
      </c>
      <c r="J2469">
        <v>345</v>
      </c>
      <c r="K2469">
        <v>0.132280897398523</v>
      </c>
    </row>
    <row r="2470" spans="1:11" x14ac:dyDescent="0.25">
      <c r="A2470" t="s">
        <v>87</v>
      </c>
    </row>
    <row r="2471" spans="1:11" x14ac:dyDescent="0.25">
      <c r="A2471">
        <v>137.60187696464399</v>
      </c>
      <c r="B2471">
        <v>21.204060183494899</v>
      </c>
      <c r="C2471">
        <v>2000</v>
      </c>
    </row>
    <row r="2472" spans="1:11" x14ac:dyDescent="0.25">
      <c r="A2472">
        <v>116.397816781149</v>
      </c>
      <c r="B2472">
        <v>0</v>
      </c>
      <c r="C2472">
        <v>2000</v>
      </c>
    </row>
    <row r="2473" spans="1:11" x14ac:dyDescent="0.25">
      <c r="A2473">
        <v>117.271848830046</v>
      </c>
      <c r="B2473">
        <v>0</v>
      </c>
      <c r="C2473">
        <v>2001</v>
      </c>
    </row>
    <row r="2474" spans="1:11" x14ac:dyDescent="0.25">
      <c r="A2474">
        <v>138.04905775933099</v>
      </c>
      <c r="B2474">
        <v>20.777208929284502</v>
      </c>
      <c r="C2474">
        <v>2001</v>
      </c>
    </row>
    <row r="2475" spans="1:11" x14ac:dyDescent="0.25">
      <c r="A2475">
        <v>138.54383328799099</v>
      </c>
      <c r="B2475">
        <v>21.271984457945099</v>
      </c>
      <c r="C2475">
        <v>2001</v>
      </c>
    </row>
    <row r="2476" spans="1:11" x14ac:dyDescent="0.25">
      <c r="A2476">
        <v>138.10681726354301</v>
      </c>
      <c r="B2476">
        <v>21.7090004823939</v>
      </c>
      <c r="C2476">
        <v>2000</v>
      </c>
    </row>
    <row r="2477" spans="1:11" x14ac:dyDescent="0.25">
      <c r="A2477" t="s">
        <v>88</v>
      </c>
    </row>
    <row r="2478" spans="1:11" x14ac:dyDescent="0.25">
      <c r="A2478">
        <v>645</v>
      </c>
      <c r="B2478">
        <v>0</v>
      </c>
      <c r="C2478">
        <v>10.2196156585083</v>
      </c>
      <c r="D2478">
        <v>19.988058870410299</v>
      </c>
      <c r="E2478">
        <v>6</v>
      </c>
      <c r="F2478">
        <v>1.5707963267949001</v>
      </c>
      <c r="G2478" t="s">
        <v>86</v>
      </c>
      <c r="H2478" t="s">
        <v>86</v>
      </c>
      <c r="I2478">
        <v>644</v>
      </c>
      <c r="J2478">
        <v>483</v>
      </c>
      <c r="K2478">
        <v>0</v>
      </c>
    </row>
    <row r="2479" spans="1:11" x14ac:dyDescent="0.25">
      <c r="A2479" t="s">
        <v>87</v>
      </c>
    </row>
    <row r="2480" spans="1:11" x14ac:dyDescent="0.25">
      <c r="A2480">
        <v>24.9284515739085</v>
      </c>
      <c r="B2480">
        <v>63.543901459101498</v>
      </c>
      <c r="C2480">
        <v>2000</v>
      </c>
    </row>
    <row r="2481" spans="1:11" x14ac:dyDescent="0.25">
      <c r="A2481">
        <v>17.702092040657099</v>
      </c>
      <c r="B2481">
        <v>56.317541925850101</v>
      </c>
      <c r="C2481">
        <v>2000</v>
      </c>
    </row>
    <row r="2482" spans="1:11" x14ac:dyDescent="0.25">
      <c r="A2482">
        <v>17.702092040657099</v>
      </c>
      <c r="B2482">
        <v>56.317541925850101</v>
      </c>
      <c r="C2482">
        <v>2001</v>
      </c>
    </row>
    <row r="2483" spans="1:11" x14ac:dyDescent="0.25">
      <c r="A2483">
        <v>24.9284515739085</v>
      </c>
      <c r="B2483">
        <v>63.543901459101498</v>
      </c>
      <c r="C2483">
        <v>2001</v>
      </c>
    </row>
    <row r="2484" spans="1:11" x14ac:dyDescent="0.25">
      <c r="A2484">
        <v>39.062143543931597</v>
      </c>
      <c r="B2484">
        <v>77.677593429124599</v>
      </c>
      <c r="C2484">
        <v>2001</v>
      </c>
    </row>
    <row r="2485" spans="1:11" x14ac:dyDescent="0.25">
      <c r="A2485">
        <v>39.062143543931597</v>
      </c>
      <c r="B2485">
        <v>77.677593429124599</v>
      </c>
      <c r="C2485">
        <v>2000</v>
      </c>
    </row>
    <row r="2486" spans="1:11" x14ac:dyDescent="0.25">
      <c r="A2486" t="s">
        <v>88</v>
      </c>
    </row>
    <row r="2487" spans="1:11" x14ac:dyDescent="0.25">
      <c r="A2487">
        <v>114</v>
      </c>
      <c r="B2487">
        <v>0</v>
      </c>
      <c r="C2487">
        <v>8.6872806285325801</v>
      </c>
      <c r="D2487">
        <v>21.3735272766123</v>
      </c>
      <c r="E2487">
        <v>8</v>
      </c>
      <c r="F2487">
        <v>1.01722196789785</v>
      </c>
      <c r="G2487" t="s">
        <v>85</v>
      </c>
      <c r="H2487" t="s">
        <v>86</v>
      </c>
      <c r="I2487">
        <v>0</v>
      </c>
      <c r="J2487">
        <v>112</v>
      </c>
      <c r="K2487">
        <v>0</v>
      </c>
    </row>
    <row r="2488" spans="1:11" x14ac:dyDescent="0.25">
      <c r="A2488" t="s">
        <v>87</v>
      </c>
    </row>
    <row r="2489" spans="1:11" x14ac:dyDescent="0.25">
      <c r="A2489">
        <v>54.512202203908998</v>
      </c>
      <c r="B2489">
        <v>6.0407413797973897</v>
      </c>
      <c r="C2489">
        <v>2000</v>
      </c>
    </row>
    <row r="2490" spans="1:11" x14ac:dyDescent="0.25">
      <c r="A2490">
        <v>50.367098867831203</v>
      </c>
      <c r="B2490">
        <v>1.8956380437196201</v>
      </c>
      <c r="C2490">
        <v>2000</v>
      </c>
    </row>
    <row r="2491" spans="1:11" x14ac:dyDescent="0.25">
      <c r="A2491">
        <v>48.471460824111603</v>
      </c>
      <c r="B2491">
        <v>0</v>
      </c>
      <c r="C2491">
        <v>2000</v>
      </c>
    </row>
    <row r="2492" spans="1:11" x14ac:dyDescent="0.25">
      <c r="A2492">
        <v>47.597428775213899</v>
      </c>
      <c r="B2492">
        <v>0</v>
      </c>
      <c r="C2492">
        <v>2001</v>
      </c>
    </row>
    <row r="2493" spans="1:11" x14ac:dyDescent="0.25">
      <c r="A2493">
        <v>49.632901132168797</v>
      </c>
      <c r="B2493">
        <v>2.0354723569548399</v>
      </c>
      <c r="C2493">
        <v>2001</v>
      </c>
    </row>
    <row r="2494" spans="1:11" x14ac:dyDescent="0.25">
      <c r="A2494">
        <v>53.842357480428397</v>
      </c>
      <c r="B2494">
        <v>6.2449287052144404</v>
      </c>
      <c r="C2494">
        <v>2001</v>
      </c>
    </row>
    <row r="2495" spans="1:11" x14ac:dyDescent="0.25">
      <c r="A2495">
        <v>69.072137905112498</v>
      </c>
      <c r="B2495">
        <v>21.4747091298985</v>
      </c>
      <c r="C2495">
        <v>2001</v>
      </c>
    </row>
    <row r="2496" spans="1:11" x14ac:dyDescent="0.25">
      <c r="A2496">
        <v>69.509153929561293</v>
      </c>
      <c r="B2496">
        <v>21.037693105449701</v>
      </c>
      <c r="C2496">
        <v>2000</v>
      </c>
    </row>
    <row r="2497" spans="1:11" x14ac:dyDescent="0.25">
      <c r="A2497" t="s">
        <v>88</v>
      </c>
    </row>
    <row r="2498" spans="1:11" x14ac:dyDescent="0.25">
      <c r="A2498">
        <v>728</v>
      </c>
      <c r="B2498">
        <v>0</v>
      </c>
      <c r="C2498">
        <v>4.4359415174214103</v>
      </c>
      <c r="D2498">
        <v>25.614390403295701</v>
      </c>
      <c r="E2498">
        <v>8</v>
      </c>
      <c r="F2498">
        <v>1.01722196789785</v>
      </c>
      <c r="G2498" t="s">
        <v>85</v>
      </c>
      <c r="H2498" t="s">
        <v>86</v>
      </c>
      <c r="I2498">
        <v>0</v>
      </c>
      <c r="J2498">
        <v>561</v>
      </c>
      <c r="K2498">
        <v>0.13160878275062499</v>
      </c>
    </row>
    <row r="2499" spans="1:11" x14ac:dyDescent="0.25">
      <c r="A2499" t="s">
        <v>87</v>
      </c>
    </row>
    <row r="2500" spans="1:11" x14ac:dyDescent="0.25">
      <c r="A2500">
        <v>3.2071277821366899</v>
      </c>
      <c r="B2500">
        <v>102.041482204589</v>
      </c>
      <c r="C2500">
        <v>2000</v>
      </c>
    </row>
    <row r="2501" spans="1:11" x14ac:dyDescent="0.25">
      <c r="A2501">
        <v>0.77938741670581402</v>
      </c>
      <c r="B2501">
        <v>99.613741839158493</v>
      </c>
      <c r="C2501">
        <v>2000</v>
      </c>
    </row>
    <row r="2502" spans="1:11" x14ac:dyDescent="0.25">
      <c r="A2502">
        <v>0</v>
      </c>
      <c r="B2502">
        <v>98.834354422452705</v>
      </c>
      <c r="C2502">
        <v>2000</v>
      </c>
    </row>
    <row r="2503" spans="1:11" x14ac:dyDescent="0.25">
      <c r="A2503">
        <v>0</v>
      </c>
      <c r="B2503">
        <v>99.708386471350295</v>
      </c>
      <c r="C2503">
        <v>2001</v>
      </c>
    </row>
    <row r="2504" spans="1:11" x14ac:dyDescent="0.25">
      <c r="A2504">
        <v>0.67787168949120202</v>
      </c>
      <c r="B2504">
        <v>100.386258160842</v>
      </c>
      <c r="C2504">
        <v>2001</v>
      </c>
    </row>
    <row r="2505" spans="1:11" x14ac:dyDescent="0.25">
      <c r="A2505">
        <v>3.0662408736945599</v>
      </c>
      <c r="B2505">
        <v>102.774627345045</v>
      </c>
      <c r="C2505">
        <v>2001</v>
      </c>
    </row>
    <row r="2506" spans="1:11" x14ac:dyDescent="0.25">
      <c r="A2506">
        <v>21.030285465821201</v>
      </c>
      <c r="B2506">
        <v>120.738671937172</v>
      </c>
      <c r="C2506">
        <v>2001</v>
      </c>
    </row>
    <row r="2507" spans="1:11" x14ac:dyDescent="0.25">
      <c r="A2507">
        <v>21.46730149027</v>
      </c>
      <c r="B2507">
        <v>120.30165591272301</v>
      </c>
      <c r="C2507">
        <v>2000</v>
      </c>
    </row>
    <row r="2508" spans="1:11" x14ac:dyDescent="0.25">
      <c r="A2508" t="s">
        <v>88</v>
      </c>
    </row>
    <row r="2509" spans="1:11" x14ac:dyDescent="0.25">
      <c r="A2509">
        <v>115</v>
      </c>
      <c r="B2509">
        <v>0</v>
      </c>
      <c r="C2509">
        <v>28.261738561006201</v>
      </c>
      <c r="D2509">
        <v>1.35784833796941</v>
      </c>
      <c r="E2509">
        <v>8</v>
      </c>
      <c r="F2509">
        <v>1.01722196789785</v>
      </c>
      <c r="G2509" t="s">
        <v>85</v>
      </c>
      <c r="H2509" t="s">
        <v>86</v>
      </c>
      <c r="I2509">
        <v>0</v>
      </c>
      <c r="J2509">
        <v>104</v>
      </c>
      <c r="K2509">
        <v>0</v>
      </c>
    </row>
    <row r="2510" spans="1:11" x14ac:dyDescent="0.25">
      <c r="A2510" t="s">
        <v>87</v>
      </c>
    </row>
    <row r="2511" spans="1:11" x14ac:dyDescent="0.25">
      <c r="A2511">
        <v>60.799121888712698</v>
      </c>
      <c r="B2511">
        <v>20.192917550049799</v>
      </c>
      <c r="C2511">
        <v>2000</v>
      </c>
    </row>
    <row r="2512" spans="1:11" x14ac:dyDescent="0.25">
      <c r="A2512">
        <v>49.660918400805798</v>
      </c>
      <c r="B2512">
        <v>9.0547140621428692</v>
      </c>
      <c r="C2512">
        <v>2000</v>
      </c>
    </row>
    <row r="2513" spans="1:11" x14ac:dyDescent="0.25">
      <c r="A2513">
        <v>40.606204338662998</v>
      </c>
      <c r="B2513">
        <v>0</v>
      </c>
      <c r="C2513">
        <v>2000</v>
      </c>
    </row>
    <row r="2514" spans="1:11" x14ac:dyDescent="0.25">
      <c r="A2514">
        <v>41.480236387560602</v>
      </c>
      <c r="B2514">
        <v>0</v>
      </c>
      <c r="C2514">
        <v>2001</v>
      </c>
    </row>
    <row r="2515" spans="1:11" x14ac:dyDescent="0.25">
      <c r="A2515">
        <v>50.339081599194103</v>
      </c>
      <c r="B2515">
        <v>8.8588452116335308</v>
      </c>
      <c r="C2515">
        <v>2001</v>
      </c>
    </row>
    <row r="2516" spans="1:11" x14ac:dyDescent="0.25">
      <c r="A2516">
        <v>61.2554528067284</v>
      </c>
      <c r="B2516">
        <v>19.775216419167801</v>
      </c>
      <c r="C2516">
        <v>2001</v>
      </c>
    </row>
    <row r="2517" spans="1:11" x14ac:dyDescent="0.25">
      <c r="A2517">
        <v>62.205939127546102</v>
      </c>
      <c r="B2517">
        <v>20.725702739985401</v>
      </c>
      <c r="C2517">
        <v>2001</v>
      </c>
    </row>
    <row r="2518" spans="1:11" x14ac:dyDescent="0.25">
      <c r="A2518">
        <v>61.768923103097201</v>
      </c>
      <c r="B2518">
        <v>21.162718764434299</v>
      </c>
      <c r="C2518">
        <v>2000</v>
      </c>
    </row>
    <row r="2519" spans="1:11" x14ac:dyDescent="0.25">
      <c r="A2519" t="s">
        <v>88</v>
      </c>
    </row>
    <row r="2520" spans="1:11" x14ac:dyDescent="0.25">
      <c r="A2520">
        <v>120</v>
      </c>
      <c r="B2520">
        <v>0</v>
      </c>
      <c r="C2520">
        <v>24.890314682462598</v>
      </c>
      <c r="D2520">
        <v>4.18056078662093</v>
      </c>
      <c r="E2520">
        <v>6</v>
      </c>
      <c r="F2520">
        <v>1.01722196789785</v>
      </c>
      <c r="G2520" t="s">
        <v>85</v>
      </c>
      <c r="H2520" t="s">
        <v>86</v>
      </c>
      <c r="I2520">
        <v>0</v>
      </c>
      <c r="J2520">
        <v>103</v>
      </c>
      <c r="K2520">
        <v>0</v>
      </c>
    </row>
    <row r="2521" spans="1:11" x14ac:dyDescent="0.25">
      <c r="A2521" t="s">
        <v>87</v>
      </c>
    </row>
    <row r="2522" spans="1:11" x14ac:dyDescent="0.25">
      <c r="A2522">
        <v>73.464002301741502</v>
      </c>
      <c r="B2522">
        <v>17.787195588428698</v>
      </c>
      <c r="C2522">
        <v>2000</v>
      </c>
    </row>
    <row r="2523" spans="1:11" x14ac:dyDescent="0.25">
      <c r="A2523">
        <v>55.6768067133128</v>
      </c>
      <c r="B2523">
        <v>0</v>
      </c>
      <c r="C2523">
        <v>2000</v>
      </c>
    </row>
    <row r="2524" spans="1:11" x14ac:dyDescent="0.25">
      <c r="A2524">
        <v>56.550838762210503</v>
      </c>
      <c r="B2524">
        <v>0</v>
      </c>
      <c r="C2524">
        <v>2001</v>
      </c>
    </row>
    <row r="2525" spans="1:11" x14ac:dyDescent="0.25">
      <c r="A2525">
        <v>73.963863769454704</v>
      </c>
      <c r="B2525">
        <v>17.413025007244201</v>
      </c>
      <c r="C2525">
        <v>2001</v>
      </c>
    </row>
    <row r="2526" spans="1:11" x14ac:dyDescent="0.25">
      <c r="A2526">
        <v>76.888543929204701</v>
      </c>
      <c r="B2526">
        <v>20.337705166994201</v>
      </c>
      <c r="C2526">
        <v>2001</v>
      </c>
    </row>
    <row r="2527" spans="1:11" x14ac:dyDescent="0.25">
      <c r="A2527">
        <v>76.451527904755906</v>
      </c>
      <c r="B2527">
        <v>20.774721191443099</v>
      </c>
      <c r="C2527">
        <v>2000</v>
      </c>
    </row>
    <row r="2528" spans="1:11" x14ac:dyDescent="0.25">
      <c r="A2528" t="s">
        <v>88</v>
      </c>
    </row>
    <row r="2529" spans="1:11" x14ac:dyDescent="0.25">
      <c r="A2529">
        <v>352</v>
      </c>
      <c r="B2529">
        <v>0</v>
      </c>
      <c r="C2529">
        <v>27.193053487843699</v>
      </c>
      <c r="D2529">
        <v>1.5099766188961601</v>
      </c>
      <c r="E2529">
        <v>8</v>
      </c>
      <c r="F2529">
        <v>1.01722196789785</v>
      </c>
      <c r="G2529" t="s">
        <v>85</v>
      </c>
      <c r="H2529" t="s">
        <v>86</v>
      </c>
      <c r="I2529">
        <v>0</v>
      </c>
      <c r="J2529">
        <v>328</v>
      </c>
      <c r="K2529">
        <v>0</v>
      </c>
    </row>
    <row r="2530" spans="1:11" x14ac:dyDescent="0.25">
      <c r="A2530" t="s">
        <v>87</v>
      </c>
    </row>
    <row r="2531" spans="1:11" x14ac:dyDescent="0.25">
      <c r="A2531">
        <v>101.440422567211</v>
      </c>
      <c r="B2531">
        <v>19.439505596307502</v>
      </c>
      <c r="C2531">
        <v>2000</v>
      </c>
    </row>
    <row r="2532" spans="1:11" x14ac:dyDescent="0.25">
      <c r="A2532">
        <v>99.762556162735507</v>
      </c>
      <c r="B2532">
        <v>17.761639191832302</v>
      </c>
      <c r="C2532">
        <v>2000</v>
      </c>
    </row>
    <row r="2533" spans="1:11" x14ac:dyDescent="0.25">
      <c r="A2533">
        <v>82.000916970903106</v>
      </c>
      <c r="B2533">
        <v>0</v>
      </c>
      <c r="C2533">
        <v>2000</v>
      </c>
    </row>
    <row r="2534" spans="1:11" x14ac:dyDescent="0.25">
      <c r="A2534">
        <v>82.874949019800695</v>
      </c>
      <c r="B2534">
        <v>0</v>
      </c>
      <c r="C2534">
        <v>2001</v>
      </c>
    </row>
    <row r="2535" spans="1:11" x14ac:dyDescent="0.25">
      <c r="A2535">
        <v>100.237443837265</v>
      </c>
      <c r="B2535">
        <v>17.362494817463801</v>
      </c>
      <c r="C2535">
        <v>2001</v>
      </c>
    </row>
    <row r="2536" spans="1:11" x14ac:dyDescent="0.25">
      <c r="A2536">
        <v>101.892228468339</v>
      </c>
      <c r="B2536">
        <v>19.017279448538101</v>
      </c>
      <c r="C2536">
        <v>2001</v>
      </c>
    </row>
    <row r="2537" spans="1:11" x14ac:dyDescent="0.25">
      <c r="A2537">
        <v>102.952548236654</v>
      </c>
      <c r="B2537">
        <v>20.077599216852999</v>
      </c>
      <c r="C2537">
        <v>2001</v>
      </c>
    </row>
    <row r="2538" spans="1:11" x14ac:dyDescent="0.25">
      <c r="A2538">
        <v>102.515532212205</v>
      </c>
      <c r="B2538">
        <v>20.514615241301801</v>
      </c>
      <c r="C2538">
        <v>2000</v>
      </c>
    </row>
    <row r="2539" spans="1:11" x14ac:dyDescent="0.25">
      <c r="A2539" t="s">
        <v>88</v>
      </c>
    </row>
    <row r="2540" spans="1:11" x14ac:dyDescent="0.25">
      <c r="A2540">
        <v>111</v>
      </c>
      <c r="B2540">
        <v>0</v>
      </c>
      <c r="C2540">
        <v>22.6584588749941</v>
      </c>
      <c r="D2540">
        <v>5.9463845784471703</v>
      </c>
      <c r="E2540">
        <v>8</v>
      </c>
      <c r="F2540">
        <v>1.01722196789785</v>
      </c>
      <c r="G2540" t="s">
        <v>85</v>
      </c>
      <c r="H2540" t="s">
        <v>86</v>
      </c>
      <c r="I2540">
        <v>0</v>
      </c>
      <c r="J2540">
        <v>104</v>
      </c>
      <c r="K2540">
        <v>0</v>
      </c>
    </row>
    <row r="2541" spans="1:11" x14ac:dyDescent="0.25">
      <c r="A2541" t="s">
        <v>87</v>
      </c>
    </row>
    <row r="2542" spans="1:11" x14ac:dyDescent="0.25">
      <c r="A2542">
        <v>58.243360131274301</v>
      </c>
      <c r="B2542">
        <v>16.202091849607498</v>
      </c>
      <c r="C2542">
        <v>2000</v>
      </c>
    </row>
    <row r="2543" spans="1:11" x14ac:dyDescent="0.25">
      <c r="A2543">
        <v>49.6655654436506</v>
      </c>
      <c r="B2543">
        <v>7.6242971619838196</v>
      </c>
      <c r="C2543">
        <v>2000</v>
      </c>
    </row>
    <row r="2544" spans="1:11" x14ac:dyDescent="0.25">
      <c r="A2544">
        <v>42.041268281666802</v>
      </c>
      <c r="B2544">
        <v>0</v>
      </c>
      <c r="C2544">
        <v>2000</v>
      </c>
    </row>
    <row r="2545" spans="1:11" x14ac:dyDescent="0.25">
      <c r="A2545">
        <v>42.915300330564399</v>
      </c>
      <c r="B2545">
        <v>0</v>
      </c>
      <c r="C2545">
        <v>2001</v>
      </c>
    </row>
    <row r="2546" spans="1:11" x14ac:dyDescent="0.25">
      <c r="A2546">
        <v>50.3344345563494</v>
      </c>
      <c r="B2546">
        <v>7.4191342257849904</v>
      </c>
      <c r="C2546">
        <v>2001</v>
      </c>
    </row>
    <row r="2547" spans="1:11" x14ac:dyDescent="0.25">
      <c r="A2547">
        <v>58.757108324446598</v>
      </c>
      <c r="B2547">
        <v>15.841807993882201</v>
      </c>
      <c r="C2547">
        <v>2001</v>
      </c>
    </row>
    <row r="2548" spans="1:11" x14ac:dyDescent="0.25">
      <c r="A2548">
        <v>62.923471099048001</v>
      </c>
      <c r="B2548">
        <v>20.008170768483499</v>
      </c>
      <c r="C2548">
        <v>2001</v>
      </c>
    </row>
    <row r="2549" spans="1:11" x14ac:dyDescent="0.25">
      <c r="A2549">
        <v>62.4864550745991</v>
      </c>
      <c r="B2549">
        <v>20.4451867929324</v>
      </c>
      <c r="C2549">
        <v>2000</v>
      </c>
    </row>
    <row r="2550" spans="1:11" x14ac:dyDescent="0.25">
      <c r="A2550" t="s">
        <v>88</v>
      </c>
    </row>
    <row r="2551" spans="1:11" x14ac:dyDescent="0.25">
      <c r="A2551">
        <v>746</v>
      </c>
      <c r="B2551">
        <v>0</v>
      </c>
      <c r="C2551">
        <v>2.2277892258386598</v>
      </c>
      <c r="D2551">
        <v>26.345379524267099</v>
      </c>
      <c r="E2551">
        <v>6</v>
      </c>
      <c r="F2551">
        <v>1.01722196789785</v>
      </c>
      <c r="G2551" t="s">
        <v>86</v>
      </c>
      <c r="H2551" t="s">
        <v>86</v>
      </c>
      <c r="I2551">
        <v>725</v>
      </c>
      <c r="J2551">
        <v>256</v>
      </c>
      <c r="K2551">
        <v>0.13373198682896401</v>
      </c>
    </row>
    <row r="2552" spans="1:11" x14ac:dyDescent="0.25">
      <c r="A2552" t="s">
        <v>87</v>
      </c>
    </row>
    <row r="2553" spans="1:11" x14ac:dyDescent="0.25">
      <c r="A2553">
        <v>69.705714186055303</v>
      </c>
      <c r="B2553">
        <v>103.530337399114</v>
      </c>
      <c r="C2553">
        <v>2000</v>
      </c>
    </row>
    <row r="2554" spans="1:11" x14ac:dyDescent="0.25">
      <c r="A2554">
        <v>68.130429317410403</v>
      </c>
      <c r="B2554">
        <v>101.955052530469</v>
      </c>
      <c r="C2554">
        <v>2000</v>
      </c>
    </row>
    <row r="2555" spans="1:11" x14ac:dyDescent="0.25">
      <c r="A2555">
        <v>68.567445341859198</v>
      </c>
      <c r="B2555">
        <v>101.51803650602101</v>
      </c>
      <c r="C2555">
        <v>2001</v>
      </c>
    </row>
    <row r="2556" spans="1:11" x14ac:dyDescent="0.25">
      <c r="A2556">
        <v>70.142730210504098</v>
      </c>
      <c r="B2556">
        <v>103.093321374665</v>
      </c>
      <c r="C2556">
        <v>2001</v>
      </c>
    </row>
    <row r="2557" spans="1:11" x14ac:dyDescent="0.25">
      <c r="A2557">
        <v>88.771726725046605</v>
      </c>
      <c r="B2557">
        <v>121.722317889208</v>
      </c>
      <c r="C2557">
        <v>2001</v>
      </c>
    </row>
    <row r="2558" spans="1:11" x14ac:dyDescent="0.25">
      <c r="A2558">
        <v>88.334710700597796</v>
      </c>
      <c r="B2558">
        <v>122.15933391365699</v>
      </c>
      <c r="C2558">
        <v>2000</v>
      </c>
    </row>
    <row r="2559" spans="1:11" x14ac:dyDescent="0.25">
      <c r="A2559" t="s">
        <v>88</v>
      </c>
    </row>
    <row r="2560" spans="1:11" x14ac:dyDescent="0.25">
      <c r="A2560">
        <v>257</v>
      </c>
      <c r="B2560">
        <v>0</v>
      </c>
      <c r="C2560">
        <v>7.3328736781847397</v>
      </c>
      <c r="D2560">
        <v>21.097128410199801</v>
      </c>
      <c r="E2560">
        <v>8</v>
      </c>
      <c r="F2560">
        <v>1.5707963267949001</v>
      </c>
      <c r="G2560" t="s">
        <v>86</v>
      </c>
      <c r="H2560" t="s">
        <v>86</v>
      </c>
      <c r="I2560">
        <v>242</v>
      </c>
      <c r="J2560">
        <v>172</v>
      </c>
      <c r="K2560">
        <v>0</v>
      </c>
    </row>
    <row r="2561" spans="1:11" x14ac:dyDescent="0.25">
      <c r="A2561" t="s">
        <v>87</v>
      </c>
    </row>
    <row r="2562" spans="1:11" x14ac:dyDescent="0.25">
      <c r="A2562">
        <v>86.545233957723298</v>
      </c>
      <c r="B2562">
        <v>110.56342083521299</v>
      </c>
      <c r="C2562">
        <v>2000</v>
      </c>
    </row>
    <row r="2563" spans="1:11" x14ac:dyDescent="0.25">
      <c r="A2563">
        <v>81.360109254294599</v>
      </c>
      <c r="B2563">
        <v>105.37829613178501</v>
      </c>
      <c r="C2563">
        <v>2000</v>
      </c>
    </row>
    <row r="2564" spans="1:11" x14ac:dyDescent="0.25">
      <c r="A2564">
        <v>81.360109254294599</v>
      </c>
      <c r="B2564">
        <v>105.37829613178501</v>
      </c>
      <c r="C2564">
        <v>2001</v>
      </c>
    </row>
    <row r="2565" spans="1:11" x14ac:dyDescent="0.25">
      <c r="A2565">
        <v>86.545233957723298</v>
      </c>
      <c r="B2565">
        <v>110.56342083521299</v>
      </c>
      <c r="C2565">
        <v>2001</v>
      </c>
    </row>
    <row r="2566" spans="1:11" x14ac:dyDescent="0.25">
      <c r="A2566">
        <v>100</v>
      </c>
      <c r="B2566">
        <v>124.01818687749</v>
      </c>
      <c r="C2566">
        <v>2001</v>
      </c>
    </row>
    <row r="2567" spans="1:11" x14ac:dyDescent="0.25">
      <c r="A2567">
        <v>101.46315652013899</v>
      </c>
      <c r="B2567">
        <v>125.481343397629</v>
      </c>
      <c r="C2567">
        <v>2001</v>
      </c>
    </row>
    <row r="2568" spans="1:11" x14ac:dyDescent="0.25">
      <c r="A2568">
        <v>101.46315652013899</v>
      </c>
      <c r="B2568">
        <v>125.481343397629</v>
      </c>
      <c r="C2568">
        <v>2000</v>
      </c>
    </row>
    <row r="2569" spans="1:11" x14ac:dyDescent="0.25">
      <c r="A2569">
        <v>100</v>
      </c>
      <c r="B2569">
        <v>124.01818687749</v>
      </c>
      <c r="C2569">
        <v>2000</v>
      </c>
    </row>
    <row r="2570" spans="1:11" x14ac:dyDescent="0.25">
      <c r="A2570" t="s">
        <v>88</v>
      </c>
    </row>
    <row r="2571" spans="1:11" x14ac:dyDescent="0.25">
      <c r="A2571">
        <v>175</v>
      </c>
      <c r="B2571">
        <v>0</v>
      </c>
      <c r="C2571">
        <v>14.938423099200699</v>
      </c>
      <c r="D2571">
        <v>13.2143923679452</v>
      </c>
      <c r="E2571">
        <v>8</v>
      </c>
      <c r="F2571">
        <v>1.5707963267949001</v>
      </c>
      <c r="G2571" t="s">
        <v>86</v>
      </c>
      <c r="H2571" t="s">
        <v>86</v>
      </c>
      <c r="I2571">
        <v>245</v>
      </c>
      <c r="J2571">
        <v>171</v>
      </c>
      <c r="K2571">
        <v>0</v>
      </c>
    </row>
    <row r="2572" spans="1:11" x14ac:dyDescent="0.25">
      <c r="A2572" t="s">
        <v>87</v>
      </c>
    </row>
    <row r="2573" spans="1:11" x14ac:dyDescent="0.25">
      <c r="A2573">
        <v>104.348088220855</v>
      </c>
      <c r="B2573">
        <v>131.75602740689899</v>
      </c>
      <c r="C2573">
        <v>2000</v>
      </c>
    </row>
    <row r="2574" spans="1:11" x14ac:dyDescent="0.25">
      <c r="A2574">
        <v>100</v>
      </c>
      <c r="B2574">
        <v>127.407939186044</v>
      </c>
      <c r="C2574">
        <v>2000</v>
      </c>
    </row>
    <row r="2575" spans="1:11" x14ac:dyDescent="0.25">
      <c r="A2575">
        <v>93.785027947176701</v>
      </c>
      <c r="B2575">
        <v>121.192967133221</v>
      </c>
      <c r="C2575">
        <v>2000</v>
      </c>
    </row>
    <row r="2576" spans="1:11" x14ac:dyDescent="0.25">
      <c r="A2576">
        <v>93.785027947176701</v>
      </c>
      <c r="B2576">
        <v>121.192967133221</v>
      </c>
      <c r="C2576">
        <v>2001</v>
      </c>
    </row>
    <row r="2577" spans="1:11" x14ac:dyDescent="0.25">
      <c r="A2577">
        <v>100</v>
      </c>
      <c r="B2577">
        <v>127.407939186044</v>
      </c>
      <c r="C2577">
        <v>2001</v>
      </c>
    </row>
    <row r="2578" spans="1:11" x14ac:dyDescent="0.25">
      <c r="A2578">
        <v>104.348088220855</v>
      </c>
      <c r="B2578">
        <v>131.75602740689899</v>
      </c>
      <c r="C2578">
        <v>2001</v>
      </c>
    </row>
    <row r="2579" spans="1:11" x14ac:dyDescent="0.25">
      <c r="A2579">
        <v>113.692074673489</v>
      </c>
      <c r="B2579">
        <v>141.10001385953299</v>
      </c>
      <c r="C2579">
        <v>2001</v>
      </c>
    </row>
    <row r="2580" spans="1:11" x14ac:dyDescent="0.25">
      <c r="A2580">
        <v>113.692074673489</v>
      </c>
      <c r="B2580">
        <v>141.10001385953299</v>
      </c>
      <c r="C2580">
        <v>2000</v>
      </c>
    </row>
    <row r="2581" spans="1:11" x14ac:dyDescent="0.25">
      <c r="A2581" t="s">
        <v>88</v>
      </c>
    </row>
    <row r="2582" spans="1:11" x14ac:dyDescent="0.25">
      <c r="A2582">
        <v>680</v>
      </c>
      <c r="B2582">
        <v>0</v>
      </c>
      <c r="C2582">
        <v>3.6964672677824</v>
      </c>
      <c r="D2582">
        <v>24.353547500247199</v>
      </c>
      <c r="E2582">
        <v>6</v>
      </c>
      <c r="F2582">
        <v>1.01722196789785</v>
      </c>
      <c r="G2582" t="s">
        <v>86</v>
      </c>
      <c r="H2582" t="s">
        <v>86</v>
      </c>
      <c r="I2582">
        <v>663</v>
      </c>
      <c r="J2582">
        <v>660</v>
      </c>
      <c r="K2582">
        <v>0</v>
      </c>
    </row>
    <row r="2583" spans="1:11" x14ac:dyDescent="0.25">
      <c r="A2583" t="s">
        <v>87</v>
      </c>
    </row>
    <row r="2584" spans="1:11" x14ac:dyDescent="0.25">
      <c r="A2584">
        <v>32.030066831512599</v>
      </c>
      <c r="B2584">
        <v>57.392247474939502</v>
      </c>
      <c r="C2584">
        <v>2000</v>
      </c>
    </row>
    <row r="2585" spans="1:11" x14ac:dyDescent="0.25">
      <c r="A2585">
        <v>29.4162697600295</v>
      </c>
      <c r="B2585">
        <v>54.778450403456397</v>
      </c>
      <c r="C2585">
        <v>2000</v>
      </c>
    </row>
    <row r="2586" spans="1:11" x14ac:dyDescent="0.25">
      <c r="A2586">
        <v>28.979253735580699</v>
      </c>
      <c r="B2586">
        <v>55.215466427905298</v>
      </c>
      <c r="C2586">
        <v>2001</v>
      </c>
    </row>
    <row r="2587" spans="1:11" x14ac:dyDescent="0.25">
      <c r="A2587">
        <v>31.593050807063801</v>
      </c>
      <c r="B2587">
        <v>57.829263499388297</v>
      </c>
      <c r="C2587">
        <v>2001</v>
      </c>
    </row>
    <row r="2588" spans="1:11" x14ac:dyDescent="0.25">
      <c r="A2588">
        <v>48.8136093904373</v>
      </c>
      <c r="B2588">
        <v>75.049822082761807</v>
      </c>
      <c r="C2588">
        <v>2001</v>
      </c>
    </row>
    <row r="2589" spans="1:11" x14ac:dyDescent="0.25">
      <c r="A2589">
        <v>49.250625414886102</v>
      </c>
      <c r="B2589">
        <v>74.612806058312998</v>
      </c>
      <c r="C2589">
        <v>2000</v>
      </c>
    </row>
    <row r="2590" spans="1:11" x14ac:dyDescent="0.25">
      <c r="A2590" t="s">
        <v>88</v>
      </c>
    </row>
    <row r="2591" spans="1:11" x14ac:dyDescent="0.25">
      <c r="A2591">
        <v>641</v>
      </c>
      <c r="B2591">
        <v>0</v>
      </c>
      <c r="C2591">
        <v>23.654255776115701</v>
      </c>
      <c r="D2591">
        <v>4.3957589919138496</v>
      </c>
      <c r="E2591">
        <v>6</v>
      </c>
      <c r="F2591">
        <v>1.5707963267949001</v>
      </c>
      <c r="G2591" t="s">
        <v>86</v>
      </c>
      <c r="H2591" t="s">
        <v>86</v>
      </c>
      <c r="I2591">
        <v>663</v>
      </c>
      <c r="J2591">
        <v>660</v>
      </c>
      <c r="K2591">
        <v>0</v>
      </c>
    </row>
    <row r="2592" spans="1:11" x14ac:dyDescent="0.25">
      <c r="A2592" t="s">
        <v>87</v>
      </c>
    </row>
    <row r="2593" spans="1:11" x14ac:dyDescent="0.25">
      <c r="A2593">
        <v>45.037431523686898</v>
      </c>
      <c r="B2593">
        <v>72.609457966223999</v>
      </c>
      <c r="C2593">
        <v>2000</v>
      </c>
    </row>
    <row r="2594" spans="1:11" x14ac:dyDescent="0.25">
      <c r="A2594">
        <v>28.311346860474401</v>
      </c>
      <c r="B2594">
        <v>55.883373303011602</v>
      </c>
      <c r="C2594">
        <v>2000</v>
      </c>
    </row>
    <row r="2595" spans="1:11" x14ac:dyDescent="0.25">
      <c r="A2595">
        <v>28.311346860474401</v>
      </c>
      <c r="B2595">
        <v>55.883373303011602</v>
      </c>
      <c r="C2595">
        <v>2001</v>
      </c>
    </row>
    <row r="2596" spans="1:11" x14ac:dyDescent="0.25">
      <c r="A2596">
        <v>45.037431523686898</v>
      </c>
      <c r="B2596">
        <v>72.609457966223999</v>
      </c>
      <c r="C2596">
        <v>2001</v>
      </c>
    </row>
    <row r="2597" spans="1:11" x14ac:dyDescent="0.25">
      <c r="A2597">
        <v>48.145702515331003</v>
      </c>
      <c r="B2597">
        <v>75.717728957868104</v>
      </c>
      <c r="C2597">
        <v>2001</v>
      </c>
    </row>
    <row r="2598" spans="1:11" x14ac:dyDescent="0.25">
      <c r="A2598">
        <v>48.145702515331003</v>
      </c>
      <c r="B2598">
        <v>75.717728957868104</v>
      </c>
      <c r="C2598">
        <v>2000</v>
      </c>
    </row>
    <row r="2599" spans="1:11" x14ac:dyDescent="0.25">
      <c r="A2599" t="s">
        <v>88</v>
      </c>
    </row>
    <row r="2600" spans="1:11" x14ac:dyDescent="0.25">
      <c r="A2600">
        <v>249</v>
      </c>
      <c r="B2600">
        <v>0</v>
      </c>
      <c r="C2600">
        <v>8.1307817537891403</v>
      </c>
      <c r="D2600">
        <v>19.249857491852399</v>
      </c>
      <c r="E2600">
        <v>6</v>
      </c>
      <c r="F2600">
        <v>1.5707963267949001</v>
      </c>
      <c r="G2600" t="s">
        <v>86</v>
      </c>
      <c r="H2600" t="s">
        <v>85</v>
      </c>
      <c r="I2600">
        <v>652</v>
      </c>
      <c r="J2600">
        <v>0</v>
      </c>
      <c r="K2600">
        <v>0</v>
      </c>
    </row>
    <row r="2601" spans="1:11" x14ac:dyDescent="0.25">
      <c r="A2601" t="s">
        <v>87</v>
      </c>
    </row>
    <row r="2602" spans="1:11" x14ac:dyDescent="0.25">
      <c r="A2602">
        <v>73.647509619429499</v>
      </c>
      <c r="B2602">
        <v>136.388295230636</v>
      </c>
      <c r="C2602">
        <v>2000</v>
      </c>
    </row>
    <row r="2603" spans="1:11" x14ac:dyDescent="0.25">
      <c r="A2603">
        <v>67.898178704977298</v>
      </c>
      <c r="B2603">
        <v>130.638964316184</v>
      </c>
      <c r="C2603">
        <v>2000</v>
      </c>
    </row>
    <row r="2604" spans="1:11" x14ac:dyDescent="0.25">
      <c r="A2604">
        <v>67.898178704977298</v>
      </c>
      <c r="B2604">
        <v>130.638964316184</v>
      </c>
      <c r="C2604">
        <v>2001</v>
      </c>
    </row>
    <row r="2605" spans="1:11" x14ac:dyDescent="0.25">
      <c r="A2605">
        <v>73.647509619429499</v>
      </c>
      <c r="B2605">
        <v>136.388295230636</v>
      </c>
      <c r="C2605">
        <v>2001</v>
      </c>
    </row>
    <row r="2606" spans="1:11" x14ac:dyDescent="0.25">
      <c r="A2606">
        <v>87.259214388792998</v>
      </c>
      <c r="B2606">
        <v>150</v>
      </c>
      <c r="C2606">
        <v>2001</v>
      </c>
    </row>
    <row r="2607" spans="1:11" x14ac:dyDescent="0.25">
      <c r="A2607">
        <v>87.259214388792998</v>
      </c>
      <c r="B2607">
        <v>150</v>
      </c>
      <c r="C2607">
        <v>2000</v>
      </c>
    </row>
    <row r="2608" spans="1:11" x14ac:dyDescent="0.25">
      <c r="A2608" t="s">
        <v>88</v>
      </c>
    </row>
    <row r="2609" spans="1:11" x14ac:dyDescent="0.25">
      <c r="A2609">
        <v>10</v>
      </c>
      <c r="B2609">
        <v>0</v>
      </c>
      <c r="C2609">
        <v>19.744754447158002</v>
      </c>
      <c r="D2609">
        <v>7.5837498526485501</v>
      </c>
      <c r="E2609">
        <v>6</v>
      </c>
      <c r="F2609">
        <v>1.5707963267949001</v>
      </c>
      <c r="G2609" t="s">
        <v>86</v>
      </c>
      <c r="H2609" t="s">
        <v>86</v>
      </c>
      <c r="I2609">
        <v>4</v>
      </c>
      <c r="J2609">
        <v>3</v>
      </c>
      <c r="K2609">
        <v>0</v>
      </c>
    </row>
    <row r="2610" spans="1:11" x14ac:dyDescent="0.25">
      <c r="A2610" t="s">
        <v>87</v>
      </c>
    </row>
    <row r="2611" spans="1:11" x14ac:dyDescent="0.25">
      <c r="A2611">
        <v>18.3581008195682</v>
      </c>
      <c r="B2611">
        <v>37.422239937550501</v>
      </c>
      <c r="C2611">
        <v>2000</v>
      </c>
    </row>
    <row r="2612" spans="1:11" x14ac:dyDescent="0.25">
      <c r="A2612">
        <v>4.3964510571195001</v>
      </c>
      <c r="B2612">
        <v>23.4605901751018</v>
      </c>
      <c r="C2612">
        <v>2000</v>
      </c>
    </row>
    <row r="2613" spans="1:11" x14ac:dyDescent="0.25">
      <c r="A2613">
        <v>4.3964510571195001</v>
      </c>
      <c r="B2613">
        <v>23.4605901751018</v>
      </c>
      <c r="C2613">
        <v>2001</v>
      </c>
    </row>
    <row r="2614" spans="1:11" x14ac:dyDescent="0.25">
      <c r="A2614">
        <v>18.3581008195682</v>
      </c>
      <c r="B2614">
        <v>37.422239937550501</v>
      </c>
      <c r="C2614">
        <v>2001</v>
      </c>
    </row>
    <row r="2615" spans="1:11" x14ac:dyDescent="0.25">
      <c r="A2615">
        <v>23.720621767198502</v>
      </c>
      <c r="B2615">
        <v>42.784760885180802</v>
      </c>
      <c r="C2615">
        <v>2001</v>
      </c>
    </row>
    <row r="2616" spans="1:11" x14ac:dyDescent="0.25">
      <c r="A2616">
        <v>23.720621767198502</v>
      </c>
      <c r="B2616">
        <v>42.784760885180802</v>
      </c>
      <c r="C2616">
        <v>2000</v>
      </c>
    </row>
    <row r="2617" spans="1:11" x14ac:dyDescent="0.25">
      <c r="A2617" t="s">
        <v>88</v>
      </c>
    </row>
    <row r="2618" spans="1:11" x14ac:dyDescent="0.25">
      <c r="A2618">
        <v>599</v>
      </c>
      <c r="B2618">
        <v>0</v>
      </c>
      <c r="C2618">
        <v>16.433763255433899</v>
      </c>
      <c r="D2618">
        <v>10.4250311829033</v>
      </c>
      <c r="E2618">
        <v>6</v>
      </c>
      <c r="F2618">
        <v>1.01722196789785</v>
      </c>
      <c r="G2618" t="s">
        <v>85</v>
      </c>
      <c r="H2618" t="s">
        <v>85</v>
      </c>
      <c r="I2618">
        <v>0</v>
      </c>
      <c r="J2618">
        <v>0</v>
      </c>
      <c r="K2618">
        <v>0</v>
      </c>
    </row>
    <row r="2619" spans="1:11" x14ac:dyDescent="0.25">
      <c r="A2619" t="s">
        <v>87</v>
      </c>
    </row>
    <row r="2620" spans="1:11" x14ac:dyDescent="0.25">
      <c r="A2620">
        <v>11.353033768868899</v>
      </c>
      <c r="B2620">
        <v>142.798014111474</v>
      </c>
      <c r="C2620">
        <v>2000</v>
      </c>
    </row>
    <row r="2621" spans="1:11" x14ac:dyDescent="0.25">
      <c r="A2621">
        <v>0</v>
      </c>
      <c r="B2621">
        <v>131.44498034260499</v>
      </c>
      <c r="C2621">
        <v>2000</v>
      </c>
    </row>
    <row r="2622" spans="1:11" x14ac:dyDescent="0.25">
      <c r="A2622">
        <v>0</v>
      </c>
      <c r="B2622">
        <v>130.570948293707</v>
      </c>
      <c r="C2622">
        <v>2001</v>
      </c>
    </row>
    <row r="2623" spans="1:11" x14ac:dyDescent="0.25">
      <c r="A2623">
        <v>11.887817107794399</v>
      </c>
      <c r="B2623">
        <v>142.45876540150201</v>
      </c>
      <c r="C2623">
        <v>2001</v>
      </c>
    </row>
    <row r="2624" spans="1:11" x14ac:dyDescent="0.25">
      <c r="A2624">
        <v>19.429051706292601</v>
      </c>
      <c r="B2624">
        <v>150</v>
      </c>
      <c r="C2624">
        <v>2001</v>
      </c>
    </row>
    <row r="2625" spans="1:11" x14ac:dyDescent="0.25">
      <c r="A2625">
        <v>18.555019657394901</v>
      </c>
      <c r="B2625">
        <v>150</v>
      </c>
      <c r="C2625">
        <v>2000</v>
      </c>
    </row>
    <row r="2626" spans="1:11" x14ac:dyDescent="0.25">
      <c r="A2626" t="s">
        <v>88</v>
      </c>
    </row>
    <row r="2627" spans="1:11" x14ac:dyDescent="0.25">
      <c r="A2627">
        <v>199</v>
      </c>
      <c r="B2627">
        <v>0</v>
      </c>
      <c r="C2627">
        <v>15.136943283930799</v>
      </c>
      <c r="D2627">
        <v>11.639256798521799</v>
      </c>
      <c r="E2627">
        <v>6</v>
      </c>
      <c r="F2627">
        <v>1.01722196789785</v>
      </c>
      <c r="G2627" t="s">
        <v>86</v>
      </c>
      <c r="H2627" t="s">
        <v>85</v>
      </c>
      <c r="I2627">
        <v>177</v>
      </c>
      <c r="J2627">
        <v>0</v>
      </c>
      <c r="K2627">
        <v>0</v>
      </c>
    </row>
    <row r="2628" spans="1:11" x14ac:dyDescent="0.25">
      <c r="A2628" t="s">
        <v>87</v>
      </c>
    </row>
    <row r="2629" spans="1:11" x14ac:dyDescent="0.25">
      <c r="A2629">
        <v>141.67482007326799</v>
      </c>
      <c r="B2629">
        <v>113.035611425539</v>
      </c>
      <c r="C2629">
        <v>2000</v>
      </c>
    </row>
    <row r="2630" spans="1:11" x14ac:dyDescent="0.25">
      <c r="A2630">
        <v>130.847859335066</v>
      </c>
      <c r="B2630">
        <v>102.208650687336</v>
      </c>
      <c r="C2630">
        <v>2000</v>
      </c>
    </row>
    <row r="2631" spans="1:11" x14ac:dyDescent="0.25">
      <c r="A2631">
        <v>131.28487535951399</v>
      </c>
      <c r="B2631">
        <v>101.771634662888</v>
      </c>
      <c r="C2631">
        <v>2001</v>
      </c>
    </row>
    <row r="2632" spans="1:11" x14ac:dyDescent="0.25">
      <c r="A2632">
        <v>141.864785106319</v>
      </c>
      <c r="B2632">
        <v>112.351544409692</v>
      </c>
      <c r="C2632">
        <v>2001</v>
      </c>
    </row>
    <row r="2633" spans="1:11" x14ac:dyDescent="0.25">
      <c r="A2633">
        <v>150</v>
      </c>
      <c r="B2633">
        <v>120.48675930337301</v>
      </c>
      <c r="C2633">
        <v>2001</v>
      </c>
    </row>
    <row r="2634" spans="1:11" x14ac:dyDescent="0.25">
      <c r="A2634">
        <v>150</v>
      </c>
      <c r="B2634">
        <v>121.36079135227099</v>
      </c>
      <c r="C2634">
        <v>2000</v>
      </c>
    </row>
    <row r="2635" spans="1:11" x14ac:dyDescent="0.25">
      <c r="A2635" t="s">
        <v>88</v>
      </c>
    </row>
    <row r="2636" spans="1:11" x14ac:dyDescent="0.25">
      <c r="A2636">
        <v>1</v>
      </c>
      <c r="B2636">
        <v>0</v>
      </c>
      <c r="C2636">
        <v>13.55676728387</v>
      </c>
      <c r="D2636">
        <v>13.076315798698699</v>
      </c>
      <c r="E2636">
        <v>8</v>
      </c>
      <c r="F2636">
        <v>1.5707963267949001</v>
      </c>
      <c r="G2636" t="s">
        <v>85</v>
      </c>
      <c r="H2636" t="s">
        <v>86</v>
      </c>
      <c r="I2636">
        <v>0</v>
      </c>
      <c r="J2636">
        <v>515</v>
      </c>
      <c r="K2636">
        <v>0</v>
      </c>
    </row>
    <row r="2637" spans="1:11" x14ac:dyDescent="0.25">
      <c r="A2637" t="s">
        <v>87</v>
      </c>
    </row>
    <row r="2638" spans="1:11" x14ac:dyDescent="0.25">
      <c r="A2638">
        <v>41.271438468839698</v>
      </c>
      <c r="B2638">
        <v>9.58608207739241</v>
      </c>
      <c r="C2638">
        <v>2000</v>
      </c>
    </row>
    <row r="2639" spans="1:11" x14ac:dyDescent="0.25">
      <c r="A2639">
        <v>31.6853563914473</v>
      </c>
      <c r="B2639">
        <v>0</v>
      </c>
      <c r="C2639">
        <v>2000</v>
      </c>
    </row>
    <row r="2640" spans="1:11" x14ac:dyDescent="0.25">
      <c r="A2640">
        <v>31.6853563914473</v>
      </c>
      <c r="B2640">
        <v>0</v>
      </c>
      <c r="C2640">
        <v>2001</v>
      </c>
    </row>
    <row r="2641" spans="1:11" x14ac:dyDescent="0.25">
      <c r="A2641">
        <v>41.271438468839698</v>
      </c>
      <c r="B2641">
        <v>9.58608207739241</v>
      </c>
      <c r="C2641">
        <v>2001</v>
      </c>
    </row>
    <row r="2642" spans="1:11" x14ac:dyDescent="0.25">
      <c r="A2642">
        <v>50</v>
      </c>
      <c r="B2642">
        <v>18.3146436085527</v>
      </c>
      <c r="C2642">
        <v>2001</v>
      </c>
    </row>
    <row r="2643" spans="1:11" x14ac:dyDescent="0.25">
      <c r="A2643">
        <v>50.517790043036399</v>
      </c>
      <c r="B2643">
        <v>18.832433651589099</v>
      </c>
      <c r="C2643">
        <v>2001</v>
      </c>
    </row>
    <row r="2644" spans="1:11" x14ac:dyDescent="0.25">
      <c r="A2644">
        <v>50.517790043036399</v>
      </c>
      <c r="B2644">
        <v>18.832433651589099</v>
      </c>
      <c r="C2644">
        <v>2000</v>
      </c>
    </row>
    <row r="2645" spans="1:11" x14ac:dyDescent="0.25">
      <c r="A2645">
        <v>50</v>
      </c>
      <c r="B2645">
        <v>18.3146436085527</v>
      </c>
      <c r="C2645">
        <v>2000</v>
      </c>
    </row>
    <row r="2646" spans="1:11" x14ac:dyDescent="0.25">
      <c r="A2646" t="s">
        <v>88</v>
      </c>
    </row>
    <row r="2647" spans="1:11" x14ac:dyDescent="0.25">
      <c r="A2647">
        <v>340</v>
      </c>
      <c r="B2647">
        <v>0</v>
      </c>
      <c r="C2647">
        <v>22.269012670458999</v>
      </c>
      <c r="D2647">
        <v>3.9213199726924701</v>
      </c>
      <c r="E2647">
        <v>8</v>
      </c>
      <c r="F2647">
        <v>1.5707963267949001</v>
      </c>
      <c r="G2647" t="s">
        <v>86</v>
      </c>
      <c r="H2647" t="s">
        <v>86</v>
      </c>
      <c r="I2647">
        <v>90</v>
      </c>
      <c r="J2647">
        <v>339</v>
      </c>
      <c r="K2647">
        <v>0</v>
      </c>
    </row>
    <row r="2648" spans="1:11" x14ac:dyDescent="0.25">
      <c r="A2648" t="s">
        <v>87</v>
      </c>
    </row>
    <row r="2649" spans="1:11" x14ac:dyDescent="0.25">
      <c r="A2649">
        <v>108.260346696833</v>
      </c>
      <c r="B2649">
        <v>43.4730152103458</v>
      </c>
      <c r="C2649">
        <v>2000</v>
      </c>
    </row>
    <row r="2650" spans="1:11" x14ac:dyDescent="0.25">
      <c r="A2650">
        <v>100</v>
      </c>
      <c r="B2650">
        <v>35.212668513512497</v>
      </c>
      <c r="C2650">
        <v>2000</v>
      </c>
    </row>
    <row r="2651" spans="1:11" x14ac:dyDescent="0.25">
      <c r="A2651">
        <v>92.5137768272226</v>
      </c>
      <c r="B2651">
        <v>27.7264453407352</v>
      </c>
      <c r="C2651">
        <v>2000</v>
      </c>
    </row>
    <row r="2652" spans="1:11" x14ac:dyDescent="0.25">
      <c r="A2652">
        <v>92.5137768272226</v>
      </c>
      <c r="B2652">
        <v>27.7264453407352</v>
      </c>
      <c r="C2652">
        <v>2001</v>
      </c>
    </row>
    <row r="2653" spans="1:11" x14ac:dyDescent="0.25">
      <c r="A2653">
        <v>100</v>
      </c>
      <c r="B2653">
        <v>35.212668513512497</v>
      </c>
      <c r="C2653">
        <v>2001</v>
      </c>
    </row>
    <row r="2654" spans="1:11" x14ac:dyDescent="0.25">
      <c r="A2654">
        <v>108.260346696833</v>
      </c>
      <c r="B2654">
        <v>43.4730152103458</v>
      </c>
      <c r="C2654">
        <v>2001</v>
      </c>
    </row>
    <row r="2655" spans="1:11" x14ac:dyDescent="0.25">
      <c r="A2655">
        <v>111.03313864072599</v>
      </c>
      <c r="B2655">
        <v>46.245807154238904</v>
      </c>
      <c r="C2655">
        <v>2001</v>
      </c>
    </row>
    <row r="2656" spans="1:11" x14ac:dyDescent="0.25">
      <c r="A2656">
        <v>111.03313864072599</v>
      </c>
      <c r="B2656">
        <v>46.245807154238904</v>
      </c>
      <c r="C2656">
        <v>2000</v>
      </c>
    </row>
    <row r="2657" spans="1:11" x14ac:dyDescent="0.25">
      <c r="A2657" t="s">
        <v>88</v>
      </c>
    </row>
    <row r="2658" spans="1:11" x14ac:dyDescent="0.25">
      <c r="A2658">
        <v>259</v>
      </c>
      <c r="B2658">
        <v>0</v>
      </c>
      <c r="C2658">
        <v>15.8134341163331</v>
      </c>
      <c r="D2658">
        <v>10.3209828549317</v>
      </c>
      <c r="E2658">
        <v>6</v>
      </c>
      <c r="F2658">
        <v>1.5707963267949001</v>
      </c>
      <c r="G2658" t="s">
        <v>86</v>
      </c>
      <c r="H2658" t="s">
        <v>86</v>
      </c>
      <c r="I2658">
        <v>748</v>
      </c>
      <c r="J2658">
        <v>751</v>
      </c>
      <c r="K2658">
        <v>0</v>
      </c>
    </row>
    <row r="2659" spans="1:11" x14ac:dyDescent="0.25">
      <c r="A2659" t="s">
        <v>87</v>
      </c>
    </row>
    <row r="2660" spans="1:11" x14ac:dyDescent="0.25">
      <c r="A2660">
        <v>76.956230903489597</v>
      </c>
      <c r="B2660">
        <v>124.629976728293</v>
      </c>
      <c r="C2660">
        <v>2000</v>
      </c>
    </row>
    <row r="2661" spans="1:11" x14ac:dyDescent="0.25">
      <c r="A2661">
        <v>65.7744444059838</v>
      </c>
      <c r="B2661">
        <v>113.44819023078701</v>
      </c>
      <c r="C2661">
        <v>2000</v>
      </c>
    </row>
    <row r="2662" spans="1:11" x14ac:dyDescent="0.25">
      <c r="A2662">
        <v>65.7744444059838</v>
      </c>
      <c r="B2662">
        <v>113.44819023078701</v>
      </c>
      <c r="C2662">
        <v>2001</v>
      </c>
    </row>
    <row r="2663" spans="1:11" x14ac:dyDescent="0.25">
      <c r="A2663">
        <v>76.956230903489597</v>
      </c>
      <c r="B2663">
        <v>124.629976728293</v>
      </c>
      <c r="C2663">
        <v>2001</v>
      </c>
    </row>
    <row r="2664" spans="1:11" x14ac:dyDescent="0.25">
      <c r="A2664">
        <v>84.254267868721897</v>
      </c>
      <c r="B2664">
        <v>131.928013693525</v>
      </c>
      <c r="C2664">
        <v>2001</v>
      </c>
    </row>
    <row r="2665" spans="1:11" x14ac:dyDescent="0.25">
      <c r="A2665">
        <v>84.254267868721897</v>
      </c>
      <c r="B2665">
        <v>131.928013693525</v>
      </c>
      <c r="C2665">
        <v>2000</v>
      </c>
    </row>
    <row r="2666" spans="1:11" x14ac:dyDescent="0.25">
      <c r="A2666" t="s">
        <v>88</v>
      </c>
    </row>
    <row r="2667" spans="1:11" x14ac:dyDescent="0.25">
      <c r="A2667">
        <v>750</v>
      </c>
      <c r="B2667">
        <v>0</v>
      </c>
      <c r="C2667">
        <v>7.4705499265139998</v>
      </c>
      <c r="D2667">
        <v>18.625810376648602</v>
      </c>
      <c r="E2667">
        <v>6</v>
      </c>
      <c r="F2667">
        <v>1.5707963267949001</v>
      </c>
      <c r="G2667" t="s">
        <v>86</v>
      </c>
      <c r="H2667" t="s">
        <v>85</v>
      </c>
      <c r="I2667">
        <v>178</v>
      </c>
      <c r="J2667">
        <v>0</v>
      </c>
      <c r="K2667">
        <v>0.38296526983079998</v>
      </c>
    </row>
    <row r="2668" spans="1:11" x14ac:dyDescent="0.25">
      <c r="A2668" t="s">
        <v>87</v>
      </c>
    </row>
    <row r="2669" spans="1:11" x14ac:dyDescent="0.25">
      <c r="A2669">
        <v>136.829563177577</v>
      </c>
      <c r="B2669">
        <v>124.91647066777401</v>
      </c>
      <c r="C2669">
        <v>2000</v>
      </c>
    </row>
    <row r="2670" spans="1:11" x14ac:dyDescent="0.25">
      <c r="A2670">
        <v>131.547086665346</v>
      </c>
      <c r="B2670">
        <v>119.63399415554299</v>
      </c>
      <c r="C2670">
        <v>2000</v>
      </c>
    </row>
    <row r="2671" spans="1:11" x14ac:dyDescent="0.25">
      <c r="A2671">
        <v>131.547086665346</v>
      </c>
      <c r="B2671">
        <v>119.63399415554299</v>
      </c>
      <c r="C2671">
        <v>2001</v>
      </c>
    </row>
    <row r="2672" spans="1:11" x14ac:dyDescent="0.25">
      <c r="A2672">
        <v>136.829563177577</v>
      </c>
      <c r="B2672">
        <v>124.91647066777401</v>
      </c>
      <c r="C2672">
        <v>2001</v>
      </c>
    </row>
    <row r="2673" spans="1:11" x14ac:dyDescent="0.25">
      <c r="A2673">
        <v>150</v>
      </c>
      <c r="B2673">
        <v>138.08690749019701</v>
      </c>
      <c r="C2673">
        <v>2001</v>
      </c>
    </row>
    <row r="2674" spans="1:11" x14ac:dyDescent="0.25">
      <c r="A2674">
        <v>150</v>
      </c>
      <c r="B2674">
        <v>138.08690749019701</v>
      </c>
      <c r="C2674">
        <v>2000</v>
      </c>
    </row>
    <row r="2675" spans="1:11" x14ac:dyDescent="0.25">
      <c r="A2675" t="s">
        <v>88</v>
      </c>
    </row>
    <row r="2676" spans="1:11" x14ac:dyDescent="0.25">
      <c r="A2676">
        <v>567</v>
      </c>
      <c r="B2676">
        <v>0</v>
      </c>
      <c r="C2676">
        <v>2.0075168584552801</v>
      </c>
      <c r="D2676">
        <v>24.067196147848101</v>
      </c>
      <c r="E2676">
        <v>6</v>
      </c>
      <c r="F2676">
        <v>1.5707963267949001</v>
      </c>
      <c r="G2676" t="s">
        <v>85</v>
      </c>
      <c r="H2676" t="s">
        <v>85</v>
      </c>
      <c r="I2676">
        <v>0</v>
      </c>
      <c r="J2676">
        <v>0</v>
      </c>
      <c r="K2676">
        <v>0</v>
      </c>
    </row>
    <row r="2677" spans="1:11" x14ac:dyDescent="0.25">
      <c r="A2677" t="s">
        <v>87</v>
      </c>
    </row>
    <row r="2678" spans="1:11" x14ac:dyDescent="0.25">
      <c r="A2678">
        <v>1.4195287839600399</v>
      </c>
      <c r="B2678">
        <v>132.98192239970999</v>
      </c>
      <c r="C2678">
        <v>2000</v>
      </c>
    </row>
    <row r="2679" spans="1:11" x14ac:dyDescent="0.25">
      <c r="A2679">
        <v>0</v>
      </c>
      <c r="B2679">
        <v>131.56239361575001</v>
      </c>
      <c r="C2679">
        <v>2000</v>
      </c>
    </row>
    <row r="2680" spans="1:11" x14ac:dyDescent="0.25">
      <c r="A2680">
        <v>0</v>
      </c>
      <c r="B2680">
        <v>131.56239361575001</v>
      </c>
      <c r="C2680">
        <v>2001</v>
      </c>
    </row>
    <row r="2681" spans="1:11" x14ac:dyDescent="0.25">
      <c r="A2681">
        <v>1.4195287839600399</v>
      </c>
      <c r="B2681">
        <v>132.98192239970999</v>
      </c>
      <c r="C2681">
        <v>2001</v>
      </c>
    </row>
    <row r="2682" spans="1:11" x14ac:dyDescent="0.25">
      <c r="A2682">
        <v>18.437606384250198</v>
      </c>
      <c r="B2682">
        <v>150</v>
      </c>
      <c r="C2682">
        <v>2001</v>
      </c>
    </row>
    <row r="2683" spans="1:11" x14ac:dyDescent="0.25">
      <c r="A2683">
        <v>18.437606384250198</v>
      </c>
      <c r="B2683">
        <v>150</v>
      </c>
      <c r="C2683">
        <v>2000</v>
      </c>
    </row>
    <row r="2684" spans="1:11" x14ac:dyDescent="0.25">
      <c r="A2684" t="s">
        <v>88</v>
      </c>
    </row>
    <row r="2685" spans="1:11" x14ac:dyDescent="0.25">
      <c r="A2685">
        <v>264</v>
      </c>
      <c r="B2685">
        <v>0</v>
      </c>
      <c r="C2685">
        <v>18.254209825190198</v>
      </c>
      <c r="D2685">
        <v>7.7944087961822097</v>
      </c>
      <c r="E2685">
        <v>6</v>
      </c>
      <c r="F2685">
        <v>1.01722196789785</v>
      </c>
      <c r="G2685" t="s">
        <v>86</v>
      </c>
      <c r="H2685" t="s">
        <v>85</v>
      </c>
      <c r="I2685">
        <v>594</v>
      </c>
      <c r="J2685">
        <v>0</v>
      </c>
      <c r="K2685">
        <v>0</v>
      </c>
    </row>
    <row r="2686" spans="1:11" x14ac:dyDescent="0.25">
      <c r="A2686" t="s">
        <v>87</v>
      </c>
    </row>
    <row r="2687" spans="1:11" x14ac:dyDescent="0.25">
      <c r="A2687">
        <v>79.492340568323201</v>
      </c>
      <c r="B2687">
        <v>144.55390383618101</v>
      </c>
      <c r="C2687">
        <v>2000</v>
      </c>
    </row>
    <row r="2688" spans="1:11" x14ac:dyDescent="0.25">
      <c r="A2688">
        <v>66.737789876651902</v>
      </c>
      <c r="B2688">
        <v>131.79935314451001</v>
      </c>
      <c r="C2688">
        <v>2000</v>
      </c>
    </row>
    <row r="2689" spans="1:11" x14ac:dyDescent="0.25">
      <c r="A2689">
        <v>67.174805901100697</v>
      </c>
      <c r="B2689">
        <v>131.362337120061</v>
      </c>
      <c r="C2689">
        <v>2001</v>
      </c>
    </row>
    <row r="2690" spans="1:11" x14ac:dyDescent="0.25">
      <c r="A2690">
        <v>80.235606314617698</v>
      </c>
      <c r="B2690">
        <v>144.423137533578</v>
      </c>
      <c r="C2690">
        <v>2001</v>
      </c>
    </row>
    <row r="2691" spans="1:11" x14ac:dyDescent="0.25">
      <c r="A2691">
        <v>85.812468781039797</v>
      </c>
      <c r="B2691">
        <v>150</v>
      </c>
      <c r="C2691">
        <v>2001</v>
      </c>
    </row>
    <row r="2692" spans="1:11" x14ac:dyDescent="0.25">
      <c r="A2692">
        <v>84.938436732142094</v>
      </c>
      <c r="B2692">
        <v>150</v>
      </c>
      <c r="C2692">
        <v>2000</v>
      </c>
    </row>
    <row r="2693" spans="1:11" x14ac:dyDescent="0.25">
      <c r="A2693" t="s">
        <v>88</v>
      </c>
    </row>
    <row r="2694" spans="1:11" x14ac:dyDescent="0.25">
      <c r="A2694">
        <v>28</v>
      </c>
      <c r="B2694">
        <v>0</v>
      </c>
      <c r="C2694">
        <v>16.039551104146199</v>
      </c>
      <c r="D2694">
        <v>9.9539671537821395</v>
      </c>
      <c r="E2694">
        <v>6</v>
      </c>
      <c r="F2694">
        <v>1.01722196789785</v>
      </c>
      <c r="G2694" t="s">
        <v>85</v>
      </c>
      <c r="H2694" t="s">
        <v>86</v>
      </c>
      <c r="I2694">
        <v>0</v>
      </c>
      <c r="J2694">
        <v>89</v>
      </c>
      <c r="K2694">
        <v>0</v>
      </c>
    </row>
    <row r="2695" spans="1:11" x14ac:dyDescent="0.25">
      <c r="A2695" t="s">
        <v>87</v>
      </c>
    </row>
    <row r="2696" spans="1:11" x14ac:dyDescent="0.25">
      <c r="A2696">
        <v>29.2636229427291</v>
      </c>
      <c r="B2696">
        <v>11.4765078290096</v>
      </c>
      <c r="C2696">
        <v>2000</v>
      </c>
    </row>
    <row r="2697" spans="1:11" x14ac:dyDescent="0.25">
      <c r="A2697">
        <v>17.787115113719501</v>
      </c>
      <c r="B2697">
        <v>0</v>
      </c>
      <c r="C2697">
        <v>2000</v>
      </c>
    </row>
    <row r="2698" spans="1:11" x14ac:dyDescent="0.25">
      <c r="A2698">
        <v>18.661147162617102</v>
      </c>
      <c r="B2698">
        <v>0</v>
      </c>
      <c r="C2698">
        <v>2001</v>
      </c>
    </row>
    <row r="2699" spans="1:11" x14ac:dyDescent="0.25">
      <c r="A2699">
        <v>29.867990039467401</v>
      </c>
      <c r="B2699">
        <v>11.206842876850301</v>
      </c>
      <c r="C2699">
        <v>2001</v>
      </c>
    </row>
    <row r="2700" spans="1:11" x14ac:dyDescent="0.25">
      <c r="A2700">
        <v>36.822832177470197</v>
      </c>
      <c r="B2700">
        <v>18.161685014852999</v>
      </c>
      <c r="C2700">
        <v>2001</v>
      </c>
    </row>
    <row r="2701" spans="1:11" x14ac:dyDescent="0.25">
      <c r="A2701">
        <v>36.385816153021402</v>
      </c>
      <c r="B2701">
        <v>18.598701039301901</v>
      </c>
      <c r="C2701">
        <v>2000</v>
      </c>
    </row>
    <row r="2702" spans="1:11" x14ac:dyDescent="0.25">
      <c r="A2702" t="s">
        <v>88</v>
      </c>
    </row>
    <row r="2703" spans="1:11" x14ac:dyDescent="0.25">
      <c r="A2703">
        <v>3</v>
      </c>
      <c r="B2703">
        <v>0</v>
      </c>
      <c r="C2703">
        <v>7.2482827470598998</v>
      </c>
      <c r="D2703">
        <v>18.506620080656798</v>
      </c>
      <c r="E2703">
        <v>8</v>
      </c>
      <c r="F2703">
        <v>1.5707963267949001</v>
      </c>
      <c r="G2703" t="s">
        <v>86</v>
      </c>
      <c r="H2703" t="s">
        <v>86</v>
      </c>
      <c r="I2703">
        <v>10</v>
      </c>
      <c r="J2703">
        <v>649</v>
      </c>
      <c r="K2703">
        <v>0</v>
      </c>
    </row>
    <row r="2704" spans="1:11" x14ac:dyDescent="0.25">
      <c r="A2704" t="s">
        <v>87</v>
      </c>
    </row>
    <row r="2705" spans="1:11" x14ac:dyDescent="0.25">
      <c r="A2705">
        <v>28.919170367959499</v>
      </c>
      <c r="B2705">
        <v>47.8368320492268</v>
      </c>
      <c r="C2705">
        <v>2000</v>
      </c>
    </row>
    <row r="2706" spans="1:11" x14ac:dyDescent="0.25">
      <c r="A2706">
        <v>23.793860485555999</v>
      </c>
      <c r="B2706">
        <v>42.7115221668233</v>
      </c>
      <c r="C2706">
        <v>2000</v>
      </c>
    </row>
    <row r="2707" spans="1:11" x14ac:dyDescent="0.25">
      <c r="A2707">
        <v>23.793860485555999</v>
      </c>
      <c r="B2707">
        <v>42.7115221668233</v>
      </c>
      <c r="C2707">
        <v>2001</v>
      </c>
    </row>
    <row r="2708" spans="1:11" x14ac:dyDescent="0.25">
      <c r="A2708">
        <v>28.919170367959499</v>
      </c>
      <c r="B2708">
        <v>47.8368320492268</v>
      </c>
      <c r="C2708">
        <v>2001</v>
      </c>
    </row>
    <row r="2709" spans="1:11" x14ac:dyDescent="0.25">
      <c r="A2709">
        <v>31.082338318732699</v>
      </c>
      <c r="B2709">
        <v>50</v>
      </c>
      <c r="C2709">
        <v>2001</v>
      </c>
    </row>
    <row r="2710" spans="1:11" x14ac:dyDescent="0.25">
      <c r="A2710">
        <v>42.005326923835099</v>
      </c>
      <c r="B2710">
        <v>60.922988605102297</v>
      </c>
      <c r="C2710">
        <v>2001</v>
      </c>
    </row>
    <row r="2711" spans="1:11" x14ac:dyDescent="0.25">
      <c r="A2711">
        <v>42.005326923835099</v>
      </c>
      <c r="B2711">
        <v>60.922988605102297</v>
      </c>
      <c r="C2711">
        <v>2000</v>
      </c>
    </row>
    <row r="2712" spans="1:11" x14ac:dyDescent="0.25">
      <c r="A2712">
        <v>31.082338318732699</v>
      </c>
      <c r="B2712">
        <v>50</v>
      </c>
      <c r="C2712">
        <v>2000</v>
      </c>
    </row>
    <row r="2713" spans="1:11" x14ac:dyDescent="0.25">
      <c r="A2713" t="s">
        <v>88</v>
      </c>
    </row>
    <row r="2714" spans="1:11" x14ac:dyDescent="0.25">
      <c r="A2714">
        <v>242</v>
      </c>
      <c r="B2714">
        <v>0</v>
      </c>
      <c r="C2714">
        <v>18.170898002519301</v>
      </c>
      <c r="D2714">
        <v>7.5837498526485501</v>
      </c>
      <c r="E2714">
        <v>8</v>
      </c>
      <c r="F2714">
        <v>1.5707963267949001</v>
      </c>
      <c r="G2714" t="s">
        <v>86</v>
      </c>
      <c r="H2714" t="s">
        <v>86</v>
      </c>
      <c r="I2714">
        <v>490</v>
      </c>
      <c r="J2714">
        <v>257</v>
      </c>
      <c r="K2714">
        <v>0</v>
      </c>
    </row>
    <row r="2715" spans="1:11" x14ac:dyDescent="0.25">
      <c r="A2715" t="s">
        <v>87</v>
      </c>
    </row>
    <row r="2716" spans="1:11" x14ac:dyDescent="0.25">
      <c r="A2716">
        <v>75.343360786951806</v>
      </c>
      <c r="B2716">
        <v>100.670002703867</v>
      </c>
      <c r="C2716">
        <v>2000</v>
      </c>
    </row>
    <row r="2717" spans="1:11" x14ac:dyDescent="0.25">
      <c r="A2717">
        <v>74.673358083084807</v>
      </c>
      <c r="B2717">
        <v>100</v>
      </c>
      <c r="C2717">
        <v>2000</v>
      </c>
    </row>
    <row r="2718" spans="1:11" x14ac:dyDescent="0.25">
      <c r="A2718">
        <v>62.494595589121303</v>
      </c>
      <c r="B2718">
        <v>87.821237506036397</v>
      </c>
      <c r="C2718">
        <v>2000</v>
      </c>
    </row>
    <row r="2719" spans="1:11" x14ac:dyDescent="0.25">
      <c r="A2719">
        <v>62.494595589121303</v>
      </c>
      <c r="B2719">
        <v>87.821237506036397</v>
      </c>
      <c r="C2719">
        <v>2001</v>
      </c>
    </row>
    <row r="2720" spans="1:11" x14ac:dyDescent="0.25">
      <c r="A2720">
        <v>74.673358083084807</v>
      </c>
      <c r="B2720">
        <v>100</v>
      </c>
      <c r="C2720">
        <v>2001</v>
      </c>
    </row>
    <row r="2721" spans="1:11" x14ac:dyDescent="0.25">
      <c r="A2721">
        <v>75.343360786951806</v>
      </c>
      <c r="B2721">
        <v>100.670002703867</v>
      </c>
      <c r="C2721">
        <v>2001</v>
      </c>
    </row>
    <row r="2722" spans="1:11" x14ac:dyDescent="0.25">
      <c r="A2722">
        <v>80.705881734582107</v>
      </c>
      <c r="B2722">
        <v>106.032523651497</v>
      </c>
      <c r="C2722">
        <v>2001</v>
      </c>
    </row>
    <row r="2723" spans="1:11" x14ac:dyDescent="0.25">
      <c r="A2723">
        <v>80.705881734582107</v>
      </c>
      <c r="B2723">
        <v>106.032523651497</v>
      </c>
      <c r="C2723">
        <v>2000</v>
      </c>
    </row>
    <row r="2724" spans="1:11" x14ac:dyDescent="0.25">
      <c r="A2724" t="s">
        <v>88</v>
      </c>
    </row>
    <row r="2725" spans="1:11" x14ac:dyDescent="0.25">
      <c r="A2725">
        <v>102</v>
      </c>
      <c r="B2725">
        <v>0</v>
      </c>
      <c r="C2725">
        <v>23.062767388677401</v>
      </c>
      <c r="D2725">
        <v>2.5891124183476499</v>
      </c>
      <c r="E2725">
        <v>8</v>
      </c>
      <c r="F2725">
        <v>1.01722196789785</v>
      </c>
      <c r="G2725" t="s">
        <v>86</v>
      </c>
      <c r="H2725" t="s">
        <v>86</v>
      </c>
      <c r="I2725">
        <v>24</v>
      </c>
      <c r="J2725">
        <v>721</v>
      </c>
      <c r="K2725">
        <v>0</v>
      </c>
    </row>
    <row r="2726" spans="1:11" x14ac:dyDescent="0.25">
      <c r="A2726" t="s">
        <v>87</v>
      </c>
    </row>
    <row r="2727" spans="1:11" x14ac:dyDescent="0.25">
      <c r="A2727">
        <v>59.709378957143002</v>
      </c>
      <c r="B2727">
        <v>46.918362990919498</v>
      </c>
      <c r="C2727">
        <v>2000</v>
      </c>
    </row>
    <row r="2728" spans="1:11" x14ac:dyDescent="0.25">
      <c r="A2728">
        <v>50.218508012224397</v>
      </c>
      <c r="B2728">
        <v>37.427492046000999</v>
      </c>
      <c r="C2728">
        <v>2000</v>
      </c>
    </row>
    <row r="2729" spans="1:11" x14ac:dyDescent="0.25">
      <c r="A2729">
        <v>43.401539743681198</v>
      </c>
      <c r="B2729">
        <v>30.610523777457701</v>
      </c>
      <c r="C2729">
        <v>2000</v>
      </c>
    </row>
    <row r="2730" spans="1:11" x14ac:dyDescent="0.25">
      <c r="A2730">
        <v>42.964523719232297</v>
      </c>
      <c r="B2730">
        <v>31.047539801906499</v>
      </c>
      <c r="C2730">
        <v>2001</v>
      </c>
    </row>
    <row r="2731" spans="1:11" x14ac:dyDescent="0.25">
      <c r="A2731">
        <v>49.781491987775603</v>
      </c>
      <c r="B2731">
        <v>37.864508070449801</v>
      </c>
      <c r="C2731">
        <v>2001</v>
      </c>
    </row>
    <row r="2732" spans="1:11" x14ac:dyDescent="0.25">
      <c r="A2732">
        <v>59.272362932694101</v>
      </c>
      <c r="B2732">
        <v>47.3553790153683</v>
      </c>
      <c r="C2732">
        <v>2001</v>
      </c>
    </row>
    <row r="2733" spans="1:11" x14ac:dyDescent="0.25">
      <c r="A2733">
        <v>61.103141880962099</v>
      </c>
      <c r="B2733">
        <v>49.186157963636198</v>
      </c>
      <c r="C2733">
        <v>2001</v>
      </c>
    </row>
    <row r="2734" spans="1:11" x14ac:dyDescent="0.25">
      <c r="A2734">
        <v>61.540157905410901</v>
      </c>
      <c r="B2734">
        <v>48.749141939187403</v>
      </c>
      <c r="C2734">
        <v>2000</v>
      </c>
    </row>
    <row r="2735" spans="1:11" x14ac:dyDescent="0.25">
      <c r="A2735" t="s">
        <v>88</v>
      </c>
    </row>
    <row r="2736" spans="1:11" x14ac:dyDescent="0.25">
      <c r="A2736">
        <v>495</v>
      </c>
      <c r="B2736">
        <v>0</v>
      </c>
      <c r="C2736">
        <v>16.498001045349501</v>
      </c>
      <c r="D2736">
        <v>9.1097405871526398</v>
      </c>
      <c r="E2736">
        <v>8</v>
      </c>
      <c r="F2736">
        <v>1.5707963267949001</v>
      </c>
      <c r="G2736" t="s">
        <v>86</v>
      </c>
      <c r="H2736" t="s">
        <v>86</v>
      </c>
      <c r="I2736">
        <v>34</v>
      </c>
      <c r="J2736">
        <v>726</v>
      </c>
      <c r="K2736">
        <v>0</v>
      </c>
    </row>
    <row r="2737" spans="1:11" x14ac:dyDescent="0.25">
      <c r="A2737" t="s">
        <v>87</v>
      </c>
    </row>
    <row r="2738" spans="1:11" x14ac:dyDescent="0.25">
      <c r="A2738">
        <v>61.366501153151702</v>
      </c>
      <c r="B2738">
        <v>66.180488684298695</v>
      </c>
      <c r="C2738">
        <v>2000</v>
      </c>
    </row>
    <row r="2739" spans="1:11" x14ac:dyDescent="0.25">
      <c r="A2739">
        <v>50</v>
      </c>
      <c r="B2739">
        <v>54.813987531146999</v>
      </c>
      <c r="C2739">
        <v>2000</v>
      </c>
    </row>
    <row r="2740" spans="1:11" x14ac:dyDescent="0.25">
      <c r="A2740">
        <v>49.7006527379624</v>
      </c>
      <c r="B2740">
        <v>54.5146402691093</v>
      </c>
      <c r="C2740">
        <v>2000</v>
      </c>
    </row>
    <row r="2741" spans="1:11" x14ac:dyDescent="0.25">
      <c r="A2741">
        <v>49.7006527379624</v>
      </c>
      <c r="B2741">
        <v>54.5146402691093</v>
      </c>
      <c r="C2741">
        <v>2001</v>
      </c>
    </row>
    <row r="2742" spans="1:11" x14ac:dyDescent="0.25">
      <c r="A2742">
        <v>50</v>
      </c>
      <c r="B2742">
        <v>54.813987531146999</v>
      </c>
      <c r="C2742">
        <v>2001</v>
      </c>
    </row>
    <row r="2743" spans="1:11" x14ac:dyDescent="0.25">
      <c r="A2743">
        <v>61.366501153151702</v>
      </c>
      <c r="B2743">
        <v>66.180488684298695</v>
      </c>
      <c r="C2743">
        <v>2001</v>
      </c>
    </row>
    <row r="2744" spans="1:11" x14ac:dyDescent="0.25">
      <c r="A2744">
        <v>67.808060497177706</v>
      </c>
      <c r="B2744">
        <v>72.622048028324599</v>
      </c>
      <c r="C2744">
        <v>2001</v>
      </c>
    </row>
    <row r="2745" spans="1:11" x14ac:dyDescent="0.25">
      <c r="A2745">
        <v>67.808060497177706</v>
      </c>
      <c r="B2745">
        <v>72.622048028324599</v>
      </c>
      <c r="C2745">
        <v>2000</v>
      </c>
    </row>
    <row r="2746" spans="1:11" x14ac:dyDescent="0.25">
      <c r="A2746" t="s">
        <v>88</v>
      </c>
    </row>
    <row r="2747" spans="1:11" x14ac:dyDescent="0.25">
      <c r="A2747">
        <v>321</v>
      </c>
      <c r="B2747">
        <v>0</v>
      </c>
      <c r="C2747">
        <v>17.7872254962029</v>
      </c>
      <c r="D2747">
        <v>7.8135309859965902</v>
      </c>
      <c r="E2747">
        <v>6</v>
      </c>
      <c r="F2747">
        <v>1.5707963267949001</v>
      </c>
      <c r="G2747" t="s">
        <v>85</v>
      </c>
      <c r="H2747" t="s">
        <v>85</v>
      </c>
      <c r="I2747">
        <v>0</v>
      </c>
      <c r="J2747">
        <v>0</v>
      </c>
      <c r="K2747">
        <v>0</v>
      </c>
    </row>
    <row r="2748" spans="1:11" x14ac:dyDescent="0.25">
      <c r="A2748" t="s">
        <v>87</v>
      </c>
    </row>
    <row r="2749" spans="1:11" x14ac:dyDescent="0.25">
      <c r="A2749">
        <v>144.47499925479099</v>
      </c>
      <c r="B2749">
        <v>12.5774677668593</v>
      </c>
      <c r="C2749">
        <v>2000</v>
      </c>
    </row>
    <row r="2750" spans="1:11" x14ac:dyDescent="0.25">
      <c r="A2750">
        <v>131.89753148793099</v>
      </c>
      <c r="B2750">
        <v>0</v>
      </c>
      <c r="C2750">
        <v>2000</v>
      </c>
    </row>
    <row r="2751" spans="1:11" x14ac:dyDescent="0.25">
      <c r="A2751">
        <v>131.89753148793099</v>
      </c>
      <c r="B2751">
        <v>0</v>
      </c>
      <c r="C2751">
        <v>2001</v>
      </c>
    </row>
    <row r="2752" spans="1:11" x14ac:dyDescent="0.25">
      <c r="A2752">
        <v>144.47499925479099</v>
      </c>
      <c r="B2752">
        <v>12.5774677668593</v>
      </c>
      <c r="C2752">
        <v>2001</v>
      </c>
    </row>
    <row r="2753" spans="1:11" x14ac:dyDescent="0.25">
      <c r="A2753">
        <v>150</v>
      </c>
      <c r="B2753">
        <v>18.1024685120687</v>
      </c>
      <c r="C2753">
        <v>2001</v>
      </c>
    </row>
    <row r="2754" spans="1:11" x14ac:dyDescent="0.25">
      <c r="A2754">
        <v>150</v>
      </c>
      <c r="B2754">
        <v>18.1024685120687</v>
      </c>
      <c r="C2754">
        <v>2000</v>
      </c>
    </row>
    <row r="2755" spans="1:11" x14ac:dyDescent="0.25">
      <c r="A2755" t="s">
        <v>88</v>
      </c>
    </row>
    <row r="2756" spans="1:11" x14ac:dyDescent="0.25">
      <c r="A2756">
        <v>162</v>
      </c>
      <c r="B2756">
        <v>0</v>
      </c>
      <c r="C2756">
        <v>14.9770365287266</v>
      </c>
      <c r="D2756">
        <v>10.384102510004199</v>
      </c>
      <c r="E2756">
        <v>8</v>
      </c>
      <c r="F2756">
        <v>1.5707963267949001</v>
      </c>
      <c r="G2756" t="s">
        <v>86</v>
      </c>
      <c r="H2756" t="s">
        <v>85</v>
      </c>
      <c r="I2756">
        <v>417</v>
      </c>
      <c r="J2756">
        <v>0</v>
      </c>
      <c r="K2756">
        <v>0</v>
      </c>
    </row>
    <row r="2757" spans="1:11" x14ac:dyDescent="0.25">
      <c r="A2757" t="s">
        <v>87</v>
      </c>
    </row>
    <row r="2758" spans="1:11" x14ac:dyDescent="0.25">
      <c r="A2758">
        <v>142.65733069864001</v>
      </c>
      <c r="B2758">
        <v>102.082604543344</v>
      </c>
      <c r="C2758">
        <v>2000</v>
      </c>
    </row>
    <row r="2759" spans="1:11" x14ac:dyDescent="0.25">
      <c r="A2759">
        <v>140.574726155295</v>
      </c>
      <c r="B2759">
        <v>100</v>
      </c>
      <c r="C2759">
        <v>2000</v>
      </c>
    </row>
    <row r="2760" spans="1:11" x14ac:dyDescent="0.25">
      <c r="A2760">
        <v>132.066966607099</v>
      </c>
      <c r="B2760">
        <v>91.492240451803198</v>
      </c>
      <c r="C2760">
        <v>2000</v>
      </c>
    </row>
    <row r="2761" spans="1:11" x14ac:dyDescent="0.25">
      <c r="A2761">
        <v>132.066966607099</v>
      </c>
      <c r="B2761">
        <v>91.492240451803198</v>
      </c>
      <c r="C2761">
        <v>2001</v>
      </c>
    </row>
    <row r="2762" spans="1:11" x14ac:dyDescent="0.25">
      <c r="A2762">
        <v>140.574726155295</v>
      </c>
      <c r="B2762">
        <v>100</v>
      </c>
      <c r="C2762">
        <v>2001</v>
      </c>
    </row>
    <row r="2763" spans="1:11" x14ac:dyDescent="0.25">
      <c r="A2763">
        <v>142.65733069864001</v>
      </c>
      <c r="B2763">
        <v>102.082604543344</v>
      </c>
      <c r="C2763">
        <v>2001</v>
      </c>
    </row>
    <row r="2764" spans="1:11" x14ac:dyDescent="0.25">
      <c r="A2764">
        <v>150</v>
      </c>
      <c r="B2764">
        <v>109.425273844705</v>
      </c>
      <c r="C2764">
        <v>2001</v>
      </c>
    </row>
    <row r="2765" spans="1:11" x14ac:dyDescent="0.25">
      <c r="A2765">
        <v>150</v>
      </c>
      <c r="B2765">
        <v>109.425273844705</v>
      </c>
      <c r="C2765">
        <v>2000</v>
      </c>
    </row>
    <row r="2766" spans="1:11" x14ac:dyDescent="0.25">
      <c r="A2766" t="s">
        <v>88</v>
      </c>
    </row>
    <row r="2767" spans="1:11" x14ac:dyDescent="0.25">
      <c r="A2767">
        <v>276</v>
      </c>
      <c r="B2767">
        <v>0</v>
      </c>
      <c r="C2767">
        <v>8.6116605026374202</v>
      </c>
      <c r="D2767">
        <v>16.424978864383402</v>
      </c>
      <c r="E2767">
        <v>6</v>
      </c>
      <c r="F2767">
        <v>1.01722196789785</v>
      </c>
      <c r="G2767" t="s">
        <v>86</v>
      </c>
      <c r="H2767" t="s">
        <v>85</v>
      </c>
      <c r="I2767">
        <v>267</v>
      </c>
      <c r="J2767">
        <v>0</v>
      </c>
      <c r="K2767">
        <v>0</v>
      </c>
    </row>
    <row r="2768" spans="1:11" x14ac:dyDescent="0.25">
      <c r="A2768" t="s">
        <v>87</v>
      </c>
    </row>
    <row r="2769" spans="1:11" x14ac:dyDescent="0.25">
      <c r="A2769">
        <v>72.623750568927804</v>
      </c>
      <c r="B2769">
        <v>138.24243657423199</v>
      </c>
      <c r="C2769">
        <v>2000</v>
      </c>
    </row>
    <row r="2770" spans="1:11" x14ac:dyDescent="0.25">
      <c r="A2770">
        <v>66.4592285079286</v>
      </c>
      <c r="B2770">
        <v>132.077914513233</v>
      </c>
      <c r="C2770">
        <v>2000</v>
      </c>
    </row>
    <row r="2771" spans="1:11" x14ac:dyDescent="0.25">
      <c r="A2771">
        <v>66.022212483479805</v>
      </c>
      <c r="B2771">
        <v>132.51493053768201</v>
      </c>
      <c r="C2771">
        <v>2001</v>
      </c>
    </row>
    <row r="2772" spans="1:11" x14ac:dyDescent="0.25">
      <c r="A2772">
        <v>72.036417499863106</v>
      </c>
      <c r="B2772">
        <v>138.52913555406499</v>
      </c>
      <c r="C2772">
        <v>2001</v>
      </c>
    </row>
    <row r="2773" spans="1:11" x14ac:dyDescent="0.25">
      <c r="A2773">
        <v>83.507281945797899</v>
      </c>
      <c r="B2773">
        <v>150</v>
      </c>
      <c r="C2773">
        <v>2001</v>
      </c>
    </row>
    <row r="2774" spans="1:11" x14ac:dyDescent="0.25">
      <c r="A2774">
        <v>84.381313994695503</v>
      </c>
      <c r="B2774">
        <v>150</v>
      </c>
      <c r="C2774">
        <v>2000</v>
      </c>
    </row>
    <row r="2775" spans="1:11" x14ac:dyDescent="0.25">
      <c r="A2775" t="s">
        <v>88</v>
      </c>
    </row>
    <row r="2776" spans="1:11" x14ac:dyDescent="0.25">
      <c r="A2776">
        <v>597</v>
      </c>
      <c r="B2776">
        <v>0</v>
      </c>
      <c r="C2776">
        <v>23.286222551984899</v>
      </c>
      <c r="D2776">
        <v>1.32281351349873</v>
      </c>
      <c r="E2776">
        <v>6</v>
      </c>
      <c r="F2776">
        <v>1.01722196789785</v>
      </c>
      <c r="G2776" t="s">
        <v>85</v>
      </c>
      <c r="H2776" t="s">
        <v>85</v>
      </c>
      <c r="I2776">
        <v>0</v>
      </c>
      <c r="J2776">
        <v>0</v>
      </c>
      <c r="K2776">
        <v>0</v>
      </c>
    </row>
    <row r="2777" spans="1:11" x14ac:dyDescent="0.25">
      <c r="A2777" t="s">
        <v>87</v>
      </c>
    </row>
    <row r="2778" spans="1:11" x14ac:dyDescent="0.25">
      <c r="A2778">
        <v>16.8793709058187</v>
      </c>
      <c r="B2778">
        <v>149.04113860100199</v>
      </c>
      <c r="C2778">
        <v>2000</v>
      </c>
    </row>
    <row r="2779" spans="1:11" x14ac:dyDescent="0.25">
      <c r="A2779">
        <v>0</v>
      </c>
      <c r="B2779">
        <v>132.16176769518299</v>
      </c>
      <c r="C2779">
        <v>2000</v>
      </c>
    </row>
    <row r="2780" spans="1:11" x14ac:dyDescent="0.25">
      <c r="A2780">
        <v>0</v>
      </c>
      <c r="B2780">
        <v>133.035799744081</v>
      </c>
      <c r="C2780">
        <v>2001</v>
      </c>
    </row>
    <row r="2781" spans="1:11" x14ac:dyDescent="0.25">
      <c r="A2781">
        <v>16.052320843636601</v>
      </c>
      <c r="B2781">
        <v>149.08812058771801</v>
      </c>
      <c r="C2781">
        <v>2001</v>
      </c>
    </row>
    <row r="2782" spans="1:11" x14ac:dyDescent="0.25">
      <c r="A2782">
        <v>16.964200255919</v>
      </c>
      <c r="B2782">
        <v>150</v>
      </c>
      <c r="C2782">
        <v>2001</v>
      </c>
    </row>
    <row r="2783" spans="1:11" x14ac:dyDescent="0.25">
      <c r="A2783">
        <v>17.8382323048166</v>
      </c>
      <c r="B2783">
        <v>150</v>
      </c>
      <c r="C2783">
        <v>2000</v>
      </c>
    </row>
    <row r="2784" spans="1:11" x14ac:dyDescent="0.25">
      <c r="A2784" t="s">
        <v>88</v>
      </c>
    </row>
    <row r="2785" spans="1:11" x14ac:dyDescent="0.25">
      <c r="A2785">
        <v>566</v>
      </c>
      <c r="B2785">
        <v>0</v>
      </c>
      <c r="C2785">
        <v>0</v>
      </c>
      <c r="D2785">
        <v>24.112149844781801</v>
      </c>
      <c r="E2785">
        <v>4</v>
      </c>
      <c r="F2785">
        <v>1.5707963267949001</v>
      </c>
      <c r="G2785" t="s">
        <v>86</v>
      </c>
      <c r="H2785" t="s">
        <v>85</v>
      </c>
      <c r="I2785">
        <v>570</v>
      </c>
      <c r="J2785">
        <v>0</v>
      </c>
      <c r="K2785">
        <v>0</v>
      </c>
    </row>
    <row r="2786" spans="1:11" x14ac:dyDescent="0.25">
      <c r="A2786" t="s">
        <v>87</v>
      </c>
    </row>
    <row r="2787" spans="1:11" x14ac:dyDescent="0.25">
      <c r="A2787">
        <v>22.480596193336201</v>
      </c>
      <c r="B2787">
        <v>132.950135335769</v>
      </c>
      <c r="C2787">
        <v>2000</v>
      </c>
    </row>
    <row r="2788" spans="1:11" x14ac:dyDescent="0.25">
      <c r="A2788">
        <v>22.480596193336201</v>
      </c>
      <c r="B2788">
        <v>132.950135335769</v>
      </c>
      <c r="C2788">
        <v>2001</v>
      </c>
    </row>
    <row r="2789" spans="1:11" x14ac:dyDescent="0.25">
      <c r="A2789">
        <v>39.530460857567597</v>
      </c>
      <c r="B2789">
        <v>150</v>
      </c>
      <c r="C2789">
        <v>2001</v>
      </c>
    </row>
    <row r="2790" spans="1:11" x14ac:dyDescent="0.25">
      <c r="A2790">
        <v>39.530460857567597</v>
      </c>
      <c r="B2790">
        <v>150</v>
      </c>
      <c r="C2790">
        <v>2000</v>
      </c>
    </row>
    <row r="2791" spans="1:11" x14ac:dyDescent="0.25">
      <c r="A2791" t="s">
        <v>88</v>
      </c>
    </row>
    <row r="2792" spans="1:11" x14ac:dyDescent="0.25">
      <c r="A2792">
        <v>334</v>
      </c>
      <c r="B2792">
        <v>0</v>
      </c>
      <c r="C2792">
        <v>24.067341225203201</v>
      </c>
      <c r="D2792">
        <v>0</v>
      </c>
      <c r="E2792">
        <v>7</v>
      </c>
      <c r="F2792">
        <v>1.5707963267949001</v>
      </c>
      <c r="G2792" t="s">
        <v>85</v>
      </c>
      <c r="H2792" t="s">
        <v>86</v>
      </c>
      <c r="I2792">
        <v>0</v>
      </c>
      <c r="J2792">
        <v>332</v>
      </c>
      <c r="K2792">
        <v>0</v>
      </c>
    </row>
    <row r="2793" spans="1:11" x14ac:dyDescent="0.25">
      <c r="A2793" t="s">
        <v>87</v>
      </c>
    </row>
    <row r="2794" spans="1:11" x14ac:dyDescent="0.25">
      <c r="A2794">
        <v>100.27391023481</v>
      </c>
      <c r="B2794">
        <v>17.018180185471699</v>
      </c>
      <c r="C2794">
        <v>2000</v>
      </c>
    </row>
    <row r="2795" spans="1:11" x14ac:dyDescent="0.25">
      <c r="A2795">
        <v>100</v>
      </c>
      <c r="B2795">
        <v>16.744269950661899</v>
      </c>
      <c r="C2795">
        <v>2000</v>
      </c>
    </row>
    <row r="2796" spans="1:11" x14ac:dyDescent="0.25">
      <c r="A2796">
        <v>83.255730049338098</v>
      </c>
      <c r="B2796">
        <v>0</v>
      </c>
      <c r="C2796">
        <v>2000</v>
      </c>
    </row>
    <row r="2797" spans="1:11" x14ac:dyDescent="0.25">
      <c r="A2797">
        <v>83.255730049338098</v>
      </c>
      <c r="B2797">
        <v>0</v>
      </c>
      <c r="C2797">
        <v>2001</v>
      </c>
    </row>
    <row r="2798" spans="1:11" x14ac:dyDescent="0.25">
      <c r="A2798">
        <v>100</v>
      </c>
      <c r="B2798">
        <v>16.744269950661899</v>
      </c>
      <c r="C2798">
        <v>2001</v>
      </c>
    </row>
    <row r="2799" spans="1:11" x14ac:dyDescent="0.25">
      <c r="A2799">
        <v>100.27391023481</v>
      </c>
      <c r="B2799">
        <v>17.018180185471699</v>
      </c>
      <c r="C2799">
        <v>2001</v>
      </c>
    </row>
    <row r="2800" spans="1:11" x14ac:dyDescent="0.25">
      <c r="A2800">
        <v>100.27391023481</v>
      </c>
      <c r="B2800">
        <v>17.018180185471699</v>
      </c>
      <c r="C2800">
        <v>2000</v>
      </c>
    </row>
    <row r="2801" spans="1:11" x14ac:dyDescent="0.25">
      <c r="A2801" t="s">
        <v>88</v>
      </c>
    </row>
    <row r="2802" spans="1:11" x14ac:dyDescent="0.25">
      <c r="A2802">
        <v>14</v>
      </c>
      <c r="B2802">
        <v>0</v>
      </c>
      <c r="C2802">
        <v>17.424565035487898</v>
      </c>
      <c r="D2802">
        <v>6.4153069037962602</v>
      </c>
      <c r="E2802">
        <v>6</v>
      </c>
      <c r="F2802">
        <v>1.5707963267949001</v>
      </c>
      <c r="G2802" t="s">
        <v>85</v>
      </c>
      <c r="H2802" t="s">
        <v>86</v>
      </c>
      <c r="I2802">
        <v>0</v>
      </c>
      <c r="J2802">
        <v>16</v>
      </c>
      <c r="K2802">
        <v>0</v>
      </c>
    </row>
    <row r="2803" spans="1:11" x14ac:dyDescent="0.25">
      <c r="A2803" t="s">
        <v>87</v>
      </c>
    </row>
    <row r="2804" spans="1:11" x14ac:dyDescent="0.25">
      <c r="A2804">
        <v>12.3210280958195</v>
      </c>
      <c r="B2804">
        <v>26.760356746036699</v>
      </c>
      <c r="C2804">
        <v>2000</v>
      </c>
    </row>
    <row r="2805" spans="1:11" x14ac:dyDescent="0.25">
      <c r="A2805">
        <v>0</v>
      </c>
      <c r="B2805">
        <v>14.439328650217201</v>
      </c>
      <c r="C2805">
        <v>2000</v>
      </c>
    </row>
    <row r="2806" spans="1:11" x14ac:dyDescent="0.25">
      <c r="A2806">
        <v>0</v>
      </c>
      <c r="B2806">
        <v>14.439328650217201</v>
      </c>
      <c r="C2806">
        <v>2001</v>
      </c>
    </row>
    <row r="2807" spans="1:11" x14ac:dyDescent="0.25">
      <c r="A2807">
        <v>12.3210280958195</v>
      </c>
      <c r="B2807">
        <v>26.760356746036699</v>
      </c>
      <c r="C2807">
        <v>2001</v>
      </c>
    </row>
    <row r="2808" spans="1:11" x14ac:dyDescent="0.25">
      <c r="A2808">
        <v>16.857335110886702</v>
      </c>
      <c r="B2808">
        <v>31.2966637611039</v>
      </c>
      <c r="C2808">
        <v>2001</v>
      </c>
    </row>
    <row r="2809" spans="1:11" x14ac:dyDescent="0.25">
      <c r="A2809">
        <v>16.857335110886702</v>
      </c>
      <c r="B2809">
        <v>31.2966637611039</v>
      </c>
      <c r="C2809">
        <v>2000</v>
      </c>
    </row>
    <row r="2810" spans="1:11" x14ac:dyDescent="0.25">
      <c r="A2810" t="s">
        <v>88</v>
      </c>
    </row>
    <row r="2811" spans="1:11" x14ac:dyDescent="0.25">
      <c r="A2811">
        <v>343</v>
      </c>
      <c r="B2811">
        <v>0</v>
      </c>
      <c r="C2811">
        <v>6.2589662099171504</v>
      </c>
      <c r="D2811">
        <v>17.540584344726401</v>
      </c>
      <c r="E2811">
        <v>6</v>
      </c>
      <c r="F2811">
        <v>1.01722196789785</v>
      </c>
      <c r="G2811" t="s">
        <v>85</v>
      </c>
      <c r="H2811" t="s">
        <v>85</v>
      </c>
      <c r="I2811">
        <v>0</v>
      </c>
      <c r="J2811">
        <v>0</v>
      </c>
      <c r="K2811">
        <v>0</v>
      </c>
    </row>
    <row r="2812" spans="1:11" x14ac:dyDescent="0.25">
      <c r="A2812" t="s">
        <v>87</v>
      </c>
    </row>
    <row r="2813" spans="1:11" x14ac:dyDescent="0.25">
      <c r="A2813">
        <v>137.91902046879201</v>
      </c>
      <c r="B2813">
        <v>4.3108280307241902</v>
      </c>
      <c r="C2813">
        <v>2000</v>
      </c>
    </row>
    <row r="2814" spans="1:11" x14ac:dyDescent="0.25">
      <c r="A2814">
        <v>133.60819243806799</v>
      </c>
      <c r="B2814">
        <v>0</v>
      </c>
      <c r="C2814">
        <v>2000</v>
      </c>
    </row>
    <row r="2815" spans="1:11" x14ac:dyDescent="0.25">
      <c r="A2815">
        <v>132.734160389171</v>
      </c>
      <c r="B2815">
        <v>0</v>
      </c>
      <c r="C2815">
        <v>2001</v>
      </c>
    </row>
    <row r="2816" spans="1:11" x14ac:dyDescent="0.25">
      <c r="A2816">
        <v>137.27484725894601</v>
      </c>
      <c r="B2816">
        <v>4.5406868697755698</v>
      </c>
      <c r="C2816">
        <v>2001</v>
      </c>
    </row>
    <row r="2817" spans="1:11" x14ac:dyDescent="0.25">
      <c r="A2817">
        <v>150</v>
      </c>
      <c r="B2817">
        <v>17.2658396108293</v>
      </c>
      <c r="C2817">
        <v>2001</v>
      </c>
    </row>
    <row r="2818" spans="1:11" x14ac:dyDescent="0.25">
      <c r="A2818">
        <v>150</v>
      </c>
      <c r="B2818">
        <v>16.391807561931699</v>
      </c>
      <c r="C2818">
        <v>2000</v>
      </c>
    </row>
    <row r="2819" spans="1:11" x14ac:dyDescent="0.25">
      <c r="A2819" t="s">
        <v>88</v>
      </c>
    </row>
    <row r="2820" spans="1:11" x14ac:dyDescent="0.25">
      <c r="A2820">
        <v>429</v>
      </c>
      <c r="B2820">
        <v>0</v>
      </c>
      <c r="C2820">
        <v>0.41042625163350999</v>
      </c>
      <c r="D2820">
        <v>22.771020331655698</v>
      </c>
      <c r="E2820">
        <v>6</v>
      </c>
      <c r="F2820">
        <v>1.01722196789785</v>
      </c>
      <c r="G2820" t="s">
        <v>86</v>
      </c>
      <c r="H2820" t="s">
        <v>85</v>
      </c>
      <c r="I2820">
        <v>432</v>
      </c>
      <c r="J2820">
        <v>0</v>
      </c>
      <c r="K2820">
        <v>0</v>
      </c>
    </row>
    <row r="2821" spans="1:11" x14ac:dyDescent="0.25">
      <c r="A2821" t="s">
        <v>87</v>
      </c>
    </row>
    <row r="2822" spans="1:11" x14ac:dyDescent="0.25">
      <c r="A2822">
        <v>134.11309644869499</v>
      </c>
      <c r="B2822">
        <v>78.140909101007196</v>
      </c>
      <c r="C2822">
        <v>2000</v>
      </c>
    </row>
    <row r="2823" spans="1:11" x14ac:dyDescent="0.25">
      <c r="A2823">
        <v>133.82674993546701</v>
      </c>
      <c r="B2823">
        <v>77.854562587778702</v>
      </c>
      <c r="C2823">
        <v>2000</v>
      </c>
    </row>
    <row r="2824" spans="1:11" x14ac:dyDescent="0.25">
      <c r="A2824">
        <v>133.389733911018</v>
      </c>
      <c r="B2824">
        <v>78.291578612227497</v>
      </c>
      <c r="C2824">
        <v>2001</v>
      </c>
    </row>
    <row r="2825" spans="1:11" x14ac:dyDescent="0.25">
      <c r="A2825">
        <v>133.68381776920401</v>
      </c>
      <c r="B2825">
        <v>78.585662470412998</v>
      </c>
      <c r="C2825">
        <v>2001</v>
      </c>
    </row>
    <row r="2826" spans="1:11" x14ac:dyDescent="0.25">
      <c r="A2826">
        <v>150</v>
      </c>
      <c r="B2826">
        <v>94.901844701209399</v>
      </c>
      <c r="C2826">
        <v>2001</v>
      </c>
    </row>
    <row r="2827" spans="1:11" x14ac:dyDescent="0.25">
      <c r="A2827">
        <v>150</v>
      </c>
      <c r="B2827">
        <v>94.027812652311795</v>
      </c>
      <c r="C2827">
        <v>2000</v>
      </c>
    </row>
    <row r="2828" spans="1:11" x14ac:dyDescent="0.25">
      <c r="A2828" t="s">
        <v>88</v>
      </c>
    </row>
    <row r="2829" spans="1:11" x14ac:dyDescent="0.25">
      <c r="A2829">
        <v>596</v>
      </c>
      <c r="B2829">
        <v>0</v>
      </c>
      <c r="C2829">
        <v>19.436730493772799</v>
      </c>
      <c r="D2829">
        <v>3.7238087070961501</v>
      </c>
      <c r="E2829">
        <v>6</v>
      </c>
      <c r="F2829">
        <v>1.01722196789785</v>
      </c>
      <c r="G2829" t="s">
        <v>85</v>
      </c>
      <c r="H2829" t="s">
        <v>85</v>
      </c>
      <c r="I2829">
        <v>0</v>
      </c>
      <c r="J2829">
        <v>0</v>
      </c>
      <c r="K2829">
        <v>0</v>
      </c>
    </row>
    <row r="2830" spans="1:11" x14ac:dyDescent="0.25">
      <c r="A2830" t="s">
        <v>87</v>
      </c>
    </row>
    <row r="2831" spans="1:11" x14ac:dyDescent="0.25">
      <c r="A2831">
        <v>13.3770924277818</v>
      </c>
      <c r="B2831">
        <v>147.437134127359</v>
      </c>
      <c r="C2831">
        <v>2000</v>
      </c>
    </row>
    <row r="2832" spans="1:11" x14ac:dyDescent="0.25">
      <c r="A2832">
        <v>0</v>
      </c>
      <c r="B2832">
        <v>134.06004169957799</v>
      </c>
      <c r="C2832">
        <v>2000</v>
      </c>
    </row>
    <row r="2833" spans="1:11" x14ac:dyDescent="0.25">
      <c r="A2833">
        <v>0</v>
      </c>
      <c r="B2833">
        <v>133.18600965068001</v>
      </c>
      <c r="C2833">
        <v>2001</v>
      </c>
    </row>
    <row r="2834" spans="1:11" x14ac:dyDescent="0.25">
      <c r="A2834">
        <v>14.110595444702399</v>
      </c>
      <c r="B2834">
        <v>147.29660509538201</v>
      </c>
      <c r="C2834">
        <v>2001</v>
      </c>
    </row>
    <row r="2835" spans="1:11" x14ac:dyDescent="0.25">
      <c r="A2835">
        <v>16.8139903493201</v>
      </c>
      <c r="B2835">
        <v>150</v>
      </c>
      <c r="C2835">
        <v>2001</v>
      </c>
    </row>
    <row r="2836" spans="1:11" x14ac:dyDescent="0.25">
      <c r="A2836">
        <v>15.9399583004225</v>
      </c>
      <c r="B2836">
        <v>150</v>
      </c>
      <c r="C2836">
        <v>2000</v>
      </c>
    </row>
    <row r="2837" spans="1:11" x14ac:dyDescent="0.25">
      <c r="A2837" t="s">
        <v>88</v>
      </c>
    </row>
    <row r="2838" spans="1:11" x14ac:dyDescent="0.25">
      <c r="A2838">
        <v>37</v>
      </c>
      <c r="B2838">
        <v>0</v>
      </c>
      <c r="C2838">
        <v>0.43776790445240699</v>
      </c>
      <c r="D2838">
        <v>22.620763490994602</v>
      </c>
      <c r="E2838">
        <v>8</v>
      </c>
      <c r="F2838">
        <v>1.01722196789785</v>
      </c>
      <c r="G2838" t="s">
        <v>86</v>
      </c>
      <c r="H2838" t="s">
        <v>86</v>
      </c>
      <c r="I2838">
        <v>21</v>
      </c>
      <c r="J2838">
        <v>517</v>
      </c>
      <c r="K2838">
        <v>0</v>
      </c>
    </row>
    <row r="2839" spans="1:11" x14ac:dyDescent="0.25">
      <c r="A2839" t="s">
        <v>87</v>
      </c>
    </row>
    <row r="2840" spans="1:11" x14ac:dyDescent="0.25">
      <c r="A2840">
        <v>14.6118749154742</v>
      </c>
      <c r="B2840">
        <v>36.860114989741597</v>
      </c>
      <c r="C2840">
        <v>2000</v>
      </c>
    </row>
    <row r="2841" spans="1:11" x14ac:dyDescent="0.25">
      <c r="A2841">
        <v>14.3023262616501</v>
      </c>
      <c r="B2841">
        <v>36.550566335917402</v>
      </c>
      <c r="C2841">
        <v>2000</v>
      </c>
    </row>
    <row r="2842" spans="1:11" x14ac:dyDescent="0.25">
      <c r="A2842">
        <v>13.8653102372013</v>
      </c>
      <c r="B2842">
        <v>36.987582360366297</v>
      </c>
      <c r="C2842">
        <v>2001</v>
      </c>
    </row>
    <row r="2843" spans="1:11" x14ac:dyDescent="0.25">
      <c r="A2843">
        <v>14.1748588910254</v>
      </c>
      <c r="B2843">
        <v>37.297131014190398</v>
      </c>
      <c r="C2843">
        <v>2001</v>
      </c>
    </row>
    <row r="2844" spans="1:11" x14ac:dyDescent="0.25">
      <c r="A2844">
        <v>27.0962358890594</v>
      </c>
      <c r="B2844">
        <v>50.218508012224397</v>
      </c>
      <c r="C2844">
        <v>2001</v>
      </c>
    </row>
    <row r="2845" spans="1:11" x14ac:dyDescent="0.25">
      <c r="A2845">
        <v>30.170154151124802</v>
      </c>
      <c r="B2845">
        <v>53.292426274289703</v>
      </c>
      <c r="C2845">
        <v>2001</v>
      </c>
    </row>
    <row r="2846" spans="1:11" x14ac:dyDescent="0.25">
      <c r="A2846">
        <v>30.6071701755736</v>
      </c>
      <c r="B2846">
        <v>52.855410249840901</v>
      </c>
      <c r="C2846">
        <v>2000</v>
      </c>
    </row>
    <row r="2847" spans="1:11" x14ac:dyDescent="0.25">
      <c r="A2847">
        <v>27.533251913508298</v>
      </c>
      <c r="B2847">
        <v>49.781491987775603</v>
      </c>
      <c r="C2847">
        <v>2000</v>
      </c>
    </row>
    <row r="2848" spans="1:11" x14ac:dyDescent="0.25">
      <c r="A2848" t="s">
        <v>88</v>
      </c>
    </row>
    <row r="2849" spans="1:11" x14ac:dyDescent="0.25">
      <c r="A2849">
        <v>486</v>
      </c>
      <c r="B2849">
        <v>0</v>
      </c>
      <c r="C2849">
        <v>5.1634283644489001</v>
      </c>
      <c r="D2849">
        <v>17.691942750804799</v>
      </c>
      <c r="E2849">
        <v>8</v>
      </c>
      <c r="F2849">
        <v>1.5707963267949001</v>
      </c>
      <c r="G2849" t="s">
        <v>86</v>
      </c>
      <c r="H2849" t="s">
        <v>86</v>
      </c>
      <c r="I2849">
        <v>84</v>
      </c>
      <c r="J2849">
        <v>482</v>
      </c>
      <c r="K2849">
        <v>0</v>
      </c>
    </row>
    <row r="2850" spans="1:11" x14ac:dyDescent="0.25">
      <c r="A2850" t="s">
        <v>87</v>
      </c>
    </row>
    <row r="2851" spans="1:11" x14ac:dyDescent="0.25">
      <c r="A2851">
        <v>72.969504549619501</v>
      </c>
      <c r="B2851">
        <v>51.053790469213297</v>
      </c>
      <c r="C2851">
        <v>2000</v>
      </c>
    </row>
    <row r="2852" spans="1:11" x14ac:dyDescent="0.25">
      <c r="A2852">
        <v>71.915714080406204</v>
      </c>
      <c r="B2852">
        <v>50</v>
      </c>
      <c r="C2852">
        <v>2000</v>
      </c>
    </row>
    <row r="2853" spans="1:11" x14ac:dyDescent="0.25">
      <c r="A2853">
        <v>69.318409338946694</v>
      </c>
      <c r="B2853">
        <v>47.402695258540497</v>
      </c>
      <c r="C2853">
        <v>2000</v>
      </c>
    </row>
    <row r="2854" spans="1:11" x14ac:dyDescent="0.25">
      <c r="A2854">
        <v>69.318409338946694</v>
      </c>
      <c r="B2854">
        <v>47.402695258540497</v>
      </c>
      <c r="C2854">
        <v>2001</v>
      </c>
    </row>
    <row r="2855" spans="1:11" x14ac:dyDescent="0.25">
      <c r="A2855">
        <v>71.915714080406204</v>
      </c>
      <c r="B2855">
        <v>50</v>
      </c>
      <c r="C2855">
        <v>2001</v>
      </c>
    </row>
    <row r="2856" spans="1:11" x14ac:dyDescent="0.25">
      <c r="A2856">
        <v>72.969504549619501</v>
      </c>
      <c r="B2856">
        <v>51.053790469213297</v>
      </c>
      <c r="C2856">
        <v>2001</v>
      </c>
    </row>
    <row r="2857" spans="1:11" x14ac:dyDescent="0.25">
      <c r="A2857">
        <v>85.479597241077798</v>
      </c>
      <c r="B2857">
        <v>63.563883160671601</v>
      </c>
      <c r="C2857">
        <v>2001</v>
      </c>
    </row>
    <row r="2858" spans="1:11" x14ac:dyDescent="0.25">
      <c r="A2858">
        <v>85.479597241077798</v>
      </c>
      <c r="B2858">
        <v>63.563883160671601</v>
      </c>
      <c r="C2858">
        <v>2000</v>
      </c>
    </row>
    <row r="2859" spans="1:11" x14ac:dyDescent="0.25">
      <c r="A2859" t="s">
        <v>88</v>
      </c>
    </row>
    <row r="2860" spans="1:11" x14ac:dyDescent="0.25">
      <c r="A2860">
        <v>198</v>
      </c>
      <c r="B2860">
        <v>0</v>
      </c>
      <c r="C2860">
        <v>3.0384726541729501</v>
      </c>
      <c r="D2860">
        <v>19.7534495395733</v>
      </c>
      <c r="E2860">
        <v>6</v>
      </c>
      <c r="F2860">
        <v>1.01722196789785</v>
      </c>
      <c r="G2860" t="s">
        <v>86</v>
      </c>
      <c r="H2860" t="s">
        <v>86</v>
      </c>
      <c r="I2860">
        <v>726</v>
      </c>
      <c r="J2860">
        <v>173</v>
      </c>
      <c r="K2860">
        <v>0</v>
      </c>
    </row>
    <row r="2861" spans="1:11" x14ac:dyDescent="0.25">
      <c r="A2861" t="s">
        <v>87</v>
      </c>
    </row>
    <row r="2862" spans="1:11" x14ac:dyDescent="0.25">
      <c r="A2862">
        <v>119.96327258505499</v>
      </c>
      <c r="B2862">
        <v>123.364237116815</v>
      </c>
      <c r="C2862">
        <v>2000</v>
      </c>
    </row>
    <row r="2863" spans="1:11" x14ac:dyDescent="0.25">
      <c r="A2863">
        <v>117.81474796684</v>
      </c>
      <c r="B2863">
        <v>121.215712498599</v>
      </c>
      <c r="C2863">
        <v>2000</v>
      </c>
    </row>
    <row r="2864" spans="1:11" x14ac:dyDescent="0.25">
      <c r="A2864">
        <v>118.251763991288</v>
      </c>
      <c r="B2864">
        <v>120.77869647415</v>
      </c>
      <c r="C2864">
        <v>2001</v>
      </c>
    </row>
    <row r="2865" spans="1:11" x14ac:dyDescent="0.25">
      <c r="A2865">
        <v>120.400288609504</v>
      </c>
      <c r="B2865">
        <v>122.927221092366</v>
      </c>
      <c r="C2865">
        <v>2001</v>
      </c>
    </row>
    <row r="2866" spans="1:11" x14ac:dyDescent="0.25">
      <c r="A2866">
        <v>134.368086730763</v>
      </c>
      <c r="B2866">
        <v>136.89501921362501</v>
      </c>
      <c r="C2866">
        <v>2001</v>
      </c>
    </row>
    <row r="2867" spans="1:11" x14ac:dyDescent="0.25">
      <c r="A2867">
        <v>133.93107070631399</v>
      </c>
      <c r="B2867">
        <v>137.33203523807299</v>
      </c>
      <c r="C2867">
        <v>2000</v>
      </c>
    </row>
    <row r="2868" spans="1:11" x14ac:dyDescent="0.25">
      <c r="A2868" t="s">
        <v>88</v>
      </c>
    </row>
    <row r="2869" spans="1:11" x14ac:dyDescent="0.25">
      <c r="A2869">
        <v>100</v>
      </c>
      <c r="B2869">
        <v>0</v>
      </c>
      <c r="C2869">
        <v>22.448374945043501</v>
      </c>
      <c r="D2869">
        <v>0</v>
      </c>
      <c r="E2869">
        <v>5</v>
      </c>
      <c r="F2869">
        <v>1.5707963267949001</v>
      </c>
      <c r="G2869" t="s">
        <v>85</v>
      </c>
      <c r="H2869" t="s">
        <v>86</v>
      </c>
      <c r="I2869">
        <v>0</v>
      </c>
      <c r="J2869">
        <v>424</v>
      </c>
      <c r="K2869">
        <v>0</v>
      </c>
    </row>
    <row r="2870" spans="1:11" x14ac:dyDescent="0.25">
      <c r="A2870" t="s">
        <v>87</v>
      </c>
    </row>
    <row r="2871" spans="1:11" x14ac:dyDescent="0.25">
      <c r="A2871">
        <v>66.3667224190974</v>
      </c>
      <c r="B2871">
        <v>15.873398150258399</v>
      </c>
      <c r="C2871">
        <v>2000</v>
      </c>
    </row>
    <row r="2872" spans="1:11" x14ac:dyDescent="0.25">
      <c r="A2872">
        <v>50.493324268838997</v>
      </c>
      <c r="B2872">
        <v>0</v>
      </c>
      <c r="C2872">
        <v>2000</v>
      </c>
    </row>
    <row r="2873" spans="1:11" x14ac:dyDescent="0.25">
      <c r="A2873">
        <v>50.493324268838997</v>
      </c>
      <c r="B2873">
        <v>0</v>
      </c>
      <c r="C2873">
        <v>2001</v>
      </c>
    </row>
    <row r="2874" spans="1:11" x14ac:dyDescent="0.25">
      <c r="A2874">
        <v>66.3667224190974</v>
      </c>
      <c r="B2874">
        <v>15.873398150258399</v>
      </c>
      <c r="C2874">
        <v>2001</v>
      </c>
    </row>
    <row r="2875" spans="1:11" x14ac:dyDescent="0.25">
      <c r="A2875">
        <v>66.3667224190974</v>
      </c>
      <c r="B2875">
        <v>15.873398150258399</v>
      </c>
      <c r="C2875">
        <v>2000</v>
      </c>
    </row>
    <row r="2876" spans="1:11" x14ac:dyDescent="0.25">
      <c r="A2876" t="s">
        <v>88</v>
      </c>
    </row>
    <row r="2877" spans="1:11" x14ac:dyDescent="0.25">
      <c r="A2877">
        <v>247</v>
      </c>
      <c r="B2877">
        <v>0</v>
      </c>
      <c r="C2877">
        <v>22.269012670459801</v>
      </c>
      <c r="D2877">
        <v>0</v>
      </c>
      <c r="E2877">
        <v>7</v>
      </c>
      <c r="F2877">
        <v>1.5707963267949001</v>
      </c>
      <c r="G2877" t="s">
        <v>86</v>
      </c>
      <c r="H2877" t="s">
        <v>86</v>
      </c>
      <c r="I2877">
        <v>656</v>
      </c>
      <c r="J2877">
        <v>275</v>
      </c>
      <c r="K2877">
        <v>0</v>
      </c>
    </row>
    <row r="2878" spans="1:11" x14ac:dyDescent="0.25">
      <c r="A2878" t="s">
        <v>87</v>
      </c>
    </row>
    <row r="2879" spans="1:11" x14ac:dyDescent="0.25">
      <c r="A2879">
        <v>57.500947735971302</v>
      </c>
      <c r="B2879">
        <v>125.905720459253</v>
      </c>
      <c r="C2879">
        <v>2000</v>
      </c>
    </row>
    <row r="2880" spans="1:11" x14ac:dyDescent="0.25">
      <c r="A2880">
        <v>50</v>
      </c>
      <c r="B2880">
        <v>118.40477272328199</v>
      </c>
      <c r="C2880">
        <v>2000</v>
      </c>
    </row>
    <row r="2881" spans="1:11" x14ac:dyDescent="0.25">
      <c r="A2881">
        <v>41.754377866360002</v>
      </c>
      <c r="B2881">
        <v>110.159150589642</v>
      </c>
      <c r="C2881">
        <v>2000</v>
      </c>
    </row>
    <row r="2882" spans="1:11" x14ac:dyDescent="0.25">
      <c r="A2882">
        <v>41.754377866360002</v>
      </c>
      <c r="B2882">
        <v>110.159150589642</v>
      </c>
      <c r="C2882">
        <v>2001</v>
      </c>
    </row>
    <row r="2883" spans="1:11" x14ac:dyDescent="0.25">
      <c r="A2883">
        <v>50</v>
      </c>
      <c r="B2883">
        <v>118.40477272328199</v>
      </c>
      <c r="C2883">
        <v>2001</v>
      </c>
    </row>
    <row r="2884" spans="1:11" x14ac:dyDescent="0.25">
      <c r="A2884">
        <v>57.500947735971302</v>
      </c>
      <c r="B2884">
        <v>125.905720459253</v>
      </c>
      <c r="C2884">
        <v>2001</v>
      </c>
    </row>
    <row r="2885" spans="1:11" x14ac:dyDescent="0.25">
      <c r="A2885">
        <v>57.500947735971302</v>
      </c>
      <c r="B2885">
        <v>125.905720459253</v>
      </c>
      <c r="C2885">
        <v>2000</v>
      </c>
    </row>
    <row r="2886" spans="1:11" x14ac:dyDescent="0.25">
      <c r="A2886" t="s">
        <v>88</v>
      </c>
    </row>
    <row r="2887" spans="1:11" x14ac:dyDescent="0.25">
      <c r="A2887">
        <v>86</v>
      </c>
      <c r="B2887">
        <v>0</v>
      </c>
      <c r="C2887">
        <v>22.269012670455201</v>
      </c>
      <c r="D2887">
        <v>0</v>
      </c>
      <c r="E2887">
        <v>5</v>
      </c>
      <c r="F2887">
        <v>1.5707963267949001</v>
      </c>
      <c r="G2887" t="s">
        <v>86</v>
      </c>
      <c r="H2887" t="s">
        <v>86</v>
      </c>
      <c r="I2887">
        <v>2</v>
      </c>
      <c r="J2887">
        <v>740</v>
      </c>
      <c r="K2887">
        <v>0</v>
      </c>
    </row>
    <row r="2888" spans="1:11" x14ac:dyDescent="0.25">
      <c r="A2888" t="s">
        <v>87</v>
      </c>
    </row>
    <row r="2889" spans="1:11" x14ac:dyDescent="0.25">
      <c r="A2889">
        <v>76.630619506645303</v>
      </c>
      <c r="B2889">
        <v>37.9833931745884</v>
      </c>
      <c r="C2889">
        <v>2000</v>
      </c>
    </row>
    <row r="2890" spans="1:11" x14ac:dyDescent="0.25">
      <c r="A2890">
        <v>60.8840496370373</v>
      </c>
      <c r="B2890">
        <v>22.236823304980401</v>
      </c>
      <c r="C2890">
        <v>2000</v>
      </c>
    </row>
    <row r="2891" spans="1:11" x14ac:dyDescent="0.25">
      <c r="A2891">
        <v>60.8840496370373</v>
      </c>
      <c r="B2891">
        <v>22.236823304980401</v>
      </c>
      <c r="C2891">
        <v>2001</v>
      </c>
    </row>
    <row r="2892" spans="1:11" x14ac:dyDescent="0.25">
      <c r="A2892">
        <v>76.630619506645303</v>
      </c>
      <c r="B2892">
        <v>37.9833931745884</v>
      </c>
      <c r="C2892">
        <v>2001</v>
      </c>
    </row>
    <row r="2893" spans="1:11" x14ac:dyDescent="0.25">
      <c r="A2893">
        <v>76.630619506645303</v>
      </c>
      <c r="B2893">
        <v>37.9833931745884</v>
      </c>
      <c r="C2893">
        <v>2000</v>
      </c>
    </row>
    <row r="2894" spans="1:11" x14ac:dyDescent="0.25">
      <c r="A2894" t="s">
        <v>88</v>
      </c>
    </row>
    <row r="2895" spans="1:11" x14ac:dyDescent="0.25">
      <c r="A2895">
        <v>577</v>
      </c>
      <c r="B2895">
        <v>0</v>
      </c>
      <c r="C2895">
        <v>0</v>
      </c>
      <c r="D2895">
        <v>22.018072875413001</v>
      </c>
      <c r="E2895">
        <v>6</v>
      </c>
      <c r="F2895">
        <v>1.5707963267949001</v>
      </c>
      <c r="G2895" t="s">
        <v>86</v>
      </c>
      <c r="H2895" t="s">
        <v>85</v>
      </c>
      <c r="I2895">
        <v>563</v>
      </c>
      <c r="J2895">
        <v>0</v>
      </c>
      <c r="K2895">
        <v>0</v>
      </c>
    </row>
    <row r="2896" spans="1:11" x14ac:dyDescent="0.25">
      <c r="A2896" t="s">
        <v>87</v>
      </c>
    </row>
    <row r="2897" spans="1:11" x14ac:dyDescent="0.25">
      <c r="A2897">
        <v>47.6872784773294</v>
      </c>
      <c r="B2897">
        <v>134.43087136113601</v>
      </c>
      <c r="C2897">
        <v>2000</v>
      </c>
    </row>
    <row r="2898" spans="1:11" x14ac:dyDescent="0.25">
      <c r="A2898">
        <v>47.6872784773294</v>
      </c>
      <c r="B2898">
        <v>134.43087136113601</v>
      </c>
      <c r="C2898">
        <v>2001</v>
      </c>
    </row>
    <row r="2899" spans="1:11" x14ac:dyDescent="0.25">
      <c r="A2899">
        <v>50</v>
      </c>
      <c r="B2899">
        <v>136.743592883807</v>
      </c>
      <c r="C2899">
        <v>2001</v>
      </c>
    </row>
    <row r="2900" spans="1:11" x14ac:dyDescent="0.25">
      <c r="A2900">
        <v>63.2564071161935</v>
      </c>
      <c r="B2900">
        <v>150</v>
      </c>
      <c r="C2900">
        <v>2001</v>
      </c>
    </row>
    <row r="2901" spans="1:11" x14ac:dyDescent="0.25">
      <c r="A2901">
        <v>63.2564071161935</v>
      </c>
      <c r="B2901">
        <v>150</v>
      </c>
      <c r="C2901">
        <v>2000</v>
      </c>
    </row>
    <row r="2902" spans="1:11" x14ac:dyDescent="0.25">
      <c r="A2902">
        <v>50</v>
      </c>
      <c r="B2902">
        <v>136.743592883807</v>
      </c>
      <c r="C2902">
        <v>2000</v>
      </c>
    </row>
    <row r="2903" spans="1:11" x14ac:dyDescent="0.25">
      <c r="A2903" t="s">
        <v>88</v>
      </c>
    </row>
    <row r="2904" spans="1:11" x14ac:dyDescent="0.25">
      <c r="A2904">
        <v>505</v>
      </c>
      <c r="B2904">
        <v>0</v>
      </c>
      <c r="C2904">
        <v>6.3510393867395898</v>
      </c>
      <c r="D2904">
        <v>15.665897168264401</v>
      </c>
      <c r="E2904">
        <v>8</v>
      </c>
      <c r="F2904">
        <v>1.01722196789785</v>
      </c>
      <c r="G2904" t="s">
        <v>86</v>
      </c>
      <c r="H2904" t="s">
        <v>86</v>
      </c>
      <c r="I2904">
        <v>670</v>
      </c>
      <c r="J2904">
        <v>277</v>
      </c>
      <c r="K2904">
        <v>0</v>
      </c>
    </row>
    <row r="2905" spans="1:11" x14ac:dyDescent="0.25">
      <c r="A2905" t="s">
        <v>87</v>
      </c>
    </row>
    <row r="2906" spans="1:11" x14ac:dyDescent="0.25">
      <c r="A2906">
        <v>57.892584765750101</v>
      </c>
      <c r="B2906">
        <v>90.037972840028004</v>
      </c>
      <c r="C2906">
        <v>2000</v>
      </c>
    </row>
    <row r="2907" spans="1:11" x14ac:dyDescent="0.25">
      <c r="A2907">
        <v>53.401721747803698</v>
      </c>
      <c r="B2907">
        <v>85.547109822081595</v>
      </c>
      <c r="C2907">
        <v>2000</v>
      </c>
    </row>
    <row r="2908" spans="1:11" x14ac:dyDescent="0.25">
      <c r="A2908">
        <v>53.8387377722525</v>
      </c>
      <c r="B2908">
        <v>85.1100937976328</v>
      </c>
      <c r="C2908">
        <v>2001</v>
      </c>
    </row>
    <row r="2909" spans="1:11" x14ac:dyDescent="0.25">
      <c r="A2909">
        <v>58.329600790198903</v>
      </c>
      <c r="B2909">
        <v>89.600956815579195</v>
      </c>
      <c r="C2909">
        <v>2001</v>
      </c>
    </row>
    <row r="2910" spans="1:11" x14ac:dyDescent="0.25">
      <c r="A2910">
        <v>68.510135962395296</v>
      </c>
      <c r="B2910">
        <v>99.781491987775595</v>
      </c>
      <c r="C2910">
        <v>2001</v>
      </c>
    </row>
    <row r="2911" spans="1:11" x14ac:dyDescent="0.25">
      <c r="A2911">
        <v>69.407062911249795</v>
      </c>
      <c r="B2911">
        <v>100.67841893663</v>
      </c>
      <c r="C2911">
        <v>2001</v>
      </c>
    </row>
    <row r="2912" spans="1:11" x14ac:dyDescent="0.25">
      <c r="A2912">
        <v>68.970046886800901</v>
      </c>
      <c r="B2912">
        <v>101.115434961079</v>
      </c>
      <c r="C2912">
        <v>2000</v>
      </c>
    </row>
    <row r="2913" spans="1:11" x14ac:dyDescent="0.25">
      <c r="A2913">
        <v>68.073119937946402</v>
      </c>
      <c r="B2913">
        <v>100.21850801222401</v>
      </c>
      <c r="C2913">
        <v>2000</v>
      </c>
    </row>
    <row r="2914" spans="1:11" x14ac:dyDescent="0.25">
      <c r="A2914" t="s">
        <v>88</v>
      </c>
    </row>
    <row r="2915" spans="1:11" x14ac:dyDescent="0.25">
      <c r="A2915">
        <v>8</v>
      </c>
      <c r="B2915">
        <v>0</v>
      </c>
      <c r="C2915">
        <v>18.374459195119499</v>
      </c>
      <c r="D2915">
        <v>3.6236738496170799</v>
      </c>
      <c r="E2915">
        <v>6</v>
      </c>
      <c r="F2915">
        <v>1.5707963267949001</v>
      </c>
      <c r="G2915" t="s">
        <v>86</v>
      </c>
      <c r="H2915" t="s">
        <v>86</v>
      </c>
      <c r="I2915">
        <v>11</v>
      </c>
      <c r="J2915">
        <v>13</v>
      </c>
      <c r="K2915">
        <v>0</v>
      </c>
    </row>
    <row r="2916" spans="1:11" x14ac:dyDescent="0.25">
      <c r="A2916" t="s">
        <v>87</v>
      </c>
    </row>
    <row r="2917" spans="1:11" x14ac:dyDescent="0.25">
      <c r="A2917">
        <v>31.8702445746727</v>
      </c>
      <c r="B2917">
        <v>24.455079051877899</v>
      </c>
      <c r="C2917">
        <v>2000</v>
      </c>
    </row>
    <row r="2918" spans="1:11" x14ac:dyDescent="0.25">
      <c r="A2918">
        <v>18.8775398771681</v>
      </c>
      <c r="B2918">
        <v>11.4623743543734</v>
      </c>
      <c r="C2918">
        <v>2000</v>
      </c>
    </row>
    <row r="2919" spans="1:11" x14ac:dyDescent="0.25">
      <c r="A2919">
        <v>18.8775398771681</v>
      </c>
      <c r="B2919">
        <v>11.4623743543734</v>
      </c>
      <c r="C2919">
        <v>2001</v>
      </c>
    </row>
    <row r="2920" spans="1:11" x14ac:dyDescent="0.25">
      <c r="A2920">
        <v>31.8702445746727</v>
      </c>
      <c r="B2920">
        <v>24.455079051877899</v>
      </c>
      <c r="C2920">
        <v>2001</v>
      </c>
    </row>
    <row r="2921" spans="1:11" x14ac:dyDescent="0.25">
      <c r="A2921">
        <v>34.432568926545301</v>
      </c>
      <c r="B2921">
        <v>27.0174034037505</v>
      </c>
      <c r="C2921">
        <v>2001</v>
      </c>
    </row>
    <row r="2922" spans="1:11" x14ac:dyDescent="0.25">
      <c r="A2922">
        <v>34.432568926545301</v>
      </c>
      <c r="B2922">
        <v>27.0174034037505</v>
      </c>
      <c r="C2922">
        <v>2000</v>
      </c>
    </row>
    <row r="2923" spans="1:11" x14ac:dyDescent="0.25">
      <c r="A2923" t="s">
        <v>88</v>
      </c>
    </row>
    <row r="2924" spans="1:11" x14ac:dyDescent="0.25">
      <c r="A2924">
        <v>595</v>
      </c>
      <c r="B2924">
        <v>0</v>
      </c>
      <c r="C2924">
        <v>9.4678039445881694</v>
      </c>
      <c r="D2924">
        <v>12.363527802442199</v>
      </c>
      <c r="E2924">
        <v>6</v>
      </c>
      <c r="F2924">
        <v>1.01722196789785</v>
      </c>
      <c r="G2924" t="s">
        <v>85</v>
      </c>
      <c r="H2924" t="s">
        <v>86</v>
      </c>
      <c r="I2924">
        <v>0</v>
      </c>
      <c r="J2924">
        <v>569</v>
      </c>
      <c r="K2924">
        <v>0</v>
      </c>
    </row>
    <row r="2925" spans="1:11" x14ac:dyDescent="0.25">
      <c r="A2925" t="s">
        <v>87</v>
      </c>
    </row>
    <row r="2926" spans="1:11" x14ac:dyDescent="0.25">
      <c r="A2926">
        <v>6.7895108467584704</v>
      </c>
      <c r="B2926">
        <v>122.85349034770201</v>
      </c>
      <c r="C2926">
        <v>2000</v>
      </c>
    </row>
    <row r="2927" spans="1:11" x14ac:dyDescent="0.25">
      <c r="A2927">
        <v>0</v>
      </c>
      <c r="B2927">
        <v>116.06397950094301</v>
      </c>
      <c r="C2927">
        <v>2000</v>
      </c>
    </row>
    <row r="2928" spans="1:11" x14ac:dyDescent="0.25">
      <c r="A2928">
        <v>0</v>
      </c>
      <c r="B2928">
        <v>116.93801154984099</v>
      </c>
      <c r="C2928">
        <v>2001</v>
      </c>
    </row>
    <row r="2929" spans="1:11" x14ac:dyDescent="0.25">
      <c r="A2929">
        <v>6.5999858975676098</v>
      </c>
      <c r="B2929">
        <v>123.537997447409</v>
      </c>
      <c r="C2929">
        <v>2001</v>
      </c>
    </row>
    <row r="2930" spans="1:11" x14ac:dyDescent="0.25">
      <c r="A2930">
        <v>15.2185747084339</v>
      </c>
      <c r="B2930">
        <v>132.15658625827501</v>
      </c>
      <c r="C2930">
        <v>2001</v>
      </c>
    </row>
    <row r="2931" spans="1:11" x14ac:dyDescent="0.25">
      <c r="A2931">
        <v>15.6555907328827</v>
      </c>
      <c r="B2931">
        <v>131.719570233826</v>
      </c>
      <c r="C2931">
        <v>2000</v>
      </c>
    </row>
    <row r="2932" spans="1:11" x14ac:dyDescent="0.25">
      <c r="A2932" t="s">
        <v>88</v>
      </c>
    </row>
    <row r="2933" spans="1:11" x14ac:dyDescent="0.25">
      <c r="A2933">
        <v>274</v>
      </c>
      <c r="B2933">
        <v>0</v>
      </c>
      <c r="C2933">
        <v>12.138890615084801</v>
      </c>
      <c r="D2933">
        <v>9.1742464359798799</v>
      </c>
      <c r="E2933">
        <v>6</v>
      </c>
      <c r="F2933">
        <v>1.01722196789785</v>
      </c>
      <c r="G2933" t="s">
        <v>86</v>
      </c>
      <c r="H2933" t="s">
        <v>85</v>
      </c>
      <c r="I2933">
        <v>241</v>
      </c>
      <c r="J2933">
        <v>0</v>
      </c>
      <c r="K2933">
        <v>0</v>
      </c>
    </row>
    <row r="2934" spans="1:11" x14ac:dyDescent="0.25">
      <c r="A2934" t="s">
        <v>87</v>
      </c>
    </row>
    <row r="2935" spans="1:11" x14ac:dyDescent="0.25">
      <c r="A2935">
        <v>88.526287616979303</v>
      </c>
      <c r="B2935">
        <v>143.41877129139399</v>
      </c>
      <c r="C2935">
        <v>2000</v>
      </c>
    </row>
    <row r="2936" spans="1:11" x14ac:dyDescent="0.25">
      <c r="A2936">
        <v>79.818344576195202</v>
      </c>
      <c r="B2936">
        <v>134.71082825061001</v>
      </c>
      <c r="C2936">
        <v>2000</v>
      </c>
    </row>
    <row r="2937" spans="1:11" x14ac:dyDescent="0.25">
      <c r="A2937">
        <v>79.381328551746407</v>
      </c>
      <c r="B2937">
        <v>135.14784427505799</v>
      </c>
      <c r="C2937">
        <v>2001</v>
      </c>
    </row>
    <row r="2938" spans="1:11" x14ac:dyDescent="0.25">
      <c r="A2938">
        <v>87.840369250978696</v>
      </c>
      <c r="B2938">
        <v>143.60688497429101</v>
      </c>
      <c r="C2938">
        <v>2001</v>
      </c>
    </row>
    <row r="2939" spans="1:11" x14ac:dyDescent="0.25">
      <c r="A2939">
        <v>94.233484276688102</v>
      </c>
      <c r="B2939">
        <v>150</v>
      </c>
      <c r="C2939">
        <v>2001</v>
      </c>
    </row>
    <row r="2940" spans="1:11" x14ac:dyDescent="0.25">
      <c r="A2940">
        <v>95.107516325585706</v>
      </c>
      <c r="B2940">
        <v>150</v>
      </c>
      <c r="C2940">
        <v>2000</v>
      </c>
    </row>
    <row r="2941" spans="1:11" x14ac:dyDescent="0.25">
      <c r="A2941" t="s">
        <v>88</v>
      </c>
    </row>
    <row r="2942" spans="1:11" x14ac:dyDescent="0.25">
      <c r="A2942">
        <v>357</v>
      </c>
      <c r="B2942">
        <v>0</v>
      </c>
      <c r="C2942">
        <v>8.4818588644283501</v>
      </c>
      <c r="D2942">
        <v>12.7294680578004</v>
      </c>
      <c r="E2942">
        <v>8</v>
      </c>
      <c r="F2942">
        <v>1.01722196789785</v>
      </c>
      <c r="G2942" t="s">
        <v>85</v>
      </c>
      <c r="H2942" t="s">
        <v>86</v>
      </c>
      <c r="I2942">
        <v>0</v>
      </c>
      <c r="J2942">
        <v>344</v>
      </c>
      <c r="K2942">
        <v>0</v>
      </c>
    </row>
    <row r="2943" spans="1:11" x14ac:dyDescent="0.25">
      <c r="A2943" t="s">
        <v>87</v>
      </c>
    </row>
    <row r="2944" spans="1:11" x14ac:dyDescent="0.25">
      <c r="A2944">
        <v>101.139178655927</v>
      </c>
      <c r="B2944">
        <v>6.1718963583778397</v>
      </c>
      <c r="C2944">
        <v>2000</v>
      </c>
    </row>
    <row r="2945" spans="1:11" x14ac:dyDescent="0.25">
      <c r="A2945">
        <v>99.7304177824889</v>
      </c>
      <c r="B2945">
        <v>4.7631354849398901</v>
      </c>
      <c r="C2945">
        <v>2000</v>
      </c>
    </row>
    <row r="2946" spans="1:11" x14ac:dyDescent="0.25">
      <c r="A2946">
        <v>94.967282297549104</v>
      </c>
      <c r="B2946">
        <v>0</v>
      </c>
      <c r="C2946">
        <v>2000</v>
      </c>
    </row>
    <row r="2947" spans="1:11" x14ac:dyDescent="0.25">
      <c r="A2947">
        <v>95.841314346446694</v>
      </c>
      <c r="B2947">
        <v>0</v>
      </c>
      <c r="C2947">
        <v>2001</v>
      </c>
    </row>
    <row r="2948" spans="1:11" x14ac:dyDescent="0.25">
      <c r="A2948">
        <v>100.269582217511</v>
      </c>
      <c r="B2948">
        <v>4.4282678710643504</v>
      </c>
      <c r="C2948">
        <v>2001</v>
      </c>
    </row>
    <row r="2949" spans="1:11" x14ac:dyDescent="0.25">
      <c r="A2949">
        <v>101.664577828278</v>
      </c>
      <c r="B2949">
        <v>5.8232634818311997</v>
      </c>
      <c r="C2949">
        <v>2001</v>
      </c>
    </row>
    <row r="2950" spans="1:11" x14ac:dyDescent="0.25">
      <c r="A2950">
        <v>110.62147943889499</v>
      </c>
      <c r="B2950">
        <v>14.7801650924483</v>
      </c>
      <c r="C2950">
        <v>2001</v>
      </c>
    </row>
    <row r="2951" spans="1:11" x14ac:dyDescent="0.25">
      <c r="A2951">
        <v>110.184463414446</v>
      </c>
      <c r="B2951">
        <v>15.2171811168971</v>
      </c>
      <c r="C2951">
        <v>2000</v>
      </c>
    </row>
    <row r="2952" spans="1:11" x14ac:dyDescent="0.25">
      <c r="A2952" t="s">
        <v>88</v>
      </c>
    </row>
    <row r="2953" spans="1:11" x14ac:dyDescent="0.25">
      <c r="A2953">
        <v>333</v>
      </c>
      <c r="B2953">
        <v>0</v>
      </c>
      <c r="C2953">
        <v>0</v>
      </c>
      <c r="D2953">
        <v>20.9962656823412</v>
      </c>
      <c r="E2953">
        <v>4</v>
      </c>
      <c r="F2953">
        <v>1.5707963267949001</v>
      </c>
      <c r="G2953" t="s">
        <v>86</v>
      </c>
      <c r="H2953" t="s">
        <v>86</v>
      </c>
      <c r="I2953">
        <v>328</v>
      </c>
      <c r="J2953">
        <v>342</v>
      </c>
      <c r="K2953">
        <v>0</v>
      </c>
    </row>
    <row r="2954" spans="1:11" x14ac:dyDescent="0.25">
      <c r="A2954" t="s">
        <v>87</v>
      </c>
    </row>
    <row r="2955" spans="1:11" x14ac:dyDescent="0.25">
      <c r="A2955">
        <v>108.563432124706</v>
      </c>
      <c r="B2955">
        <v>26.389921515430299</v>
      </c>
      <c r="C2955">
        <v>2000</v>
      </c>
    </row>
    <row r="2956" spans="1:11" x14ac:dyDescent="0.25">
      <c r="A2956">
        <v>108.563432124706</v>
      </c>
      <c r="B2956">
        <v>26.389921515430299</v>
      </c>
      <c r="C2956">
        <v>2001</v>
      </c>
    </row>
    <row r="2957" spans="1:11" x14ac:dyDescent="0.25">
      <c r="A2957">
        <v>123.410033968284</v>
      </c>
      <c r="B2957">
        <v>41.236523359008103</v>
      </c>
      <c r="C2957">
        <v>2001</v>
      </c>
    </row>
    <row r="2958" spans="1:11" x14ac:dyDescent="0.25">
      <c r="A2958">
        <v>123.410033968284</v>
      </c>
      <c r="B2958">
        <v>41.236523359008103</v>
      </c>
      <c r="C2958">
        <v>2000</v>
      </c>
    </row>
    <row r="2959" spans="1:11" x14ac:dyDescent="0.25">
      <c r="A2959" t="s">
        <v>88</v>
      </c>
    </row>
    <row r="2960" spans="1:11" x14ac:dyDescent="0.25">
      <c r="A2960">
        <v>82</v>
      </c>
      <c r="B2960">
        <v>0</v>
      </c>
      <c r="C2960">
        <v>5.1634283644480901</v>
      </c>
      <c r="D2960">
        <v>15.8134341163331</v>
      </c>
      <c r="E2960">
        <v>6</v>
      </c>
      <c r="F2960">
        <v>1.5707963267949001</v>
      </c>
      <c r="G2960" t="s">
        <v>86</v>
      </c>
      <c r="H2960" t="s">
        <v>86</v>
      </c>
      <c r="I2960">
        <v>99</v>
      </c>
      <c r="J2960">
        <v>331</v>
      </c>
      <c r="K2960">
        <v>0</v>
      </c>
    </row>
    <row r="2961" spans="1:11" x14ac:dyDescent="0.25">
      <c r="A2961" t="s">
        <v>87</v>
      </c>
    </row>
    <row r="2962" spans="1:11" x14ac:dyDescent="0.25">
      <c r="A2962">
        <v>77.313225822203407</v>
      </c>
      <c r="B2962">
        <v>16.694175646032299</v>
      </c>
      <c r="C2962">
        <v>2000</v>
      </c>
    </row>
    <row r="2963" spans="1:11" x14ac:dyDescent="0.25">
      <c r="A2963">
        <v>73.662130611531197</v>
      </c>
      <c r="B2963">
        <v>13.0430804353601</v>
      </c>
      <c r="C2963">
        <v>2000</v>
      </c>
    </row>
    <row r="2964" spans="1:11" x14ac:dyDescent="0.25">
      <c r="A2964">
        <v>73.662130611531197</v>
      </c>
      <c r="B2964">
        <v>13.0430804353601</v>
      </c>
      <c r="C2964">
        <v>2001</v>
      </c>
    </row>
    <row r="2965" spans="1:11" x14ac:dyDescent="0.25">
      <c r="A2965">
        <v>77.313225822203407</v>
      </c>
      <c r="B2965">
        <v>16.694175646032299</v>
      </c>
      <c r="C2965">
        <v>2001</v>
      </c>
    </row>
    <row r="2966" spans="1:11" x14ac:dyDescent="0.25">
      <c r="A2966">
        <v>88.495012319709303</v>
      </c>
      <c r="B2966">
        <v>27.8759621435381</v>
      </c>
      <c r="C2966">
        <v>2001</v>
      </c>
    </row>
    <row r="2967" spans="1:11" x14ac:dyDescent="0.25">
      <c r="A2967">
        <v>88.495012319709303</v>
      </c>
      <c r="B2967">
        <v>27.8759621435381</v>
      </c>
      <c r="C2967">
        <v>2000</v>
      </c>
    </row>
    <row r="2968" spans="1:11" x14ac:dyDescent="0.25">
      <c r="A2968" t="s">
        <v>88</v>
      </c>
    </row>
    <row r="2969" spans="1:11" x14ac:dyDescent="0.25">
      <c r="A2969">
        <v>751</v>
      </c>
      <c r="B2969">
        <v>0</v>
      </c>
      <c r="C2969">
        <v>3.5403703848636199</v>
      </c>
      <c r="D2969">
        <v>17.358037157044802</v>
      </c>
      <c r="E2969">
        <v>6</v>
      </c>
      <c r="F2969">
        <v>1.5707963267949001</v>
      </c>
      <c r="G2969" t="s">
        <v>86</v>
      </c>
      <c r="H2969" t="s">
        <v>86</v>
      </c>
      <c r="I2969">
        <v>259</v>
      </c>
      <c r="J2969">
        <v>169</v>
      </c>
      <c r="K2969">
        <v>0.38600796710222601</v>
      </c>
    </row>
    <row r="2970" spans="1:11" x14ac:dyDescent="0.25">
      <c r="A2970" t="s">
        <v>87</v>
      </c>
    </row>
    <row r="2971" spans="1:11" x14ac:dyDescent="0.25">
      <c r="A2971">
        <v>86.260809649834798</v>
      </c>
      <c r="B2971">
        <v>134.928311726511</v>
      </c>
      <c r="C2971">
        <v>2000</v>
      </c>
    </row>
    <row r="2972" spans="1:11" x14ac:dyDescent="0.25">
      <c r="A2972">
        <v>83.757389742785705</v>
      </c>
      <c r="B2972">
        <v>132.424891819462</v>
      </c>
      <c r="C2972">
        <v>2000</v>
      </c>
    </row>
    <row r="2973" spans="1:11" x14ac:dyDescent="0.25">
      <c r="A2973">
        <v>83.757389742785705</v>
      </c>
      <c r="B2973">
        <v>132.424891819462</v>
      </c>
      <c r="C2973">
        <v>2001</v>
      </c>
    </row>
    <row r="2974" spans="1:11" x14ac:dyDescent="0.25">
      <c r="A2974">
        <v>86.260809649834798</v>
      </c>
      <c r="B2974">
        <v>134.928311726511</v>
      </c>
      <c r="C2974">
        <v>2001</v>
      </c>
    </row>
    <row r="2975" spans="1:11" x14ac:dyDescent="0.25">
      <c r="A2975">
        <v>98.534795431669195</v>
      </c>
      <c r="B2975">
        <v>147.202297508345</v>
      </c>
      <c r="C2975">
        <v>2001</v>
      </c>
    </row>
    <row r="2976" spans="1:11" x14ac:dyDescent="0.25">
      <c r="A2976">
        <v>98.534795431669195</v>
      </c>
      <c r="B2976">
        <v>147.202297508345</v>
      </c>
      <c r="C2976">
        <v>2000</v>
      </c>
    </row>
    <row r="2977" spans="1:11" x14ac:dyDescent="0.25">
      <c r="A2977" t="s">
        <v>88</v>
      </c>
    </row>
    <row r="2978" spans="1:11" x14ac:dyDescent="0.25">
      <c r="A2978">
        <v>96</v>
      </c>
      <c r="B2978">
        <v>0</v>
      </c>
      <c r="C2978">
        <v>20.550899754397701</v>
      </c>
      <c r="D2978">
        <v>0</v>
      </c>
      <c r="E2978">
        <v>5</v>
      </c>
      <c r="F2978">
        <v>1.5707963267949001</v>
      </c>
      <c r="G2978" t="s">
        <v>85</v>
      </c>
      <c r="H2978" t="s">
        <v>86</v>
      </c>
      <c r="I2978">
        <v>0</v>
      </c>
      <c r="J2978">
        <v>337</v>
      </c>
      <c r="K2978">
        <v>0</v>
      </c>
    </row>
    <row r="2979" spans="1:11" x14ac:dyDescent="0.25">
      <c r="A2979" t="s">
        <v>87</v>
      </c>
    </row>
    <row r="2980" spans="1:11" x14ac:dyDescent="0.25">
      <c r="A2980">
        <v>87.058522918754505</v>
      </c>
      <c r="B2980">
        <v>14.5316805758195</v>
      </c>
      <c r="C2980">
        <v>2000</v>
      </c>
    </row>
    <row r="2981" spans="1:11" x14ac:dyDescent="0.25">
      <c r="A2981">
        <v>72.526842342934998</v>
      </c>
      <c r="B2981">
        <v>0</v>
      </c>
      <c r="C2981">
        <v>2000</v>
      </c>
    </row>
    <row r="2982" spans="1:11" x14ac:dyDescent="0.25">
      <c r="A2982">
        <v>72.526842342934998</v>
      </c>
      <c r="B2982">
        <v>0</v>
      </c>
      <c r="C2982">
        <v>2001</v>
      </c>
    </row>
    <row r="2983" spans="1:11" x14ac:dyDescent="0.25">
      <c r="A2983">
        <v>87.058522918754505</v>
      </c>
      <c r="B2983">
        <v>14.5316805758195</v>
      </c>
      <c r="C2983">
        <v>2001</v>
      </c>
    </row>
    <row r="2984" spans="1:11" x14ac:dyDescent="0.25">
      <c r="A2984">
        <v>87.058522918754505</v>
      </c>
      <c r="B2984">
        <v>14.5316805758195</v>
      </c>
      <c r="C2984">
        <v>2000</v>
      </c>
    </row>
    <row r="2985" spans="1:11" x14ac:dyDescent="0.25">
      <c r="A2985" t="s">
        <v>88</v>
      </c>
    </row>
    <row r="2986" spans="1:11" x14ac:dyDescent="0.25">
      <c r="A2986">
        <v>21</v>
      </c>
      <c r="B2986">
        <v>0</v>
      </c>
      <c r="C2986">
        <v>20.0425681618506</v>
      </c>
      <c r="D2986">
        <v>0.45316105696241499</v>
      </c>
      <c r="E2986">
        <v>6</v>
      </c>
      <c r="F2986">
        <v>1.01722196789785</v>
      </c>
      <c r="G2986" t="s">
        <v>85</v>
      </c>
      <c r="H2986" t="s">
        <v>86</v>
      </c>
      <c r="I2986">
        <v>0</v>
      </c>
      <c r="J2986">
        <v>37</v>
      </c>
      <c r="K2986">
        <v>0</v>
      </c>
    </row>
    <row r="2987" spans="1:11" x14ac:dyDescent="0.25">
      <c r="A2987" t="s">
        <v>87</v>
      </c>
    </row>
    <row r="2988" spans="1:11" x14ac:dyDescent="0.25">
      <c r="A2988">
        <v>14.385912654553</v>
      </c>
      <c r="B2988">
        <v>35.816450995699803</v>
      </c>
      <c r="C2988">
        <v>2000</v>
      </c>
    </row>
    <row r="2989" spans="1:11" x14ac:dyDescent="0.25">
      <c r="A2989">
        <v>0</v>
      </c>
      <c r="B2989">
        <v>21.4305383411468</v>
      </c>
      <c r="C2989">
        <v>2000</v>
      </c>
    </row>
    <row r="2990" spans="1:11" x14ac:dyDescent="0.25">
      <c r="A2990">
        <v>0</v>
      </c>
      <c r="B2990">
        <v>22.3045703900444</v>
      </c>
      <c r="C2990">
        <v>2001</v>
      </c>
    </row>
    <row r="2991" spans="1:11" x14ac:dyDescent="0.25">
      <c r="A2991">
        <v>13.958559064723399</v>
      </c>
      <c r="B2991">
        <v>36.2631294547678</v>
      </c>
      <c r="C2991">
        <v>2001</v>
      </c>
    </row>
    <row r="2992" spans="1:11" x14ac:dyDescent="0.25">
      <c r="A2992">
        <v>14.2741611037616</v>
      </c>
      <c r="B2992">
        <v>36.578731493806004</v>
      </c>
      <c r="C2992">
        <v>2001</v>
      </c>
    </row>
    <row r="2993" spans="1:11" x14ac:dyDescent="0.25">
      <c r="A2993">
        <v>14.7111771282104</v>
      </c>
      <c r="B2993">
        <v>36.141715469357202</v>
      </c>
      <c r="C2993">
        <v>2000</v>
      </c>
    </row>
    <row r="2994" spans="1:11" x14ac:dyDescent="0.25">
      <c r="A2994" t="s">
        <v>88</v>
      </c>
    </row>
    <row r="2995" spans="1:11" x14ac:dyDescent="0.25">
      <c r="A2995">
        <v>497</v>
      </c>
      <c r="B2995">
        <v>0</v>
      </c>
      <c r="C2995">
        <v>4.6376172936265299</v>
      </c>
      <c r="D2995">
        <v>15.4457070313077</v>
      </c>
      <c r="E2995">
        <v>10</v>
      </c>
      <c r="F2995">
        <v>1.5707963267949001</v>
      </c>
      <c r="G2995" t="s">
        <v>86</v>
      </c>
      <c r="H2995" t="s">
        <v>86</v>
      </c>
      <c r="I2995">
        <v>659</v>
      </c>
      <c r="J2995">
        <v>250</v>
      </c>
      <c r="K2995">
        <v>0</v>
      </c>
    </row>
    <row r="2996" spans="1:11" x14ac:dyDescent="0.25">
      <c r="A2996" t="s">
        <v>87</v>
      </c>
    </row>
    <row r="2997" spans="1:11" x14ac:dyDescent="0.25">
      <c r="A2997">
        <v>50.765834772384601</v>
      </c>
      <c r="B2997">
        <v>93.037851710355795</v>
      </c>
      <c r="C2997">
        <v>2000</v>
      </c>
    </row>
    <row r="2998" spans="1:11" x14ac:dyDescent="0.25">
      <c r="A2998">
        <v>50</v>
      </c>
      <c r="B2998">
        <v>92.272016937971102</v>
      </c>
      <c r="C2998">
        <v>2000</v>
      </c>
    </row>
    <row r="2999" spans="1:11" x14ac:dyDescent="0.25">
      <c r="A2999">
        <v>47.486544135513299</v>
      </c>
      <c r="B2999">
        <v>89.758561073484401</v>
      </c>
      <c r="C2999">
        <v>2000</v>
      </c>
    </row>
    <row r="3000" spans="1:11" x14ac:dyDescent="0.25">
      <c r="A3000">
        <v>47.486544135513299</v>
      </c>
      <c r="B3000">
        <v>89.758561073484401</v>
      </c>
      <c r="C3000">
        <v>2001</v>
      </c>
    </row>
    <row r="3001" spans="1:11" x14ac:dyDescent="0.25">
      <c r="A3001">
        <v>50</v>
      </c>
      <c r="B3001">
        <v>92.272016937971102</v>
      </c>
      <c r="C3001">
        <v>2001</v>
      </c>
    </row>
    <row r="3002" spans="1:11" x14ac:dyDescent="0.25">
      <c r="A3002">
        <v>50.765834772384601</v>
      </c>
      <c r="B3002">
        <v>93.037851710355795</v>
      </c>
      <c r="C3002">
        <v>2001</v>
      </c>
    </row>
    <row r="3003" spans="1:11" x14ac:dyDescent="0.25">
      <c r="A3003">
        <v>57.727983062028898</v>
      </c>
      <c r="B3003">
        <v>100</v>
      </c>
      <c r="C3003">
        <v>2001</v>
      </c>
    </row>
    <row r="3004" spans="1:11" x14ac:dyDescent="0.25">
      <c r="A3004">
        <v>61.687598954443096</v>
      </c>
      <c r="B3004">
        <v>103.95961589241401</v>
      </c>
      <c r="C3004">
        <v>2001</v>
      </c>
    </row>
    <row r="3005" spans="1:11" x14ac:dyDescent="0.25">
      <c r="A3005">
        <v>61.687598954443096</v>
      </c>
      <c r="B3005">
        <v>103.95961589241401</v>
      </c>
      <c r="C3005">
        <v>2000</v>
      </c>
    </row>
    <row r="3006" spans="1:11" x14ac:dyDescent="0.25">
      <c r="A3006">
        <v>57.727983062028898</v>
      </c>
      <c r="B3006">
        <v>100</v>
      </c>
      <c r="C3006">
        <v>2000</v>
      </c>
    </row>
    <row r="3007" spans="1:11" x14ac:dyDescent="0.25">
      <c r="A3007" t="s">
        <v>88</v>
      </c>
    </row>
    <row r="3008" spans="1:11" x14ac:dyDescent="0.25">
      <c r="A3008">
        <v>580</v>
      </c>
      <c r="B3008">
        <v>0</v>
      </c>
      <c r="C3008">
        <v>8.7735474038475001</v>
      </c>
      <c r="D3008">
        <v>11.257103891291401</v>
      </c>
      <c r="E3008">
        <v>8</v>
      </c>
      <c r="F3008">
        <v>1.5707963267949001</v>
      </c>
      <c r="G3008" t="s">
        <v>86</v>
      </c>
      <c r="H3008" t="s">
        <v>86</v>
      </c>
      <c r="I3008">
        <v>574</v>
      </c>
      <c r="J3008">
        <v>246</v>
      </c>
      <c r="K3008">
        <v>0</v>
      </c>
    </row>
    <row r="3009" spans="1:11" x14ac:dyDescent="0.25">
      <c r="A3009" t="s">
        <v>87</v>
      </c>
    </row>
    <row r="3010" spans="1:11" x14ac:dyDescent="0.25">
      <c r="A3010">
        <v>44.423295857581898</v>
      </c>
      <c r="B3010">
        <v>118.920062304903</v>
      </c>
      <c r="C3010">
        <v>2000</v>
      </c>
    </row>
    <row r="3011" spans="1:11" x14ac:dyDescent="0.25">
      <c r="A3011">
        <v>38.219460993259702</v>
      </c>
      <c r="B3011">
        <v>112.71622744058099</v>
      </c>
      <c r="C3011">
        <v>2000</v>
      </c>
    </row>
    <row r="3012" spans="1:11" x14ac:dyDescent="0.25">
      <c r="A3012">
        <v>38.219460993259702</v>
      </c>
      <c r="B3012">
        <v>112.71622744058099</v>
      </c>
      <c r="C3012">
        <v>2001</v>
      </c>
    </row>
    <row r="3013" spans="1:11" x14ac:dyDescent="0.25">
      <c r="A3013">
        <v>44.423295857581898</v>
      </c>
      <c r="B3013">
        <v>118.920062304903</v>
      </c>
      <c r="C3013">
        <v>2001</v>
      </c>
    </row>
    <row r="3014" spans="1:11" x14ac:dyDescent="0.25">
      <c r="A3014">
        <v>50</v>
      </c>
      <c r="B3014">
        <v>124.49676644732099</v>
      </c>
      <c r="C3014">
        <v>2001</v>
      </c>
    </row>
    <row r="3015" spans="1:11" x14ac:dyDescent="0.25">
      <c r="A3015">
        <v>52.383270355635503</v>
      </c>
      <c r="B3015">
        <v>126.880036802956</v>
      </c>
      <c r="C3015">
        <v>2001</v>
      </c>
    </row>
    <row r="3016" spans="1:11" x14ac:dyDescent="0.25">
      <c r="A3016">
        <v>52.383270355635503</v>
      </c>
      <c r="B3016">
        <v>126.880036802956</v>
      </c>
      <c r="C3016">
        <v>2000</v>
      </c>
    </row>
    <row r="3017" spans="1:11" x14ac:dyDescent="0.25">
      <c r="A3017">
        <v>50</v>
      </c>
      <c r="B3017">
        <v>124.49676644732099</v>
      </c>
      <c r="C3017">
        <v>2000</v>
      </c>
    </row>
    <row r="3018" spans="1:11" x14ac:dyDescent="0.25">
      <c r="A3018" t="s">
        <v>88</v>
      </c>
    </row>
    <row r="3019" spans="1:11" x14ac:dyDescent="0.25">
      <c r="A3019">
        <v>94</v>
      </c>
      <c r="B3019">
        <v>0</v>
      </c>
      <c r="C3019">
        <v>16.376350951629199</v>
      </c>
      <c r="D3019">
        <v>3.1216154353974699</v>
      </c>
      <c r="E3019">
        <v>8</v>
      </c>
      <c r="F3019">
        <v>1.5707963267949001</v>
      </c>
      <c r="G3019" t="s">
        <v>86</v>
      </c>
      <c r="H3019" t="s">
        <v>86</v>
      </c>
      <c r="I3019">
        <v>82</v>
      </c>
      <c r="J3019">
        <v>325</v>
      </c>
      <c r="K3019">
        <v>0</v>
      </c>
    </row>
    <row r="3020" spans="1:11" x14ac:dyDescent="0.25">
      <c r="A3020" t="s">
        <v>87</v>
      </c>
    </row>
    <row r="3021" spans="1:11" x14ac:dyDescent="0.25">
      <c r="A3021">
        <v>98.991545242719098</v>
      </c>
      <c r="B3021">
        <v>40.539086838503898</v>
      </c>
      <c r="C3021">
        <v>2000</v>
      </c>
    </row>
    <row r="3022" spans="1:11" x14ac:dyDescent="0.25">
      <c r="A3022">
        <v>87.4117164337313</v>
      </c>
      <c r="B3022">
        <v>28.9592580295161</v>
      </c>
      <c r="C3022">
        <v>2000</v>
      </c>
    </row>
    <row r="3023" spans="1:11" x14ac:dyDescent="0.25">
      <c r="A3023">
        <v>87.4117164337313</v>
      </c>
      <c r="B3023">
        <v>28.9592580295161</v>
      </c>
      <c r="C3023">
        <v>2001</v>
      </c>
    </row>
    <row r="3024" spans="1:11" x14ac:dyDescent="0.25">
      <c r="A3024">
        <v>98.991545242719098</v>
      </c>
      <c r="B3024">
        <v>40.539086838503898</v>
      </c>
      <c r="C3024">
        <v>2001</v>
      </c>
    </row>
    <row r="3025" spans="1:11" x14ac:dyDescent="0.25">
      <c r="A3025">
        <v>100</v>
      </c>
      <c r="B3025">
        <v>41.547541595784701</v>
      </c>
      <c r="C3025">
        <v>2001</v>
      </c>
    </row>
    <row r="3026" spans="1:11" x14ac:dyDescent="0.25">
      <c r="A3026">
        <v>101.198860685345</v>
      </c>
      <c r="B3026">
        <v>42.746402281130003</v>
      </c>
      <c r="C3026">
        <v>2001</v>
      </c>
    </row>
    <row r="3027" spans="1:11" x14ac:dyDescent="0.25">
      <c r="A3027">
        <v>101.198860685345</v>
      </c>
      <c r="B3027">
        <v>42.746402281130003</v>
      </c>
      <c r="C3027">
        <v>2000</v>
      </c>
    </row>
    <row r="3028" spans="1:11" x14ac:dyDescent="0.25">
      <c r="A3028">
        <v>100</v>
      </c>
      <c r="B3028">
        <v>41.547541595784701</v>
      </c>
      <c r="C3028">
        <v>2000</v>
      </c>
    </row>
    <row r="3029" spans="1:11" x14ac:dyDescent="0.25">
      <c r="A3029" t="s">
        <v>88</v>
      </c>
    </row>
    <row r="3030" spans="1:11" x14ac:dyDescent="0.25">
      <c r="A3030">
        <v>280</v>
      </c>
      <c r="B3030">
        <v>0</v>
      </c>
      <c r="C3030">
        <v>2.3347459246332098</v>
      </c>
      <c r="D3030">
        <v>16.558532824222802</v>
      </c>
      <c r="E3030">
        <v>6</v>
      </c>
      <c r="F3030">
        <v>1.01722196789785</v>
      </c>
      <c r="G3030" t="s">
        <v>86</v>
      </c>
      <c r="H3030" t="s">
        <v>86</v>
      </c>
      <c r="I3030">
        <v>664</v>
      </c>
      <c r="J3030">
        <v>262</v>
      </c>
      <c r="K3030">
        <v>0</v>
      </c>
    </row>
    <row r="3031" spans="1:11" x14ac:dyDescent="0.25">
      <c r="A3031" t="s">
        <v>87</v>
      </c>
    </row>
    <row r="3032" spans="1:11" x14ac:dyDescent="0.25">
      <c r="A3032">
        <v>53.869359530917798</v>
      </c>
      <c r="B3032">
        <v>105.628601130386</v>
      </c>
      <c r="C3032">
        <v>2000</v>
      </c>
    </row>
    <row r="3033" spans="1:11" x14ac:dyDescent="0.25">
      <c r="A3033">
        <v>52.218444855262</v>
      </c>
      <c r="B3033">
        <v>103.977686454731</v>
      </c>
      <c r="C3033">
        <v>2000</v>
      </c>
    </row>
    <row r="3034" spans="1:11" x14ac:dyDescent="0.25">
      <c r="A3034">
        <v>52.655460879710802</v>
      </c>
      <c r="B3034">
        <v>103.54067043028201</v>
      </c>
      <c r="C3034">
        <v>2001</v>
      </c>
    </row>
    <row r="3035" spans="1:11" x14ac:dyDescent="0.25">
      <c r="A3035">
        <v>54.3063755553666</v>
      </c>
      <c r="B3035">
        <v>105.191585105938</v>
      </c>
      <c r="C3035">
        <v>2001</v>
      </c>
    </row>
    <row r="3036" spans="1:11" x14ac:dyDescent="0.25">
      <c r="A3036">
        <v>66.015026401874593</v>
      </c>
      <c r="B3036">
        <v>116.900235952446</v>
      </c>
      <c r="C3036">
        <v>2001</v>
      </c>
    </row>
    <row r="3037" spans="1:11" x14ac:dyDescent="0.25">
      <c r="A3037">
        <v>65.578010377425798</v>
      </c>
      <c r="B3037">
        <v>117.337251976894</v>
      </c>
      <c r="C3037">
        <v>2000</v>
      </c>
    </row>
    <row r="3038" spans="1:11" x14ac:dyDescent="0.25">
      <c r="A3038" t="s">
        <v>88</v>
      </c>
    </row>
    <row r="3039" spans="1:11" x14ac:dyDescent="0.25">
      <c r="A3039">
        <v>510</v>
      </c>
      <c r="B3039">
        <v>0</v>
      </c>
      <c r="C3039">
        <v>9.8684273394727509</v>
      </c>
      <c r="D3039">
        <v>8.8362452260842694</v>
      </c>
      <c r="E3039">
        <v>8</v>
      </c>
      <c r="F3039">
        <v>1.01722196789785</v>
      </c>
      <c r="G3039" t="s">
        <v>86</v>
      </c>
      <c r="H3039" t="s">
        <v>86</v>
      </c>
      <c r="I3039">
        <v>660</v>
      </c>
      <c r="J3039">
        <v>514</v>
      </c>
      <c r="K3039">
        <v>0</v>
      </c>
    </row>
    <row r="3040" spans="1:11" x14ac:dyDescent="0.25">
      <c r="A3040" t="s">
        <v>87</v>
      </c>
    </row>
    <row r="3041" spans="1:11" x14ac:dyDescent="0.25">
      <c r="A3041">
        <v>56.434364053152798</v>
      </c>
      <c r="B3041">
        <v>81.385131202821995</v>
      </c>
      <c r="C3041">
        <v>2000</v>
      </c>
    </row>
    <row r="3042" spans="1:11" x14ac:dyDescent="0.25">
      <c r="A3042">
        <v>50.218508012224397</v>
      </c>
      <c r="B3042">
        <v>75.169275161893495</v>
      </c>
      <c r="C3042">
        <v>2000</v>
      </c>
    </row>
    <row r="3043" spans="1:11" x14ac:dyDescent="0.25">
      <c r="A3043">
        <v>49.456332161764998</v>
      </c>
      <c r="B3043">
        <v>74.407099311434095</v>
      </c>
      <c r="C3043">
        <v>2000</v>
      </c>
    </row>
    <row r="3044" spans="1:11" x14ac:dyDescent="0.25">
      <c r="A3044">
        <v>49.019316137316103</v>
      </c>
      <c r="B3044">
        <v>74.844115335882904</v>
      </c>
      <c r="C3044">
        <v>2001</v>
      </c>
    </row>
    <row r="3045" spans="1:11" x14ac:dyDescent="0.25">
      <c r="A3045">
        <v>49.781491987775603</v>
      </c>
      <c r="B3045">
        <v>75.606291186342304</v>
      </c>
      <c r="C3045">
        <v>2001</v>
      </c>
    </row>
    <row r="3046" spans="1:11" x14ac:dyDescent="0.25">
      <c r="A3046">
        <v>55.997348028704003</v>
      </c>
      <c r="B3046">
        <v>81.822147227270804</v>
      </c>
      <c r="C3046">
        <v>2001</v>
      </c>
    </row>
    <row r="3047" spans="1:11" x14ac:dyDescent="0.25">
      <c r="A3047">
        <v>62.245516948295503</v>
      </c>
      <c r="B3047">
        <v>88.070316146862197</v>
      </c>
      <c r="C3047">
        <v>2001</v>
      </c>
    </row>
    <row r="3048" spans="1:11" x14ac:dyDescent="0.25">
      <c r="A3048">
        <v>62.682532972744298</v>
      </c>
      <c r="B3048">
        <v>87.633300122413402</v>
      </c>
      <c r="C3048">
        <v>2000</v>
      </c>
    </row>
    <row r="3049" spans="1:11" x14ac:dyDescent="0.25">
      <c r="A3049" t="s">
        <v>88</v>
      </c>
    </row>
    <row r="3050" spans="1:11" x14ac:dyDescent="0.25">
      <c r="A3050">
        <v>167</v>
      </c>
      <c r="B3050">
        <v>0</v>
      </c>
      <c r="C3050">
        <v>15.8134341163331</v>
      </c>
      <c r="D3050">
        <v>2.7043238892747201</v>
      </c>
      <c r="E3050">
        <v>6</v>
      </c>
      <c r="F3050">
        <v>1.5707963267949001</v>
      </c>
      <c r="G3050" t="s">
        <v>86</v>
      </c>
      <c r="H3050" t="s">
        <v>85</v>
      </c>
      <c r="I3050">
        <v>172</v>
      </c>
      <c r="J3050">
        <v>0</v>
      </c>
      <c r="K3050">
        <v>0</v>
      </c>
    </row>
    <row r="3051" spans="1:11" x14ac:dyDescent="0.25">
      <c r="A3051" t="s">
        <v>87</v>
      </c>
    </row>
    <row r="3052" spans="1:11" x14ac:dyDescent="0.25">
      <c r="A3052">
        <v>123.246754437334</v>
      </c>
      <c r="B3052">
        <v>148.08775423936899</v>
      </c>
      <c r="C3052">
        <v>2000</v>
      </c>
    </row>
    <row r="3053" spans="1:11" x14ac:dyDescent="0.25">
      <c r="A3053">
        <v>112.06496793982799</v>
      </c>
      <c r="B3053">
        <v>136.90596774186301</v>
      </c>
      <c r="C3053">
        <v>2000</v>
      </c>
    </row>
    <row r="3054" spans="1:11" x14ac:dyDescent="0.25">
      <c r="A3054">
        <v>112.06496793982799</v>
      </c>
      <c r="B3054">
        <v>136.90596774186301</v>
      </c>
      <c r="C3054">
        <v>2001</v>
      </c>
    </row>
    <row r="3055" spans="1:11" x14ac:dyDescent="0.25">
      <c r="A3055">
        <v>123.246754437334</v>
      </c>
      <c r="B3055">
        <v>148.08775423936899</v>
      </c>
      <c r="C3055">
        <v>2001</v>
      </c>
    </row>
    <row r="3056" spans="1:11" x14ac:dyDescent="0.25">
      <c r="A3056">
        <v>125.159000197965</v>
      </c>
      <c r="B3056">
        <v>150</v>
      </c>
      <c r="C3056">
        <v>2001</v>
      </c>
    </row>
    <row r="3057" spans="1:11" x14ac:dyDescent="0.25">
      <c r="A3057">
        <v>125.159000197965</v>
      </c>
      <c r="B3057">
        <v>150</v>
      </c>
      <c r="C3057">
        <v>2000</v>
      </c>
    </row>
    <row r="3058" spans="1:11" x14ac:dyDescent="0.25">
      <c r="A3058" t="s">
        <v>88</v>
      </c>
    </row>
    <row r="3059" spans="1:11" x14ac:dyDescent="0.25">
      <c r="A3059">
        <v>173</v>
      </c>
      <c r="B3059">
        <v>0</v>
      </c>
      <c r="C3059">
        <v>0</v>
      </c>
      <c r="D3059">
        <v>18.193619897713301</v>
      </c>
      <c r="E3059">
        <v>4</v>
      </c>
      <c r="F3059">
        <v>1.5707963267949001</v>
      </c>
      <c r="G3059" t="s">
        <v>86</v>
      </c>
      <c r="H3059" t="s">
        <v>85</v>
      </c>
      <c r="I3059">
        <v>198</v>
      </c>
      <c r="J3059">
        <v>0</v>
      </c>
      <c r="K3059">
        <v>0</v>
      </c>
    </row>
    <row r="3060" spans="1:11" x14ac:dyDescent="0.25">
      <c r="A3060" t="s">
        <v>87</v>
      </c>
    </row>
    <row r="3061" spans="1:11" x14ac:dyDescent="0.25">
      <c r="A3061">
        <v>134.12793794839101</v>
      </c>
      <c r="B3061">
        <v>137.135167995996</v>
      </c>
      <c r="C3061">
        <v>2000</v>
      </c>
    </row>
    <row r="3062" spans="1:11" x14ac:dyDescent="0.25">
      <c r="A3062">
        <v>134.12793794839101</v>
      </c>
      <c r="B3062">
        <v>137.135167995996</v>
      </c>
      <c r="C3062">
        <v>2001</v>
      </c>
    </row>
    <row r="3063" spans="1:11" x14ac:dyDescent="0.25">
      <c r="A3063">
        <v>146.99276995239401</v>
      </c>
      <c r="B3063">
        <v>150</v>
      </c>
      <c r="C3063">
        <v>2001</v>
      </c>
    </row>
    <row r="3064" spans="1:11" x14ac:dyDescent="0.25">
      <c r="A3064">
        <v>146.99276995239401</v>
      </c>
      <c r="B3064">
        <v>150</v>
      </c>
      <c r="C3064">
        <v>2000</v>
      </c>
    </row>
    <row r="3065" spans="1:11" x14ac:dyDescent="0.25">
      <c r="A3065" t="s">
        <v>88</v>
      </c>
    </row>
    <row r="3066" spans="1:11" x14ac:dyDescent="0.25">
      <c r="A3066">
        <v>322</v>
      </c>
      <c r="B3066">
        <v>0</v>
      </c>
      <c r="C3066">
        <v>0</v>
      </c>
      <c r="D3066">
        <v>18.140964325191799</v>
      </c>
      <c r="E3066">
        <v>6</v>
      </c>
      <c r="F3066">
        <v>1.5707963267949001</v>
      </c>
      <c r="G3066" t="s">
        <v>86</v>
      </c>
      <c r="H3066" t="s">
        <v>85</v>
      </c>
      <c r="I3066">
        <v>324</v>
      </c>
      <c r="J3066">
        <v>0</v>
      </c>
      <c r="K3066">
        <v>0</v>
      </c>
    </row>
    <row r="3067" spans="1:11" x14ac:dyDescent="0.25">
      <c r="A3067" t="s">
        <v>87</v>
      </c>
    </row>
    <row r="3068" spans="1:11" x14ac:dyDescent="0.25">
      <c r="A3068">
        <v>137.17240110839401</v>
      </c>
      <c r="B3068">
        <v>44.922729998325302</v>
      </c>
      <c r="C3068">
        <v>2000</v>
      </c>
    </row>
    <row r="3069" spans="1:11" x14ac:dyDescent="0.25">
      <c r="A3069">
        <v>137.17240110839401</v>
      </c>
      <c r="B3069">
        <v>44.922729998325302</v>
      </c>
      <c r="C3069">
        <v>2001</v>
      </c>
    </row>
    <row r="3070" spans="1:11" x14ac:dyDescent="0.25">
      <c r="A3070">
        <v>142.24967111006799</v>
      </c>
      <c r="B3070">
        <v>50</v>
      </c>
      <c r="C3070">
        <v>2001</v>
      </c>
    </row>
    <row r="3071" spans="1:11" x14ac:dyDescent="0.25">
      <c r="A3071">
        <v>150</v>
      </c>
      <c r="B3071">
        <v>57.750328889931701</v>
      </c>
      <c r="C3071">
        <v>2001</v>
      </c>
    </row>
    <row r="3072" spans="1:11" x14ac:dyDescent="0.25">
      <c r="A3072">
        <v>150</v>
      </c>
      <c r="B3072">
        <v>57.750328889931701</v>
      </c>
      <c r="C3072">
        <v>2000</v>
      </c>
    </row>
    <row r="3073" spans="1:11" x14ac:dyDescent="0.25">
      <c r="A3073">
        <v>142.24967111006799</v>
      </c>
      <c r="B3073">
        <v>50</v>
      </c>
      <c r="C3073">
        <v>2000</v>
      </c>
    </row>
    <row r="3074" spans="1:11" x14ac:dyDescent="0.25">
      <c r="A3074" t="s">
        <v>88</v>
      </c>
    </row>
    <row r="3075" spans="1:11" x14ac:dyDescent="0.25">
      <c r="A3075">
        <v>99</v>
      </c>
      <c r="B3075">
        <v>0</v>
      </c>
      <c r="C3075">
        <v>12.4337844916001</v>
      </c>
      <c r="D3075">
        <v>5.4049541614023404</v>
      </c>
      <c r="E3075">
        <v>6</v>
      </c>
      <c r="F3075">
        <v>1.5707963267949001</v>
      </c>
      <c r="G3075" t="s">
        <v>85</v>
      </c>
      <c r="H3075" t="s">
        <v>86</v>
      </c>
      <c r="I3075">
        <v>0</v>
      </c>
      <c r="J3075">
        <v>82</v>
      </c>
      <c r="K3075">
        <v>0</v>
      </c>
    </row>
    <row r="3076" spans="1:11" x14ac:dyDescent="0.25">
      <c r="A3076" t="s">
        <v>87</v>
      </c>
    </row>
    <row r="3077" spans="1:11" x14ac:dyDescent="0.25">
      <c r="A3077">
        <v>70.269438238008604</v>
      </c>
      <c r="B3077">
        <v>8.79201332982257</v>
      </c>
      <c r="C3077">
        <v>2000</v>
      </c>
    </row>
    <row r="3078" spans="1:11" x14ac:dyDescent="0.25">
      <c r="A3078">
        <v>61.477424908186002</v>
      </c>
      <c r="B3078">
        <v>0</v>
      </c>
      <c r="C3078">
        <v>2000</v>
      </c>
    </row>
    <row r="3079" spans="1:11" x14ac:dyDescent="0.25">
      <c r="A3079">
        <v>61.477424908186002</v>
      </c>
      <c r="B3079">
        <v>0</v>
      </c>
      <c r="C3079">
        <v>2001</v>
      </c>
    </row>
    <row r="3080" spans="1:11" x14ac:dyDescent="0.25">
      <c r="A3080">
        <v>70.269438238008604</v>
      </c>
      <c r="B3080">
        <v>8.79201332982257</v>
      </c>
      <c r="C3080">
        <v>2001</v>
      </c>
    </row>
    <row r="3081" spans="1:11" x14ac:dyDescent="0.25">
      <c r="A3081">
        <v>74.091317977538694</v>
      </c>
      <c r="B3081">
        <v>12.613893069352599</v>
      </c>
      <c r="C3081">
        <v>2001</v>
      </c>
    </row>
    <row r="3082" spans="1:11" x14ac:dyDescent="0.25">
      <c r="A3082">
        <v>74.091317977538694</v>
      </c>
      <c r="B3082">
        <v>12.613893069352599</v>
      </c>
      <c r="C3082">
        <v>2000</v>
      </c>
    </row>
    <row r="3083" spans="1:11" x14ac:dyDescent="0.25">
      <c r="A3083" t="s">
        <v>88</v>
      </c>
    </row>
    <row r="3084" spans="1:11" x14ac:dyDescent="0.25">
      <c r="A3084">
        <v>91</v>
      </c>
      <c r="B3084">
        <v>0</v>
      </c>
      <c r="C3084">
        <v>17.623480017650799</v>
      </c>
      <c r="D3084">
        <v>0</v>
      </c>
      <c r="E3084">
        <v>7</v>
      </c>
      <c r="F3084">
        <v>1.5707963267949001</v>
      </c>
      <c r="G3084" t="s">
        <v>85</v>
      </c>
      <c r="H3084" t="s">
        <v>86</v>
      </c>
      <c r="I3084">
        <v>0</v>
      </c>
      <c r="J3084">
        <v>83</v>
      </c>
      <c r="K3084">
        <v>0</v>
      </c>
    </row>
    <row r="3085" spans="1:11" x14ac:dyDescent="0.25">
      <c r="A3085" t="s">
        <v>87</v>
      </c>
    </row>
    <row r="3086" spans="1:11" x14ac:dyDescent="0.25">
      <c r="A3086">
        <v>56.383635525770302</v>
      </c>
      <c r="B3086">
        <v>12.461682228586501</v>
      </c>
      <c r="C3086">
        <v>2000</v>
      </c>
    </row>
    <row r="3087" spans="1:11" x14ac:dyDescent="0.25">
      <c r="A3087">
        <v>50</v>
      </c>
      <c r="B3087">
        <v>6.07804670281618</v>
      </c>
      <c r="C3087">
        <v>2000</v>
      </c>
    </row>
    <row r="3088" spans="1:11" x14ac:dyDescent="0.25">
      <c r="A3088">
        <v>43.921953297183798</v>
      </c>
      <c r="B3088">
        <v>0</v>
      </c>
      <c r="C3088">
        <v>2000</v>
      </c>
    </row>
    <row r="3089" spans="1:11" x14ac:dyDescent="0.25">
      <c r="A3089">
        <v>43.921953297183798</v>
      </c>
      <c r="B3089">
        <v>0</v>
      </c>
      <c r="C3089">
        <v>2001</v>
      </c>
    </row>
    <row r="3090" spans="1:11" x14ac:dyDescent="0.25">
      <c r="A3090">
        <v>50</v>
      </c>
      <c r="B3090">
        <v>6.07804670281618</v>
      </c>
      <c r="C3090">
        <v>2001</v>
      </c>
    </row>
    <row r="3091" spans="1:11" x14ac:dyDescent="0.25">
      <c r="A3091">
        <v>56.383635525770302</v>
      </c>
      <c r="B3091">
        <v>12.461682228586501</v>
      </c>
      <c r="C3091">
        <v>2001</v>
      </c>
    </row>
    <row r="3092" spans="1:11" x14ac:dyDescent="0.25">
      <c r="A3092">
        <v>56.383635525770302</v>
      </c>
      <c r="B3092">
        <v>12.461682228586501</v>
      </c>
      <c r="C3092">
        <v>2000</v>
      </c>
    </row>
    <row r="3093" spans="1:11" x14ac:dyDescent="0.25">
      <c r="A3093" t="s">
        <v>88</v>
      </c>
    </row>
    <row r="3094" spans="1:11" x14ac:dyDescent="0.25">
      <c r="A3094">
        <v>244</v>
      </c>
      <c r="B3094">
        <v>0</v>
      </c>
      <c r="C3094">
        <v>5.0046961953269999</v>
      </c>
      <c r="D3094">
        <v>12.1496771954675</v>
      </c>
      <c r="E3094">
        <v>6</v>
      </c>
      <c r="F3094">
        <v>1.5707963267949001</v>
      </c>
      <c r="G3094" t="s">
        <v>86</v>
      </c>
      <c r="H3094" t="s">
        <v>85</v>
      </c>
      <c r="I3094">
        <v>246</v>
      </c>
      <c r="J3094">
        <v>0</v>
      </c>
      <c r="K3094">
        <v>0</v>
      </c>
    </row>
    <row r="3095" spans="1:11" x14ac:dyDescent="0.25">
      <c r="A3095" t="s">
        <v>87</v>
      </c>
    </row>
    <row r="3096" spans="1:11" x14ac:dyDescent="0.25">
      <c r="A3096">
        <v>69.051394201373398</v>
      </c>
      <c r="B3096">
        <v>141.40888086585699</v>
      </c>
      <c r="C3096">
        <v>2000</v>
      </c>
    </row>
    <row r="3097" spans="1:11" x14ac:dyDescent="0.25">
      <c r="A3097">
        <v>65.512539583879203</v>
      </c>
      <c r="B3097">
        <v>137.87002624836299</v>
      </c>
      <c r="C3097">
        <v>2000</v>
      </c>
    </row>
    <row r="3098" spans="1:11" x14ac:dyDescent="0.25">
      <c r="A3098">
        <v>65.512539583879203</v>
      </c>
      <c r="B3098">
        <v>137.87002624836299</v>
      </c>
      <c r="C3098">
        <v>2001</v>
      </c>
    </row>
    <row r="3099" spans="1:11" x14ac:dyDescent="0.25">
      <c r="A3099">
        <v>69.051394201373398</v>
      </c>
      <c r="B3099">
        <v>141.40888086585699</v>
      </c>
      <c r="C3099">
        <v>2001</v>
      </c>
    </row>
    <row r="3100" spans="1:11" x14ac:dyDescent="0.25">
      <c r="A3100">
        <v>77.642513335516</v>
      </c>
      <c r="B3100">
        <v>150</v>
      </c>
      <c r="C3100">
        <v>2001</v>
      </c>
    </row>
    <row r="3101" spans="1:11" x14ac:dyDescent="0.25">
      <c r="A3101">
        <v>77.642513335516</v>
      </c>
      <c r="B3101">
        <v>150</v>
      </c>
      <c r="C3101">
        <v>2000</v>
      </c>
    </row>
    <row r="3102" spans="1:11" x14ac:dyDescent="0.25">
      <c r="A3102" t="s">
        <v>88</v>
      </c>
    </row>
    <row r="3103" spans="1:11" x14ac:dyDescent="0.25">
      <c r="A3103">
        <v>345</v>
      </c>
      <c r="B3103">
        <v>0</v>
      </c>
      <c r="C3103">
        <v>6.2997322745679298</v>
      </c>
      <c r="D3103">
        <v>10.8538390479717</v>
      </c>
      <c r="E3103">
        <v>6</v>
      </c>
      <c r="F3103">
        <v>1.01722196789785</v>
      </c>
      <c r="G3103" t="s">
        <v>86</v>
      </c>
      <c r="H3103" t="s">
        <v>85</v>
      </c>
      <c r="I3103">
        <v>335</v>
      </c>
      <c r="J3103">
        <v>0</v>
      </c>
      <c r="K3103">
        <v>0</v>
      </c>
    </row>
    <row r="3104" spans="1:11" x14ac:dyDescent="0.25">
      <c r="A3104" t="s">
        <v>87</v>
      </c>
    </row>
    <row r="3105" spans="1:11" x14ac:dyDescent="0.25">
      <c r="A3105">
        <v>142.18691692244801</v>
      </c>
      <c r="B3105">
        <v>26.698563900302901</v>
      </c>
      <c r="C3105">
        <v>2000</v>
      </c>
    </row>
    <row r="3106" spans="1:11" x14ac:dyDescent="0.25">
      <c r="A3106">
        <v>137.65208538404099</v>
      </c>
      <c r="B3106">
        <v>22.1637323618958</v>
      </c>
      <c r="C3106">
        <v>2000</v>
      </c>
    </row>
    <row r="3107" spans="1:11" x14ac:dyDescent="0.25">
      <c r="A3107">
        <v>138.08910140849</v>
      </c>
      <c r="B3107">
        <v>21.726716337447002</v>
      </c>
      <c r="C3107">
        <v>2001</v>
      </c>
    </row>
    <row r="3108" spans="1:11" x14ac:dyDescent="0.25">
      <c r="A3108">
        <v>142.463436692096</v>
      </c>
      <c r="B3108">
        <v>26.101051621053401</v>
      </c>
      <c r="C3108">
        <v>2001</v>
      </c>
    </row>
    <row r="3109" spans="1:11" x14ac:dyDescent="0.25">
      <c r="A3109">
        <v>150</v>
      </c>
      <c r="B3109">
        <v>33.637614928957397</v>
      </c>
      <c r="C3109">
        <v>2001</v>
      </c>
    </row>
    <row r="3110" spans="1:11" x14ac:dyDescent="0.25">
      <c r="A3110">
        <v>150</v>
      </c>
      <c r="B3110">
        <v>34.511646977855101</v>
      </c>
      <c r="C3110">
        <v>2000</v>
      </c>
    </row>
    <row r="3111" spans="1:11" x14ac:dyDescent="0.25">
      <c r="A3111" t="s">
        <v>88</v>
      </c>
    </row>
    <row r="3112" spans="1:11" x14ac:dyDescent="0.25">
      <c r="A3112">
        <v>649</v>
      </c>
      <c r="B3112">
        <v>0</v>
      </c>
      <c r="C3112">
        <v>2.2283821953784599</v>
      </c>
      <c r="D3112">
        <v>14.900376333869801</v>
      </c>
      <c r="E3112">
        <v>8</v>
      </c>
      <c r="F3112">
        <v>1.5707963267949001</v>
      </c>
      <c r="G3112" t="s">
        <v>86</v>
      </c>
      <c r="H3112" t="s">
        <v>86</v>
      </c>
      <c r="I3112">
        <v>3</v>
      </c>
      <c r="J3112">
        <v>494</v>
      </c>
      <c r="K3112">
        <v>0</v>
      </c>
    </row>
    <row r="3113" spans="1:11" x14ac:dyDescent="0.25">
      <c r="A3113" t="s">
        <v>87</v>
      </c>
    </row>
    <row r="3114" spans="1:11" x14ac:dyDescent="0.25">
      <c r="A3114">
        <v>43.943598304848898</v>
      </c>
      <c r="B3114">
        <v>62.136125546943397</v>
      </c>
      <c r="C3114">
        <v>2000</v>
      </c>
    </row>
    <row r="3115" spans="1:11" x14ac:dyDescent="0.25">
      <c r="A3115">
        <v>42.367894143421502</v>
      </c>
      <c r="B3115">
        <v>60.560421385516001</v>
      </c>
      <c r="C3115">
        <v>2000</v>
      </c>
    </row>
    <row r="3116" spans="1:11" x14ac:dyDescent="0.25">
      <c r="A3116">
        <v>42.367894143421502</v>
      </c>
      <c r="B3116">
        <v>60.560421385516001</v>
      </c>
      <c r="C3116">
        <v>2001</v>
      </c>
    </row>
    <row r="3117" spans="1:11" x14ac:dyDescent="0.25">
      <c r="A3117">
        <v>43.943598304848898</v>
      </c>
      <c r="B3117">
        <v>62.136125546943397</v>
      </c>
      <c r="C3117">
        <v>2001</v>
      </c>
    </row>
    <row r="3118" spans="1:11" x14ac:dyDescent="0.25">
      <c r="A3118">
        <v>50</v>
      </c>
      <c r="B3118">
        <v>68.192527242094499</v>
      </c>
      <c r="C3118">
        <v>2001</v>
      </c>
    </row>
    <row r="3119" spans="1:11" x14ac:dyDescent="0.25">
      <c r="A3119">
        <v>54.479755452759797</v>
      </c>
      <c r="B3119">
        <v>72.672282694854403</v>
      </c>
      <c r="C3119">
        <v>2001</v>
      </c>
    </row>
    <row r="3120" spans="1:11" x14ac:dyDescent="0.25">
      <c r="A3120">
        <v>54.479755452759797</v>
      </c>
      <c r="B3120">
        <v>72.672282694854403</v>
      </c>
      <c r="C3120">
        <v>2000</v>
      </c>
    </row>
    <row r="3121" spans="1:11" x14ac:dyDescent="0.25">
      <c r="A3121">
        <v>50</v>
      </c>
      <c r="B3121">
        <v>68.192527242094499</v>
      </c>
      <c r="C3121">
        <v>2000</v>
      </c>
    </row>
    <row r="3122" spans="1:11" x14ac:dyDescent="0.25">
      <c r="A3122" t="s">
        <v>88</v>
      </c>
    </row>
    <row r="3123" spans="1:11" x14ac:dyDescent="0.25">
      <c r="A3123">
        <v>165</v>
      </c>
      <c r="B3123">
        <v>0</v>
      </c>
      <c r="C3123">
        <v>12.4719192630153</v>
      </c>
      <c r="D3123">
        <v>4.5829721023201602</v>
      </c>
      <c r="E3123">
        <v>8</v>
      </c>
      <c r="F3123">
        <v>1.5707963267949001</v>
      </c>
      <c r="G3123" t="s">
        <v>86</v>
      </c>
      <c r="H3123" t="s">
        <v>86</v>
      </c>
      <c r="I3123">
        <v>256</v>
      </c>
      <c r="J3123">
        <v>171</v>
      </c>
      <c r="K3123">
        <v>0</v>
      </c>
    </row>
    <row r="3124" spans="1:11" x14ac:dyDescent="0.25">
      <c r="A3124" t="s">
        <v>87</v>
      </c>
    </row>
    <row r="3125" spans="1:11" x14ac:dyDescent="0.25">
      <c r="A3125">
        <v>108.38153844623901</v>
      </c>
      <c r="B3125">
        <v>139.929248783704</v>
      </c>
      <c r="C3125">
        <v>2000</v>
      </c>
    </row>
    <row r="3126" spans="1:11" x14ac:dyDescent="0.25">
      <c r="A3126">
        <v>100</v>
      </c>
      <c r="B3126">
        <v>131.54771033746499</v>
      </c>
      <c r="C3126">
        <v>2000</v>
      </c>
    </row>
    <row r="3127" spans="1:11" x14ac:dyDescent="0.25">
      <c r="A3127">
        <v>99.562559760949696</v>
      </c>
      <c r="B3127">
        <v>131.11027009841499</v>
      </c>
      <c r="C3127">
        <v>2000</v>
      </c>
    </row>
    <row r="3128" spans="1:11" x14ac:dyDescent="0.25">
      <c r="A3128">
        <v>99.562559760949696</v>
      </c>
      <c r="B3128">
        <v>131.11027009841499</v>
      </c>
      <c r="C3128">
        <v>2001</v>
      </c>
    </row>
    <row r="3129" spans="1:11" x14ac:dyDescent="0.25">
      <c r="A3129">
        <v>100</v>
      </c>
      <c r="B3129">
        <v>131.54771033746499</v>
      </c>
      <c r="C3129">
        <v>2001</v>
      </c>
    </row>
    <row r="3130" spans="1:11" x14ac:dyDescent="0.25">
      <c r="A3130">
        <v>108.38153844623901</v>
      </c>
      <c r="B3130">
        <v>139.929248783704</v>
      </c>
      <c r="C3130">
        <v>2001</v>
      </c>
    </row>
    <row r="3131" spans="1:11" x14ac:dyDescent="0.25">
      <c r="A3131">
        <v>111.622189097778</v>
      </c>
      <c r="B3131">
        <v>143.16989943524399</v>
      </c>
      <c r="C3131">
        <v>2001</v>
      </c>
    </row>
    <row r="3132" spans="1:11" x14ac:dyDescent="0.25">
      <c r="A3132">
        <v>111.622189097778</v>
      </c>
      <c r="B3132">
        <v>143.16989943524399</v>
      </c>
      <c r="C3132">
        <v>2000</v>
      </c>
    </row>
    <row r="3133" spans="1:11" x14ac:dyDescent="0.25">
      <c r="A3133" t="s">
        <v>88</v>
      </c>
    </row>
    <row r="3134" spans="1:11" x14ac:dyDescent="0.25">
      <c r="A3134">
        <v>246</v>
      </c>
      <c r="B3134">
        <v>0</v>
      </c>
      <c r="C3134">
        <v>12.4719192630105</v>
      </c>
      <c r="D3134">
        <v>4.5829721023201602</v>
      </c>
      <c r="E3134">
        <v>6</v>
      </c>
      <c r="F3134">
        <v>1.5707963267949001</v>
      </c>
      <c r="G3134" t="s">
        <v>86</v>
      </c>
      <c r="H3134" t="s">
        <v>86</v>
      </c>
      <c r="I3134">
        <v>580</v>
      </c>
      <c r="J3134">
        <v>243</v>
      </c>
      <c r="K3134">
        <v>0</v>
      </c>
    </row>
    <row r="3135" spans="1:11" x14ac:dyDescent="0.25">
      <c r="A3135" t="s">
        <v>87</v>
      </c>
    </row>
    <row r="3136" spans="1:11" x14ac:dyDescent="0.25">
      <c r="A3136">
        <v>61.4739715407947</v>
      </c>
      <c r="B3136">
        <v>135.427292988369</v>
      </c>
      <c r="C3136">
        <v>2000</v>
      </c>
    </row>
    <row r="3137" spans="1:11" x14ac:dyDescent="0.25">
      <c r="A3137">
        <v>52.654992855508901</v>
      </c>
      <c r="B3137">
        <v>126.60831430308301</v>
      </c>
      <c r="C3137">
        <v>2000</v>
      </c>
    </row>
    <row r="3138" spans="1:11" x14ac:dyDescent="0.25">
      <c r="A3138">
        <v>52.654992855508901</v>
      </c>
      <c r="B3138">
        <v>126.60831430308301</v>
      </c>
      <c r="C3138">
        <v>2001</v>
      </c>
    </row>
    <row r="3139" spans="1:11" x14ac:dyDescent="0.25">
      <c r="A3139">
        <v>61.4739715407947</v>
      </c>
      <c r="B3139">
        <v>135.427292988369</v>
      </c>
      <c r="C3139">
        <v>2001</v>
      </c>
    </row>
    <row r="3140" spans="1:11" x14ac:dyDescent="0.25">
      <c r="A3140">
        <v>64.714622192334105</v>
      </c>
      <c r="B3140">
        <v>138.667943639908</v>
      </c>
      <c r="C3140">
        <v>2001</v>
      </c>
    </row>
    <row r="3141" spans="1:11" x14ac:dyDescent="0.25">
      <c r="A3141">
        <v>64.714622192334105</v>
      </c>
      <c r="B3141">
        <v>138.667943639908</v>
      </c>
      <c r="C3141">
        <v>2000</v>
      </c>
    </row>
    <row r="3142" spans="1:11" x14ac:dyDescent="0.25">
      <c r="A3142" t="s">
        <v>88</v>
      </c>
    </row>
    <row r="3143" spans="1:11" x14ac:dyDescent="0.25">
      <c r="A3143">
        <v>103</v>
      </c>
      <c r="B3143">
        <v>0</v>
      </c>
      <c r="C3143">
        <v>4.0710385831740901</v>
      </c>
      <c r="D3143">
        <v>12.9736915688759</v>
      </c>
      <c r="E3143">
        <v>6</v>
      </c>
      <c r="F3143">
        <v>1.01722196789785</v>
      </c>
      <c r="G3143" t="s">
        <v>86</v>
      </c>
      <c r="H3143" t="s">
        <v>86</v>
      </c>
      <c r="I3143">
        <v>120</v>
      </c>
      <c r="J3143">
        <v>734</v>
      </c>
      <c r="K3143">
        <v>0</v>
      </c>
    </row>
    <row r="3144" spans="1:11" x14ac:dyDescent="0.25">
      <c r="A3144" t="s">
        <v>87</v>
      </c>
    </row>
    <row r="3145" spans="1:11" x14ac:dyDescent="0.25">
      <c r="A3145">
        <v>79.624283924985093</v>
      </c>
      <c r="B3145">
        <v>23.359283148482898</v>
      </c>
      <c r="C3145">
        <v>2000</v>
      </c>
    </row>
    <row r="3146" spans="1:11" x14ac:dyDescent="0.25">
      <c r="A3146">
        <v>76.745624936350595</v>
      </c>
      <c r="B3146">
        <v>20.4806241598484</v>
      </c>
      <c r="C3146">
        <v>2000</v>
      </c>
    </row>
    <row r="3147" spans="1:11" x14ac:dyDescent="0.25">
      <c r="A3147">
        <v>76.3086089119018</v>
      </c>
      <c r="B3147">
        <v>20.917640184297198</v>
      </c>
      <c r="C3147">
        <v>2001</v>
      </c>
    </row>
    <row r="3148" spans="1:11" x14ac:dyDescent="0.25">
      <c r="A3148">
        <v>79.187267900536199</v>
      </c>
      <c r="B3148">
        <v>23.7962991729317</v>
      </c>
      <c r="C3148">
        <v>2001</v>
      </c>
    </row>
    <row r="3149" spans="1:11" x14ac:dyDescent="0.25">
      <c r="A3149">
        <v>88.361053185911103</v>
      </c>
      <c r="B3149">
        <v>32.970084458306502</v>
      </c>
      <c r="C3149">
        <v>2001</v>
      </c>
    </row>
    <row r="3150" spans="1:11" x14ac:dyDescent="0.25">
      <c r="A3150">
        <v>88.798069210359898</v>
      </c>
      <c r="B3150">
        <v>32.5330684338577</v>
      </c>
      <c r="C3150">
        <v>2000</v>
      </c>
    </row>
    <row r="3151" spans="1:11" x14ac:dyDescent="0.25">
      <c r="A3151" t="s">
        <v>88</v>
      </c>
    </row>
    <row r="3152" spans="1:11" x14ac:dyDescent="0.25">
      <c r="A3152">
        <v>11</v>
      </c>
      <c r="B3152">
        <v>0</v>
      </c>
      <c r="C3152">
        <v>15.358475450395201</v>
      </c>
      <c r="D3152">
        <v>1.6184910789265701</v>
      </c>
      <c r="E3152">
        <v>6</v>
      </c>
      <c r="F3152">
        <v>1.5707963267949001</v>
      </c>
      <c r="G3152" t="s">
        <v>85</v>
      </c>
      <c r="H3152" t="s">
        <v>86</v>
      </c>
      <c r="I3152">
        <v>0</v>
      </c>
      <c r="J3152">
        <v>8</v>
      </c>
      <c r="K3152">
        <v>0</v>
      </c>
    </row>
    <row r="3153" spans="1:11" x14ac:dyDescent="0.25">
      <c r="A3153" t="s">
        <v>87</v>
      </c>
    </row>
    <row r="3154" spans="1:11" x14ac:dyDescent="0.25">
      <c r="A3154">
        <v>17.190940057482099</v>
      </c>
      <c r="B3154">
        <v>10.8600821396616</v>
      </c>
      <c r="C3154">
        <v>2000</v>
      </c>
    </row>
    <row r="3155" spans="1:11" x14ac:dyDescent="0.25">
      <c r="A3155">
        <v>6.3308579178204996</v>
      </c>
      <c r="B3155">
        <v>0</v>
      </c>
      <c r="C3155">
        <v>2000</v>
      </c>
    </row>
    <row r="3156" spans="1:11" x14ac:dyDescent="0.25">
      <c r="A3156">
        <v>6.3308579178204996</v>
      </c>
      <c r="B3156">
        <v>0</v>
      </c>
      <c r="C3156">
        <v>2001</v>
      </c>
    </row>
    <row r="3157" spans="1:11" x14ac:dyDescent="0.25">
      <c r="A3157">
        <v>17.190940057482099</v>
      </c>
      <c r="B3157">
        <v>10.8600821396616</v>
      </c>
      <c r="C3157">
        <v>2001</v>
      </c>
    </row>
    <row r="3158" spans="1:11" x14ac:dyDescent="0.25">
      <c r="A3158">
        <v>18.335386074681001</v>
      </c>
      <c r="B3158">
        <v>12.0045281568605</v>
      </c>
      <c r="C3158">
        <v>2001</v>
      </c>
    </row>
    <row r="3159" spans="1:11" x14ac:dyDescent="0.25">
      <c r="A3159">
        <v>18.335386074681001</v>
      </c>
      <c r="B3159">
        <v>12.0045281568605</v>
      </c>
      <c r="C3159">
        <v>2000</v>
      </c>
    </row>
    <row r="3160" spans="1:11" x14ac:dyDescent="0.25">
      <c r="A3160" t="s">
        <v>88</v>
      </c>
    </row>
    <row r="3161" spans="1:11" x14ac:dyDescent="0.25">
      <c r="A3161">
        <v>344</v>
      </c>
      <c r="B3161">
        <v>0</v>
      </c>
      <c r="C3161">
        <v>12.9044895055473</v>
      </c>
      <c r="D3161">
        <v>4.0682211464406404</v>
      </c>
      <c r="E3161">
        <v>6</v>
      </c>
      <c r="F3161">
        <v>1.01722196789785</v>
      </c>
      <c r="G3161" t="s">
        <v>86</v>
      </c>
      <c r="H3161" t="s">
        <v>86</v>
      </c>
      <c r="I3161">
        <v>357</v>
      </c>
      <c r="J3161">
        <v>323</v>
      </c>
      <c r="K3161">
        <v>0</v>
      </c>
    </row>
    <row r="3162" spans="1:11" x14ac:dyDescent="0.25">
      <c r="A3162" t="s">
        <v>87</v>
      </c>
    </row>
    <row r="3163" spans="1:11" x14ac:dyDescent="0.25">
      <c r="A3163">
        <v>119.647195610515</v>
      </c>
      <c r="B3163">
        <v>24.004152995075</v>
      </c>
      <c r="C3163">
        <v>2000</v>
      </c>
    </row>
    <row r="3164" spans="1:11" x14ac:dyDescent="0.25">
      <c r="A3164">
        <v>110.522343573391</v>
      </c>
      <c r="B3164">
        <v>14.8793009579519</v>
      </c>
      <c r="C3164">
        <v>2000</v>
      </c>
    </row>
    <row r="3165" spans="1:11" x14ac:dyDescent="0.25">
      <c r="A3165">
        <v>110.085327548943</v>
      </c>
      <c r="B3165">
        <v>15.3163169824007</v>
      </c>
      <c r="C3165">
        <v>2001</v>
      </c>
    </row>
    <row r="3166" spans="1:11" x14ac:dyDescent="0.25">
      <c r="A3166">
        <v>119.210179586066</v>
      </c>
      <c r="B3166">
        <v>24.441169019523802</v>
      </c>
      <c r="C3166">
        <v>2001</v>
      </c>
    </row>
    <row r="3167" spans="1:11" x14ac:dyDescent="0.25">
      <c r="A3167">
        <v>122.086846346081</v>
      </c>
      <c r="B3167">
        <v>27.317835779538498</v>
      </c>
      <c r="C3167">
        <v>2001</v>
      </c>
    </row>
    <row r="3168" spans="1:11" x14ac:dyDescent="0.25">
      <c r="A3168">
        <v>122.523862370529</v>
      </c>
      <c r="B3168">
        <v>26.8808197550897</v>
      </c>
      <c r="C3168">
        <v>2000</v>
      </c>
    </row>
    <row r="3169" spans="1:11" x14ac:dyDescent="0.25">
      <c r="A3169" t="s">
        <v>88</v>
      </c>
    </row>
    <row r="3170" spans="1:11" x14ac:dyDescent="0.25">
      <c r="A3170">
        <v>12</v>
      </c>
      <c r="B3170">
        <v>0</v>
      </c>
      <c r="C3170">
        <v>10.318130443126099</v>
      </c>
      <c r="D3170">
        <v>6.6278298401692304</v>
      </c>
      <c r="E3170">
        <v>6</v>
      </c>
      <c r="F3170">
        <v>1.5707963267949001</v>
      </c>
      <c r="G3170" t="s">
        <v>85</v>
      </c>
      <c r="H3170" t="s">
        <v>86</v>
      </c>
      <c r="I3170">
        <v>0</v>
      </c>
      <c r="J3170">
        <v>17</v>
      </c>
      <c r="K3170">
        <v>0</v>
      </c>
    </row>
    <row r="3171" spans="1:11" x14ac:dyDescent="0.25">
      <c r="A3171" t="s">
        <v>87</v>
      </c>
    </row>
    <row r="3172" spans="1:11" x14ac:dyDescent="0.25">
      <c r="A3172">
        <v>7.2960200055018198</v>
      </c>
      <c r="B3172">
        <v>8.9235278353670306</v>
      </c>
      <c r="C3172">
        <v>2000</v>
      </c>
    </row>
    <row r="3173" spans="1:11" x14ac:dyDescent="0.25">
      <c r="A3173">
        <v>0</v>
      </c>
      <c r="B3173">
        <v>1.6275078298652099</v>
      </c>
      <c r="C3173">
        <v>2000</v>
      </c>
    </row>
    <row r="3174" spans="1:11" x14ac:dyDescent="0.25">
      <c r="A3174">
        <v>0</v>
      </c>
      <c r="B3174">
        <v>1.6275078298652099</v>
      </c>
      <c r="C3174">
        <v>2001</v>
      </c>
    </row>
    <row r="3175" spans="1:11" x14ac:dyDescent="0.25">
      <c r="A3175">
        <v>7.2960200055018198</v>
      </c>
      <c r="B3175">
        <v>8.9235278353670306</v>
      </c>
      <c r="C3175">
        <v>2001</v>
      </c>
    </row>
    <row r="3176" spans="1:11" x14ac:dyDescent="0.25">
      <c r="A3176">
        <v>11.982603430036001</v>
      </c>
      <c r="B3176">
        <v>13.610111259901201</v>
      </c>
      <c r="C3176">
        <v>2001</v>
      </c>
    </row>
    <row r="3177" spans="1:11" x14ac:dyDescent="0.25">
      <c r="A3177">
        <v>11.982603430036001</v>
      </c>
      <c r="B3177">
        <v>13.610111259901201</v>
      </c>
      <c r="C3177">
        <v>2000</v>
      </c>
    </row>
    <row r="3178" spans="1:11" x14ac:dyDescent="0.25">
      <c r="A3178" t="s">
        <v>88</v>
      </c>
    </row>
    <row r="3179" spans="1:11" x14ac:dyDescent="0.25">
      <c r="A3179">
        <v>587</v>
      </c>
      <c r="B3179">
        <v>0</v>
      </c>
      <c r="C3179">
        <v>0.59176674513258798</v>
      </c>
      <c r="D3179">
        <v>16.225324567228299</v>
      </c>
      <c r="E3179">
        <v>6</v>
      </c>
      <c r="F3179">
        <v>1.01722196789785</v>
      </c>
      <c r="G3179" t="s">
        <v>85</v>
      </c>
      <c r="H3179" t="s">
        <v>85</v>
      </c>
      <c r="I3179">
        <v>0</v>
      </c>
      <c r="J3179">
        <v>0</v>
      </c>
      <c r="K3179">
        <v>0</v>
      </c>
    </row>
    <row r="3180" spans="1:11" x14ac:dyDescent="0.25">
      <c r="A3180" t="s">
        <v>87</v>
      </c>
    </row>
    <row r="3181" spans="1:11" x14ac:dyDescent="0.25">
      <c r="A3181">
        <v>0.40306437825295599</v>
      </c>
      <c r="B3181">
        <v>138.948601095898</v>
      </c>
      <c r="C3181">
        <v>2000</v>
      </c>
    </row>
    <row r="3182" spans="1:11" x14ac:dyDescent="0.25">
      <c r="A3182">
        <v>0</v>
      </c>
      <c r="B3182">
        <v>138.54553671764501</v>
      </c>
      <c r="C3182">
        <v>2000</v>
      </c>
    </row>
    <row r="3183" spans="1:11" x14ac:dyDescent="0.25">
      <c r="A3183">
        <v>0</v>
      </c>
      <c r="B3183">
        <v>137.67150466874699</v>
      </c>
      <c r="C3183">
        <v>2001</v>
      </c>
    </row>
    <row r="3184" spans="1:11" x14ac:dyDescent="0.25">
      <c r="A3184">
        <v>0.43382017847493398</v>
      </c>
      <c r="B3184">
        <v>138.10532484722199</v>
      </c>
      <c r="C3184">
        <v>2001</v>
      </c>
    </row>
    <row r="3185" spans="1:11" x14ac:dyDescent="0.25">
      <c r="A3185">
        <v>12.328495331252601</v>
      </c>
      <c r="B3185">
        <v>150</v>
      </c>
      <c r="C3185">
        <v>2001</v>
      </c>
    </row>
    <row r="3186" spans="1:11" x14ac:dyDescent="0.25">
      <c r="A3186">
        <v>11.454463282354901</v>
      </c>
      <c r="B3186">
        <v>150</v>
      </c>
      <c r="C3186">
        <v>2000</v>
      </c>
    </row>
    <row r="3187" spans="1:11" x14ac:dyDescent="0.25">
      <c r="A3187" t="s">
        <v>88</v>
      </c>
    </row>
    <row r="3188" spans="1:11" x14ac:dyDescent="0.25">
      <c r="A3188">
        <v>575</v>
      </c>
      <c r="B3188">
        <v>0</v>
      </c>
      <c r="C3188">
        <v>12.384872020209199</v>
      </c>
      <c r="D3188">
        <v>4.0744368600641101</v>
      </c>
      <c r="E3188">
        <v>6</v>
      </c>
      <c r="F3188">
        <v>1.5707963267949001</v>
      </c>
      <c r="G3188" t="s">
        <v>85</v>
      </c>
      <c r="H3188" t="s">
        <v>86</v>
      </c>
      <c r="I3188">
        <v>0</v>
      </c>
      <c r="J3188">
        <v>570</v>
      </c>
      <c r="K3188">
        <v>0</v>
      </c>
    </row>
    <row r="3189" spans="1:11" x14ac:dyDescent="0.25">
      <c r="A3189" t="s">
        <v>87</v>
      </c>
    </row>
    <row r="3190" spans="1:11" x14ac:dyDescent="0.25">
      <c r="A3190">
        <v>8.7574269896174997</v>
      </c>
      <c r="B3190">
        <v>120.66055255507101</v>
      </c>
      <c r="C3190">
        <v>2000</v>
      </c>
    </row>
    <row r="3191" spans="1:11" x14ac:dyDescent="0.25">
      <c r="A3191">
        <v>0</v>
      </c>
      <c r="B3191">
        <v>111.903125565454</v>
      </c>
      <c r="C3191">
        <v>2000</v>
      </c>
    </row>
    <row r="3192" spans="1:11" x14ac:dyDescent="0.25">
      <c r="A3192">
        <v>0</v>
      </c>
      <c r="B3192">
        <v>111.903125565454</v>
      </c>
      <c r="C3192">
        <v>2001</v>
      </c>
    </row>
    <row r="3193" spans="1:11" x14ac:dyDescent="0.25">
      <c r="A3193">
        <v>8.7574269896174997</v>
      </c>
      <c r="B3193">
        <v>120.66055255507101</v>
      </c>
      <c r="C3193">
        <v>2001</v>
      </c>
    </row>
    <row r="3194" spans="1:11" x14ac:dyDescent="0.25">
      <c r="A3194">
        <v>11.638488922885299</v>
      </c>
      <c r="B3194">
        <v>123.54161448833899</v>
      </c>
      <c r="C3194">
        <v>2001</v>
      </c>
    </row>
    <row r="3195" spans="1:11" x14ac:dyDescent="0.25">
      <c r="A3195">
        <v>11.638488922885299</v>
      </c>
      <c r="B3195">
        <v>123.54161448833899</v>
      </c>
      <c r="C3195">
        <v>2000</v>
      </c>
    </row>
    <row r="3196" spans="1:11" x14ac:dyDescent="0.25">
      <c r="A3196" t="s">
        <v>88</v>
      </c>
    </row>
    <row r="3197" spans="1:11" x14ac:dyDescent="0.25">
      <c r="A3197">
        <v>25</v>
      </c>
      <c r="B3197">
        <v>0</v>
      </c>
      <c r="C3197">
        <v>3.5499659631618199</v>
      </c>
      <c r="D3197">
        <v>12.896958061800101</v>
      </c>
      <c r="E3197">
        <v>6</v>
      </c>
      <c r="F3197">
        <v>1.01722196789785</v>
      </c>
      <c r="G3197" t="s">
        <v>85</v>
      </c>
      <c r="H3197" t="s">
        <v>86</v>
      </c>
      <c r="I3197">
        <v>0</v>
      </c>
      <c r="J3197">
        <v>38</v>
      </c>
      <c r="K3197">
        <v>0</v>
      </c>
    </row>
    <row r="3198" spans="1:11" x14ac:dyDescent="0.25">
      <c r="A3198" t="s">
        <v>87</v>
      </c>
    </row>
    <row r="3199" spans="1:11" x14ac:dyDescent="0.25">
      <c r="A3199">
        <v>9.2008037887005596</v>
      </c>
      <c r="B3199">
        <v>2.5573685970289</v>
      </c>
      <c r="C3199">
        <v>2000</v>
      </c>
    </row>
    <row r="3200" spans="1:11" x14ac:dyDescent="0.25">
      <c r="A3200">
        <v>6.6434351916716601</v>
      </c>
      <c r="B3200">
        <v>0</v>
      </c>
      <c r="C3200">
        <v>2000</v>
      </c>
    </row>
    <row r="3201" spans="1:11" x14ac:dyDescent="0.25">
      <c r="A3201">
        <v>7.5174672405693004</v>
      </c>
      <c r="B3201">
        <v>0</v>
      </c>
      <c r="C3201">
        <v>2001</v>
      </c>
    </row>
    <row r="3202" spans="1:11" x14ac:dyDescent="0.25">
      <c r="A3202">
        <v>9.9805086546067194</v>
      </c>
      <c r="B3202">
        <v>2.4630414140374199</v>
      </c>
      <c r="C3202">
        <v>2001</v>
      </c>
    </row>
    <row r="3203" spans="1:11" x14ac:dyDescent="0.25">
      <c r="A3203">
        <v>18.928690736055401</v>
      </c>
      <c r="B3203">
        <v>11.4112234954861</v>
      </c>
      <c r="C3203">
        <v>2001</v>
      </c>
    </row>
    <row r="3204" spans="1:11" x14ac:dyDescent="0.25">
      <c r="A3204">
        <v>18.491674711606599</v>
      </c>
      <c r="B3204">
        <v>11.8482395199349</v>
      </c>
      <c r="C3204">
        <v>2000</v>
      </c>
    </row>
    <row r="3205" spans="1:11" x14ac:dyDescent="0.25">
      <c r="A3205" t="s">
        <v>88</v>
      </c>
    </row>
    <row r="3206" spans="1:11" x14ac:dyDescent="0.25">
      <c r="A3206">
        <v>5</v>
      </c>
      <c r="B3206">
        <v>0</v>
      </c>
      <c r="C3206">
        <v>5.7587656664139697</v>
      </c>
      <c r="D3206">
        <v>10.404046265768701</v>
      </c>
      <c r="E3206">
        <v>6</v>
      </c>
      <c r="F3206">
        <v>1.5707963267949001</v>
      </c>
      <c r="G3206" t="s">
        <v>85</v>
      </c>
      <c r="H3206" t="s">
        <v>86</v>
      </c>
      <c r="I3206">
        <v>0</v>
      </c>
      <c r="J3206">
        <v>9</v>
      </c>
      <c r="K3206">
        <v>0</v>
      </c>
    </row>
    <row r="3207" spans="1:11" x14ac:dyDescent="0.25">
      <c r="A3207" t="s">
        <v>87</v>
      </c>
    </row>
    <row r="3208" spans="1:11" x14ac:dyDescent="0.25">
      <c r="A3208">
        <v>4.0720622539855897</v>
      </c>
      <c r="B3208">
        <v>35.117556939421902</v>
      </c>
      <c r="C3208">
        <v>2000</v>
      </c>
    </row>
    <row r="3209" spans="1:11" x14ac:dyDescent="0.25">
      <c r="A3209">
        <v>0</v>
      </c>
      <c r="B3209">
        <v>31.045494685436399</v>
      </c>
      <c r="C3209">
        <v>2000</v>
      </c>
    </row>
    <row r="3210" spans="1:11" x14ac:dyDescent="0.25">
      <c r="A3210">
        <v>0</v>
      </c>
      <c r="B3210">
        <v>31.045494685436399</v>
      </c>
      <c r="C3210">
        <v>2001</v>
      </c>
    </row>
    <row r="3211" spans="1:11" x14ac:dyDescent="0.25">
      <c r="A3211">
        <v>4.0720622539855897</v>
      </c>
      <c r="B3211">
        <v>35.117556939421902</v>
      </c>
      <c r="C3211">
        <v>2001</v>
      </c>
    </row>
    <row r="3212" spans="1:11" x14ac:dyDescent="0.25">
      <c r="A3212">
        <v>11.4288339202892</v>
      </c>
      <c r="B3212">
        <v>42.474328605725603</v>
      </c>
      <c r="C3212">
        <v>2001</v>
      </c>
    </row>
    <row r="3213" spans="1:11" x14ac:dyDescent="0.25">
      <c r="A3213">
        <v>11.4288339202892</v>
      </c>
      <c r="B3213">
        <v>42.474328605725603</v>
      </c>
      <c r="C3213">
        <v>2000</v>
      </c>
    </row>
    <row r="3214" spans="1:11" x14ac:dyDescent="0.25">
      <c r="A3214" t="s">
        <v>88</v>
      </c>
    </row>
    <row r="3215" spans="1:11" x14ac:dyDescent="0.25">
      <c r="A3215">
        <v>508</v>
      </c>
      <c r="B3215">
        <v>0</v>
      </c>
      <c r="C3215">
        <v>5.7897147227441801</v>
      </c>
      <c r="D3215">
        <v>10.0453127401352</v>
      </c>
      <c r="E3215">
        <v>6</v>
      </c>
      <c r="F3215">
        <v>1.01722196789785</v>
      </c>
      <c r="G3215" t="s">
        <v>86</v>
      </c>
      <c r="H3215" t="s">
        <v>86</v>
      </c>
      <c r="I3215">
        <v>721</v>
      </c>
      <c r="J3215">
        <v>500</v>
      </c>
      <c r="K3215">
        <v>0</v>
      </c>
    </row>
    <row r="3216" spans="1:11" x14ac:dyDescent="0.25">
      <c r="A3216" t="s">
        <v>87</v>
      </c>
    </row>
    <row r="3217" spans="1:11" x14ac:dyDescent="0.25">
      <c r="A3217">
        <v>70.299691910533795</v>
      </c>
      <c r="B3217">
        <v>59.384571291680899</v>
      </c>
      <c r="C3217">
        <v>2000</v>
      </c>
    </row>
    <row r="3218" spans="1:11" x14ac:dyDescent="0.25">
      <c r="A3218">
        <v>66.205745368945799</v>
      </c>
      <c r="B3218">
        <v>55.290624750092903</v>
      </c>
      <c r="C3218">
        <v>2000</v>
      </c>
    </row>
    <row r="3219" spans="1:11" x14ac:dyDescent="0.25">
      <c r="A3219">
        <v>66.642761393394593</v>
      </c>
      <c r="B3219">
        <v>54.853608725644101</v>
      </c>
      <c r="C3219">
        <v>2001</v>
      </c>
    </row>
    <row r="3220" spans="1:11" x14ac:dyDescent="0.25">
      <c r="A3220">
        <v>70.736707934982604</v>
      </c>
      <c r="B3220">
        <v>58.947555267232097</v>
      </c>
      <c r="C3220">
        <v>2001</v>
      </c>
    </row>
    <row r="3221" spans="1:11" x14ac:dyDescent="0.25">
      <c r="A3221">
        <v>77.839816692671803</v>
      </c>
      <c r="B3221">
        <v>66.050664024921304</v>
      </c>
      <c r="C3221">
        <v>2001</v>
      </c>
    </row>
    <row r="3222" spans="1:11" x14ac:dyDescent="0.25">
      <c r="A3222">
        <v>77.402800668222994</v>
      </c>
      <c r="B3222">
        <v>66.487680049370098</v>
      </c>
      <c r="C3222">
        <v>2000</v>
      </c>
    </row>
    <row r="3223" spans="1:11" x14ac:dyDescent="0.25">
      <c r="A3223" t="s">
        <v>88</v>
      </c>
    </row>
    <row r="3224" spans="1:11" x14ac:dyDescent="0.25">
      <c r="A3224">
        <v>415</v>
      </c>
      <c r="B3224">
        <v>0</v>
      </c>
      <c r="C3224">
        <v>14.3783238412295</v>
      </c>
      <c r="D3224">
        <v>1.44880033802065</v>
      </c>
      <c r="E3224">
        <v>6</v>
      </c>
      <c r="F3224">
        <v>1.5707963267949001</v>
      </c>
      <c r="G3224" t="s">
        <v>86</v>
      </c>
      <c r="H3224" t="s">
        <v>86</v>
      </c>
      <c r="I3224">
        <v>339</v>
      </c>
      <c r="J3224">
        <v>410</v>
      </c>
      <c r="K3224">
        <v>0</v>
      </c>
    </row>
    <row r="3225" spans="1:11" x14ac:dyDescent="0.25">
      <c r="A3225" t="s">
        <v>87</v>
      </c>
    </row>
    <row r="3226" spans="1:11" x14ac:dyDescent="0.25">
      <c r="A3226">
        <v>126.222882432036</v>
      </c>
      <c r="B3226">
        <v>60.553867351521703</v>
      </c>
      <c r="C3226">
        <v>2000</v>
      </c>
    </row>
    <row r="3227" spans="1:11" x14ac:dyDescent="0.25">
      <c r="A3227">
        <v>116.05587214180601</v>
      </c>
      <c r="B3227">
        <v>50.386857061292098</v>
      </c>
      <c r="C3227">
        <v>2000</v>
      </c>
    </row>
    <row r="3228" spans="1:11" x14ac:dyDescent="0.25">
      <c r="A3228">
        <v>116.05587214180601</v>
      </c>
      <c r="B3228">
        <v>50.386857061292098</v>
      </c>
      <c r="C3228">
        <v>2001</v>
      </c>
    </row>
    <row r="3229" spans="1:11" x14ac:dyDescent="0.25">
      <c r="A3229">
        <v>126.222882432036</v>
      </c>
      <c r="B3229">
        <v>60.553867351521703</v>
      </c>
      <c r="C3229">
        <v>2001</v>
      </c>
    </row>
    <row r="3230" spans="1:11" x14ac:dyDescent="0.25">
      <c r="A3230">
        <v>127.247338975635</v>
      </c>
      <c r="B3230">
        <v>61.5783238951214</v>
      </c>
      <c r="C3230">
        <v>2001</v>
      </c>
    </row>
    <row r="3231" spans="1:11" x14ac:dyDescent="0.25">
      <c r="A3231">
        <v>127.247338975635</v>
      </c>
      <c r="B3231">
        <v>61.5783238951214</v>
      </c>
      <c r="C3231">
        <v>2000</v>
      </c>
    </row>
    <row r="3232" spans="1:11" x14ac:dyDescent="0.25">
      <c r="A3232" t="s">
        <v>88</v>
      </c>
    </row>
    <row r="3233" spans="1:11" x14ac:dyDescent="0.25">
      <c r="A3233">
        <v>482</v>
      </c>
      <c r="B3233">
        <v>0</v>
      </c>
      <c r="C3233">
        <v>15.8134341163331</v>
      </c>
      <c r="D3233">
        <v>0</v>
      </c>
      <c r="E3233">
        <v>5</v>
      </c>
      <c r="F3233">
        <v>1.5707963267949001</v>
      </c>
      <c r="G3233" t="s">
        <v>86</v>
      </c>
      <c r="H3233" t="s">
        <v>86</v>
      </c>
      <c r="I3233">
        <v>98</v>
      </c>
      <c r="J3233">
        <v>183</v>
      </c>
      <c r="K3233">
        <v>0</v>
      </c>
    </row>
    <row r="3234" spans="1:11" x14ac:dyDescent="0.25">
      <c r="A3234" t="s">
        <v>87</v>
      </c>
    </row>
    <row r="3235" spans="1:11" x14ac:dyDescent="0.25">
      <c r="A3235">
        <v>97.241076220404906</v>
      </c>
      <c r="B3235">
        <v>74.165977176356094</v>
      </c>
      <c r="C3235">
        <v>2000</v>
      </c>
    </row>
    <row r="3236" spans="1:11" x14ac:dyDescent="0.25">
      <c r="A3236">
        <v>86.059289722898995</v>
      </c>
      <c r="B3236">
        <v>62.984190678850297</v>
      </c>
      <c r="C3236">
        <v>2000</v>
      </c>
    </row>
    <row r="3237" spans="1:11" x14ac:dyDescent="0.25">
      <c r="A3237">
        <v>86.059289722898995</v>
      </c>
      <c r="B3237">
        <v>62.984190678850297</v>
      </c>
      <c r="C3237">
        <v>2001</v>
      </c>
    </row>
    <row r="3238" spans="1:11" x14ac:dyDescent="0.25">
      <c r="A3238">
        <v>97.241076220404906</v>
      </c>
      <c r="B3238">
        <v>74.165977176356094</v>
      </c>
      <c r="C3238">
        <v>2001</v>
      </c>
    </row>
    <row r="3239" spans="1:11" x14ac:dyDescent="0.25">
      <c r="A3239">
        <v>97.241076220404906</v>
      </c>
      <c r="B3239">
        <v>74.165977176356094</v>
      </c>
      <c r="C3239">
        <v>2000</v>
      </c>
    </row>
    <row r="3240" spans="1:11" x14ac:dyDescent="0.25">
      <c r="A3240" t="s">
        <v>88</v>
      </c>
    </row>
    <row r="3241" spans="1:11" x14ac:dyDescent="0.25">
      <c r="A3241">
        <v>748</v>
      </c>
      <c r="B3241">
        <v>0</v>
      </c>
      <c r="C3241">
        <v>1.14676443180173</v>
      </c>
      <c r="D3241">
        <v>14.4924834966488</v>
      </c>
      <c r="E3241">
        <v>6</v>
      </c>
      <c r="F3241">
        <v>1.5707963267949001</v>
      </c>
      <c r="G3241" t="s">
        <v>86</v>
      </c>
      <c r="H3241" t="s">
        <v>86</v>
      </c>
      <c r="I3241">
        <v>251</v>
      </c>
      <c r="J3241">
        <v>259</v>
      </c>
      <c r="K3241">
        <v>0.38296526983079998</v>
      </c>
    </row>
    <row r="3242" spans="1:11" x14ac:dyDescent="0.25">
      <c r="A3242" t="s">
        <v>87</v>
      </c>
    </row>
    <row r="3243" spans="1:11" x14ac:dyDescent="0.25">
      <c r="A3243">
        <v>55.225408661749903</v>
      </c>
      <c r="B3243">
        <v>103.501759261592</v>
      </c>
      <c r="C3243">
        <v>2000</v>
      </c>
    </row>
    <row r="3244" spans="1:11" x14ac:dyDescent="0.25">
      <c r="A3244">
        <v>54.414523755599298</v>
      </c>
      <c r="B3244">
        <v>102.69087435544201</v>
      </c>
      <c r="C3244">
        <v>2000</v>
      </c>
    </row>
    <row r="3245" spans="1:11" x14ac:dyDescent="0.25">
      <c r="A3245">
        <v>54.414523755599298</v>
      </c>
      <c r="B3245">
        <v>102.69087435544201</v>
      </c>
      <c r="C3245">
        <v>2001</v>
      </c>
    </row>
    <row r="3246" spans="1:11" x14ac:dyDescent="0.25">
      <c r="A3246">
        <v>55.225408661749903</v>
      </c>
      <c r="B3246">
        <v>103.501759261592</v>
      </c>
      <c r="C3246">
        <v>2001</v>
      </c>
    </row>
    <row r="3247" spans="1:11" x14ac:dyDescent="0.25">
      <c r="A3247">
        <v>65.473142018464401</v>
      </c>
      <c r="B3247">
        <v>113.749492618307</v>
      </c>
      <c r="C3247">
        <v>2001</v>
      </c>
    </row>
    <row r="3248" spans="1:11" x14ac:dyDescent="0.25">
      <c r="A3248">
        <v>65.473142018464401</v>
      </c>
      <c r="B3248">
        <v>113.749492618307</v>
      </c>
      <c r="C3248">
        <v>2000</v>
      </c>
    </row>
    <row r="3249" spans="1:11" x14ac:dyDescent="0.25">
      <c r="A3249" t="s">
        <v>88</v>
      </c>
    </row>
    <row r="3250" spans="1:11" x14ac:dyDescent="0.25">
      <c r="A3250">
        <v>172</v>
      </c>
      <c r="B3250">
        <v>0</v>
      </c>
      <c r="C3250">
        <v>0</v>
      </c>
      <c r="D3250">
        <v>15.575042094040199</v>
      </c>
      <c r="E3250">
        <v>4</v>
      </c>
      <c r="F3250">
        <v>1.5707963267949001</v>
      </c>
      <c r="G3250" t="s">
        <v>86</v>
      </c>
      <c r="H3250" t="s">
        <v>86</v>
      </c>
      <c r="I3250">
        <v>257</v>
      </c>
      <c r="J3250">
        <v>167</v>
      </c>
      <c r="K3250">
        <v>0</v>
      </c>
    </row>
    <row r="3251" spans="1:11" x14ac:dyDescent="0.25">
      <c r="A3251" t="s">
        <v>87</v>
      </c>
    </row>
    <row r="3252" spans="1:11" x14ac:dyDescent="0.25">
      <c r="A3252">
        <v>101.411729818867</v>
      </c>
      <c r="B3252">
        <v>125.532770098901</v>
      </c>
      <c r="C3252">
        <v>2000</v>
      </c>
    </row>
    <row r="3253" spans="1:11" x14ac:dyDescent="0.25">
      <c r="A3253">
        <v>101.411729818867</v>
      </c>
      <c r="B3253">
        <v>125.532770098901</v>
      </c>
      <c r="C3253">
        <v>2001</v>
      </c>
    </row>
    <row r="3254" spans="1:11" x14ac:dyDescent="0.25">
      <c r="A3254">
        <v>112.42494770082899</v>
      </c>
      <c r="B3254">
        <v>136.545987980863</v>
      </c>
      <c r="C3254">
        <v>2001</v>
      </c>
    </row>
    <row r="3255" spans="1:11" x14ac:dyDescent="0.25">
      <c r="A3255">
        <v>112.42494770082899</v>
      </c>
      <c r="B3255">
        <v>136.545987980863</v>
      </c>
      <c r="C3255">
        <v>2000</v>
      </c>
    </row>
    <row r="3256" spans="1:11" x14ac:dyDescent="0.25">
      <c r="A3256" t="s">
        <v>88</v>
      </c>
    </row>
    <row r="3257" spans="1:11" x14ac:dyDescent="0.25">
      <c r="A3257">
        <v>243</v>
      </c>
      <c r="B3257">
        <v>0</v>
      </c>
      <c r="C3257">
        <v>14.1549604653393</v>
      </c>
      <c r="D3257">
        <v>0.88615688448993502</v>
      </c>
      <c r="E3257">
        <v>6</v>
      </c>
      <c r="F3257">
        <v>1.5707963267949001</v>
      </c>
      <c r="G3257" t="s">
        <v>86</v>
      </c>
      <c r="H3257" t="s">
        <v>85</v>
      </c>
      <c r="I3257">
        <v>562</v>
      </c>
      <c r="J3257">
        <v>0</v>
      </c>
      <c r="K3257">
        <v>0</v>
      </c>
    </row>
    <row r="3258" spans="1:11" x14ac:dyDescent="0.25">
      <c r="A3258" t="s">
        <v>87</v>
      </c>
    </row>
    <row r="3259" spans="1:11" x14ac:dyDescent="0.25">
      <c r="A3259">
        <v>74.027310439398207</v>
      </c>
      <c r="B3259">
        <v>149.37339245778199</v>
      </c>
      <c r="C3259">
        <v>2000</v>
      </c>
    </row>
    <row r="3260" spans="1:11" x14ac:dyDescent="0.25">
      <c r="A3260">
        <v>64.018241906929305</v>
      </c>
      <c r="B3260">
        <v>139.36432392531299</v>
      </c>
      <c r="C3260">
        <v>2000</v>
      </c>
    </row>
    <row r="3261" spans="1:11" x14ac:dyDescent="0.25">
      <c r="A3261">
        <v>64.018241906929305</v>
      </c>
      <c r="B3261">
        <v>139.36432392531299</v>
      </c>
      <c r="C3261">
        <v>2001</v>
      </c>
    </row>
    <row r="3262" spans="1:11" x14ac:dyDescent="0.25">
      <c r="A3262">
        <v>74.027310439398207</v>
      </c>
      <c r="B3262">
        <v>149.37339245778199</v>
      </c>
      <c r="C3262">
        <v>2001</v>
      </c>
    </row>
    <row r="3263" spans="1:11" x14ac:dyDescent="0.25">
      <c r="A3263">
        <v>74.653917981616203</v>
      </c>
      <c r="B3263">
        <v>150</v>
      </c>
      <c r="C3263">
        <v>2001</v>
      </c>
    </row>
    <row r="3264" spans="1:11" x14ac:dyDescent="0.25">
      <c r="A3264">
        <v>74.653917981616203</v>
      </c>
      <c r="B3264">
        <v>150</v>
      </c>
      <c r="C3264">
        <v>2000</v>
      </c>
    </row>
    <row r="3265" spans="1:11" x14ac:dyDescent="0.25">
      <c r="A3265" t="s">
        <v>88</v>
      </c>
    </row>
    <row r="3266" spans="1:11" x14ac:dyDescent="0.25">
      <c r="A3266">
        <v>570</v>
      </c>
      <c r="B3266">
        <v>0</v>
      </c>
      <c r="C3266">
        <v>4.2093083391590502</v>
      </c>
      <c r="D3266">
        <v>10.1100481262811</v>
      </c>
      <c r="E3266">
        <v>6</v>
      </c>
      <c r="F3266">
        <v>1.5707963267949001</v>
      </c>
      <c r="G3266" t="s">
        <v>86</v>
      </c>
      <c r="H3266" t="s">
        <v>86</v>
      </c>
      <c r="I3266">
        <v>575</v>
      </c>
      <c r="J3266">
        <v>566</v>
      </c>
      <c r="K3266">
        <v>0</v>
      </c>
    </row>
    <row r="3267" spans="1:11" x14ac:dyDescent="0.25">
      <c r="A3267" t="s">
        <v>87</v>
      </c>
    </row>
    <row r="3268" spans="1:11" x14ac:dyDescent="0.25">
      <c r="A3268">
        <v>14.485597570652899</v>
      </c>
      <c r="B3268">
        <v>126.64736678202</v>
      </c>
      <c r="C3268">
        <v>2000</v>
      </c>
    </row>
    <row r="3269" spans="1:11" x14ac:dyDescent="0.25">
      <c r="A3269">
        <v>11.509167099928399</v>
      </c>
      <c r="B3269">
        <v>123.670936311296</v>
      </c>
      <c r="C3269">
        <v>2000</v>
      </c>
    </row>
    <row r="3270" spans="1:11" x14ac:dyDescent="0.25">
      <c r="A3270">
        <v>11.509167099928399</v>
      </c>
      <c r="B3270">
        <v>123.670936311296</v>
      </c>
      <c r="C3270">
        <v>2001</v>
      </c>
    </row>
    <row r="3271" spans="1:11" x14ac:dyDescent="0.25">
      <c r="A3271">
        <v>14.485597570652899</v>
      </c>
      <c r="B3271">
        <v>126.64736678202</v>
      </c>
      <c r="C3271">
        <v>2001</v>
      </c>
    </row>
    <row r="3272" spans="1:11" x14ac:dyDescent="0.25">
      <c r="A3272">
        <v>21.634481158868599</v>
      </c>
      <c r="B3272">
        <v>133.79625037023601</v>
      </c>
      <c r="C3272">
        <v>2001</v>
      </c>
    </row>
    <row r="3273" spans="1:11" x14ac:dyDescent="0.25">
      <c r="A3273">
        <v>21.634481158868599</v>
      </c>
      <c r="B3273">
        <v>133.79625037023601</v>
      </c>
      <c r="C3273">
        <v>2000</v>
      </c>
    </row>
    <row r="3274" spans="1:11" x14ac:dyDescent="0.25">
      <c r="A3274" t="s">
        <v>88</v>
      </c>
    </row>
    <row r="3275" spans="1:11" x14ac:dyDescent="0.25">
      <c r="A3275">
        <v>256</v>
      </c>
      <c r="B3275">
        <v>0</v>
      </c>
      <c r="C3275">
        <v>0</v>
      </c>
      <c r="D3275">
        <v>14.2685558829246</v>
      </c>
      <c r="E3275">
        <v>4</v>
      </c>
      <c r="F3275">
        <v>1.5707963267949001</v>
      </c>
      <c r="G3275" t="s">
        <v>86</v>
      </c>
      <c r="H3275" t="s">
        <v>86</v>
      </c>
      <c r="I3275">
        <v>746</v>
      </c>
      <c r="J3275">
        <v>165</v>
      </c>
      <c r="K3275">
        <v>0</v>
      </c>
    </row>
    <row r="3276" spans="1:11" x14ac:dyDescent="0.25">
      <c r="A3276" t="s">
        <v>87</v>
      </c>
    </row>
    <row r="3277" spans="1:11" x14ac:dyDescent="0.25">
      <c r="A3277">
        <v>88.589991251281504</v>
      </c>
      <c r="B3277">
        <v>121.904053362973</v>
      </c>
      <c r="C3277">
        <v>2000</v>
      </c>
    </row>
    <row r="3278" spans="1:11" x14ac:dyDescent="0.25">
      <c r="A3278">
        <v>88.589991251281504</v>
      </c>
      <c r="B3278">
        <v>121.904053362973</v>
      </c>
      <c r="C3278">
        <v>2001</v>
      </c>
    </row>
    <row r="3279" spans="1:11" x14ac:dyDescent="0.25">
      <c r="A3279">
        <v>98.679383873836699</v>
      </c>
      <c r="B3279">
        <v>131.99344598552801</v>
      </c>
      <c r="C3279">
        <v>2001</v>
      </c>
    </row>
    <row r="3280" spans="1:11" x14ac:dyDescent="0.25">
      <c r="A3280">
        <v>98.679383873836699</v>
      </c>
      <c r="B3280">
        <v>131.99344598552801</v>
      </c>
      <c r="C3280">
        <v>2000</v>
      </c>
    </row>
    <row r="3281" spans="1:11" x14ac:dyDescent="0.25">
      <c r="A3281" t="s">
        <v>88</v>
      </c>
    </row>
    <row r="3282" spans="1:11" x14ac:dyDescent="0.25">
      <c r="A3282">
        <v>40</v>
      </c>
      <c r="B3282">
        <v>0</v>
      </c>
      <c r="C3282">
        <v>13.1681438376246</v>
      </c>
      <c r="D3282">
        <v>0.75006456116116005</v>
      </c>
      <c r="E3282">
        <v>6</v>
      </c>
      <c r="F3282">
        <v>1.01722196789785</v>
      </c>
      <c r="G3282" t="s">
        <v>85</v>
      </c>
      <c r="H3282" t="s">
        <v>86</v>
      </c>
      <c r="I3282">
        <v>0</v>
      </c>
      <c r="J3282">
        <v>9</v>
      </c>
      <c r="K3282">
        <v>0</v>
      </c>
    </row>
    <row r="3283" spans="1:11" x14ac:dyDescent="0.25">
      <c r="A3283" t="s">
        <v>87</v>
      </c>
    </row>
    <row r="3284" spans="1:11" x14ac:dyDescent="0.25">
      <c r="A3284">
        <v>9.1045513810472904</v>
      </c>
      <c r="B3284">
        <v>43.761410850012901</v>
      </c>
      <c r="C3284">
        <v>2000</v>
      </c>
    </row>
    <row r="3285" spans="1:11" x14ac:dyDescent="0.25">
      <c r="A3285">
        <v>0</v>
      </c>
      <c r="B3285">
        <v>34.6568594689656</v>
      </c>
      <c r="C3285">
        <v>2000</v>
      </c>
    </row>
    <row r="3286" spans="1:11" x14ac:dyDescent="0.25">
      <c r="A3286">
        <v>0</v>
      </c>
      <c r="B3286">
        <v>33.782827420068003</v>
      </c>
      <c r="C3286">
        <v>2001</v>
      </c>
    </row>
    <row r="3287" spans="1:11" x14ac:dyDescent="0.25">
      <c r="A3287">
        <v>9.5180162254011709</v>
      </c>
      <c r="B3287">
        <v>43.3008436454692</v>
      </c>
      <c r="C3287">
        <v>2001</v>
      </c>
    </row>
    <row r="3288" spans="1:11" x14ac:dyDescent="0.25">
      <c r="A3288">
        <v>10.0601675529734</v>
      </c>
      <c r="B3288">
        <v>43.842994973041399</v>
      </c>
      <c r="C3288">
        <v>2001</v>
      </c>
    </row>
    <row r="3289" spans="1:11" x14ac:dyDescent="0.25">
      <c r="A3289">
        <v>9.6231515285245894</v>
      </c>
      <c r="B3289">
        <v>44.280010997490201</v>
      </c>
      <c r="C3289">
        <v>2000</v>
      </c>
    </row>
    <row r="3290" spans="1:11" x14ac:dyDescent="0.25">
      <c r="A3290" t="s">
        <v>88</v>
      </c>
    </row>
    <row r="3291" spans="1:11" x14ac:dyDescent="0.25">
      <c r="A3291">
        <v>404</v>
      </c>
      <c r="B3291">
        <v>0</v>
      </c>
      <c r="C3291">
        <v>13.9181460194085</v>
      </c>
      <c r="D3291">
        <v>0</v>
      </c>
      <c r="E3291">
        <v>5</v>
      </c>
      <c r="F3291">
        <v>1.5707963267949001</v>
      </c>
      <c r="G3291" t="s">
        <v>86</v>
      </c>
      <c r="H3291" t="s">
        <v>86</v>
      </c>
      <c r="I3291">
        <v>414</v>
      </c>
      <c r="J3291">
        <v>185</v>
      </c>
      <c r="K3291">
        <v>0</v>
      </c>
    </row>
    <row r="3292" spans="1:11" x14ac:dyDescent="0.25">
      <c r="A3292" t="s">
        <v>87</v>
      </c>
    </row>
    <row r="3293" spans="1:11" x14ac:dyDescent="0.25">
      <c r="A3293">
        <v>118.37359215988501</v>
      </c>
      <c r="B3293">
        <v>94.320009227059799</v>
      </c>
      <c r="C3293">
        <v>2000</v>
      </c>
    </row>
    <row r="3294" spans="1:11" x14ac:dyDescent="0.25">
      <c r="A3294">
        <v>108.53197672801601</v>
      </c>
      <c r="B3294">
        <v>84.478393795191494</v>
      </c>
      <c r="C3294">
        <v>2000</v>
      </c>
    </row>
    <row r="3295" spans="1:11" x14ac:dyDescent="0.25">
      <c r="A3295">
        <v>108.53197672801601</v>
      </c>
      <c r="B3295">
        <v>84.478393795191494</v>
      </c>
      <c r="C3295">
        <v>2001</v>
      </c>
    </row>
    <row r="3296" spans="1:11" x14ac:dyDescent="0.25">
      <c r="A3296">
        <v>118.37359215988501</v>
      </c>
      <c r="B3296">
        <v>94.320009227059799</v>
      </c>
      <c r="C3296">
        <v>2001</v>
      </c>
    </row>
    <row r="3297" spans="1:11" x14ac:dyDescent="0.25">
      <c r="A3297">
        <v>118.37359215988501</v>
      </c>
      <c r="B3297">
        <v>94.320009227059799</v>
      </c>
      <c r="C3297">
        <v>2000</v>
      </c>
    </row>
    <row r="3298" spans="1:11" x14ac:dyDescent="0.25">
      <c r="A3298" t="s">
        <v>88</v>
      </c>
    </row>
    <row r="3299" spans="1:11" x14ac:dyDescent="0.25">
      <c r="A3299">
        <v>23</v>
      </c>
      <c r="B3299">
        <v>0</v>
      </c>
      <c r="C3299">
        <v>9.6588557011366802</v>
      </c>
      <c r="D3299">
        <v>4.2453069022459102</v>
      </c>
      <c r="E3299">
        <v>6</v>
      </c>
      <c r="F3299">
        <v>1.01722196789785</v>
      </c>
      <c r="G3299" t="s">
        <v>86</v>
      </c>
      <c r="H3299" t="s">
        <v>86</v>
      </c>
      <c r="I3299">
        <v>31</v>
      </c>
      <c r="J3299">
        <v>30</v>
      </c>
      <c r="K3299">
        <v>0</v>
      </c>
    </row>
    <row r="3300" spans="1:11" x14ac:dyDescent="0.25">
      <c r="A3300" t="s">
        <v>87</v>
      </c>
    </row>
    <row r="3301" spans="1:11" x14ac:dyDescent="0.25">
      <c r="A3301">
        <v>41.499895746125603</v>
      </c>
      <c r="B3301">
        <v>42.806070007289101</v>
      </c>
      <c r="C3301">
        <v>2000</v>
      </c>
    </row>
    <row r="3302" spans="1:11" x14ac:dyDescent="0.25">
      <c r="A3302">
        <v>34.670053381349497</v>
      </c>
      <c r="B3302">
        <v>35.976227642513003</v>
      </c>
      <c r="C3302">
        <v>2000</v>
      </c>
    </row>
    <row r="3303" spans="1:11" x14ac:dyDescent="0.25">
      <c r="A3303">
        <v>35.107069405798299</v>
      </c>
      <c r="B3303">
        <v>35.539211618064101</v>
      </c>
      <c r="C3303">
        <v>2001</v>
      </c>
    </row>
    <row r="3304" spans="1:11" x14ac:dyDescent="0.25">
      <c r="A3304">
        <v>41.936911770574397</v>
      </c>
      <c r="B3304">
        <v>42.3690539828402</v>
      </c>
      <c r="C3304">
        <v>2001</v>
      </c>
    </row>
    <row r="3305" spans="1:11" x14ac:dyDescent="0.25">
      <c r="A3305">
        <v>44.938797069370601</v>
      </c>
      <c r="B3305">
        <v>45.370939281636403</v>
      </c>
      <c r="C3305">
        <v>2001</v>
      </c>
    </row>
    <row r="3306" spans="1:11" x14ac:dyDescent="0.25">
      <c r="A3306">
        <v>44.5017810449217</v>
      </c>
      <c r="B3306">
        <v>45.807955306085198</v>
      </c>
      <c r="C3306">
        <v>2000</v>
      </c>
    </row>
    <row r="3307" spans="1:11" x14ac:dyDescent="0.25">
      <c r="A3307" t="s">
        <v>88</v>
      </c>
    </row>
    <row r="3308" spans="1:11" x14ac:dyDescent="0.25">
      <c r="A3308">
        <v>7</v>
      </c>
      <c r="B3308">
        <v>0</v>
      </c>
      <c r="C3308">
        <v>6.1171873033772997</v>
      </c>
      <c r="D3308">
        <v>7.3001355373622401</v>
      </c>
      <c r="E3308">
        <v>8</v>
      </c>
      <c r="F3308">
        <v>1.5707963267949001</v>
      </c>
      <c r="G3308" t="s">
        <v>86</v>
      </c>
      <c r="H3308" t="s">
        <v>86</v>
      </c>
      <c r="I3308">
        <v>752</v>
      </c>
      <c r="J3308">
        <v>644</v>
      </c>
      <c r="K3308">
        <v>0</v>
      </c>
    </row>
    <row r="3309" spans="1:11" x14ac:dyDescent="0.25">
      <c r="A3309" t="s">
        <v>87</v>
      </c>
    </row>
    <row r="3310" spans="1:11" x14ac:dyDescent="0.25">
      <c r="A3310">
        <v>5.9954542694592199</v>
      </c>
      <c r="B3310">
        <v>46.975187117688002</v>
      </c>
      <c r="C3310">
        <v>2000</v>
      </c>
    </row>
    <row r="3311" spans="1:11" x14ac:dyDescent="0.25">
      <c r="A3311">
        <v>1.6699496454528799</v>
      </c>
      <c r="B3311">
        <v>42.649682493681603</v>
      </c>
      <c r="C3311">
        <v>2000</v>
      </c>
    </row>
    <row r="3312" spans="1:11" x14ac:dyDescent="0.25">
      <c r="A3312">
        <v>1.6699496454528799</v>
      </c>
      <c r="B3312">
        <v>42.649682493681603</v>
      </c>
      <c r="C3312">
        <v>2001</v>
      </c>
    </row>
    <row r="3313" spans="1:11" x14ac:dyDescent="0.25">
      <c r="A3313">
        <v>5.9954542694592199</v>
      </c>
      <c r="B3313">
        <v>46.975187117688002</v>
      </c>
      <c r="C3313">
        <v>2001</v>
      </c>
    </row>
    <row r="3314" spans="1:11" x14ac:dyDescent="0.25">
      <c r="A3314">
        <v>9.0202671517712396</v>
      </c>
      <c r="B3314">
        <v>50</v>
      </c>
      <c r="C3314">
        <v>2001</v>
      </c>
    </row>
    <row r="3315" spans="1:11" x14ac:dyDescent="0.25">
      <c r="A3315">
        <v>11.157429611509</v>
      </c>
      <c r="B3315">
        <v>52.137162459737702</v>
      </c>
      <c r="C3315">
        <v>2001</v>
      </c>
    </row>
    <row r="3316" spans="1:11" x14ac:dyDescent="0.25">
      <c r="A3316">
        <v>11.157429611509</v>
      </c>
      <c r="B3316">
        <v>52.137162459737702</v>
      </c>
      <c r="C3316">
        <v>2000</v>
      </c>
    </row>
    <row r="3317" spans="1:11" x14ac:dyDescent="0.25">
      <c r="A3317">
        <v>9.0202671517712396</v>
      </c>
      <c r="B3317">
        <v>50</v>
      </c>
      <c r="C3317">
        <v>2000</v>
      </c>
    </row>
    <row r="3318" spans="1:11" x14ac:dyDescent="0.25">
      <c r="A3318" t="s">
        <v>88</v>
      </c>
    </row>
    <row r="3319" spans="1:11" x14ac:dyDescent="0.25">
      <c r="A3319">
        <v>679</v>
      </c>
      <c r="B3319">
        <v>0</v>
      </c>
      <c r="C3319">
        <v>0.84171780716221201</v>
      </c>
      <c r="D3319">
        <v>12.3885158457553</v>
      </c>
      <c r="E3319">
        <v>6</v>
      </c>
      <c r="F3319">
        <v>1.01722196789785</v>
      </c>
      <c r="G3319" t="s">
        <v>86</v>
      </c>
      <c r="H3319" t="s">
        <v>86</v>
      </c>
      <c r="I3319">
        <v>39</v>
      </c>
      <c r="J3319">
        <v>647</v>
      </c>
      <c r="K3319">
        <v>0</v>
      </c>
    </row>
    <row r="3320" spans="1:11" x14ac:dyDescent="0.25">
      <c r="A3320" t="s">
        <v>87</v>
      </c>
    </row>
    <row r="3321" spans="1:11" x14ac:dyDescent="0.25">
      <c r="A3321">
        <v>30.514878242986502</v>
      </c>
      <c r="B3321">
        <v>54.138070921007802</v>
      </c>
      <c r="C3321">
        <v>2000</v>
      </c>
    </row>
    <row r="3322" spans="1:11" x14ac:dyDescent="0.25">
      <c r="A3322">
        <v>29.919693873696598</v>
      </c>
      <c r="B3322">
        <v>53.542886551717899</v>
      </c>
      <c r="C3322">
        <v>2000</v>
      </c>
    </row>
    <row r="3323" spans="1:11" x14ac:dyDescent="0.25">
      <c r="A3323">
        <v>30.3567098981455</v>
      </c>
      <c r="B3323">
        <v>53.105870527269097</v>
      </c>
      <c r="C3323">
        <v>2001</v>
      </c>
    </row>
    <row r="3324" spans="1:11" x14ac:dyDescent="0.25">
      <c r="A3324">
        <v>30.9518942674353</v>
      </c>
      <c r="B3324">
        <v>53.701054896558901</v>
      </c>
      <c r="C3324">
        <v>2001</v>
      </c>
    </row>
    <row r="3325" spans="1:11" x14ac:dyDescent="0.25">
      <c r="A3325">
        <v>39.711897830805903</v>
      </c>
      <c r="B3325">
        <v>62.461058459929497</v>
      </c>
      <c r="C3325">
        <v>2001</v>
      </c>
    </row>
    <row r="3326" spans="1:11" x14ac:dyDescent="0.25">
      <c r="A3326">
        <v>39.274881806357101</v>
      </c>
      <c r="B3326">
        <v>62.898074484378299</v>
      </c>
      <c r="C3326">
        <v>2000</v>
      </c>
    </row>
    <row r="3327" spans="1:11" x14ac:dyDescent="0.25">
      <c r="A3327" t="s">
        <v>88</v>
      </c>
    </row>
    <row r="3328" spans="1:11" x14ac:dyDescent="0.25">
      <c r="A3328">
        <v>490</v>
      </c>
      <c r="B3328">
        <v>0</v>
      </c>
      <c r="C3328">
        <v>10.352620773321799</v>
      </c>
      <c r="D3328">
        <v>2.7888938809998498</v>
      </c>
      <c r="E3328">
        <v>6</v>
      </c>
      <c r="F3328">
        <v>1.5707963267949001</v>
      </c>
      <c r="G3328" t="s">
        <v>86</v>
      </c>
      <c r="H3328" t="s">
        <v>86</v>
      </c>
      <c r="I3328">
        <v>496</v>
      </c>
      <c r="J3328">
        <v>242</v>
      </c>
      <c r="K3328">
        <v>0</v>
      </c>
    </row>
    <row r="3329" spans="1:11" x14ac:dyDescent="0.25">
      <c r="A3329" t="s">
        <v>87</v>
      </c>
    </row>
    <row r="3330" spans="1:11" x14ac:dyDescent="0.25">
      <c r="A3330">
        <v>60.7569768842109</v>
      </c>
      <c r="B3330">
        <v>85.614764660417507</v>
      </c>
      <c r="C3330">
        <v>2000</v>
      </c>
    </row>
    <row r="3331" spans="1:11" x14ac:dyDescent="0.25">
      <c r="A3331">
        <v>53.436568532342299</v>
      </c>
      <c r="B3331">
        <v>78.294356308548899</v>
      </c>
      <c r="C3331">
        <v>2000</v>
      </c>
    </row>
    <row r="3332" spans="1:11" x14ac:dyDescent="0.25">
      <c r="A3332">
        <v>53.436568532342299</v>
      </c>
      <c r="B3332">
        <v>78.294356308548899</v>
      </c>
      <c r="C3332">
        <v>2001</v>
      </c>
    </row>
    <row r="3333" spans="1:11" x14ac:dyDescent="0.25">
      <c r="A3333">
        <v>60.7569768842109</v>
      </c>
      <c r="B3333">
        <v>85.614764660417507</v>
      </c>
      <c r="C3333">
        <v>2001</v>
      </c>
    </row>
    <row r="3334" spans="1:11" x14ac:dyDescent="0.25">
      <c r="A3334">
        <v>62.729022659475604</v>
      </c>
      <c r="B3334">
        <v>87.586810435682096</v>
      </c>
      <c r="C3334">
        <v>2001</v>
      </c>
    </row>
    <row r="3335" spans="1:11" x14ac:dyDescent="0.25">
      <c r="A3335">
        <v>62.729022659475604</v>
      </c>
      <c r="B3335">
        <v>87.586810435682096</v>
      </c>
      <c r="C3335">
        <v>2000</v>
      </c>
    </row>
    <row r="3336" spans="1:11" x14ac:dyDescent="0.25">
      <c r="A3336" t="s">
        <v>88</v>
      </c>
    </row>
    <row r="3337" spans="1:11" x14ac:dyDescent="0.25">
      <c r="A3337">
        <v>572</v>
      </c>
      <c r="B3337">
        <v>0</v>
      </c>
      <c r="C3337">
        <v>5.6984881656079303</v>
      </c>
      <c r="D3337">
        <v>7.0985582652606398</v>
      </c>
      <c r="E3337">
        <v>6</v>
      </c>
      <c r="F3337">
        <v>1.5707963267949001</v>
      </c>
      <c r="G3337" t="s">
        <v>86</v>
      </c>
      <c r="H3337" t="s">
        <v>86</v>
      </c>
      <c r="I3337">
        <v>569</v>
      </c>
      <c r="J3337">
        <v>585</v>
      </c>
      <c r="K3337">
        <v>0</v>
      </c>
    </row>
    <row r="3338" spans="1:11" x14ac:dyDescent="0.25">
      <c r="A3338" t="s">
        <v>87</v>
      </c>
    </row>
    <row r="3339" spans="1:11" x14ac:dyDescent="0.25">
      <c r="A3339">
        <v>19.335342580143099</v>
      </c>
      <c r="B3339">
        <v>136.09869763539101</v>
      </c>
      <c r="C3339">
        <v>2000</v>
      </c>
    </row>
    <row r="3340" spans="1:11" x14ac:dyDescent="0.25">
      <c r="A3340">
        <v>15.305902955730399</v>
      </c>
      <c r="B3340">
        <v>132.06925801097799</v>
      </c>
      <c r="C3340">
        <v>2000</v>
      </c>
    </row>
    <row r="3341" spans="1:11" x14ac:dyDescent="0.25">
      <c r="A3341">
        <v>15.305902955730399</v>
      </c>
      <c r="B3341">
        <v>132.06925801097799</v>
      </c>
      <c r="C3341">
        <v>2001</v>
      </c>
    </row>
    <row r="3342" spans="1:11" x14ac:dyDescent="0.25">
      <c r="A3342">
        <v>19.335342580143099</v>
      </c>
      <c r="B3342">
        <v>136.09869763539101</v>
      </c>
      <c r="C3342">
        <v>2001</v>
      </c>
    </row>
    <row r="3343" spans="1:11" x14ac:dyDescent="0.25">
      <c r="A3343">
        <v>24.354781266156699</v>
      </c>
      <c r="B3343">
        <v>141.11813632140499</v>
      </c>
      <c r="C3343">
        <v>2001</v>
      </c>
    </row>
    <row r="3344" spans="1:11" x14ac:dyDescent="0.25">
      <c r="A3344">
        <v>24.354781266156699</v>
      </c>
      <c r="B3344">
        <v>141.11813632140499</v>
      </c>
      <c r="C3344">
        <v>2000</v>
      </c>
    </row>
    <row r="3345" spans="1:11" x14ac:dyDescent="0.25">
      <c r="A3345" t="s">
        <v>88</v>
      </c>
    </row>
    <row r="3346" spans="1:11" x14ac:dyDescent="0.25">
      <c r="A3346">
        <v>592</v>
      </c>
      <c r="B3346">
        <v>0</v>
      </c>
      <c r="C3346">
        <v>4.7840932383384001</v>
      </c>
      <c r="D3346">
        <v>8.0129531925301603</v>
      </c>
      <c r="E3346">
        <v>6</v>
      </c>
      <c r="F3346">
        <v>1.01722196789785</v>
      </c>
      <c r="G3346" t="s">
        <v>86</v>
      </c>
      <c r="H3346" t="s">
        <v>86</v>
      </c>
      <c r="I3346">
        <v>595</v>
      </c>
      <c r="J3346">
        <v>585</v>
      </c>
      <c r="K3346">
        <v>0</v>
      </c>
    </row>
    <row r="3347" spans="1:11" x14ac:dyDescent="0.25">
      <c r="A3347" t="s">
        <v>87</v>
      </c>
    </row>
    <row r="3348" spans="1:11" x14ac:dyDescent="0.25">
      <c r="A3348">
        <v>18.2286191895782</v>
      </c>
      <c r="B3348">
        <v>135.91227131844599</v>
      </c>
      <c r="C3348">
        <v>2000</v>
      </c>
    </row>
    <row r="3349" spans="1:11" x14ac:dyDescent="0.25">
      <c r="A3349">
        <v>14.8457544189204</v>
      </c>
      <c r="B3349">
        <v>132.529406547788</v>
      </c>
      <c r="C3349">
        <v>2000</v>
      </c>
    </row>
    <row r="3350" spans="1:11" x14ac:dyDescent="0.25">
      <c r="A3350">
        <v>15.2827704433692</v>
      </c>
      <c r="B3350">
        <v>132.09239052333999</v>
      </c>
      <c r="C3350">
        <v>2001</v>
      </c>
    </row>
    <row r="3351" spans="1:11" x14ac:dyDescent="0.25">
      <c r="A3351">
        <v>18.665635214026999</v>
      </c>
      <c r="B3351">
        <v>135.47525529399701</v>
      </c>
      <c r="C3351">
        <v>2001</v>
      </c>
    </row>
    <row r="3352" spans="1:11" x14ac:dyDescent="0.25">
      <c r="A3352">
        <v>24.331648753795498</v>
      </c>
      <c r="B3352">
        <v>141.14126883376599</v>
      </c>
      <c r="C3352">
        <v>2001</v>
      </c>
    </row>
    <row r="3353" spans="1:11" x14ac:dyDescent="0.25">
      <c r="A3353">
        <v>23.8946327293467</v>
      </c>
      <c r="B3353">
        <v>141.578284858215</v>
      </c>
      <c r="C3353">
        <v>2000</v>
      </c>
    </row>
    <row r="3354" spans="1:11" x14ac:dyDescent="0.25">
      <c r="A3354" t="s">
        <v>88</v>
      </c>
    </row>
    <row r="3355" spans="1:11" x14ac:dyDescent="0.25">
      <c r="A3355">
        <v>643</v>
      </c>
      <c r="B3355">
        <v>0</v>
      </c>
      <c r="C3355">
        <v>11.9400216273736</v>
      </c>
      <c r="D3355">
        <v>0.77251105197743197</v>
      </c>
      <c r="E3355">
        <v>6</v>
      </c>
      <c r="F3355">
        <v>1.5707963267949001</v>
      </c>
      <c r="G3355" t="s">
        <v>86</v>
      </c>
      <c r="H3355" t="s">
        <v>86</v>
      </c>
      <c r="I3355">
        <v>663</v>
      </c>
      <c r="J3355">
        <v>647</v>
      </c>
      <c r="K3355">
        <v>0</v>
      </c>
    </row>
    <row r="3356" spans="1:11" x14ac:dyDescent="0.25">
      <c r="A3356" t="s">
        <v>87</v>
      </c>
    </row>
    <row r="3357" spans="1:11" x14ac:dyDescent="0.25">
      <c r="A3357">
        <v>38.030646200306101</v>
      </c>
      <c r="B3357">
        <v>63.0498144836397</v>
      </c>
      <c r="C3357">
        <v>2000</v>
      </c>
    </row>
    <row r="3358" spans="1:11" x14ac:dyDescent="0.25">
      <c r="A3358">
        <v>29.587775940076199</v>
      </c>
      <c r="B3358">
        <v>54.606944223409798</v>
      </c>
      <c r="C3358">
        <v>2000</v>
      </c>
    </row>
    <row r="3359" spans="1:11" x14ac:dyDescent="0.25">
      <c r="A3359">
        <v>29.587775940076199</v>
      </c>
      <c r="B3359">
        <v>54.606944223409798</v>
      </c>
      <c r="C3359">
        <v>2001</v>
      </c>
    </row>
    <row r="3360" spans="1:11" x14ac:dyDescent="0.25">
      <c r="A3360">
        <v>38.030646200306101</v>
      </c>
      <c r="B3360">
        <v>63.0498144836397</v>
      </c>
      <c r="C3360">
        <v>2001</v>
      </c>
    </row>
    <row r="3361" spans="1:11" x14ac:dyDescent="0.25">
      <c r="A3361">
        <v>38.5768940037009</v>
      </c>
      <c r="B3361">
        <v>63.596062287034499</v>
      </c>
      <c r="C3361">
        <v>2001</v>
      </c>
    </row>
    <row r="3362" spans="1:11" x14ac:dyDescent="0.25">
      <c r="A3362">
        <v>38.5768940037009</v>
      </c>
      <c r="B3362">
        <v>63.596062287034499</v>
      </c>
      <c r="C3362">
        <v>2000</v>
      </c>
    </row>
    <row r="3363" spans="1:11" x14ac:dyDescent="0.25">
      <c r="A3363" t="s">
        <v>88</v>
      </c>
    </row>
    <row r="3364" spans="1:11" x14ac:dyDescent="0.25">
      <c r="A3364">
        <v>737</v>
      </c>
      <c r="B3364">
        <v>0</v>
      </c>
      <c r="C3364">
        <v>3.2459896031087401</v>
      </c>
      <c r="D3364">
        <v>9.3879583864083997</v>
      </c>
      <c r="E3364">
        <v>6</v>
      </c>
      <c r="F3364">
        <v>1.01722196789785</v>
      </c>
      <c r="G3364" t="s">
        <v>86</v>
      </c>
      <c r="H3364" t="s">
        <v>85</v>
      </c>
      <c r="I3364">
        <v>182</v>
      </c>
      <c r="J3364">
        <v>0</v>
      </c>
      <c r="K3364">
        <v>0.132280897398523</v>
      </c>
    </row>
    <row r="3365" spans="1:11" x14ac:dyDescent="0.25">
      <c r="A3365" t="s">
        <v>87</v>
      </c>
    </row>
    <row r="3366" spans="1:11" x14ac:dyDescent="0.25">
      <c r="A3366">
        <v>143.524078588191</v>
      </c>
      <c r="B3366">
        <v>135.60191259649801</v>
      </c>
      <c r="C3366">
        <v>2000</v>
      </c>
    </row>
    <row r="3367" spans="1:11" x14ac:dyDescent="0.25">
      <c r="A3367">
        <v>141.28495771567901</v>
      </c>
      <c r="B3367">
        <v>133.362791723985</v>
      </c>
      <c r="C3367">
        <v>2000</v>
      </c>
    </row>
    <row r="3368" spans="1:11" x14ac:dyDescent="0.25">
      <c r="A3368">
        <v>140.84794169123001</v>
      </c>
      <c r="B3368">
        <v>133.79980774843401</v>
      </c>
      <c r="C3368">
        <v>2001</v>
      </c>
    </row>
    <row r="3369" spans="1:11" x14ac:dyDescent="0.25">
      <c r="A3369">
        <v>143.19934333875599</v>
      </c>
      <c r="B3369">
        <v>136.15120939596099</v>
      </c>
      <c r="C3369">
        <v>2001</v>
      </c>
    </row>
    <row r="3370" spans="1:11" x14ac:dyDescent="0.25">
      <c r="A3370">
        <v>150</v>
      </c>
      <c r="B3370">
        <v>142.951866057204</v>
      </c>
      <c r="C3370">
        <v>2001</v>
      </c>
    </row>
    <row r="3371" spans="1:11" x14ac:dyDescent="0.25">
      <c r="A3371">
        <v>150</v>
      </c>
      <c r="B3371">
        <v>142.07783400830701</v>
      </c>
      <c r="C3371">
        <v>2000</v>
      </c>
    </row>
    <row r="3372" spans="1:11" x14ac:dyDescent="0.25">
      <c r="A3372" t="s">
        <v>88</v>
      </c>
    </row>
    <row r="3373" spans="1:11" x14ac:dyDescent="0.25">
      <c r="A3373">
        <v>87</v>
      </c>
      <c r="B3373">
        <v>0</v>
      </c>
      <c r="C3373">
        <v>4.0101691803367299</v>
      </c>
      <c r="D3373">
        <v>8.5032083229562794</v>
      </c>
      <c r="E3373">
        <v>6</v>
      </c>
      <c r="F3373">
        <v>1.5707963267949001</v>
      </c>
      <c r="G3373" t="s">
        <v>86</v>
      </c>
      <c r="H3373" t="s">
        <v>86</v>
      </c>
      <c r="I3373">
        <v>96</v>
      </c>
      <c r="J3373">
        <v>420</v>
      </c>
      <c r="K3373">
        <v>0</v>
      </c>
    </row>
    <row r="3374" spans="1:11" x14ac:dyDescent="0.25">
      <c r="A3374" t="s">
        <v>87</v>
      </c>
    </row>
    <row r="3375" spans="1:11" x14ac:dyDescent="0.25">
      <c r="A3375">
        <v>89.007150562949107</v>
      </c>
      <c r="B3375">
        <v>18.2542885738678</v>
      </c>
      <c r="C3375">
        <v>2000</v>
      </c>
    </row>
    <row r="3376" spans="1:11" x14ac:dyDescent="0.25">
      <c r="A3376">
        <v>86.171532741827704</v>
      </c>
      <c r="B3376">
        <v>15.418670752746401</v>
      </c>
      <c r="C3376">
        <v>2000</v>
      </c>
    </row>
    <row r="3377" spans="1:11" x14ac:dyDescent="0.25">
      <c r="A3377">
        <v>86.171532741827704</v>
      </c>
      <c r="B3377">
        <v>15.418670752746401</v>
      </c>
      <c r="C3377">
        <v>2001</v>
      </c>
    </row>
    <row r="3378" spans="1:11" x14ac:dyDescent="0.25">
      <c r="A3378">
        <v>89.007150562949107</v>
      </c>
      <c r="B3378">
        <v>18.2542885738678</v>
      </c>
      <c r="C3378">
        <v>2001</v>
      </c>
    </row>
    <row r="3379" spans="1:11" x14ac:dyDescent="0.25">
      <c r="A3379">
        <v>95.019826829953402</v>
      </c>
      <c r="B3379">
        <v>24.266964840871999</v>
      </c>
      <c r="C3379">
        <v>2001</v>
      </c>
    </row>
    <row r="3380" spans="1:11" x14ac:dyDescent="0.25">
      <c r="A3380">
        <v>95.019826829953402</v>
      </c>
      <c r="B3380">
        <v>24.266964840871999</v>
      </c>
      <c r="C3380">
        <v>2000</v>
      </c>
    </row>
    <row r="3381" spans="1:11" x14ac:dyDescent="0.25">
      <c r="A3381" t="s">
        <v>88</v>
      </c>
    </row>
    <row r="3382" spans="1:11" x14ac:dyDescent="0.25">
      <c r="A3382">
        <v>200</v>
      </c>
      <c r="B3382">
        <v>0</v>
      </c>
      <c r="C3382">
        <v>6.8699463912216201</v>
      </c>
      <c r="D3382">
        <v>4.9040891387414796</v>
      </c>
      <c r="E3382">
        <v>6</v>
      </c>
      <c r="F3382">
        <v>1.01722196789785</v>
      </c>
      <c r="G3382" t="s">
        <v>86</v>
      </c>
      <c r="H3382" t="s">
        <v>86</v>
      </c>
      <c r="I3382">
        <v>183</v>
      </c>
      <c r="J3382">
        <v>191</v>
      </c>
      <c r="K3382">
        <v>0</v>
      </c>
    </row>
    <row r="3383" spans="1:11" x14ac:dyDescent="0.25">
      <c r="A3383" t="s">
        <v>87</v>
      </c>
    </row>
    <row r="3384" spans="1:11" x14ac:dyDescent="0.25">
      <c r="A3384">
        <v>139.30193116995201</v>
      </c>
      <c r="B3384">
        <v>115.99048645375299</v>
      </c>
      <c r="C3384">
        <v>2000</v>
      </c>
    </row>
    <row r="3385" spans="1:11" x14ac:dyDescent="0.25">
      <c r="A3385">
        <v>134.44414549033101</v>
      </c>
      <c r="B3385">
        <v>111.132700774132</v>
      </c>
      <c r="C3385">
        <v>2000</v>
      </c>
    </row>
    <row r="3386" spans="1:11" x14ac:dyDescent="0.25">
      <c r="A3386">
        <v>134.007129465882</v>
      </c>
      <c r="B3386">
        <v>111.569716798581</v>
      </c>
      <c r="C3386">
        <v>2001</v>
      </c>
    </row>
    <row r="3387" spans="1:11" x14ac:dyDescent="0.25">
      <c r="A3387">
        <v>138.86491514550301</v>
      </c>
      <c r="B3387">
        <v>116.427502478202</v>
      </c>
      <c r="C3387">
        <v>2001</v>
      </c>
    </row>
    <row r="3388" spans="1:11" x14ac:dyDescent="0.25">
      <c r="A3388">
        <v>142.33262983105001</v>
      </c>
      <c r="B3388">
        <v>119.895217163749</v>
      </c>
      <c r="C3388">
        <v>2001</v>
      </c>
    </row>
    <row r="3389" spans="1:11" x14ac:dyDescent="0.25">
      <c r="A3389">
        <v>142.76964585549899</v>
      </c>
      <c r="B3389">
        <v>119.4582011393</v>
      </c>
      <c r="C3389">
        <v>2000</v>
      </c>
    </row>
    <row r="3390" spans="1:11" x14ac:dyDescent="0.25">
      <c r="A3390" t="s">
        <v>88</v>
      </c>
    </row>
    <row r="3391" spans="1:11" x14ac:dyDescent="0.25">
      <c r="A3391">
        <v>729</v>
      </c>
      <c r="B3391">
        <v>0</v>
      </c>
      <c r="C3391">
        <v>3.93323272828607</v>
      </c>
      <c r="D3391">
        <v>7.8138344762332403</v>
      </c>
      <c r="E3391">
        <v>6</v>
      </c>
      <c r="F3391">
        <v>1.01722196789785</v>
      </c>
      <c r="G3391" t="s">
        <v>86</v>
      </c>
      <c r="H3391" t="s">
        <v>86</v>
      </c>
      <c r="I3391">
        <v>263</v>
      </c>
      <c r="J3391">
        <v>253</v>
      </c>
      <c r="K3391">
        <v>0.13160878275062499</v>
      </c>
    </row>
    <row r="3392" spans="1:11" x14ac:dyDescent="0.25">
      <c r="A3392" t="s">
        <v>87</v>
      </c>
    </row>
    <row r="3393" spans="1:11" x14ac:dyDescent="0.25">
      <c r="A3393">
        <v>79.482750313585797</v>
      </c>
      <c r="B3393">
        <v>138.31683724248199</v>
      </c>
      <c r="C3393">
        <v>2000</v>
      </c>
    </row>
    <row r="3394" spans="1:11" x14ac:dyDescent="0.25">
      <c r="A3394">
        <v>76.701534779429807</v>
      </c>
      <c r="B3394">
        <v>135.535621708326</v>
      </c>
      <c r="C3394">
        <v>2000</v>
      </c>
    </row>
    <row r="3395" spans="1:11" x14ac:dyDescent="0.25">
      <c r="A3395">
        <v>77.138550803878701</v>
      </c>
      <c r="B3395">
        <v>135.098605683877</v>
      </c>
      <c r="C3395">
        <v>2001</v>
      </c>
    </row>
    <row r="3396" spans="1:11" x14ac:dyDescent="0.25">
      <c r="A3396">
        <v>79.919766338034606</v>
      </c>
      <c r="B3396">
        <v>137.87982121803299</v>
      </c>
      <c r="C3396">
        <v>2001</v>
      </c>
    </row>
    <row r="3397" spans="1:11" x14ac:dyDescent="0.25">
      <c r="A3397">
        <v>85.4449816832484</v>
      </c>
      <c r="B3397">
        <v>143.40503656324699</v>
      </c>
      <c r="C3397">
        <v>2001</v>
      </c>
    </row>
    <row r="3398" spans="1:11" x14ac:dyDescent="0.25">
      <c r="A3398">
        <v>85.007965658799606</v>
      </c>
      <c r="B3398">
        <v>143.842052587696</v>
      </c>
      <c r="C3398">
        <v>2000</v>
      </c>
    </row>
    <row r="3399" spans="1:11" x14ac:dyDescent="0.25">
      <c r="A3399" t="s">
        <v>88</v>
      </c>
    </row>
    <row r="3400" spans="1:11" x14ac:dyDescent="0.25">
      <c r="A3400">
        <v>585</v>
      </c>
      <c r="B3400">
        <v>0</v>
      </c>
      <c r="C3400">
        <v>7.9296839005253501</v>
      </c>
      <c r="D3400">
        <v>3.7970009571815</v>
      </c>
      <c r="E3400">
        <v>6</v>
      </c>
      <c r="F3400">
        <v>1.01722196789785</v>
      </c>
      <c r="G3400" t="s">
        <v>86</v>
      </c>
      <c r="H3400" t="s">
        <v>85</v>
      </c>
      <c r="I3400">
        <v>572</v>
      </c>
      <c r="J3400">
        <v>0</v>
      </c>
      <c r="K3400">
        <v>0</v>
      </c>
    </row>
    <row r="3401" spans="1:11" x14ac:dyDescent="0.25">
      <c r="A3401" t="s">
        <v>87</v>
      </c>
    </row>
    <row r="3402" spans="1:11" x14ac:dyDescent="0.25">
      <c r="A3402">
        <v>29.005804244038298</v>
      </c>
      <c r="B3402">
        <v>147.38586591348201</v>
      </c>
      <c r="C3402">
        <v>2000</v>
      </c>
    </row>
    <row r="3403" spans="1:11" x14ac:dyDescent="0.25">
      <c r="A3403">
        <v>23.546427959059098</v>
      </c>
      <c r="B3403">
        <v>141.926489628502</v>
      </c>
      <c r="C3403">
        <v>2000</v>
      </c>
    </row>
    <row r="3404" spans="1:11" x14ac:dyDescent="0.25">
      <c r="A3404">
        <v>23.9834439835079</v>
      </c>
      <c r="B3404">
        <v>141.48947360405299</v>
      </c>
      <c r="C3404">
        <v>2001</v>
      </c>
    </row>
    <row r="3405" spans="1:11" x14ac:dyDescent="0.25">
      <c r="A3405">
        <v>29.738334215983201</v>
      </c>
      <c r="B3405">
        <v>147.244363836529</v>
      </c>
      <c r="C3405">
        <v>2001</v>
      </c>
    </row>
    <row r="3406" spans="1:11" x14ac:dyDescent="0.25">
      <c r="A3406">
        <v>32.493970379454503</v>
      </c>
      <c r="B3406">
        <v>150</v>
      </c>
      <c r="C3406">
        <v>2001</v>
      </c>
    </row>
    <row r="3407" spans="1:11" x14ac:dyDescent="0.25">
      <c r="A3407">
        <v>31.619938330556799</v>
      </c>
      <c r="B3407">
        <v>150</v>
      </c>
      <c r="C3407">
        <v>2000</v>
      </c>
    </row>
    <row r="3408" spans="1:11" x14ac:dyDescent="0.25">
      <c r="A3408" t="s">
        <v>88</v>
      </c>
    </row>
    <row r="3409" spans="1:11" x14ac:dyDescent="0.25">
      <c r="A3409">
        <v>401</v>
      </c>
      <c r="B3409">
        <v>0</v>
      </c>
      <c r="C3409">
        <v>0</v>
      </c>
      <c r="D3409">
        <v>11.3034719672441</v>
      </c>
      <c r="E3409">
        <v>6</v>
      </c>
      <c r="F3409">
        <v>1.5707963267949001</v>
      </c>
      <c r="G3409" t="s">
        <v>86</v>
      </c>
      <c r="H3409" t="s">
        <v>85</v>
      </c>
      <c r="I3409">
        <v>418</v>
      </c>
      <c r="J3409">
        <v>0</v>
      </c>
      <c r="K3409">
        <v>0</v>
      </c>
    </row>
    <row r="3410" spans="1:11" x14ac:dyDescent="0.25">
      <c r="A3410" t="s">
        <v>87</v>
      </c>
    </row>
    <row r="3411" spans="1:11" x14ac:dyDescent="0.25">
      <c r="A3411">
        <v>142.00723832100999</v>
      </c>
      <c r="B3411">
        <v>96.679986033905294</v>
      </c>
      <c r="C3411">
        <v>2000</v>
      </c>
    </row>
    <row r="3412" spans="1:11" x14ac:dyDescent="0.25">
      <c r="A3412">
        <v>142.00723832100999</v>
      </c>
      <c r="B3412">
        <v>96.679986033905294</v>
      </c>
      <c r="C3412">
        <v>2001</v>
      </c>
    </row>
    <row r="3413" spans="1:11" x14ac:dyDescent="0.25">
      <c r="A3413">
        <v>145.32725228710399</v>
      </c>
      <c r="B3413">
        <v>100</v>
      </c>
      <c r="C3413">
        <v>2001</v>
      </c>
    </row>
    <row r="3414" spans="1:11" x14ac:dyDescent="0.25">
      <c r="A3414">
        <v>150</v>
      </c>
      <c r="B3414">
        <v>104.672747712896</v>
      </c>
      <c r="C3414">
        <v>2001</v>
      </c>
    </row>
    <row r="3415" spans="1:11" x14ac:dyDescent="0.25">
      <c r="A3415">
        <v>150</v>
      </c>
      <c r="B3415">
        <v>104.672747712896</v>
      </c>
      <c r="C3415">
        <v>2000</v>
      </c>
    </row>
    <row r="3416" spans="1:11" x14ac:dyDescent="0.25">
      <c r="A3416">
        <v>145.32725228710399</v>
      </c>
      <c r="B3416">
        <v>100</v>
      </c>
      <c r="C3416">
        <v>2000</v>
      </c>
    </row>
    <row r="3417" spans="1:11" x14ac:dyDescent="0.25">
      <c r="A3417" t="s">
        <v>88</v>
      </c>
    </row>
    <row r="3418" spans="1:11" x14ac:dyDescent="0.25">
      <c r="A3418">
        <v>171</v>
      </c>
      <c r="B3418">
        <v>0</v>
      </c>
      <c r="C3418">
        <v>4.9455085362913804</v>
      </c>
      <c r="D3418">
        <v>6.2813966968506403</v>
      </c>
      <c r="E3418">
        <v>6</v>
      </c>
      <c r="F3418">
        <v>1.5707963267949001</v>
      </c>
      <c r="G3418" t="s">
        <v>86</v>
      </c>
      <c r="H3418" t="s">
        <v>85</v>
      </c>
      <c r="I3418">
        <v>175</v>
      </c>
      <c r="J3418">
        <v>0</v>
      </c>
      <c r="K3418">
        <v>0</v>
      </c>
    </row>
    <row r="3419" spans="1:11" x14ac:dyDescent="0.25">
      <c r="A3419" t="s">
        <v>87</v>
      </c>
    </row>
    <row r="3420" spans="1:11" x14ac:dyDescent="0.25">
      <c r="A3420">
        <v>116.227711977543</v>
      </c>
      <c r="B3420">
        <v>145.55838180033399</v>
      </c>
      <c r="C3420">
        <v>2000</v>
      </c>
    </row>
    <row r="3421" spans="1:11" x14ac:dyDescent="0.25">
      <c r="A3421">
        <v>112.73070935511601</v>
      </c>
      <c r="B3421">
        <v>142.06137917790701</v>
      </c>
      <c r="C3421">
        <v>2000</v>
      </c>
    </row>
    <row r="3422" spans="1:11" x14ac:dyDescent="0.25">
      <c r="A3422">
        <v>112.73070935511601</v>
      </c>
      <c r="B3422">
        <v>142.06137917790701</v>
      </c>
      <c r="C3422">
        <v>2001</v>
      </c>
    </row>
    <row r="3423" spans="1:11" x14ac:dyDescent="0.25">
      <c r="A3423">
        <v>116.227711977543</v>
      </c>
      <c r="B3423">
        <v>145.55838180033399</v>
      </c>
      <c r="C3423">
        <v>2001</v>
      </c>
    </row>
    <row r="3424" spans="1:11" x14ac:dyDescent="0.25">
      <c r="A3424">
        <v>120.66933017720901</v>
      </c>
      <c r="B3424">
        <v>150</v>
      </c>
      <c r="C3424">
        <v>2001</v>
      </c>
    </row>
    <row r="3425" spans="1:11" x14ac:dyDescent="0.25">
      <c r="A3425">
        <v>120.66933017720901</v>
      </c>
      <c r="B3425">
        <v>150</v>
      </c>
      <c r="C3425">
        <v>2000</v>
      </c>
    </row>
    <row r="3426" spans="1:11" x14ac:dyDescent="0.25">
      <c r="A3426" t="s">
        <v>88</v>
      </c>
    </row>
    <row r="3427" spans="1:11" x14ac:dyDescent="0.25">
      <c r="A3427">
        <v>177</v>
      </c>
      <c r="B3427">
        <v>0</v>
      </c>
      <c r="C3427">
        <v>11.033177023685999</v>
      </c>
      <c r="D3427">
        <v>0</v>
      </c>
      <c r="E3427">
        <v>7</v>
      </c>
      <c r="F3427">
        <v>1.5707963267949001</v>
      </c>
      <c r="G3427" t="s">
        <v>86</v>
      </c>
      <c r="H3427" t="s">
        <v>86</v>
      </c>
      <c r="I3427">
        <v>509</v>
      </c>
      <c r="J3427">
        <v>199</v>
      </c>
      <c r="K3427">
        <v>0</v>
      </c>
    </row>
    <row r="3428" spans="1:11" x14ac:dyDescent="0.25">
      <c r="A3428" t="s">
        <v>87</v>
      </c>
    </row>
    <row r="3429" spans="1:11" x14ac:dyDescent="0.25">
      <c r="A3429">
        <v>130.99921992095199</v>
      </c>
      <c r="B3429">
        <v>102.057290101451</v>
      </c>
      <c r="C3429">
        <v>2000</v>
      </c>
    </row>
    <row r="3430" spans="1:11" x14ac:dyDescent="0.25">
      <c r="A3430">
        <v>128.94192981950101</v>
      </c>
      <c r="B3430">
        <v>100</v>
      </c>
      <c r="C3430">
        <v>2000</v>
      </c>
    </row>
    <row r="3431" spans="1:11" x14ac:dyDescent="0.25">
      <c r="A3431">
        <v>123.197585629472</v>
      </c>
      <c r="B3431">
        <v>94.255655809970506</v>
      </c>
      <c r="C3431">
        <v>2000</v>
      </c>
    </row>
    <row r="3432" spans="1:11" x14ac:dyDescent="0.25">
      <c r="A3432">
        <v>123.197585629472</v>
      </c>
      <c r="B3432">
        <v>94.255655809970506</v>
      </c>
      <c r="C3432">
        <v>2001</v>
      </c>
    </row>
    <row r="3433" spans="1:11" x14ac:dyDescent="0.25">
      <c r="A3433">
        <v>128.94192981950101</v>
      </c>
      <c r="B3433">
        <v>100</v>
      </c>
      <c r="C3433">
        <v>2001</v>
      </c>
    </row>
    <row r="3434" spans="1:11" x14ac:dyDescent="0.25">
      <c r="A3434">
        <v>130.99921992095199</v>
      </c>
      <c r="B3434">
        <v>102.057290101451</v>
      </c>
      <c r="C3434">
        <v>2001</v>
      </c>
    </row>
    <row r="3435" spans="1:11" x14ac:dyDescent="0.25">
      <c r="A3435">
        <v>130.99921992095199</v>
      </c>
      <c r="B3435">
        <v>102.057290101451</v>
      </c>
      <c r="C3435">
        <v>2000</v>
      </c>
    </row>
    <row r="3436" spans="1:11" x14ac:dyDescent="0.25">
      <c r="A3436" t="s">
        <v>88</v>
      </c>
    </row>
    <row r="3437" spans="1:11" x14ac:dyDescent="0.25">
      <c r="A3437">
        <v>511</v>
      </c>
      <c r="B3437">
        <v>0</v>
      </c>
      <c r="C3437">
        <v>6.5396436543471896</v>
      </c>
      <c r="D3437">
        <v>4.34325828315718</v>
      </c>
      <c r="E3437">
        <v>6</v>
      </c>
      <c r="F3437">
        <v>1.01722196789785</v>
      </c>
      <c r="G3437" t="s">
        <v>86</v>
      </c>
      <c r="H3437" t="s">
        <v>86</v>
      </c>
      <c r="I3437">
        <v>515</v>
      </c>
      <c r="J3437">
        <v>488</v>
      </c>
      <c r="K3437">
        <v>0</v>
      </c>
    </row>
    <row r="3438" spans="1:11" x14ac:dyDescent="0.25">
      <c r="A3438" t="s">
        <v>87</v>
      </c>
    </row>
    <row r="3439" spans="1:11" x14ac:dyDescent="0.25">
      <c r="A3439">
        <v>92.392259188649206</v>
      </c>
      <c r="B3439">
        <v>62.841700504455801</v>
      </c>
      <c r="C3439">
        <v>2000</v>
      </c>
    </row>
    <row r="3440" spans="1:11" x14ac:dyDescent="0.25">
      <c r="A3440">
        <v>87.768032814116694</v>
      </c>
      <c r="B3440">
        <v>58.217474129923303</v>
      </c>
      <c r="C3440">
        <v>2000</v>
      </c>
    </row>
    <row r="3441" spans="1:11" x14ac:dyDescent="0.25">
      <c r="A3441">
        <v>88.205048838565503</v>
      </c>
      <c r="B3441">
        <v>57.780458105474501</v>
      </c>
      <c r="C3441">
        <v>2001</v>
      </c>
    </row>
    <row r="3442" spans="1:11" x14ac:dyDescent="0.25">
      <c r="A3442">
        <v>92.829275213098001</v>
      </c>
      <c r="B3442">
        <v>62.4046844800069</v>
      </c>
      <c r="C3442">
        <v>2001</v>
      </c>
    </row>
    <row r="3443" spans="1:11" x14ac:dyDescent="0.25">
      <c r="A3443">
        <v>95.900422597563093</v>
      </c>
      <c r="B3443">
        <v>65.475831864471999</v>
      </c>
      <c r="C3443">
        <v>2001</v>
      </c>
    </row>
    <row r="3444" spans="1:11" x14ac:dyDescent="0.25">
      <c r="A3444">
        <v>95.463406573114298</v>
      </c>
      <c r="B3444">
        <v>65.912847888920794</v>
      </c>
      <c r="C3444">
        <v>2000</v>
      </c>
    </row>
    <row r="3445" spans="1:11" x14ac:dyDescent="0.25">
      <c r="A3445" t="s">
        <v>88</v>
      </c>
    </row>
    <row r="3446" spans="1:11" x14ac:dyDescent="0.25">
      <c r="A3446">
        <v>341</v>
      </c>
      <c r="B3446">
        <v>0</v>
      </c>
      <c r="C3446">
        <v>2.3675585510785999</v>
      </c>
      <c r="D3446">
        <v>8.4331563040994393</v>
      </c>
      <c r="E3446">
        <v>6</v>
      </c>
      <c r="F3446">
        <v>1.01722196789785</v>
      </c>
      <c r="G3446" t="s">
        <v>86</v>
      </c>
      <c r="H3446" t="s">
        <v>85</v>
      </c>
      <c r="I3446">
        <v>327</v>
      </c>
      <c r="J3446">
        <v>0</v>
      </c>
      <c r="K3446">
        <v>0</v>
      </c>
    </row>
    <row r="3447" spans="1:11" x14ac:dyDescent="0.25">
      <c r="A3447" t="s">
        <v>87</v>
      </c>
    </row>
    <row r="3448" spans="1:11" x14ac:dyDescent="0.25">
      <c r="A3448">
        <v>143.86624778138</v>
      </c>
      <c r="B3448">
        <v>31.243915489404099</v>
      </c>
      <c r="C3448">
        <v>2000</v>
      </c>
    </row>
    <row r="3449" spans="1:11" x14ac:dyDescent="0.25">
      <c r="A3449">
        <v>142.144233272017</v>
      </c>
      <c r="B3449">
        <v>29.521900980040598</v>
      </c>
      <c r="C3449">
        <v>2000</v>
      </c>
    </row>
    <row r="3450" spans="1:11" x14ac:dyDescent="0.25">
      <c r="A3450">
        <v>142.58124929646601</v>
      </c>
      <c r="B3450">
        <v>29.084884955591701</v>
      </c>
      <c r="C3450">
        <v>2001</v>
      </c>
    </row>
    <row r="3451" spans="1:11" x14ac:dyDescent="0.25">
      <c r="A3451">
        <v>144.20746819975</v>
      </c>
      <c r="B3451">
        <v>30.711103858875902</v>
      </c>
      <c r="C3451">
        <v>2001</v>
      </c>
    </row>
    <row r="3452" spans="1:11" x14ac:dyDescent="0.25">
      <c r="A3452">
        <v>150</v>
      </c>
      <c r="B3452">
        <v>36.503635659125997</v>
      </c>
      <c r="C3452">
        <v>2001</v>
      </c>
    </row>
    <row r="3453" spans="1:11" x14ac:dyDescent="0.25">
      <c r="A3453">
        <v>150</v>
      </c>
      <c r="B3453">
        <v>37.377667708023701</v>
      </c>
      <c r="C3453">
        <v>2000</v>
      </c>
    </row>
    <row r="3454" spans="1:11" x14ac:dyDescent="0.25">
      <c r="A3454" t="s">
        <v>88</v>
      </c>
    </row>
    <row r="3455" spans="1:11" x14ac:dyDescent="0.25">
      <c r="A3455">
        <v>673</v>
      </c>
      <c r="B3455">
        <v>0</v>
      </c>
      <c r="C3455">
        <v>9.2051126653088993</v>
      </c>
      <c r="D3455">
        <v>1.5099766188961501</v>
      </c>
      <c r="E3455">
        <v>6</v>
      </c>
      <c r="F3455">
        <v>1.01722196789785</v>
      </c>
      <c r="G3455" t="s">
        <v>86</v>
      </c>
      <c r="H3455" t="s">
        <v>86</v>
      </c>
      <c r="I3455">
        <v>36</v>
      </c>
      <c r="J3455">
        <v>666</v>
      </c>
      <c r="K3455">
        <v>0</v>
      </c>
    </row>
    <row r="3456" spans="1:11" x14ac:dyDescent="0.25">
      <c r="A3456" t="s">
        <v>87</v>
      </c>
    </row>
    <row r="3457" spans="1:11" x14ac:dyDescent="0.25">
      <c r="A3457">
        <v>23.5726402171715</v>
      </c>
      <c r="B3457">
        <v>57.347662222738002</v>
      </c>
      <c r="C3457">
        <v>2000</v>
      </c>
    </row>
    <row r="3458" spans="1:11" x14ac:dyDescent="0.25">
      <c r="A3458">
        <v>17.063642629945399</v>
      </c>
      <c r="B3458">
        <v>50.838664635511897</v>
      </c>
      <c r="C3458">
        <v>2000</v>
      </c>
    </row>
    <row r="3459" spans="1:11" x14ac:dyDescent="0.25">
      <c r="A3459">
        <v>16.6266266054966</v>
      </c>
      <c r="B3459">
        <v>51.275680659960699</v>
      </c>
      <c r="C3459">
        <v>2001</v>
      </c>
    </row>
    <row r="3460" spans="1:11" x14ac:dyDescent="0.25">
      <c r="A3460">
        <v>23.135624192722702</v>
      </c>
      <c r="B3460">
        <v>57.784678247186797</v>
      </c>
      <c r="C3460">
        <v>2001</v>
      </c>
    </row>
    <row r="3461" spans="1:11" x14ac:dyDescent="0.25">
      <c r="A3461">
        <v>24.2033388993773</v>
      </c>
      <c r="B3461">
        <v>58.852392953841502</v>
      </c>
      <c r="C3461">
        <v>2001</v>
      </c>
    </row>
    <row r="3462" spans="1:11" x14ac:dyDescent="0.25">
      <c r="A3462">
        <v>24.640354923826099</v>
      </c>
      <c r="B3462">
        <v>58.4153769293926</v>
      </c>
      <c r="C3462">
        <v>2000</v>
      </c>
    </row>
    <row r="3463" spans="1:11" x14ac:dyDescent="0.25">
      <c r="A3463" t="s">
        <v>88</v>
      </c>
    </row>
    <row r="3464" spans="1:11" x14ac:dyDescent="0.25">
      <c r="A3464">
        <v>579</v>
      </c>
      <c r="B3464">
        <v>0</v>
      </c>
      <c r="C3464">
        <v>5.1933591737864004</v>
      </c>
      <c r="D3464">
        <v>5.5069610979385901</v>
      </c>
      <c r="E3464">
        <v>6</v>
      </c>
      <c r="F3464">
        <v>1.5707963267949001</v>
      </c>
      <c r="G3464" t="s">
        <v>85</v>
      </c>
      <c r="H3464" t="s">
        <v>85</v>
      </c>
      <c r="I3464">
        <v>0</v>
      </c>
      <c r="J3464">
        <v>0</v>
      </c>
      <c r="K3464">
        <v>0</v>
      </c>
    </row>
    <row r="3465" spans="1:11" x14ac:dyDescent="0.25">
      <c r="A3465" t="s">
        <v>87</v>
      </c>
    </row>
    <row r="3466" spans="1:11" x14ac:dyDescent="0.25">
      <c r="A3466">
        <v>3.6722594889217399</v>
      </c>
      <c r="B3466">
        <v>146.10599046391701</v>
      </c>
      <c r="C3466">
        <v>2000</v>
      </c>
    </row>
    <row r="3467" spans="1:11" x14ac:dyDescent="0.25">
      <c r="A3467">
        <v>0</v>
      </c>
      <c r="B3467">
        <v>142.433730974995</v>
      </c>
      <c r="C3467">
        <v>2000</v>
      </c>
    </row>
    <row r="3468" spans="1:11" x14ac:dyDescent="0.25">
      <c r="A3468">
        <v>0</v>
      </c>
      <c r="B3468">
        <v>142.433730974995</v>
      </c>
      <c r="C3468">
        <v>2001</v>
      </c>
    </row>
    <row r="3469" spans="1:11" x14ac:dyDescent="0.25">
      <c r="A3469">
        <v>3.6722594889217399</v>
      </c>
      <c r="B3469">
        <v>146.10599046391701</v>
      </c>
      <c r="C3469">
        <v>2001</v>
      </c>
    </row>
    <row r="3470" spans="1:11" x14ac:dyDescent="0.25">
      <c r="A3470">
        <v>7.5662690250046296</v>
      </c>
      <c r="B3470">
        <v>150</v>
      </c>
      <c r="C3470">
        <v>2001</v>
      </c>
    </row>
    <row r="3471" spans="1:11" x14ac:dyDescent="0.25">
      <c r="A3471">
        <v>7.5662690250046296</v>
      </c>
      <c r="B3471">
        <v>150</v>
      </c>
      <c r="C3471">
        <v>2000</v>
      </c>
    </row>
    <row r="3472" spans="1:11" x14ac:dyDescent="0.25">
      <c r="A3472" t="s">
        <v>88</v>
      </c>
    </row>
    <row r="3473" spans="1:11" x14ac:dyDescent="0.25">
      <c r="A3473">
        <v>191</v>
      </c>
      <c r="B3473">
        <v>0</v>
      </c>
      <c r="C3473">
        <v>4.8354664240604004</v>
      </c>
      <c r="D3473">
        <v>5.8567768126554496</v>
      </c>
      <c r="E3473">
        <v>6</v>
      </c>
      <c r="F3473">
        <v>1.01722196789785</v>
      </c>
      <c r="G3473" t="s">
        <v>86</v>
      </c>
      <c r="H3473" t="s">
        <v>85</v>
      </c>
      <c r="I3473">
        <v>200</v>
      </c>
      <c r="J3473">
        <v>0</v>
      </c>
      <c r="K3473">
        <v>0</v>
      </c>
    </row>
    <row r="3474" spans="1:11" x14ac:dyDescent="0.25">
      <c r="A3474" t="s">
        <v>87</v>
      </c>
    </row>
    <row r="3475" spans="1:11" x14ac:dyDescent="0.25">
      <c r="A3475">
        <v>145.97832321903101</v>
      </c>
      <c r="B3475">
        <v>122.89026958693699</v>
      </c>
      <c r="C3475">
        <v>2000</v>
      </c>
    </row>
    <row r="3476" spans="1:11" x14ac:dyDescent="0.25">
      <c r="A3476">
        <v>142.657950313447</v>
      </c>
      <c r="B3476">
        <v>119.569896681353</v>
      </c>
      <c r="C3476">
        <v>2000</v>
      </c>
    </row>
    <row r="3477" spans="1:11" x14ac:dyDescent="0.25">
      <c r="A3477">
        <v>142.220934288998</v>
      </c>
      <c r="B3477">
        <v>120.006912705801</v>
      </c>
      <c r="C3477">
        <v>2001</v>
      </c>
    </row>
    <row r="3478" spans="1:11" x14ac:dyDescent="0.25">
      <c r="A3478">
        <v>145.738943580719</v>
      </c>
      <c r="B3478">
        <v>123.52492199752299</v>
      </c>
      <c r="C3478">
        <v>2001</v>
      </c>
    </row>
    <row r="3479" spans="1:11" x14ac:dyDescent="0.25">
      <c r="A3479">
        <v>150</v>
      </c>
      <c r="B3479">
        <v>127.785978416804</v>
      </c>
      <c r="C3479">
        <v>2001</v>
      </c>
    </row>
    <row r="3480" spans="1:11" x14ac:dyDescent="0.25">
      <c r="A3480">
        <v>150</v>
      </c>
      <c r="B3480">
        <v>126.911946367906</v>
      </c>
      <c r="C3480">
        <v>2000</v>
      </c>
    </row>
    <row r="3481" spans="1:11" x14ac:dyDescent="0.25">
      <c r="A3481" t="s">
        <v>88</v>
      </c>
    </row>
    <row r="3482" spans="1:11" x14ac:dyDescent="0.25">
      <c r="A3482">
        <v>411</v>
      </c>
      <c r="B3482">
        <v>0</v>
      </c>
      <c r="C3482">
        <v>3.0420868840803101</v>
      </c>
      <c r="D3482">
        <v>7.5837498526488503</v>
      </c>
      <c r="E3482">
        <v>8</v>
      </c>
      <c r="F3482">
        <v>1.5707963267949001</v>
      </c>
      <c r="G3482" t="s">
        <v>86</v>
      </c>
      <c r="H3482" t="s">
        <v>86</v>
      </c>
      <c r="I3482">
        <v>408</v>
      </c>
      <c r="J3482">
        <v>180</v>
      </c>
      <c r="K3482">
        <v>0</v>
      </c>
    </row>
    <row r="3483" spans="1:11" x14ac:dyDescent="0.25">
      <c r="A3483" t="s">
        <v>87</v>
      </c>
    </row>
    <row r="3484" spans="1:11" x14ac:dyDescent="0.25">
      <c r="A3484">
        <v>112.184451432985</v>
      </c>
      <c r="B3484">
        <v>99.882353073862504</v>
      </c>
      <c r="C3484">
        <v>2000</v>
      </c>
    </row>
    <row r="3485" spans="1:11" x14ac:dyDescent="0.25">
      <c r="A3485">
        <v>110.033371168293</v>
      </c>
      <c r="B3485">
        <v>97.731272809170704</v>
      </c>
      <c r="C3485">
        <v>2000</v>
      </c>
    </row>
    <row r="3486" spans="1:11" x14ac:dyDescent="0.25">
      <c r="A3486">
        <v>110.033371168293</v>
      </c>
      <c r="B3486">
        <v>97.731272809170704</v>
      </c>
      <c r="C3486">
        <v>2001</v>
      </c>
    </row>
    <row r="3487" spans="1:11" x14ac:dyDescent="0.25">
      <c r="A3487">
        <v>112.184451432985</v>
      </c>
      <c r="B3487">
        <v>99.882353073862504</v>
      </c>
      <c r="C3487">
        <v>2001</v>
      </c>
    </row>
    <row r="3488" spans="1:11" x14ac:dyDescent="0.25">
      <c r="A3488">
        <v>112.302098359122</v>
      </c>
      <c r="B3488">
        <v>100</v>
      </c>
      <c r="C3488">
        <v>2001</v>
      </c>
    </row>
    <row r="3489" spans="1:11" x14ac:dyDescent="0.25">
      <c r="A3489">
        <v>117.546972380615</v>
      </c>
      <c r="B3489">
        <v>105.244874021493</v>
      </c>
      <c r="C3489">
        <v>2001</v>
      </c>
    </row>
    <row r="3490" spans="1:11" x14ac:dyDescent="0.25">
      <c r="A3490">
        <v>117.546972380615</v>
      </c>
      <c r="B3490">
        <v>105.244874021493</v>
      </c>
      <c r="C3490">
        <v>2000</v>
      </c>
    </row>
    <row r="3491" spans="1:11" x14ac:dyDescent="0.25">
      <c r="A3491">
        <v>112.302098359122</v>
      </c>
      <c r="B3491">
        <v>100</v>
      </c>
      <c r="C3491">
        <v>2000</v>
      </c>
    </row>
    <row r="3492" spans="1:11" x14ac:dyDescent="0.25">
      <c r="A3492" t="s">
        <v>88</v>
      </c>
    </row>
    <row r="3493" spans="1:11" x14ac:dyDescent="0.25">
      <c r="A3493">
        <v>647</v>
      </c>
      <c r="B3493">
        <v>0</v>
      </c>
      <c r="C3493">
        <v>0</v>
      </c>
      <c r="D3493">
        <v>10.5796571449795</v>
      </c>
      <c r="E3493">
        <v>4</v>
      </c>
      <c r="F3493">
        <v>1.5707963267949001</v>
      </c>
      <c r="G3493" t="s">
        <v>86</v>
      </c>
      <c r="H3493" t="s">
        <v>86</v>
      </c>
      <c r="I3493">
        <v>643</v>
      </c>
      <c r="J3493">
        <v>496</v>
      </c>
      <c r="K3493">
        <v>0</v>
      </c>
    </row>
    <row r="3494" spans="1:11" x14ac:dyDescent="0.25">
      <c r="A3494" t="s">
        <v>87</v>
      </c>
    </row>
    <row r="3495" spans="1:11" x14ac:dyDescent="0.25">
      <c r="A3495">
        <v>39.616554295465598</v>
      </c>
      <c r="B3495">
        <v>62.556401995269802</v>
      </c>
      <c r="C3495">
        <v>2000</v>
      </c>
    </row>
    <row r="3496" spans="1:11" x14ac:dyDescent="0.25">
      <c r="A3496">
        <v>39.616554295465598</v>
      </c>
      <c r="B3496">
        <v>62.556401995269802</v>
      </c>
      <c r="C3496">
        <v>2001</v>
      </c>
    </row>
    <row r="3497" spans="1:11" x14ac:dyDescent="0.25">
      <c r="A3497">
        <v>47.097501605309297</v>
      </c>
      <c r="B3497">
        <v>70.037349305113494</v>
      </c>
      <c r="C3497">
        <v>2001</v>
      </c>
    </row>
    <row r="3498" spans="1:11" x14ac:dyDescent="0.25">
      <c r="A3498">
        <v>47.097501605309297</v>
      </c>
      <c r="B3498">
        <v>70.037349305113494</v>
      </c>
      <c r="C3498">
        <v>2000</v>
      </c>
    </row>
    <row r="3499" spans="1:11" x14ac:dyDescent="0.25">
      <c r="A3499" t="s">
        <v>88</v>
      </c>
    </row>
    <row r="3500" spans="1:11" x14ac:dyDescent="0.25">
      <c r="A3500">
        <v>336</v>
      </c>
      <c r="B3500">
        <v>0</v>
      </c>
      <c r="C3500">
        <v>10.5520074564386</v>
      </c>
      <c r="D3500">
        <v>0</v>
      </c>
      <c r="E3500">
        <v>5</v>
      </c>
      <c r="F3500">
        <v>1.5707963267949001</v>
      </c>
      <c r="G3500" t="s">
        <v>86</v>
      </c>
      <c r="H3500" t="s">
        <v>86</v>
      </c>
      <c r="I3500">
        <v>749</v>
      </c>
      <c r="J3500">
        <v>723</v>
      </c>
      <c r="K3500">
        <v>0</v>
      </c>
    </row>
    <row r="3501" spans="1:11" x14ac:dyDescent="0.25">
      <c r="A3501" t="s">
        <v>87</v>
      </c>
    </row>
    <row r="3502" spans="1:11" x14ac:dyDescent="0.25">
      <c r="A3502">
        <v>127.097006061625</v>
      </c>
      <c r="B3502">
        <v>48.112915455416299</v>
      </c>
      <c r="C3502">
        <v>2000</v>
      </c>
    </row>
    <row r="3503" spans="1:11" x14ac:dyDescent="0.25">
      <c r="A3503">
        <v>119.635610034046</v>
      </c>
      <c r="B3503">
        <v>40.651519427837499</v>
      </c>
      <c r="C3503">
        <v>2000</v>
      </c>
    </row>
    <row r="3504" spans="1:11" x14ac:dyDescent="0.25">
      <c r="A3504">
        <v>119.635610034046</v>
      </c>
      <c r="B3504">
        <v>40.651519427837499</v>
      </c>
      <c r="C3504">
        <v>2001</v>
      </c>
    </row>
    <row r="3505" spans="1:11" x14ac:dyDescent="0.25">
      <c r="A3505">
        <v>127.097006061625</v>
      </c>
      <c r="B3505">
        <v>48.112915455416299</v>
      </c>
      <c r="C3505">
        <v>2001</v>
      </c>
    </row>
    <row r="3506" spans="1:11" x14ac:dyDescent="0.25">
      <c r="A3506">
        <v>127.097006061625</v>
      </c>
      <c r="B3506">
        <v>48.112915455416299</v>
      </c>
      <c r="C3506">
        <v>2000</v>
      </c>
    </row>
    <row r="3507" spans="1:11" x14ac:dyDescent="0.25">
      <c r="A3507" t="s">
        <v>88</v>
      </c>
    </row>
    <row r="3508" spans="1:11" x14ac:dyDescent="0.25">
      <c r="A3508">
        <v>178</v>
      </c>
      <c r="B3508">
        <v>0</v>
      </c>
      <c r="C3508">
        <v>1.7464935175712499</v>
      </c>
      <c r="D3508">
        <v>8.71914402423889</v>
      </c>
      <c r="E3508">
        <v>6</v>
      </c>
      <c r="F3508">
        <v>1.5707963267949001</v>
      </c>
      <c r="G3508" t="s">
        <v>86</v>
      </c>
      <c r="H3508" t="s">
        <v>86</v>
      </c>
      <c r="I3508">
        <v>180</v>
      </c>
      <c r="J3508">
        <v>750</v>
      </c>
      <c r="K3508">
        <v>0</v>
      </c>
    </row>
    <row r="3509" spans="1:11" x14ac:dyDescent="0.25">
      <c r="A3509" t="s">
        <v>87</v>
      </c>
    </row>
    <row r="3510" spans="1:11" x14ac:dyDescent="0.25">
      <c r="A3510">
        <v>125.14502223354999</v>
      </c>
      <c r="B3510">
        <v>113.70532685597701</v>
      </c>
      <c r="C3510">
        <v>2000</v>
      </c>
    </row>
    <row r="3511" spans="1:11" x14ac:dyDescent="0.25">
      <c r="A3511">
        <v>123.910064823977</v>
      </c>
      <c r="B3511">
        <v>112.47036944640401</v>
      </c>
      <c r="C3511">
        <v>2000</v>
      </c>
    </row>
    <row r="3512" spans="1:11" x14ac:dyDescent="0.25">
      <c r="A3512">
        <v>123.910064823977</v>
      </c>
      <c r="B3512">
        <v>112.47036944640401</v>
      </c>
      <c r="C3512">
        <v>2001</v>
      </c>
    </row>
    <row r="3513" spans="1:11" x14ac:dyDescent="0.25">
      <c r="A3513">
        <v>125.14502223354999</v>
      </c>
      <c r="B3513">
        <v>113.70532685597701</v>
      </c>
      <c r="C3513">
        <v>2001</v>
      </c>
    </row>
    <row r="3514" spans="1:11" x14ac:dyDescent="0.25">
      <c r="A3514">
        <v>131.31038809923101</v>
      </c>
      <c r="B3514">
        <v>119.870692721658</v>
      </c>
      <c r="C3514">
        <v>2001</v>
      </c>
    </row>
    <row r="3515" spans="1:11" x14ac:dyDescent="0.25">
      <c r="A3515">
        <v>131.31038809923101</v>
      </c>
      <c r="B3515">
        <v>119.870692721658</v>
      </c>
      <c r="C3515">
        <v>2000</v>
      </c>
    </row>
    <row r="3516" spans="1:11" x14ac:dyDescent="0.25">
      <c r="A3516" t="s">
        <v>88</v>
      </c>
    </row>
    <row r="3517" spans="1:11" x14ac:dyDescent="0.25">
      <c r="A3517">
        <v>496</v>
      </c>
      <c r="B3517">
        <v>0</v>
      </c>
      <c r="C3517">
        <v>10.3209828549344</v>
      </c>
      <c r="D3517">
        <v>0</v>
      </c>
      <c r="E3517">
        <v>7</v>
      </c>
      <c r="F3517">
        <v>1.5707963267949001</v>
      </c>
      <c r="G3517" t="s">
        <v>86</v>
      </c>
      <c r="H3517" t="s">
        <v>86</v>
      </c>
      <c r="I3517">
        <v>647</v>
      </c>
      <c r="J3517">
        <v>490</v>
      </c>
      <c r="K3517">
        <v>0</v>
      </c>
    </row>
    <row r="3518" spans="1:11" x14ac:dyDescent="0.25">
      <c r="A3518" t="s">
        <v>87</v>
      </c>
    </row>
    <row r="3519" spans="1:11" x14ac:dyDescent="0.25">
      <c r="A3519">
        <v>54.521899695751202</v>
      </c>
      <c r="B3519">
        <v>77.209025145140004</v>
      </c>
      <c r="C3519">
        <v>2000</v>
      </c>
    </row>
    <row r="3520" spans="1:11" x14ac:dyDescent="0.25">
      <c r="A3520">
        <v>50</v>
      </c>
      <c r="B3520">
        <v>72.687125449388802</v>
      </c>
      <c r="C3520">
        <v>2000</v>
      </c>
    </row>
    <row r="3521" spans="1:11" x14ac:dyDescent="0.25">
      <c r="A3521">
        <v>47.223862730516998</v>
      </c>
      <c r="B3521">
        <v>69.9109881799058</v>
      </c>
      <c r="C3521">
        <v>2000</v>
      </c>
    </row>
    <row r="3522" spans="1:11" x14ac:dyDescent="0.25">
      <c r="A3522">
        <v>47.223862730516998</v>
      </c>
      <c r="B3522">
        <v>69.9109881799058</v>
      </c>
      <c r="C3522">
        <v>2001</v>
      </c>
    </row>
    <row r="3523" spans="1:11" x14ac:dyDescent="0.25">
      <c r="A3523">
        <v>50</v>
      </c>
      <c r="B3523">
        <v>72.687125449388802</v>
      </c>
      <c r="C3523">
        <v>2001</v>
      </c>
    </row>
    <row r="3524" spans="1:11" x14ac:dyDescent="0.25">
      <c r="A3524">
        <v>54.521899695751202</v>
      </c>
      <c r="B3524">
        <v>77.209025145140004</v>
      </c>
      <c r="C3524">
        <v>2001</v>
      </c>
    </row>
    <row r="3525" spans="1:11" x14ac:dyDescent="0.25">
      <c r="A3525">
        <v>54.521899695751202</v>
      </c>
      <c r="B3525">
        <v>77.209025145140004</v>
      </c>
      <c r="C3525">
        <v>2000</v>
      </c>
    </row>
    <row r="3526" spans="1:11" x14ac:dyDescent="0.25">
      <c r="A3526" t="s">
        <v>88</v>
      </c>
    </row>
    <row r="3527" spans="1:11" x14ac:dyDescent="0.25">
      <c r="A3527">
        <v>97</v>
      </c>
      <c r="B3527">
        <v>0</v>
      </c>
      <c r="C3527">
        <v>5.1634283644481096</v>
      </c>
      <c r="D3527">
        <v>5.1091535382627997</v>
      </c>
      <c r="E3527">
        <v>6</v>
      </c>
      <c r="F3527">
        <v>1.5707963267949001</v>
      </c>
      <c r="G3527" t="s">
        <v>86</v>
      </c>
      <c r="H3527" t="s">
        <v>86</v>
      </c>
      <c r="I3527">
        <v>88</v>
      </c>
      <c r="J3527">
        <v>440</v>
      </c>
      <c r="K3527">
        <v>0</v>
      </c>
    </row>
    <row r="3528" spans="1:11" x14ac:dyDescent="0.25">
      <c r="A3528" t="s">
        <v>87</v>
      </c>
    </row>
    <row r="3529" spans="1:11" x14ac:dyDescent="0.25">
      <c r="A3529">
        <v>67.528832129914704</v>
      </c>
      <c r="B3529">
        <v>31.530922619407502</v>
      </c>
      <c r="C3529">
        <v>2000</v>
      </c>
    </row>
    <row r="3530" spans="1:11" x14ac:dyDescent="0.25">
      <c r="A3530">
        <v>63.877736919242501</v>
      </c>
      <c r="B3530">
        <v>27.879827408735299</v>
      </c>
      <c r="C3530">
        <v>2000</v>
      </c>
    </row>
    <row r="3531" spans="1:11" x14ac:dyDescent="0.25">
      <c r="A3531">
        <v>63.877736919242501</v>
      </c>
      <c r="B3531">
        <v>27.879827408735299</v>
      </c>
      <c r="C3531">
        <v>2001</v>
      </c>
    </row>
    <row r="3532" spans="1:11" x14ac:dyDescent="0.25">
      <c r="A3532">
        <v>67.528832129914704</v>
      </c>
      <c r="B3532">
        <v>31.530922619407502</v>
      </c>
      <c r="C3532">
        <v>2001</v>
      </c>
    </row>
    <row r="3533" spans="1:11" x14ac:dyDescent="0.25">
      <c r="A3533">
        <v>71.141549242943597</v>
      </c>
      <c r="B3533">
        <v>35.143639732436398</v>
      </c>
      <c r="C3533">
        <v>2001</v>
      </c>
    </row>
    <row r="3534" spans="1:11" x14ac:dyDescent="0.25">
      <c r="A3534">
        <v>71.141549242943597</v>
      </c>
      <c r="B3534">
        <v>35.143639732436398</v>
      </c>
      <c r="C3534">
        <v>2000</v>
      </c>
    </row>
    <row r="3535" spans="1:11" x14ac:dyDescent="0.25">
      <c r="A3535" t="s">
        <v>88</v>
      </c>
    </row>
    <row r="3536" spans="1:11" x14ac:dyDescent="0.25">
      <c r="A3536">
        <v>251</v>
      </c>
      <c r="B3536">
        <v>0</v>
      </c>
      <c r="C3536">
        <v>8.7735474038504702</v>
      </c>
      <c r="D3536">
        <v>1.44880033802063</v>
      </c>
      <c r="E3536">
        <v>10</v>
      </c>
      <c r="F3536">
        <v>1.5707963267949001</v>
      </c>
      <c r="G3536" t="s">
        <v>86</v>
      </c>
      <c r="H3536" t="s">
        <v>86</v>
      </c>
      <c r="I3536">
        <v>658</v>
      </c>
      <c r="J3536">
        <v>748</v>
      </c>
      <c r="K3536">
        <v>0</v>
      </c>
    </row>
    <row r="3537" spans="1:11" x14ac:dyDescent="0.25">
      <c r="A3537" t="s">
        <v>87</v>
      </c>
    </row>
    <row r="3538" spans="1:11" x14ac:dyDescent="0.25">
      <c r="A3538">
        <v>53.640583415348303</v>
      </c>
      <c r="B3538">
        <v>101.415901608493</v>
      </c>
      <c r="C3538">
        <v>2000</v>
      </c>
    </row>
    <row r="3539" spans="1:11" x14ac:dyDescent="0.25">
      <c r="A3539">
        <v>52.224681806855202</v>
      </c>
      <c r="B3539">
        <v>100</v>
      </c>
      <c r="C3539">
        <v>2000</v>
      </c>
    </row>
    <row r="3540" spans="1:11" x14ac:dyDescent="0.25">
      <c r="A3540">
        <v>50</v>
      </c>
      <c r="B3540">
        <v>97.775318193144798</v>
      </c>
      <c r="C3540">
        <v>2000</v>
      </c>
    </row>
    <row r="3541" spans="1:11" x14ac:dyDescent="0.25">
      <c r="A3541">
        <v>47.436748551024003</v>
      </c>
      <c r="B3541">
        <v>95.212066744168794</v>
      </c>
      <c r="C3541">
        <v>2000</v>
      </c>
    </row>
    <row r="3542" spans="1:11" x14ac:dyDescent="0.25">
      <c r="A3542">
        <v>47.436748551024003</v>
      </c>
      <c r="B3542">
        <v>95.212066744168794</v>
      </c>
      <c r="C3542">
        <v>2001</v>
      </c>
    </row>
    <row r="3543" spans="1:11" x14ac:dyDescent="0.25">
      <c r="A3543">
        <v>50</v>
      </c>
      <c r="B3543">
        <v>97.775318193144798</v>
      </c>
      <c r="C3543">
        <v>2001</v>
      </c>
    </row>
    <row r="3544" spans="1:11" x14ac:dyDescent="0.25">
      <c r="A3544">
        <v>52.224681806855202</v>
      </c>
      <c r="B3544">
        <v>100</v>
      </c>
      <c r="C3544">
        <v>2001</v>
      </c>
    </row>
    <row r="3545" spans="1:11" x14ac:dyDescent="0.25">
      <c r="A3545">
        <v>53.640583415348303</v>
      </c>
      <c r="B3545">
        <v>101.415901608493</v>
      </c>
      <c r="C3545">
        <v>2001</v>
      </c>
    </row>
    <row r="3546" spans="1:11" x14ac:dyDescent="0.25">
      <c r="A3546">
        <v>54.6650399589481</v>
      </c>
      <c r="B3546">
        <v>102.440358152093</v>
      </c>
      <c r="C3546">
        <v>2001</v>
      </c>
    </row>
    <row r="3547" spans="1:11" x14ac:dyDescent="0.25">
      <c r="A3547">
        <v>54.6650399589481</v>
      </c>
      <c r="B3547">
        <v>102.440358152093</v>
      </c>
      <c r="C3547">
        <v>2000</v>
      </c>
    </row>
    <row r="3548" spans="1:11" x14ac:dyDescent="0.25">
      <c r="A3548" t="s">
        <v>88</v>
      </c>
    </row>
    <row r="3549" spans="1:11" x14ac:dyDescent="0.25">
      <c r="A3549">
        <v>263</v>
      </c>
      <c r="B3549">
        <v>0</v>
      </c>
      <c r="C3549">
        <v>6.00900699113041</v>
      </c>
      <c r="D3549">
        <v>4.1805607866208403</v>
      </c>
      <c r="E3549">
        <v>6</v>
      </c>
      <c r="F3549">
        <v>1.01722196789785</v>
      </c>
      <c r="G3549" t="s">
        <v>86</v>
      </c>
      <c r="H3549" t="s">
        <v>86</v>
      </c>
      <c r="I3549">
        <v>252</v>
      </c>
      <c r="J3549">
        <v>729</v>
      </c>
      <c r="K3549">
        <v>0</v>
      </c>
    </row>
    <row r="3550" spans="1:11" x14ac:dyDescent="0.25">
      <c r="A3550" t="s">
        <v>87</v>
      </c>
    </row>
    <row r="3551" spans="1:11" x14ac:dyDescent="0.25">
      <c r="A3551">
        <v>74.412946290058699</v>
      </c>
      <c r="B3551">
        <v>131.91200443493301</v>
      </c>
      <c r="C3551">
        <v>2000</v>
      </c>
    </row>
    <row r="3552" spans="1:11" x14ac:dyDescent="0.25">
      <c r="A3552">
        <v>70.163936698433005</v>
      </c>
      <c r="B3552">
        <v>127.662994843307</v>
      </c>
      <c r="C3552">
        <v>2000</v>
      </c>
    </row>
    <row r="3553" spans="1:11" x14ac:dyDescent="0.25">
      <c r="A3553">
        <v>69.726920673984196</v>
      </c>
      <c r="B3553">
        <v>128.100010867756</v>
      </c>
      <c r="C3553">
        <v>2001</v>
      </c>
    </row>
    <row r="3554" spans="1:11" x14ac:dyDescent="0.25">
      <c r="A3554">
        <v>73.975930265609904</v>
      </c>
      <c r="B3554">
        <v>132.34902045938199</v>
      </c>
      <c r="C3554">
        <v>2001</v>
      </c>
    </row>
    <row r="3555" spans="1:11" x14ac:dyDescent="0.25">
      <c r="A3555">
        <v>76.932033146991998</v>
      </c>
      <c r="B3555">
        <v>135.305123340764</v>
      </c>
      <c r="C3555">
        <v>2001</v>
      </c>
    </row>
    <row r="3556" spans="1:11" x14ac:dyDescent="0.25">
      <c r="A3556">
        <v>77.369049171440807</v>
      </c>
      <c r="B3556">
        <v>134.86810731631499</v>
      </c>
      <c r="C3556">
        <v>2000</v>
      </c>
    </row>
    <row r="3557" spans="1:11" x14ac:dyDescent="0.25">
      <c r="A3557" t="s">
        <v>88</v>
      </c>
    </row>
    <row r="3558" spans="1:11" x14ac:dyDescent="0.25">
      <c r="A3558">
        <v>36</v>
      </c>
      <c r="B3558">
        <v>0</v>
      </c>
      <c r="C3558">
        <v>0.753500305608654</v>
      </c>
      <c r="D3558">
        <v>9.1453898704631609</v>
      </c>
      <c r="E3558">
        <v>8</v>
      </c>
      <c r="F3558">
        <v>1.01722196789785</v>
      </c>
      <c r="G3558" t="s">
        <v>86</v>
      </c>
      <c r="H3558" t="s">
        <v>86</v>
      </c>
      <c r="I3558">
        <v>40</v>
      </c>
      <c r="J3558">
        <v>265</v>
      </c>
      <c r="K3558">
        <v>0</v>
      </c>
    </row>
    <row r="3559" spans="1:11" x14ac:dyDescent="0.25">
      <c r="A3559" t="s">
        <v>87</v>
      </c>
    </row>
    <row r="3560" spans="1:11" x14ac:dyDescent="0.25">
      <c r="A3560">
        <v>9.9145640278813296</v>
      </c>
      <c r="B3560">
        <v>45.054208849577499</v>
      </c>
      <c r="C3560">
        <v>2000</v>
      </c>
    </row>
    <row r="3561" spans="1:11" x14ac:dyDescent="0.25">
      <c r="A3561">
        <v>9.3817588521593205</v>
      </c>
      <c r="B3561">
        <v>44.521403673855502</v>
      </c>
      <c r="C3561">
        <v>2000</v>
      </c>
    </row>
    <row r="3562" spans="1:11" x14ac:dyDescent="0.25">
      <c r="A3562">
        <v>9.8187748766081402</v>
      </c>
      <c r="B3562">
        <v>44.0843876494067</v>
      </c>
      <c r="C3562">
        <v>2001</v>
      </c>
    </row>
    <row r="3563" spans="1:11" x14ac:dyDescent="0.25">
      <c r="A3563">
        <v>10.351580052330201</v>
      </c>
      <c r="B3563">
        <v>44.617192825128697</v>
      </c>
      <c r="C3563">
        <v>2001</v>
      </c>
    </row>
    <row r="3564" spans="1:11" x14ac:dyDescent="0.25">
      <c r="A3564">
        <v>15.515879214977099</v>
      </c>
      <c r="B3564">
        <v>49.781491987775603</v>
      </c>
      <c r="C3564">
        <v>2001</v>
      </c>
    </row>
    <row r="3565" spans="1:11" x14ac:dyDescent="0.25">
      <c r="A3565">
        <v>16.818347246329399</v>
      </c>
      <c r="B3565">
        <v>51.0839600191279</v>
      </c>
      <c r="C3565">
        <v>2001</v>
      </c>
    </row>
    <row r="3566" spans="1:11" x14ac:dyDescent="0.25">
      <c r="A3566">
        <v>16.3813312218806</v>
      </c>
      <c r="B3566">
        <v>51.520976043576802</v>
      </c>
      <c r="C3566">
        <v>2000</v>
      </c>
    </row>
    <row r="3567" spans="1:11" x14ac:dyDescent="0.25">
      <c r="A3567">
        <v>15.0788631905282</v>
      </c>
      <c r="B3567">
        <v>50.218508012224397</v>
      </c>
      <c r="C3567">
        <v>2000</v>
      </c>
    </row>
    <row r="3568" spans="1:11" x14ac:dyDescent="0.25">
      <c r="A3568" t="s">
        <v>88</v>
      </c>
    </row>
    <row r="3569" spans="1:11" x14ac:dyDescent="0.25">
      <c r="A3569">
        <v>414</v>
      </c>
      <c r="B3569">
        <v>0</v>
      </c>
      <c r="C3569">
        <v>0</v>
      </c>
      <c r="D3569">
        <v>9.8677127198995702</v>
      </c>
      <c r="E3569">
        <v>4</v>
      </c>
      <c r="F3569">
        <v>1.5707963267949001</v>
      </c>
      <c r="G3569" t="s">
        <v>86</v>
      </c>
      <c r="H3569" t="s">
        <v>86</v>
      </c>
      <c r="I3569">
        <v>119</v>
      </c>
      <c r="J3569">
        <v>404</v>
      </c>
      <c r="K3569">
        <v>0</v>
      </c>
    </row>
    <row r="3570" spans="1:11" x14ac:dyDescent="0.25">
      <c r="A3570" t="s">
        <v>87</v>
      </c>
    </row>
    <row r="3571" spans="1:11" x14ac:dyDescent="0.25">
      <c r="A3571">
        <v>102.18864926238901</v>
      </c>
      <c r="B3571">
        <v>76.866668102735005</v>
      </c>
      <c r="C3571">
        <v>2000</v>
      </c>
    </row>
    <row r="3572" spans="1:11" x14ac:dyDescent="0.25">
      <c r="A3572">
        <v>102.18864926238901</v>
      </c>
      <c r="B3572">
        <v>76.866668102735005</v>
      </c>
      <c r="C3572">
        <v>2001</v>
      </c>
    </row>
    <row r="3573" spans="1:11" x14ac:dyDescent="0.25">
      <c r="A3573">
        <v>109.166175841431</v>
      </c>
      <c r="B3573">
        <v>83.844194681776798</v>
      </c>
      <c r="C3573">
        <v>2001</v>
      </c>
    </row>
    <row r="3574" spans="1:11" x14ac:dyDescent="0.25">
      <c r="A3574">
        <v>109.166175841431</v>
      </c>
      <c r="B3574">
        <v>83.844194681776798</v>
      </c>
      <c r="C3574">
        <v>2000</v>
      </c>
    </row>
    <row r="3575" spans="1:11" x14ac:dyDescent="0.25">
      <c r="A3575" t="s">
        <v>88</v>
      </c>
    </row>
    <row r="3576" spans="1:11" x14ac:dyDescent="0.25">
      <c r="A3576">
        <v>81</v>
      </c>
      <c r="B3576">
        <v>0</v>
      </c>
      <c r="C3576">
        <v>5.9417458800369598</v>
      </c>
      <c r="D3576">
        <v>3.8558633446209098</v>
      </c>
      <c r="E3576">
        <v>8</v>
      </c>
      <c r="F3576">
        <v>1.5707963267949001</v>
      </c>
      <c r="G3576" t="s">
        <v>85</v>
      </c>
      <c r="H3576" t="s">
        <v>86</v>
      </c>
      <c r="I3576">
        <v>0</v>
      </c>
      <c r="J3576">
        <v>324</v>
      </c>
      <c r="K3576">
        <v>0</v>
      </c>
    </row>
    <row r="3577" spans="1:11" x14ac:dyDescent="0.25">
      <c r="A3577" t="s">
        <v>87</v>
      </c>
    </row>
    <row r="3578" spans="1:11" x14ac:dyDescent="0.25">
      <c r="A3578">
        <v>97.944961906385103</v>
      </c>
      <c r="B3578">
        <v>4.2014488038613704</v>
      </c>
      <c r="C3578">
        <v>2000</v>
      </c>
    </row>
    <row r="3579" spans="1:11" x14ac:dyDescent="0.25">
      <c r="A3579">
        <v>93.743513102523707</v>
      </c>
      <c r="B3579">
        <v>0</v>
      </c>
      <c r="C3579">
        <v>2000</v>
      </c>
    </row>
    <row r="3580" spans="1:11" x14ac:dyDescent="0.25">
      <c r="A3580">
        <v>93.743513102523707</v>
      </c>
      <c r="B3580">
        <v>0</v>
      </c>
      <c r="C3580">
        <v>2001</v>
      </c>
    </row>
    <row r="3581" spans="1:11" x14ac:dyDescent="0.25">
      <c r="A3581">
        <v>97.944961906385103</v>
      </c>
      <c r="B3581">
        <v>4.2014488038613704</v>
      </c>
      <c r="C3581">
        <v>2001</v>
      </c>
    </row>
    <row r="3582" spans="1:11" x14ac:dyDescent="0.25">
      <c r="A3582">
        <v>100</v>
      </c>
      <c r="B3582">
        <v>6.2564868974762398</v>
      </c>
      <c r="C3582">
        <v>2001</v>
      </c>
    </row>
    <row r="3583" spans="1:11" x14ac:dyDescent="0.25">
      <c r="A3583">
        <v>100.671469024695</v>
      </c>
      <c r="B3583">
        <v>6.9279559221714599</v>
      </c>
      <c r="C3583">
        <v>2001</v>
      </c>
    </row>
    <row r="3584" spans="1:11" x14ac:dyDescent="0.25">
      <c r="A3584">
        <v>100.671469024695</v>
      </c>
      <c r="B3584">
        <v>6.9279559221714599</v>
      </c>
      <c r="C3584">
        <v>2000</v>
      </c>
    </row>
    <row r="3585" spans="1:11" x14ac:dyDescent="0.25">
      <c r="A3585">
        <v>100</v>
      </c>
      <c r="B3585">
        <v>6.2564868974762398</v>
      </c>
      <c r="C3585">
        <v>2000</v>
      </c>
    </row>
    <row r="3586" spans="1:11" x14ac:dyDescent="0.25">
      <c r="A3586" t="s">
        <v>88</v>
      </c>
    </row>
    <row r="3587" spans="1:11" x14ac:dyDescent="0.25">
      <c r="A3587">
        <v>164</v>
      </c>
      <c r="B3587">
        <v>0</v>
      </c>
      <c r="C3587">
        <v>0</v>
      </c>
      <c r="D3587">
        <v>9.6434381930029094</v>
      </c>
      <c r="E3587">
        <v>4</v>
      </c>
      <c r="F3587">
        <v>1.5707963267949001</v>
      </c>
      <c r="G3587" t="s">
        <v>86</v>
      </c>
      <c r="H3587" t="s">
        <v>85</v>
      </c>
      <c r="I3587">
        <v>265</v>
      </c>
      <c r="J3587">
        <v>0</v>
      </c>
      <c r="K3587">
        <v>0</v>
      </c>
    </row>
    <row r="3588" spans="1:11" x14ac:dyDescent="0.25">
      <c r="A3588" t="s">
        <v>87</v>
      </c>
    </row>
    <row r="3589" spans="1:11" x14ac:dyDescent="0.25">
      <c r="A3589">
        <v>107.856891703725</v>
      </c>
      <c r="B3589">
        <v>143.18105945977399</v>
      </c>
      <c r="C3589">
        <v>2000</v>
      </c>
    </row>
    <row r="3590" spans="1:11" x14ac:dyDescent="0.25">
      <c r="A3590">
        <v>107.856891703725</v>
      </c>
      <c r="B3590">
        <v>143.18105945977399</v>
      </c>
      <c r="C3590">
        <v>2001</v>
      </c>
    </row>
    <row r="3591" spans="1:11" x14ac:dyDescent="0.25">
      <c r="A3591">
        <v>114.67583224395101</v>
      </c>
      <c r="B3591">
        <v>150</v>
      </c>
      <c r="C3591">
        <v>2001</v>
      </c>
    </row>
    <row r="3592" spans="1:11" x14ac:dyDescent="0.25">
      <c r="A3592">
        <v>114.67583224395101</v>
      </c>
      <c r="B3592">
        <v>150</v>
      </c>
      <c r="C3592">
        <v>2000</v>
      </c>
    </row>
    <row r="3593" spans="1:11" x14ac:dyDescent="0.25">
      <c r="A3593" t="s">
        <v>88</v>
      </c>
    </row>
    <row r="3594" spans="1:11" x14ac:dyDescent="0.25">
      <c r="A3594">
        <v>591</v>
      </c>
      <c r="B3594">
        <v>0</v>
      </c>
      <c r="C3594">
        <v>2.4105246619046499</v>
      </c>
      <c r="D3594">
        <v>7.2315061885568097</v>
      </c>
      <c r="E3594">
        <v>6</v>
      </c>
      <c r="F3594">
        <v>1.01722196789785</v>
      </c>
      <c r="G3594" t="s">
        <v>85</v>
      </c>
      <c r="H3594" t="s">
        <v>85</v>
      </c>
      <c r="I3594">
        <v>0</v>
      </c>
      <c r="J3594">
        <v>0</v>
      </c>
      <c r="K3594">
        <v>0</v>
      </c>
    </row>
    <row r="3595" spans="1:11" x14ac:dyDescent="0.25">
      <c r="A3595" t="s">
        <v>87</v>
      </c>
    </row>
    <row r="3596" spans="1:11" x14ac:dyDescent="0.25">
      <c r="A3596">
        <v>1.8137531089730701</v>
      </c>
      <c r="B3596">
        <v>144.55879168575299</v>
      </c>
      <c r="C3596">
        <v>2000</v>
      </c>
    </row>
    <row r="3597" spans="1:11" x14ac:dyDescent="0.25">
      <c r="A3597">
        <v>0</v>
      </c>
      <c r="B3597">
        <v>142.74503857677999</v>
      </c>
      <c r="C3597">
        <v>2000</v>
      </c>
    </row>
    <row r="3598" spans="1:11" x14ac:dyDescent="0.25">
      <c r="A3598">
        <v>0</v>
      </c>
      <c r="B3598">
        <v>143.61907062567801</v>
      </c>
      <c r="C3598">
        <v>2001</v>
      </c>
    </row>
    <row r="3599" spans="1:11" x14ac:dyDescent="0.25">
      <c r="A3599">
        <v>1.5952435603273001</v>
      </c>
      <c r="B3599">
        <v>145.214314186005</v>
      </c>
      <c r="C3599">
        <v>2001</v>
      </c>
    </row>
    <row r="3600" spans="1:11" x14ac:dyDescent="0.25">
      <c r="A3600">
        <v>6.3809293743223598</v>
      </c>
      <c r="B3600">
        <v>150</v>
      </c>
      <c r="C3600">
        <v>2001</v>
      </c>
    </row>
    <row r="3601" spans="1:11" x14ac:dyDescent="0.25">
      <c r="A3601">
        <v>7.2549614232200197</v>
      </c>
      <c r="B3601">
        <v>150</v>
      </c>
      <c r="C3601">
        <v>2000</v>
      </c>
    </row>
    <row r="3602" spans="1:11" x14ac:dyDescent="0.25">
      <c r="A3602" t="s">
        <v>88</v>
      </c>
    </row>
    <row r="3603" spans="1:11" x14ac:dyDescent="0.25">
      <c r="A3603">
        <v>180</v>
      </c>
      <c r="B3603">
        <v>0</v>
      </c>
      <c r="C3603">
        <v>7.6642825635226801</v>
      </c>
      <c r="D3603">
        <v>1.94430006488221</v>
      </c>
      <c r="E3603">
        <v>6</v>
      </c>
      <c r="F3603">
        <v>1.5707963267949001</v>
      </c>
      <c r="G3603" t="s">
        <v>86</v>
      </c>
      <c r="H3603" t="s">
        <v>86</v>
      </c>
      <c r="I3603">
        <v>492</v>
      </c>
      <c r="J3603">
        <v>178</v>
      </c>
      <c r="K3603">
        <v>0</v>
      </c>
    </row>
    <row r="3604" spans="1:11" x14ac:dyDescent="0.25">
      <c r="A3604" t="s">
        <v>87</v>
      </c>
    </row>
    <row r="3605" spans="1:11" x14ac:dyDescent="0.25">
      <c r="A3605">
        <v>123.59090783800499</v>
      </c>
      <c r="B3605">
        <v>110.03987091129601</v>
      </c>
      <c r="C3605">
        <v>2000</v>
      </c>
    </row>
    <row r="3606" spans="1:11" x14ac:dyDescent="0.25">
      <c r="A3606">
        <v>118.17144166440799</v>
      </c>
      <c r="B3606">
        <v>104.6204047377</v>
      </c>
      <c r="C3606">
        <v>2000</v>
      </c>
    </row>
    <row r="3607" spans="1:11" x14ac:dyDescent="0.25">
      <c r="A3607">
        <v>118.17144166440799</v>
      </c>
      <c r="B3607">
        <v>104.6204047377</v>
      </c>
      <c r="C3607">
        <v>2001</v>
      </c>
    </row>
    <row r="3608" spans="1:11" x14ac:dyDescent="0.25">
      <c r="A3608">
        <v>123.59090783800499</v>
      </c>
      <c r="B3608">
        <v>110.03987091129601</v>
      </c>
      <c r="C3608">
        <v>2001</v>
      </c>
    </row>
    <row r="3609" spans="1:11" x14ac:dyDescent="0.25">
      <c r="A3609">
        <v>124.965735598545</v>
      </c>
      <c r="B3609">
        <v>111.41469867183601</v>
      </c>
      <c r="C3609">
        <v>2001</v>
      </c>
    </row>
    <row r="3610" spans="1:11" x14ac:dyDescent="0.25">
      <c r="A3610">
        <v>124.965735598545</v>
      </c>
      <c r="B3610">
        <v>111.41469867183601</v>
      </c>
      <c r="C3610">
        <v>2000</v>
      </c>
    </row>
    <row r="3611" spans="1:11" x14ac:dyDescent="0.25">
      <c r="A3611" t="s">
        <v>88</v>
      </c>
    </row>
    <row r="3612" spans="1:11" x14ac:dyDescent="0.25">
      <c r="A3612">
        <v>672</v>
      </c>
      <c r="B3612">
        <v>0</v>
      </c>
      <c r="C3612">
        <v>8.9792915453631608</v>
      </c>
      <c r="D3612">
        <v>0.50342199311469904</v>
      </c>
      <c r="E3612">
        <v>6</v>
      </c>
      <c r="F3612">
        <v>1.01722196789785</v>
      </c>
      <c r="G3612" t="s">
        <v>85</v>
      </c>
      <c r="H3612" t="s">
        <v>86</v>
      </c>
      <c r="I3612">
        <v>0</v>
      </c>
      <c r="J3612">
        <v>733</v>
      </c>
      <c r="K3612">
        <v>0</v>
      </c>
    </row>
    <row r="3613" spans="1:11" x14ac:dyDescent="0.25">
      <c r="A3613" t="s">
        <v>87</v>
      </c>
    </row>
    <row r="3614" spans="1:11" x14ac:dyDescent="0.25">
      <c r="A3614">
        <v>6.5562257156646204</v>
      </c>
      <c r="B3614">
        <v>87.210261021582497</v>
      </c>
      <c r="C3614">
        <v>2000</v>
      </c>
    </row>
    <row r="3615" spans="1:11" x14ac:dyDescent="0.25">
      <c r="A3615">
        <v>0</v>
      </c>
      <c r="B3615">
        <v>80.654035305917901</v>
      </c>
      <c r="C3615">
        <v>2000</v>
      </c>
    </row>
    <row r="3616" spans="1:11" x14ac:dyDescent="0.25">
      <c r="A3616">
        <v>0</v>
      </c>
      <c r="B3616">
        <v>81.528067354815505</v>
      </c>
      <c r="C3616">
        <v>2001</v>
      </c>
    </row>
    <row r="3617" spans="1:11" x14ac:dyDescent="0.25">
      <c r="A3617">
        <v>6.1424101682900396</v>
      </c>
      <c r="B3617">
        <v>87.670477523105504</v>
      </c>
      <c r="C3617">
        <v>2001</v>
      </c>
    </row>
    <row r="3618" spans="1:11" x14ac:dyDescent="0.25">
      <c r="A3618">
        <v>6.4867830348827704</v>
      </c>
      <c r="B3618">
        <v>88.014850389698296</v>
      </c>
      <c r="C3618">
        <v>2001</v>
      </c>
    </row>
    <row r="3619" spans="1:11" x14ac:dyDescent="0.25">
      <c r="A3619">
        <v>6.9237990593315901</v>
      </c>
      <c r="B3619">
        <v>87.577834365249402</v>
      </c>
      <c r="C3619">
        <v>2000</v>
      </c>
    </row>
    <row r="3620" spans="1:11" x14ac:dyDescent="0.25">
      <c r="A3620" t="s">
        <v>88</v>
      </c>
    </row>
    <row r="3621" spans="1:11" x14ac:dyDescent="0.25">
      <c r="A3621">
        <v>407</v>
      </c>
      <c r="B3621">
        <v>0</v>
      </c>
      <c r="C3621">
        <v>5.8355269922201503</v>
      </c>
      <c r="D3621">
        <v>3.5996713422537701</v>
      </c>
      <c r="E3621">
        <v>6</v>
      </c>
      <c r="F3621">
        <v>1.5707963267949001</v>
      </c>
      <c r="G3621" t="s">
        <v>86</v>
      </c>
      <c r="H3621" t="s">
        <v>86</v>
      </c>
      <c r="I3621">
        <v>488</v>
      </c>
      <c r="J3621">
        <v>430</v>
      </c>
      <c r="K3621">
        <v>0</v>
      </c>
    </row>
    <row r="3622" spans="1:11" x14ac:dyDescent="0.25">
      <c r="A3622" t="s">
        <v>87</v>
      </c>
    </row>
    <row r="3623" spans="1:11" x14ac:dyDescent="0.25">
      <c r="A3623">
        <v>106.49308516015</v>
      </c>
      <c r="B3623">
        <v>75.153099221714399</v>
      </c>
      <c r="C3623">
        <v>2000</v>
      </c>
    </row>
    <row r="3624" spans="1:11" x14ac:dyDescent="0.25">
      <c r="A3624">
        <v>102.36674445215399</v>
      </c>
      <c r="B3624">
        <v>71.026758513718306</v>
      </c>
      <c r="C3624">
        <v>2000</v>
      </c>
    </row>
    <row r="3625" spans="1:11" x14ac:dyDescent="0.25">
      <c r="A3625">
        <v>102.36674445215399</v>
      </c>
      <c r="B3625">
        <v>71.026758513718306</v>
      </c>
      <c r="C3625">
        <v>2001</v>
      </c>
    </row>
    <row r="3626" spans="1:11" x14ac:dyDescent="0.25">
      <c r="A3626">
        <v>106.49308516015</v>
      </c>
      <c r="B3626">
        <v>75.153099221714399</v>
      </c>
      <c r="C3626">
        <v>2001</v>
      </c>
    </row>
    <row r="3627" spans="1:11" x14ac:dyDescent="0.25">
      <c r="A3627">
        <v>109.03843717629999</v>
      </c>
      <c r="B3627">
        <v>77.698451237864901</v>
      </c>
      <c r="C3627">
        <v>2001</v>
      </c>
    </row>
    <row r="3628" spans="1:11" x14ac:dyDescent="0.25">
      <c r="A3628">
        <v>109.03843717629999</v>
      </c>
      <c r="B3628">
        <v>77.698451237864901</v>
      </c>
      <c r="C3628">
        <v>2000</v>
      </c>
    </row>
    <row r="3629" spans="1:11" x14ac:dyDescent="0.25">
      <c r="A3629" t="s">
        <v>88</v>
      </c>
    </row>
    <row r="3630" spans="1:11" x14ac:dyDescent="0.25">
      <c r="A3630">
        <v>252</v>
      </c>
      <c r="B3630">
        <v>0</v>
      </c>
      <c r="C3630">
        <v>5.8355269922201396</v>
      </c>
      <c r="D3630">
        <v>3.41226729366119</v>
      </c>
      <c r="E3630">
        <v>6</v>
      </c>
      <c r="F3630">
        <v>1.5707963267949001</v>
      </c>
      <c r="G3630" t="s">
        <v>86</v>
      </c>
      <c r="H3630" t="s">
        <v>86</v>
      </c>
      <c r="I3630">
        <v>254</v>
      </c>
      <c r="J3630">
        <v>263</v>
      </c>
      <c r="K3630">
        <v>0</v>
      </c>
    </row>
    <row r="3631" spans="1:11" x14ac:dyDescent="0.25">
      <c r="A3631" t="s">
        <v>87</v>
      </c>
    </row>
    <row r="3632" spans="1:11" x14ac:dyDescent="0.25">
      <c r="A3632">
        <v>67.038593495748302</v>
      </c>
      <c r="B3632">
        <v>125.96266336085399</v>
      </c>
      <c r="C3632">
        <v>2000</v>
      </c>
    </row>
    <row r="3633" spans="1:11" x14ac:dyDescent="0.25">
      <c r="A3633">
        <v>62.912252787752301</v>
      </c>
      <c r="B3633">
        <v>121.836322652858</v>
      </c>
      <c r="C3633">
        <v>2000</v>
      </c>
    </row>
    <row r="3634" spans="1:11" x14ac:dyDescent="0.25">
      <c r="A3634">
        <v>62.912252787752301</v>
      </c>
      <c r="B3634">
        <v>121.836322652858</v>
      </c>
      <c r="C3634">
        <v>2001</v>
      </c>
    </row>
    <row r="3635" spans="1:11" x14ac:dyDescent="0.25">
      <c r="A3635">
        <v>67.038593495748302</v>
      </c>
      <c r="B3635">
        <v>125.96266336085399</v>
      </c>
      <c r="C3635">
        <v>2001</v>
      </c>
    </row>
    <row r="3636" spans="1:11" x14ac:dyDescent="0.25">
      <c r="A3636">
        <v>69.451430838317194</v>
      </c>
      <c r="B3636">
        <v>128.375500703423</v>
      </c>
      <c r="C3636">
        <v>2001</v>
      </c>
    </row>
    <row r="3637" spans="1:11" x14ac:dyDescent="0.25">
      <c r="A3637">
        <v>69.451430838317194</v>
      </c>
      <c r="B3637">
        <v>128.375500703423</v>
      </c>
      <c r="C3637">
        <v>2000</v>
      </c>
    </row>
    <row r="3638" spans="1:11" x14ac:dyDescent="0.25">
      <c r="A3638" t="s">
        <v>88</v>
      </c>
    </row>
    <row r="3639" spans="1:11" x14ac:dyDescent="0.25">
      <c r="A3639">
        <v>670</v>
      </c>
      <c r="B3639">
        <v>0</v>
      </c>
      <c r="C3639">
        <v>2.8758554410770798</v>
      </c>
      <c r="D3639">
        <v>6.2019327540464504</v>
      </c>
      <c r="E3639">
        <v>8</v>
      </c>
      <c r="F3639">
        <v>1.01722196789785</v>
      </c>
      <c r="G3639" t="s">
        <v>86</v>
      </c>
      <c r="H3639" t="s">
        <v>86</v>
      </c>
      <c r="I3639">
        <v>675</v>
      </c>
      <c r="J3639">
        <v>505</v>
      </c>
      <c r="K3639">
        <v>0</v>
      </c>
    </row>
    <row r="3640" spans="1:11" x14ac:dyDescent="0.25">
      <c r="A3640" t="s">
        <v>87</v>
      </c>
    </row>
    <row r="3641" spans="1:11" x14ac:dyDescent="0.25">
      <c r="A3641">
        <v>49.891920519472201</v>
      </c>
      <c r="B3641">
        <v>80.286053636714698</v>
      </c>
      <c r="C3641">
        <v>2000</v>
      </c>
    </row>
    <row r="3642" spans="1:11" x14ac:dyDescent="0.25">
      <c r="A3642">
        <v>47.858383635374402</v>
      </c>
      <c r="B3642">
        <v>78.252516752616799</v>
      </c>
      <c r="C3642">
        <v>2000</v>
      </c>
    </row>
    <row r="3643" spans="1:11" x14ac:dyDescent="0.25">
      <c r="A3643">
        <v>47.4213676109256</v>
      </c>
      <c r="B3643">
        <v>78.689532777065693</v>
      </c>
      <c r="C3643">
        <v>2001</v>
      </c>
    </row>
    <row r="3644" spans="1:11" x14ac:dyDescent="0.25">
      <c r="A3644">
        <v>49.454904495023399</v>
      </c>
      <c r="B3644">
        <v>80.723069661163507</v>
      </c>
      <c r="C3644">
        <v>2001</v>
      </c>
    </row>
    <row r="3645" spans="1:11" x14ac:dyDescent="0.25">
      <c r="A3645">
        <v>49.781491987775603</v>
      </c>
      <c r="B3645">
        <v>81.049657153915604</v>
      </c>
      <c r="C3645">
        <v>2001</v>
      </c>
    </row>
    <row r="3646" spans="1:11" x14ac:dyDescent="0.25">
      <c r="A3646">
        <v>53.840333201872603</v>
      </c>
      <c r="B3646">
        <v>85.108498368012704</v>
      </c>
      <c r="C3646">
        <v>2001</v>
      </c>
    </row>
    <row r="3647" spans="1:11" x14ac:dyDescent="0.25">
      <c r="A3647">
        <v>54.277349226321398</v>
      </c>
      <c r="B3647">
        <v>84.671482343563895</v>
      </c>
      <c r="C3647">
        <v>2000</v>
      </c>
    </row>
    <row r="3648" spans="1:11" x14ac:dyDescent="0.25">
      <c r="A3648">
        <v>50.218508012224397</v>
      </c>
      <c r="B3648">
        <v>80.612641129466795</v>
      </c>
      <c r="C3648">
        <v>2000</v>
      </c>
    </row>
    <row r="3649" spans="1:11" x14ac:dyDescent="0.25">
      <c r="A3649" t="s">
        <v>88</v>
      </c>
    </row>
    <row r="3650" spans="1:11" x14ac:dyDescent="0.25">
      <c r="A3650">
        <v>253</v>
      </c>
      <c r="B3650">
        <v>0</v>
      </c>
      <c r="C3650">
        <v>0</v>
      </c>
      <c r="D3650">
        <v>8.8119193963494808</v>
      </c>
      <c r="E3650">
        <v>4</v>
      </c>
      <c r="F3650">
        <v>1.5707963267949001</v>
      </c>
      <c r="G3650" t="s">
        <v>86</v>
      </c>
      <c r="H3650" t="s">
        <v>85</v>
      </c>
      <c r="I3650">
        <v>729</v>
      </c>
      <c r="J3650">
        <v>0</v>
      </c>
      <c r="K3650">
        <v>0</v>
      </c>
    </row>
    <row r="3651" spans="1:11" x14ac:dyDescent="0.25">
      <c r="A3651" t="s">
        <v>87</v>
      </c>
    </row>
    <row r="3652" spans="1:11" x14ac:dyDescent="0.25">
      <c r="A3652">
        <v>85.0809862069231</v>
      </c>
      <c r="B3652">
        <v>143.76903203957201</v>
      </c>
      <c r="C3652">
        <v>2000</v>
      </c>
    </row>
    <row r="3653" spans="1:11" x14ac:dyDescent="0.25">
      <c r="A3653">
        <v>85.0809862069231</v>
      </c>
      <c r="B3653">
        <v>143.76903203957201</v>
      </c>
      <c r="C3653">
        <v>2001</v>
      </c>
    </row>
    <row r="3654" spans="1:11" x14ac:dyDescent="0.25">
      <c r="A3654">
        <v>91.311954167351104</v>
      </c>
      <c r="B3654">
        <v>150</v>
      </c>
      <c r="C3654">
        <v>2001</v>
      </c>
    </row>
    <row r="3655" spans="1:11" x14ac:dyDescent="0.25">
      <c r="A3655">
        <v>91.311954167351104</v>
      </c>
      <c r="B3655">
        <v>150</v>
      </c>
      <c r="C3655">
        <v>2000</v>
      </c>
    </row>
    <row r="3656" spans="1:11" x14ac:dyDescent="0.25">
      <c r="A3656" t="s">
        <v>88</v>
      </c>
    </row>
    <row r="3657" spans="1:11" x14ac:dyDescent="0.25">
      <c r="A3657">
        <v>658</v>
      </c>
      <c r="B3657">
        <v>0</v>
      </c>
      <c r="C3657">
        <v>0</v>
      </c>
      <c r="D3657">
        <v>8.7835526279901295</v>
      </c>
      <c r="E3657">
        <v>4</v>
      </c>
      <c r="F3657">
        <v>1.5707963267949001</v>
      </c>
      <c r="G3657" t="s">
        <v>86</v>
      </c>
      <c r="H3657" t="s">
        <v>86</v>
      </c>
      <c r="I3657">
        <v>676</v>
      </c>
      <c r="J3657">
        <v>251</v>
      </c>
      <c r="K3657">
        <v>0</v>
      </c>
    </row>
    <row r="3658" spans="1:11" x14ac:dyDescent="0.25">
      <c r="A3658" t="s">
        <v>87</v>
      </c>
    </row>
    <row r="3659" spans="1:11" x14ac:dyDescent="0.25">
      <c r="A3659">
        <v>41.686631991382001</v>
      </c>
      <c r="B3659">
        <v>88.540364051489306</v>
      </c>
      <c r="C3659">
        <v>2000</v>
      </c>
    </row>
    <row r="3660" spans="1:11" x14ac:dyDescent="0.25">
      <c r="A3660">
        <v>41.686631991382001</v>
      </c>
      <c r="B3660">
        <v>88.540364051489306</v>
      </c>
      <c r="C3660">
        <v>2001</v>
      </c>
    </row>
    <row r="3661" spans="1:11" x14ac:dyDescent="0.25">
      <c r="A3661">
        <v>47.897541617542799</v>
      </c>
      <c r="B3661">
        <v>94.751273677650104</v>
      </c>
      <c r="C3661">
        <v>2001</v>
      </c>
    </row>
    <row r="3662" spans="1:11" x14ac:dyDescent="0.25">
      <c r="A3662">
        <v>47.897541617542799</v>
      </c>
      <c r="B3662">
        <v>94.751273677650104</v>
      </c>
      <c r="C3662">
        <v>2000</v>
      </c>
    </row>
    <row r="3663" spans="1:11" x14ac:dyDescent="0.25">
      <c r="A3663" t="s">
        <v>88</v>
      </c>
    </row>
    <row r="3664" spans="1:11" x14ac:dyDescent="0.25">
      <c r="A3664">
        <v>166</v>
      </c>
      <c r="B3664">
        <v>0</v>
      </c>
      <c r="C3664">
        <v>0</v>
      </c>
      <c r="D3664">
        <v>8.6265141255018705</v>
      </c>
      <c r="E3664">
        <v>4</v>
      </c>
      <c r="F3664">
        <v>1.5707963267949001</v>
      </c>
      <c r="G3664" t="s">
        <v>86</v>
      </c>
      <c r="H3664" t="s">
        <v>86</v>
      </c>
      <c r="I3664">
        <v>512</v>
      </c>
      <c r="J3664">
        <v>179</v>
      </c>
      <c r="K3664">
        <v>0</v>
      </c>
    </row>
    <row r="3665" spans="1:11" x14ac:dyDescent="0.25">
      <c r="A3665" t="s">
        <v>87</v>
      </c>
    </row>
    <row r="3666" spans="1:11" x14ac:dyDescent="0.25">
      <c r="A3666">
        <v>142.91361758621099</v>
      </c>
      <c r="B3666">
        <v>142.30209290622801</v>
      </c>
      <c r="C3666">
        <v>2000</v>
      </c>
    </row>
    <row r="3667" spans="1:11" x14ac:dyDescent="0.25">
      <c r="A3667">
        <v>142.91361758621099</v>
      </c>
      <c r="B3667">
        <v>142.30209290622801</v>
      </c>
      <c r="C3667">
        <v>2001</v>
      </c>
    </row>
    <row r="3668" spans="1:11" x14ac:dyDescent="0.25">
      <c r="A3668">
        <v>149.013484222355</v>
      </c>
      <c r="B3668">
        <v>148.401959542372</v>
      </c>
      <c r="C3668">
        <v>2001</v>
      </c>
    </row>
    <row r="3669" spans="1:11" x14ac:dyDescent="0.25">
      <c r="A3669">
        <v>149.013484222355</v>
      </c>
      <c r="B3669">
        <v>148.401959542372</v>
      </c>
      <c r="C3669">
        <v>2000</v>
      </c>
    </row>
    <row r="3670" spans="1:11" x14ac:dyDescent="0.25">
      <c r="A3670" t="s">
        <v>88</v>
      </c>
    </row>
    <row r="3671" spans="1:11" x14ac:dyDescent="0.25">
      <c r="A3671">
        <v>488</v>
      </c>
      <c r="B3671">
        <v>0</v>
      </c>
      <c r="C3671">
        <v>3.0365269722661599</v>
      </c>
      <c r="D3671">
        <v>5.4609509360008603</v>
      </c>
      <c r="E3671">
        <v>8</v>
      </c>
      <c r="F3671">
        <v>1.5707963267949001</v>
      </c>
      <c r="G3671" t="s">
        <v>86</v>
      </c>
      <c r="H3671" t="s">
        <v>86</v>
      </c>
      <c r="I3671">
        <v>511</v>
      </c>
      <c r="J3671">
        <v>407</v>
      </c>
      <c r="K3671">
        <v>0</v>
      </c>
    </row>
    <row r="3672" spans="1:11" x14ac:dyDescent="0.25">
      <c r="A3672" t="s">
        <v>87</v>
      </c>
    </row>
    <row r="3673" spans="1:11" x14ac:dyDescent="0.25">
      <c r="A3673">
        <v>98.209842549734702</v>
      </c>
      <c r="B3673">
        <v>67.460709538990997</v>
      </c>
      <c r="C3673">
        <v>2000</v>
      </c>
    </row>
    <row r="3674" spans="1:11" x14ac:dyDescent="0.25">
      <c r="A3674">
        <v>96.062693736389406</v>
      </c>
      <c r="B3674">
        <v>65.313560725645701</v>
      </c>
      <c r="C3674">
        <v>2000</v>
      </c>
    </row>
    <row r="3675" spans="1:11" x14ac:dyDescent="0.25">
      <c r="A3675">
        <v>96.062693736389406</v>
      </c>
      <c r="B3675">
        <v>65.313560725645701</v>
      </c>
      <c r="C3675">
        <v>2001</v>
      </c>
    </row>
    <row r="3676" spans="1:11" x14ac:dyDescent="0.25">
      <c r="A3676">
        <v>98.209842549734702</v>
      </c>
      <c r="B3676">
        <v>67.460709538990997</v>
      </c>
      <c r="C3676">
        <v>2001</v>
      </c>
    </row>
    <row r="3677" spans="1:11" x14ac:dyDescent="0.25">
      <c r="A3677">
        <v>100</v>
      </c>
      <c r="B3677">
        <v>69.250866989256295</v>
      </c>
      <c r="C3677">
        <v>2001</v>
      </c>
    </row>
    <row r="3678" spans="1:11" x14ac:dyDescent="0.25">
      <c r="A3678">
        <v>102.071317988308</v>
      </c>
      <c r="B3678">
        <v>71.322184977564206</v>
      </c>
      <c r="C3678">
        <v>2001</v>
      </c>
    </row>
    <row r="3679" spans="1:11" x14ac:dyDescent="0.25">
      <c r="A3679">
        <v>102.071317988308</v>
      </c>
      <c r="B3679">
        <v>71.322184977564206</v>
      </c>
      <c r="C3679">
        <v>2000</v>
      </c>
    </row>
    <row r="3680" spans="1:11" x14ac:dyDescent="0.25">
      <c r="A3680">
        <v>100</v>
      </c>
      <c r="B3680">
        <v>69.250866989256295</v>
      </c>
      <c r="C3680">
        <v>2000</v>
      </c>
    </row>
    <row r="3681" spans="1:11" x14ac:dyDescent="0.25">
      <c r="A3681" t="s">
        <v>88</v>
      </c>
    </row>
    <row r="3682" spans="1:11" x14ac:dyDescent="0.25">
      <c r="A3682">
        <v>346</v>
      </c>
      <c r="B3682">
        <v>0</v>
      </c>
      <c r="C3682">
        <v>1.4731182651152701</v>
      </c>
      <c r="D3682">
        <v>6.9578616829357003</v>
      </c>
      <c r="E3682">
        <v>6</v>
      </c>
      <c r="F3682">
        <v>1.01722196789785</v>
      </c>
      <c r="G3682" t="s">
        <v>86</v>
      </c>
      <c r="H3682" t="s">
        <v>86</v>
      </c>
      <c r="I3682">
        <v>352</v>
      </c>
      <c r="J3682">
        <v>333</v>
      </c>
      <c r="K3682">
        <v>0</v>
      </c>
    </row>
    <row r="3683" spans="1:11" x14ac:dyDescent="0.25">
      <c r="A3683" t="s">
        <v>87</v>
      </c>
    </row>
    <row r="3684" spans="1:11" x14ac:dyDescent="0.25">
      <c r="A3684">
        <v>103.93713039203</v>
      </c>
      <c r="B3684">
        <v>21.176320890982598</v>
      </c>
      <c r="C3684">
        <v>2000</v>
      </c>
    </row>
    <row r="3685" spans="1:11" x14ac:dyDescent="0.25">
      <c r="A3685">
        <v>102.895478477277</v>
      </c>
      <c r="B3685">
        <v>20.134668976229801</v>
      </c>
      <c r="C3685">
        <v>2000</v>
      </c>
    </row>
    <row r="3686" spans="1:11" x14ac:dyDescent="0.25">
      <c r="A3686">
        <v>102.458462452828</v>
      </c>
      <c r="B3686">
        <v>20.571685000678599</v>
      </c>
      <c r="C3686">
        <v>2001</v>
      </c>
    </row>
    <row r="3687" spans="1:11" x14ac:dyDescent="0.25">
      <c r="A3687">
        <v>103.50011436758101</v>
      </c>
      <c r="B3687">
        <v>21.6133369154314</v>
      </c>
      <c r="C3687">
        <v>2001</v>
      </c>
    </row>
    <row r="3688" spans="1:11" x14ac:dyDescent="0.25">
      <c r="A3688">
        <v>108.42006554614299</v>
      </c>
      <c r="B3688">
        <v>26.533288093993299</v>
      </c>
      <c r="C3688">
        <v>2001</v>
      </c>
    </row>
    <row r="3689" spans="1:11" x14ac:dyDescent="0.25">
      <c r="A3689">
        <v>108.857081570592</v>
      </c>
      <c r="B3689">
        <v>26.096272069544501</v>
      </c>
      <c r="C3689">
        <v>2000</v>
      </c>
    </row>
    <row r="3690" spans="1:11" x14ac:dyDescent="0.25">
      <c r="A3690" t="s">
        <v>88</v>
      </c>
    </row>
    <row r="3691" spans="1:11" x14ac:dyDescent="0.25">
      <c r="A3691">
        <v>328</v>
      </c>
      <c r="B3691">
        <v>0</v>
      </c>
      <c r="C3691">
        <v>4.3067452777137998</v>
      </c>
      <c r="D3691">
        <v>4.1242346703371702</v>
      </c>
      <c r="E3691">
        <v>6</v>
      </c>
      <c r="F3691">
        <v>1.5707963267949001</v>
      </c>
      <c r="G3691" t="s">
        <v>86</v>
      </c>
      <c r="H3691" t="s">
        <v>86</v>
      </c>
      <c r="I3691">
        <v>352</v>
      </c>
      <c r="J3691">
        <v>333</v>
      </c>
      <c r="K3691">
        <v>0</v>
      </c>
    </row>
    <row r="3692" spans="1:11" x14ac:dyDescent="0.25">
      <c r="A3692" t="s">
        <v>87</v>
      </c>
    </row>
    <row r="3693" spans="1:11" x14ac:dyDescent="0.25">
      <c r="A3693">
        <v>105.249160600477</v>
      </c>
      <c r="B3693">
        <v>23.871644434459299</v>
      </c>
      <c r="C3693">
        <v>2000</v>
      </c>
    </row>
    <row r="3694" spans="1:11" x14ac:dyDescent="0.25">
      <c r="A3694">
        <v>102.20383180976199</v>
      </c>
      <c r="B3694">
        <v>20.826315643744799</v>
      </c>
      <c r="C3694">
        <v>2000</v>
      </c>
    </row>
    <row r="3695" spans="1:11" x14ac:dyDescent="0.25">
      <c r="A3695">
        <v>102.20383180976199</v>
      </c>
      <c r="B3695">
        <v>20.826315643744799</v>
      </c>
      <c r="C3695">
        <v>2001</v>
      </c>
    </row>
    <row r="3696" spans="1:11" x14ac:dyDescent="0.25">
      <c r="A3696">
        <v>105.249160600477</v>
      </c>
      <c r="B3696">
        <v>23.871644434459299</v>
      </c>
      <c r="C3696">
        <v>2001</v>
      </c>
    </row>
    <row r="3697" spans="1:11" x14ac:dyDescent="0.25">
      <c r="A3697">
        <v>108.165434903077</v>
      </c>
      <c r="B3697">
        <v>26.7879187370594</v>
      </c>
      <c r="C3697">
        <v>2001</v>
      </c>
    </row>
    <row r="3698" spans="1:11" x14ac:dyDescent="0.25">
      <c r="A3698">
        <v>108.165434903077</v>
      </c>
      <c r="B3698">
        <v>26.7879187370594</v>
      </c>
      <c r="C3698">
        <v>2000</v>
      </c>
    </row>
    <row r="3699" spans="1:11" x14ac:dyDescent="0.25">
      <c r="A3699" t="s">
        <v>88</v>
      </c>
    </row>
    <row r="3700" spans="1:11" x14ac:dyDescent="0.25">
      <c r="A3700">
        <v>574</v>
      </c>
      <c r="B3700">
        <v>0</v>
      </c>
      <c r="C3700">
        <v>0</v>
      </c>
      <c r="D3700">
        <v>8.3720175128056695</v>
      </c>
      <c r="E3700">
        <v>4</v>
      </c>
      <c r="F3700">
        <v>1.5707963267949001</v>
      </c>
      <c r="G3700" t="s">
        <v>86</v>
      </c>
      <c r="H3700" t="s">
        <v>86</v>
      </c>
      <c r="I3700">
        <v>589</v>
      </c>
      <c r="J3700">
        <v>580</v>
      </c>
      <c r="K3700">
        <v>0</v>
      </c>
    </row>
    <row r="3701" spans="1:11" x14ac:dyDescent="0.25">
      <c r="A3701" t="s">
        <v>87</v>
      </c>
    </row>
    <row r="3702" spans="1:11" x14ac:dyDescent="0.25">
      <c r="A3702">
        <v>31.465493879032099</v>
      </c>
      <c r="B3702">
        <v>107.630373843773</v>
      </c>
      <c r="C3702">
        <v>2000</v>
      </c>
    </row>
    <row r="3703" spans="1:11" x14ac:dyDescent="0.25">
      <c r="A3703">
        <v>31.465493879032099</v>
      </c>
      <c r="B3703">
        <v>107.630373843773</v>
      </c>
      <c r="C3703">
        <v>2001</v>
      </c>
    </row>
    <row r="3704" spans="1:11" x14ac:dyDescent="0.25">
      <c r="A3704">
        <v>37.385404234549497</v>
      </c>
      <c r="B3704">
        <v>113.550284199291</v>
      </c>
      <c r="C3704">
        <v>2001</v>
      </c>
    </row>
    <row r="3705" spans="1:11" x14ac:dyDescent="0.25">
      <c r="A3705">
        <v>37.385404234549497</v>
      </c>
      <c r="B3705">
        <v>113.550284199291</v>
      </c>
      <c r="C3705">
        <v>2000</v>
      </c>
    </row>
    <row r="3706" spans="1:11" x14ac:dyDescent="0.25">
      <c r="A3706" t="s">
        <v>88</v>
      </c>
    </row>
    <row r="3707" spans="1:11" x14ac:dyDescent="0.25">
      <c r="A3707">
        <v>433</v>
      </c>
      <c r="B3707">
        <v>0</v>
      </c>
      <c r="C3707">
        <v>3.6762440458261401E-2</v>
      </c>
      <c r="D3707">
        <v>8.3085648197783009</v>
      </c>
      <c r="E3707">
        <v>6</v>
      </c>
      <c r="F3707">
        <v>1.01722196789785</v>
      </c>
      <c r="G3707" t="s">
        <v>86</v>
      </c>
      <c r="H3707" t="s">
        <v>85</v>
      </c>
      <c r="I3707">
        <v>436</v>
      </c>
      <c r="J3707">
        <v>0</v>
      </c>
      <c r="K3707">
        <v>0</v>
      </c>
    </row>
    <row r="3708" spans="1:11" x14ac:dyDescent="0.25">
      <c r="A3708" t="s">
        <v>87</v>
      </c>
    </row>
    <row r="3709" spans="1:11" x14ac:dyDescent="0.25">
      <c r="A3709">
        <v>143.90741202293</v>
      </c>
      <c r="B3709">
        <v>84.867462982508698</v>
      </c>
      <c r="C3709">
        <v>2000</v>
      </c>
    </row>
    <row r="3710" spans="1:11" x14ac:dyDescent="0.25">
      <c r="A3710">
        <v>143.880454490841</v>
      </c>
      <c r="B3710">
        <v>84.840505450419599</v>
      </c>
      <c r="C3710">
        <v>2000</v>
      </c>
    </row>
    <row r="3711" spans="1:11" x14ac:dyDescent="0.25">
      <c r="A3711">
        <v>144.31747051529001</v>
      </c>
      <c r="B3711">
        <v>84.403489425970804</v>
      </c>
      <c r="C3711">
        <v>2001</v>
      </c>
    </row>
    <row r="3712" spans="1:11" x14ac:dyDescent="0.25">
      <c r="A3712">
        <v>144.34250292508301</v>
      </c>
      <c r="B3712">
        <v>84.428521835763604</v>
      </c>
      <c r="C3712">
        <v>2001</v>
      </c>
    </row>
    <row r="3713" spans="1:11" x14ac:dyDescent="0.25">
      <c r="A3713">
        <v>150</v>
      </c>
      <c r="B3713">
        <v>90.086018910680593</v>
      </c>
      <c r="C3713">
        <v>2001</v>
      </c>
    </row>
    <row r="3714" spans="1:11" x14ac:dyDescent="0.25">
      <c r="A3714">
        <v>150</v>
      </c>
      <c r="B3714">
        <v>90.960050959578197</v>
      </c>
      <c r="C3714">
        <v>2000</v>
      </c>
    </row>
    <row r="3715" spans="1:11" x14ac:dyDescent="0.25">
      <c r="A3715" t="s">
        <v>88</v>
      </c>
    </row>
    <row r="3716" spans="1:11" x14ac:dyDescent="0.25">
      <c r="A3716">
        <v>564</v>
      </c>
      <c r="B3716">
        <v>0</v>
      </c>
      <c r="C3716">
        <v>8.2545588029608208</v>
      </c>
      <c r="D3716">
        <v>0</v>
      </c>
      <c r="E3716">
        <v>5</v>
      </c>
      <c r="F3716">
        <v>1.5707963267949001</v>
      </c>
      <c r="G3716" t="s">
        <v>85</v>
      </c>
      <c r="H3716" t="s">
        <v>86</v>
      </c>
      <c r="I3716">
        <v>0</v>
      </c>
      <c r="J3716">
        <v>565</v>
      </c>
      <c r="K3716">
        <v>0</v>
      </c>
    </row>
    <row r="3717" spans="1:11" x14ac:dyDescent="0.25">
      <c r="A3717" t="s">
        <v>87</v>
      </c>
    </row>
    <row r="3718" spans="1:11" x14ac:dyDescent="0.25">
      <c r="A3718">
        <v>5.8368545052766896</v>
      </c>
      <c r="B3718">
        <v>110.47283444110001</v>
      </c>
      <c r="C3718">
        <v>2000</v>
      </c>
    </row>
    <row r="3719" spans="1:11" x14ac:dyDescent="0.25">
      <c r="A3719">
        <v>0</v>
      </c>
      <c r="B3719">
        <v>104.635979935823</v>
      </c>
      <c r="C3719">
        <v>2000</v>
      </c>
    </row>
    <row r="3720" spans="1:11" x14ac:dyDescent="0.25">
      <c r="A3720">
        <v>0</v>
      </c>
      <c r="B3720">
        <v>104.635979935823</v>
      </c>
      <c r="C3720">
        <v>2001</v>
      </c>
    </row>
    <row r="3721" spans="1:11" x14ac:dyDescent="0.25">
      <c r="A3721">
        <v>5.8368545052766896</v>
      </c>
      <c r="B3721">
        <v>110.47283444110001</v>
      </c>
      <c r="C3721">
        <v>2001</v>
      </c>
    </row>
    <row r="3722" spans="1:11" x14ac:dyDescent="0.25">
      <c r="A3722">
        <v>5.8368545052766896</v>
      </c>
      <c r="B3722">
        <v>110.47283444110001</v>
      </c>
      <c r="C3722">
        <v>2000</v>
      </c>
    </row>
    <row r="3723" spans="1:11" x14ac:dyDescent="0.25">
      <c r="A3723" t="s">
        <v>88</v>
      </c>
    </row>
    <row r="3724" spans="1:11" x14ac:dyDescent="0.25">
      <c r="A3724">
        <v>721</v>
      </c>
      <c r="B3724">
        <v>0</v>
      </c>
      <c r="C3724">
        <v>2.3677731031163201</v>
      </c>
      <c r="D3724">
        <v>5.5568222851746896</v>
      </c>
      <c r="E3724">
        <v>8</v>
      </c>
      <c r="F3724">
        <v>1.01722196789785</v>
      </c>
      <c r="G3724" t="s">
        <v>86</v>
      </c>
      <c r="H3724" t="s">
        <v>86</v>
      </c>
      <c r="I3724">
        <v>105</v>
      </c>
      <c r="J3724">
        <v>508</v>
      </c>
      <c r="K3724">
        <v>0.13160878275062499</v>
      </c>
    </row>
    <row r="3725" spans="1:11" x14ac:dyDescent="0.25">
      <c r="A3725" t="s">
        <v>87</v>
      </c>
    </row>
    <row r="3726" spans="1:11" x14ac:dyDescent="0.25">
      <c r="A3726">
        <v>63.107654031411798</v>
      </c>
      <c r="B3726">
        <v>50.530182648235801</v>
      </c>
      <c r="C3726">
        <v>2000</v>
      </c>
    </row>
    <row r="3727" spans="1:11" x14ac:dyDescent="0.25">
      <c r="A3727">
        <v>62.3589633709515</v>
      </c>
      <c r="B3727">
        <v>49.781491987775603</v>
      </c>
      <c r="C3727">
        <v>2000</v>
      </c>
    </row>
    <row r="3728" spans="1:11" x14ac:dyDescent="0.25">
      <c r="A3728">
        <v>61.433385613887097</v>
      </c>
      <c r="B3728">
        <v>48.8559142307112</v>
      </c>
      <c r="C3728">
        <v>2000</v>
      </c>
    </row>
    <row r="3729" spans="1:11" x14ac:dyDescent="0.25">
      <c r="A3729">
        <v>60.996369589438302</v>
      </c>
      <c r="B3729">
        <v>49.292930255160002</v>
      </c>
      <c r="C3729">
        <v>2001</v>
      </c>
    </row>
    <row r="3730" spans="1:11" x14ac:dyDescent="0.25">
      <c r="A3730">
        <v>61.921947346502698</v>
      </c>
      <c r="B3730">
        <v>50.218508012224397</v>
      </c>
      <c r="C3730">
        <v>2001</v>
      </c>
    </row>
    <row r="3731" spans="1:11" x14ac:dyDescent="0.25">
      <c r="A3731">
        <v>62.670638006963003</v>
      </c>
      <c r="B3731">
        <v>50.967198672684702</v>
      </c>
      <c r="C3731">
        <v>2001</v>
      </c>
    </row>
    <row r="3732" spans="1:11" x14ac:dyDescent="0.25">
      <c r="A3732">
        <v>66.599904726658494</v>
      </c>
      <c r="B3732">
        <v>54.8964653923802</v>
      </c>
      <c r="C3732">
        <v>2001</v>
      </c>
    </row>
    <row r="3733" spans="1:11" x14ac:dyDescent="0.25">
      <c r="A3733">
        <v>67.036920751107303</v>
      </c>
      <c r="B3733">
        <v>54.459449367931398</v>
      </c>
      <c r="C3733">
        <v>2000</v>
      </c>
    </row>
    <row r="3734" spans="1:11" x14ac:dyDescent="0.25">
      <c r="A3734" t="s">
        <v>88</v>
      </c>
    </row>
    <row r="3735" spans="1:11" x14ac:dyDescent="0.25">
      <c r="A3735">
        <v>644</v>
      </c>
      <c r="B3735">
        <v>0</v>
      </c>
      <c r="C3735">
        <v>7.5837498526485501</v>
      </c>
      <c r="D3735">
        <v>0</v>
      </c>
      <c r="E3735">
        <v>5</v>
      </c>
      <c r="F3735">
        <v>1.5707963267949001</v>
      </c>
      <c r="G3735" t="s">
        <v>86</v>
      </c>
      <c r="H3735" t="s">
        <v>86</v>
      </c>
      <c r="I3735">
        <v>7</v>
      </c>
      <c r="J3735">
        <v>659</v>
      </c>
      <c r="K3735">
        <v>0</v>
      </c>
    </row>
    <row r="3736" spans="1:11" x14ac:dyDescent="0.25">
      <c r="A3736" t="s">
        <v>87</v>
      </c>
    </row>
    <row r="3737" spans="1:11" x14ac:dyDescent="0.25">
      <c r="A3737">
        <v>16.601883115527201</v>
      </c>
      <c r="B3737">
        <v>57.417750850980099</v>
      </c>
      <c r="C3737">
        <v>2000</v>
      </c>
    </row>
    <row r="3738" spans="1:11" x14ac:dyDescent="0.25">
      <c r="A3738">
        <v>11.2393621678969</v>
      </c>
      <c r="B3738">
        <v>52.055229903349797</v>
      </c>
      <c r="C3738">
        <v>2000</v>
      </c>
    </row>
    <row r="3739" spans="1:11" x14ac:dyDescent="0.25">
      <c r="A3739">
        <v>11.2393621678969</v>
      </c>
      <c r="B3739">
        <v>52.055229903349797</v>
      </c>
      <c r="C3739">
        <v>2001</v>
      </c>
    </row>
    <row r="3740" spans="1:11" x14ac:dyDescent="0.25">
      <c r="A3740">
        <v>16.601883115527201</v>
      </c>
      <c r="B3740">
        <v>57.417750850980099</v>
      </c>
      <c r="C3740">
        <v>2001</v>
      </c>
    </row>
    <row r="3741" spans="1:11" x14ac:dyDescent="0.25">
      <c r="A3741">
        <v>16.601883115527201</v>
      </c>
      <c r="B3741">
        <v>57.417750850980099</v>
      </c>
      <c r="C3741">
        <v>2000</v>
      </c>
    </row>
    <row r="3742" spans="1:11" x14ac:dyDescent="0.25">
      <c r="A3742" t="s">
        <v>88</v>
      </c>
    </row>
    <row r="3743" spans="1:11" x14ac:dyDescent="0.25">
      <c r="A3743">
        <v>161</v>
      </c>
      <c r="B3743">
        <v>0</v>
      </c>
      <c r="C3743">
        <v>6.2276296329079903</v>
      </c>
      <c r="D3743">
        <v>1.29410540514198</v>
      </c>
      <c r="E3743">
        <v>8</v>
      </c>
      <c r="F3743">
        <v>1.5707963267949001</v>
      </c>
      <c r="G3743" t="s">
        <v>86</v>
      </c>
      <c r="H3743" t="s">
        <v>86</v>
      </c>
      <c r="I3743">
        <v>273</v>
      </c>
      <c r="J3743">
        <v>170</v>
      </c>
      <c r="K3743">
        <v>0</v>
      </c>
    </row>
    <row r="3744" spans="1:11" x14ac:dyDescent="0.25">
      <c r="A3744" t="s">
        <v>87</v>
      </c>
    </row>
    <row r="3745" spans="1:11" x14ac:dyDescent="0.25">
      <c r="A3745">
        <v>103.878214701022</v>
      </c>
      <c r="B3745">
        <v>111.479983018469</v>
      </c>
      <c r="C3745">
        <v>2000</v>
      </c>
    </row>
    <row r="3746" spans="1:11" x14ac:dyDescent="0.25">
      <c r="A3746">
        <v>100</v>
      </c>
      <c r="B3746">
        <v>107.601768317447</v>
      </c>
      <c r="C3746">
        <v>2000</v>
      </c>
    </row>
    <row r="3747" spans="1:11" x14ac:dyDescent="0.25">
      <c r="A3747">
        <v>99.474615556874596</v>
      </c>
      <c r="B3747">
        <v>107.076383874322</v>
      </c>
      <c r="C3747">
        <v>2000</v>
      </c>
    </row>
    <row r="3748" spans="1:11" x14ac:dyDescent="0.25">
      <c r="A3748">
        <v>99.474615556874596</v>
      </c>
      <c r="B3748">
        <v>107.076383874322</v>
      </c>
      <c r="C3748">
        <v>2001</v>
      </c>
    </row>
    <row r="3749" spans="1:11" x14ac:dyDescent="0.25">
      <c r="A3749">
        <v>100</v>
      </c>
      <c r="B3749">
        <v>107.601768317447</v>
      </c>
      <c r="C3749">
        <v>2001</v>
      </c>
    </row>
    <row r="3750" spans="1:11" x14ac:dyDescent="0.25">
      <c r="A3750">
        <v>103.878214701022</v>
      </c>
      <c r="B3750">
        <v>111.479983018469</v>
      </c>
      <c r="C3750">
        <v>2001</v>
      </c>
    </row>
    <row r="3751" spans="1:11" x14ac:dyDescent="0.25">
      <c r="A3751">
        <v>104.793285408568</v>
      </c>
      <c r="B3751">
        <v>112.39505372601501</v>
      </c>
      <c r="C3751">
        <v>2001</v>
      </c>
    </row>
    <row r="3752" spans="1:11" x14ac:dyDescent="0.25">
      <c r="A3752">
        <v>104.793285408568</v>
      </c>
      <c r="B3752">
        <v>112.39505372601501</v>
      </c>
      <c r="C3752">
        <v>2000</v>
      </c>
    </row>
    <row r="3753" spans="1:11" x14ac:dyDescent="0.25">
      <c r="A3753" t="s">
        <v>88</v>
      </c>
    </row>
    <row r="3754" spans="1:11" x14ac:dyDescent="0.25">
      <c r="A3754">
        <v>104</v>
      </c>
      <c r="B3754">
        <v>0</v>
      </c>
      <c r="C3754">
        <v>1.4844718901924601</v>
      </c>
      <c r="D3754">
        <v>5.8391377354277099</v>
      </c>
      <c r="E3754">
        <v>6</v>
      </c>
      <c r="F3754">
        <v>1.01722196789785</v>
      </c>
      <c r="G3754" t="s">
        <v>86</v>
      </c>
      <c r="H3754" t="s">
        <v>86</v>
      </c>
      <c r="I3754">
        <v>111</v>
      </c>
      <c r="J3754">
        <v>107</v>
      </c>
      <c r="K3754">
        <v>0</v>
      </c>
    </row>
    <row r="3755" spans="1:11" x14ac:dyDescent="0.25">
      <c r="A3755" t="s">
        <v>87</v>
      </c>
    </row>
    <row r="3756" spans="1:11" x14ac:dyDescent="0.25">
      <c r="A3756">
        <v>63.1787664397566</v>
      </c>
      <c r="B3756">
        <v>21.852235707846798</v>
      </c>
      <c r="C3756">
        <v>2000</v>
      </c>
    </row>
    <row r="3757" spans="1:11" x14ac:dyDescent="0.25">
      <c r="A3757">
        <v>62.129086299720598</v>
      </c>
      <c r="B3757">
        <v>20.802555567810899</v>
      </c>
      <c r="C3757">
        <v>2000</v>
      </c>
    </row>
    <row r="3758" spans="1:11" x14ac:dyDescent="0.25">
      <c r="A3758">
        <v>62.566102324169499</v>
      </c>
      <c r="B3758">
        <v>20.365539543362001</v>
      </c>
      <c r="C3758">
        <v>2001</v>
      </c>
    </row>
    <row r="3759" spans="1:11" x14ac:dyDescent="0.25">
      <c r="A3759">
        <v>63.615782464205402</v>
      </c>
      <c r="B3759">
        <v>21.4152196833979</v>
      </c>
      <c r="C3759">
        <v>2001</v>
      </c>
    </row>
    <row r="3760" spans="1:11" x14ac:dyDescent="0.25">
      <c r="A3760">
        <v>67.744676353208604</v>
      </c>
      <c r="B3760">
        <v>25.544113572401098</v>
      </c>
      <c r="C3760">
        <v>2001</v>
      </c>
    </row>
    <row r="3761" spans="1:11" x14ac:dyDescent="0.25">
      <c r="A3761">
        <v>67.307660328759795</v>
      </c>
      <c r="B3761">
        <v>25.98112959685</v>
      </c>
      <c r="C3761">
        <v>2000</v>
      </c>
    </row>
    <row r="3762" spans="1:11" x14ac:dyDescent="0.25">
      <c r="A3762" t="s">
        <v>88</v>
      </c>
    </row>
    <row r="3763" spans="1:11" x14ac:dyDescent="0.25">
      <c r="A3763">
        <v>578</v>
      </c>
      <c r="B3763">
        <v>0</v>
      </c>
      <c r="C3763">
        <v>7.2768575805190903</v>
      </c>
      <c r="D3763">
        <v>0</v>
      </c>
      <c r="E3763">
        <v>5</v>
      </c>
      <c r="F3763">
        <v>1.5707963267949001</v>
      </c>
      <c r="G3763" t="s">
        <v>85</v>
      </c>
      <c r="H3763" t="s">
        <v>86</v>
      </c>
      <c r="I3763">
        <v>0</v>
      </c>
      <c r="J3763">
        <v>590</v>
      </c>
      <c r="K3763">
        <v>0</v>
      </c>
    </row>
    <row r="3764" spans="1:11" x14ac:dyDescent="0.25">
      <c r="A3764" t="s">
        <v>87</v>
      </c>
    </row>
    <row r="3765" spans="1:11" x14ac:dyDescent="0.25">
      <c r="A3765">
        <v>5.1455153409137901</v>
      </c>
      <c r="B3765">
        <v>107.349121480877</v>
      </c>
      <c r="C3765">
        <v>2000</v>
      </c>
    </row>
    <row r="3766" spans="1:11" x14ac:dyDescent="0.25">
      <c r="A3766">
        <v>0</v>
      </c>
      <c r="B3766">
        <v>102.203606139963</v>
      </c>
      <c r="C3766">
        <v>2000</v>
      </c>
    </row>
    <row r="3767" spans="1:11" x14ac:dyDescent="0.25">
      <c r="A3767">
        <v>0</v>
      </c>
      <c r="B3767">
        <v>102.203606139963</v>
      </c>
      <c r="C3767">
        <v>2001</v>
      </c>
    </row>
    <row r="3768" spans="1:11" x14ac:dyDescent="0.25">
      <c r="A3768">
        <v>5.1455153409137901</v>
      </c>
      <c r="B3768">
        <v>107.349121480877</v>
      </c>
      <c r="C3768">
        <v>2001</v>
      </c>
    </row>
    <row r="3769" spans="1:11" x14ac:dyDescent="0.25">
      <c r="A3769">
        <v>5.1455153409137901</v>
      </c>
      <c r="B3769">
        <v>107.349121480877</v>
      </c>
      <c r="C3769">
        <v>2000</v>
      </c>
    </row>
    <row r="3770" spans="1:11" x14ac:dyDescent="0.25">
      <c r="A3770" t="s">
        <v>88</v>
      </c>
    </row>
    <row r="3771" spans="1:11" x14ac:dyDescent="0.25">
      <c r="A3771">
        <v>500</v>
      </c>
      <c r="B3771">
        <v>0</v>
      </c>
      <c r="C3771">
        <v>0</v>
      </c>
      <c r="D3771">
        <v>6.62782984016921</v>
      </c>
      <c r="E3771">
        <v>4</v>
      </c>
      <c r="F3771">
        <v>1.5707963267949001</v>
      </c>
      <c r="G3771" t="s">
        <v>86</v>
      </c>
      <c r="H3771" t="s">
        <v>86</v>
      </c>
      <c r="I3771">
        <v>508</v>
      </c>
      <c r="J3771">
        <v>481</v>
      </c>
      <c r="K3771">
        <v>0</v>
      </c>
    </row>
    <row r="3772" spans="1:11" x14ac:dyDescent="0.25">
      <c r="A3772" t="s">
        <v>87</v>
      </c>
    </row>
    <row r="3773" spans="1:11" x14ac:dyDescent="0.25">
      <c r="A3773">
        <v>77.509627131516893</v>
      </c>
      <c r="B3773">
        <v>66.380853586076199</v>
      </c>
      <c r="C3773">
        <v>2000</v>
      </c>
    </row>
    <row r="3774" spans="1:11" x14ac:dyDescent="0.25">
      <c r="A3774">
        <v>77.509627131516893</v>
      </c>
      <c r="B3774">
        <v>66.380853586076199</v>
      </c>
      <c r="C3774">
        <v>2001</v>
      </c>
    </row>
    <row r="3775" spans="1:11" x14ac:dyDescent="0.25">
      <c r="A3775">
        <v>82.196210556051099</v>
      </c>
      <c r="B3775">
        <v>71.067437010610405</v>
      </c>
      <c r="C3775">
        <v>2001</v>
      </c>
    </row>
    <row r="3776" spans="1:11" x14ac:dyDescent="0.25">
      <c r="A3776">
        <v>82.196210556051099</v>
      </c>
      <c r="B3776">
        <v>71.067437010610405</v>
      </c>
      <c r="C3776">
        <v>2000</v>
      </c>
    </row>
    <row r="3777" spans="1:11" x14ac:dyDescent="0.25">
      <c r="A3777" t="s">
        <v>88</v>
      </c>
    </row>
    <row r="3778" spans="1:11" x14ac:dyDescent="0.25">
      <c r="A3778">
        <v>339</v>
      </c>
      <c r="B3778">
        <v>0</v>
      </c>
      <c r="C3778">
        <v>3.62367384961706</v>
      </c>
      <c r="D3778">
        <v>2.8560995395983499</v>
      </c>
      <c r="E3778">
        <v>8</v>
      </c>
      <c r="F3778">
        <v>1.5707963267949001</v>
      </c>
      <c r="G3778" t="s">
        <v>86</v>
      </c>
      <c r="H3778" t="s">
        <v>86</v>
      </c>
      <c r="I3778">
        <v>340</v>
      </c>
      <c r="J3778">
        <v>415</v>
      </c>
      <c r="K3778">
        <v>0</v>
      </c>
    </row>
    <row r="3779" spans="1:11" x14ac:dyDescent="0.25">
      <c r="A3779" t="s">
        <v>87</v>
      </c>
    </row>
    <row r="3780" spans="1:11" x14ac:dyDescent="0.25">
      <c r="A3780">
        <v>113.383413554813</v>
      </c>
      <c r="B3780">
        <v>49.020180943897103</v>
      </c>
      <c r="C3780">
        <v>2000</v>
      </c>
    </row>
    <row r="3781" spans="1:11" x14ac:dyDescent="0.25">
      <c r="A3781">
        <v>110.821089202941</v>
      </c>
      <c r="B3781">
        <v>46.457856592024498</v>
      </c>
      <c r="C3781">
        <v>2000</v>
      </c>
    </row>
    <row r="3782" spans="1:11" x14ac:dyDescent="0.25">
      <c r="A3782">
        <v>110.821089202941</v>
      </c>
      <c r="B3782">
        <v>46.457856592024498</v>
      </c>
      <c r="C3782">
        <v>2001</v>
      </c>
    </row>
    <row r="3783" spans="1:11" x14ac:dyDescent="0.25">
      <c r="A3783">
        <v>113.383413554813</v>
      </c>
      <c r="B3783">
        <v>49.020180943897103</v>
      </c>
      <c r="C3783">
        <v>2001</v>
      </c>
    </row>
    <row r="3784" spans="1:11" x14ac:dyDescent="0.25">
      <c r="A3784">
        <v>114.363232610916</v>
      </c>
      <c r="B3784">
        <v>50</v>
      </c>
      <c r="C3784">
        <v>2001</v>
      </c>
    </row>
    <row r="3785" spans="1:11" x14ac:dyDescent="0.25">
      <c r="A3785">
        <v>115.40298090700701</v>
      </c>
      <c r="B3785">
        <v>51.039748296090799</v>
      </c>
      <c r="C3785">
        <v>2001</v>
      </c>
    </row>
    <row r="3786" spans="1:11" x14ac:dyDescent="0.25">
      <c r="A3786">
        <v>115.40298090700701</v>
      </c>
      <c r="B3786">
        <v>51.039748296090799</v>
      </c>
      <c r="C3786">
        <v>2000</v>
      </c>
    </row>
    <row r="3787" spans="1:11" x14ac:dyDescent="0.25">
      <c r="A3787">
        <v>114.363232610916</v>
      </c>
      <c r="B3787">
        <v>50</v>
      </c>
      <c r="C3787">
        <v>2000</v>
      </c>
    </row>
    <row r="3788" spans="1:11" x14ac:dyDescent="0.25">
      <c r="A3788" t="s">
        <v>88</v>
      </c>
    </row>
    <row r="3789" spans="1:11" x14ac:dyDescent="0.25">
      <c r="A3789">
        <v>16</v>
      </c>
      <c r="B3789">
        <v>0</v>
      </c>
      <c r="C3789">
        <v>5.8355269922201298</v>
      </c>
      <c r="D3789">
        <v>0</v>
      </c>
      <c r="E3789">
        <v>5</v>
      </c>
      <c r="F3789">
        <v>1.5707963267949001</v>
      </c>
      <c r="G3789" t="s">
        <v>86</v>
      </c>
      <c r="H3789" t="s">
        <v>86</v>
      </c>
      <c r="I3789">
        <v>14</v>
      </c>
      <c r="J3789">
        <v>487</v>
      </c>
      <c r="K3789">
        <v>0</v>
      </c>
    </row>
    <row r="3790" spans="1:11" x14ac:dyDescent="0.25">
      <c r="A3790" t="s">
        <v>87</v>
      </c>
    </row>
    <row r="3791" spans="1:11" x14ac:dyDescent="0.25">
      <c r="A3791">
        <v>20.502806557576498</v>
      </c>
      <c r="B3791">
        <v>35.903873730406097</v>
      </c>
      <c r="C3791">
        <v>2000</v>
      </c>
    </row>
    <row r="3792" spans="1:11" x14ac:dyDescent="0.25">
      <c r="A3792">
        <v>16.376465849580601</v>
      </c>
      <c r="B3792">
        <v>31.7775330224101</v>
      </c>
      <c r="C3792">
        <v>2000</v>
      </c>
    </row>
    <row r="3793" spans="1:11" x14ac:dyDescent="0.25">
      <c r="A3793">
        <v>16.376465849580601</v>
      </c>
      <c r="B3793">
        <v>31.7775330224101</v>
      </c>
      <c r="C3793">
        <v>2001</v>
      </c>
    </row>
    <row r="3794" spans="1:11" x14ac:dyDescent="0.25">
      <c r="A3794">
        <v>20.502806557576498</v>
      </c>
      <c r="B3794">
        <v>35.903873730406097</v>
      </c>
      <c r="C3794">
        <v>2001</v>
      </c>
    </row>
    <row r="3795" spans="1:11" x14ac:dyDescent="0.25">
      <c r="A3795">
        <v>20.502806557576498</v>
      </c>
      <c r="B3795">
        <v>35.903873730406097</v>
      </c>
      <c r="C3795">
        <v>2000</v>
      </c>
    </row>
    <row r="3796" spans="1:11" x14ac:dyDescent="0.25">
      <c r="A3796" t="s">
        <v>88</v>
      </c>
    </row>
    <row r="3797" spans="1:11" x14ac:dyDescent="0.25">
      <c r="A3797">
        <v>568</v>
      </c>
      <c r="B3797">
        <v>0</v>
      </c>
      <c r="C3797">
        <v>0</v>
      </c>
      <c r="D3797">
        <v>5.5247082138924402</v>
      </c>
      <c r="E3797">
        <v>4</v>
      </c>
      <c r="F3797">
        <v>1.5707963267949001</v>
      </c>
      <c r="G3797" t="s">
        <v>86</v>
      </c>
      <c r="H3797" t="s">
        <v>85</v>
      </c>
      <c r="I3797">
        <v>565</v>
      </c>
      <c r="J3797">
        <v>0</v>
      </c>
      <c r="K3797">
        <v>0</v>
      </c>
    </row>
    <row r="3798" spans="1:11" x14ac:dyDescent="0.25">
      <c r="A3798" t="s">
        <v>87</v>
      </c>
    </row>
    <row r="3799" spans="1:11" x14ac:dyDescent="0.25">
      <c r="A3799">
        <v>41.158876936491097</v>
      </c>
      <c r="B3799">
        <v>146.09344135788001</v>
      </c>
      <c r="C3799">
        <v>2000</v>
      </c>
    </row>
    <row r="3800" spans="1:11" x14ac:dyDescent="0.25">
      <c r="A3800">
        <v>41.158876936491097</v>
      </c>
      <c r="B3800">
        <v>146.09344135788001</v>
      </c>
      <c r="C3800">
        <v>2001</v>
      </c>
    </row>
    <row r="3801" spans="1:11" x14ac:dyDescent="0.25">
      <c r="A3801">
        <v>45.0654355786114</v>
      </c>
      <c r="B3801">
        <v>150</v>
      </c>
      <c r="C3801">
        <v>2001</v>
      </c>
    </row>
    <row r="3802" spans="1:11" x14ac:dyDescent="0.25">
      <c r="A3802">
        <v>45.0654355786114</v>
      </c>
      <c r="B3802">
        <v>150</v>
      </c>
      <c r="C3802">
        <v>2000</v>
      </c>
    </row>
    <row r="3803" spans="1:11" x14ac:dyDescent="0.25">
      <c r="A3803" t="s">
        <v>88</v>
      </c>
    </row>
    <row r="3804" spans="1:11" x14ac:dyDescent="0.25">
      <c r="A3804">
        <v>650</v>
      </c>
      <c r="B3804">
        <v>0</v>
      </c>
      <c r="C3804">
        <v>0</v>
      </c>
      <c r="D3804">
        <v>5.51068860802798</v>
      </c>
      <c r="E3804">
        <v>8</v>
      </c>
      <c r="F3804">
        <v>1.5707963267949001</v>
      </c>
      <c r="G3804" t="s">
        <v>86</v>
      </c>
      <c r="H3804" t="s">
        <v>86</v>
      </c>
      <c r="I3804">
        <v>668</v>
      </c>
      <c r="J3804">
        <v>270</v>
      </c>
      <c r="K3804">
        <v>0</v>
      </c>
    </row>
    <row r="3805" spans="1:11" x14ac:dyDescent="0.25">
      <c r="A3805" t="s">
        <v>87</v>
      </c>
    </row>
    <row r="3806" spans="1:11" x14ac:dyDescent="0.25">
      <c r="A3806">
        <v>46.667397276809197</v>
      </c>
      <c r="B3806">
        <v>96.316536514235906</v>
      </c>
      <c r="C3806">
        <v>2000</v>
      </c>
    </row>
    <row r="3807" spans="1:11" x14ac:dyDescent="0.25">
      <c r="A3807">
        <v>46.667397276809197</v>
      </c>
      <c r="B3807">
        <v>96.316536514235906</v>
      </c>
      <c r="C3807">
        <v>2001</v>
      </c>
    </row>
    <row r="3808" spans="1:11" x14ac:dyDescent="0.25">
      <c r="A3808">
        <v>50</v>
      </c>
      <c r="B3808">
        <v>99.649139237426795</v>
      </c>
      <c r="C3808">
        <v>2001</v>
      </c>
    </row>
    <row r="3809" spans="1:11" x14ac:dyDescent="0.25">
      <c r="A3809">
        <v>50.350860762573198</v>
      </c>
      <c r="B3809">
        <v>100</v>
      </c>
      <c r="C3809">
        <v>2001</v>
      </c>
    </row>
    <row r="3810" spans="1:11" x14ac:dyDescent="0.25">
      <c r="A3810">
        <v>50.564042560553197</v>
      </c>
      <c r="B3810">
        <v>100.21318179798</v>
      </c>
      <c r="C3810">
        <v>2001</v>
      </c>
    </row>
    <row r="3811" spans="1:11" x14ac:dyDescent="0.25">
      <c r="A3811">
        <v>50.564042560553197</v>
      </c>
      <c r="B3811">
        <v>100.21318179798</v>
      </c>
      <c r="C3811">
        <v>2000</v>
      </c>
    </row>
    <row r="3812" spans="1:11" x14ac:dyDescent="0.25">
      <c r="A3812">
        <v>50.350860762573198</v>
      </c>
      <c r="B3812">
        <v>100</v>
      </c>
      <c r="C3812">
        <v>2000</v>
      </c>
    </row>
    <row r="3813" spans="1:11" x14ac:dyDescent="0.25">
      <c r="A3813">
        <v>50</v>
      </c>
      <c r="B3813">
        <v>99.649139237426795</v>
      </c>
      <c r="C3813">
        <v>2000</v>
      </c>
    </row>
    <row r="3814" spans="1:11" x14ac:dyDescent="0.25">
      <c r="A3814" t="s">
        <v>88</v>
      </c>
    </row>
    <row r="3815" spans="1:11" x14ac:dyDescent="0.25">
      <c r="A3815">
        <v>84</v>
      </c>
      <c r="B3815">
        <v>0</v>
      </c>
      <c r="C3815">
        <v>0</v>
      </c>
      <c r="D3815">
        <v>5.4798819561476204</v>
      </c>
      <c r="E3815">
        <v>4</v>
      </c>
      <c r="F3815">
        <v>1.5707963267949001</v>
      </c>
      <c r="G3815" t="s">
        <v>86</v>
      </c>
      <c r="H3815" t="s">
        <v>86</v>
      </c>
      <c r="I3815">
        <v>89</v>
      </c>
      <c r="J3815">
        <v>486</v>
      </c>
      <c r="K3815">
        <v>0</v>
      </c>
    </row>
    <row r="3816" spans="1:11" x14ac:dyDescent="0.25">
      <c r="A3816" t="s">
        <v>87</v>
      </c>
    </row>
    <row r="3817" spans="1:11" x14ac:dyDescent="0.25">
      <c r="A3817">
        <v>65.244112287296005</v>
      </c>
      <c r="B3817">
        <v>43.727268927603603</v>
      </c>
      <c r="C3817">
        <v>2000</v>
      </c>
    </row>
    <row r="3818" spans="1:11" x14ac:dyDescent="0.25">
      <c r="A3818">
        <v>65.244112287296005</v>
      </c>
      <c r="B3818">
        <v>43.727268927603603</v>
      </c>
      <c r="C3818">
        <v>2001</v>
      </c>
    </row>
    <row r="3819" spans="1:11" x14ac:dyDescent="0.25">
      <c r="A3819">
        <v>69.118973978589807</v>
      </c>
      <c r="B3819">
        <v>47.602130618897398</v>
      </c>
      <c r="C3819">
        <v>2001</v>
      </c>
    </row>
    <row r="3820" spans="1:11" x14ac:dyDescent="0.25">
      <c r="A3820">
        <v>69.118973978589807</v>
      </c>
      <c r="B3820">
        <v>47.602130618897398</v>
      </c>
      <c r="C3820">
        <v>2000</v>
      </c>
    </row>
    <row r="3821" spans="1:11" x14ac:dyDescent="0.25">
      <c r="A3821" t="s">
        <v>88</v>
      </c>
    </row>
    <row r="3822" spans="1:11" x14ac:dyDescent="0.25">
      <c r="A3822">
        <v>6</v>
      </c>
      <c r="B3822">
        <v>0</v>
      </c>
      <c r="C3822">
        <v>5.3868696787330803</v>
      </c>
      <c r="D3822">
        <v>0</v>
      </c>
      <c r="E3822">
        <v>5</v>
      </c>
      <c r="F3822">
        <v>1.5707963267949001</v>
      </c>
      <c r="G3822" t="s">
        <v>85</v>
      </c>
      <c r="H3822" t="s">
        <v>86</v>
      </c>
      <c r="I3822">
        <v>0</v>
      </c>
      <c r="J3822">
        <v>273</v>
      </c>
      <c r="K3822">
        <v>0</v>
      </c>
    </row>
    <row r="3823" spans="1:11" x14ac:dyDescent="0.25">
      <c r="A3823" t="s">
        <v>87</v>
      </c>
    </row>
    <row r="3824" spans="1:11" x14ac:dyDescent="0.25">
      <c r="A3824">
        <v>3.8090920792003602</v>
      </c>
      <c r="B3824">
        <v>10.025769849319801</v>
      </c>
      <c r="C3824">
        <v>2000</v>
      </c>
    </row>
    <row r="3825" spans="1:11" x14ac:dyDescent="0.25">
      <c r="A3825">
        <v>0</v>
      </c>
      <c r="B3825">
        <v>6.21667777011948</v>
      </c>
      <c r="C3825">
        <v>2000</v>
      </c>
    </row>
    <row r="3826" spans="1:11" x14ac:dyDescent="0.25">
      <c r="A3826">
        <v>0</v>
      </c>
      <c r="B3826">
        <v>6.21667777011948</v>
      </c>
      <c r="C3826">
        <v>2001</v>
      </c>
    </row>
    <row r="3827" spans="1:11" x14ac:dyDescent="0.25">
      <c r="A3827">
        <v>3.8090920792003602</v>
      </c>
      <c r="B3827">
        <v>10.025769849319801</v>
      </c>
      <c r="C3827">
        <v>2001</v>
      </c>
    </row>
    <row r="3828" spans="1:11" x14ac:dyDescent="0.25">
      <c r="A3828">
        <v>3.8090920792003602</v>
      </c>
      <c r="B3828">
        <v>10.025769849319801</v>
      </c>
      <c r="C3828">
        <v>2000</v>
      </c>
    </row>
    <row r="3829" spans="1:11" x14ac:dyDescent="0.25">
      <c r="A3829" t="s">
        <v>88</v>
      </c>
    </row>
    <row r="3830" spans="1:11" x14ac:dyDescent="0.25">
      <c r="A3830">
        <v>405</v>
      </c>
      <c r="B3830">
        <v>0</v>
      </c>
      <c r="C3830">
        <v>1.0099927336007299</v>
      </c>
      <c r="D3830">
        <v>4.2530792078378399</v>
      </c>
      <c r="E3830">
        <v>6</v>
      </c>
      <c r="F3830">
        <v>1.5707963267949001</v>
      </c>
      <c r="G3830" t="s">
        <v>86</v>
      </c>
      <c r="H3830" t="s">
        <v>86</v>
      </c>
      <c r="I3830">
        <v>416</v>
      </c>
      <c r="J3830">
        <v>403</v>
      </c>
      <c r="K3830">
        <v>0</v>
      </c>
    </row>
    <row r="3831" spans="1:11" x14ac:dyDescent="0.25">
      <c r="A3831" t="s">
        <v>87</v>
      </c>
    </row>
    <row r="3832" spans="1:11" x14ac:dyDescent="0.25">
      <c r="A3832">
        <v>117.475756964402</v>
      </c>
      <c r="B3832">
        <v>55.7471000616193</v>
      </c>
      <c r="C3832">
        <v>2000</v>
      </c>
    </row>
    <row r="3833" spans="1:11" x14ac:dyDescent="0.25">
      <c r="A3833">
        <v>116.76158425352401</v>
      </c>
      <c r="B3833">
        <v>55.032927350740998</v>
      </c>
      <c r="C3833">
        <v>2000</v>
      </c>
    </row>
    <row r="3834" spans="1:11" x14ac:dyDescent="0.25">
      <c r="A3834">
        <v>116.76158425352401</v>
      </c>
      <c r="B3834">
        <v>55.032927350740998</v>
      </c>
      <c r="C3834">
        <v>2001</v>
      </c>
    </row>
    <row r="3835" spans="1:11" x14ac:dyDescent="0.25">
      <c r="A3835">
        <v>117.475756964402</v>
      </c>
      <c r="B3835">
        <v>55.7471000616193</v>
      </c>
      <c r="C3835">
        <v>2001</v>
      </c>
    </row>
    <row r="3836" spans="1:11" x14ac:dyDescent="0.25">
      <c r="A3836">
        <v>120.48313811318801</v>
      </c>
      <c r="B3836">
        <v>58.754481210404897</v>
      </c>
      <c r="C3836">
        <v>2001</v>
      </c>
    </row>
    <row r="3837" spans="1:11" x14ac:dyDescent="0.25">
      <c r="A3837">
        <v>120.48313811318801</v>
      </c>
      <c r="B3837">
        <v>58.754481210404897</v>
      </c>
      <c r="C3837">
        <v>2000</v>
      </c>
    </row>
    <row r="3838" spans="1:11" x14ac:dyDescent="0.25">
      <c r="A3838" t="s">
        <v>88</v>
      </c>
    </row>
    <row r="3839" spans="1:11" x14ac:dyDescent="0.25">
      <c r="A3839">
        <v>406</v>
      </c>
      <c r="B3839">
        <v>0</v>
      </c>
      <c r="C3839">
        <v>1.94430006488221</v>
      </c>
      <c r="D3839">
        <v>3.3172317899752701</v>
      </c>
      <c r="E3839">
        <v>6</v>
      </c>
      <c r="F3839">
        <v>1.5707963267949001</v>
      </c>
      <c r="G3839" t="s">
        <v>86</v>
      </c>
      <c r="H3839" t="s">
        <v>85</v>
      </c>
      <c r="I3839">
        <v>420</v>
      </c>
      <c r="J3839">
        <v>0</v>
      </c>
      <c r="K3839">
        <v>0</v>
      </c>
    </row>
    <row r="3840" spans="1:11" x14ac:dyDescent="0.25">
      <c r="A3840" t="s">
        <v>87</v>
      </c>
    </row>
    <row r="3841" spans="1:11" x14ac:dyDescent="0.25">
      <c r="A3841">
        <v>147.654362906541</v>
      </c>
      <c r="B3841">
        <v>79.689343683276903</v>
      </c>
      <c r="C3841">
        <v>2000</v>
      </c>
    </row>
    <row r="3842" spans="1:11" x14ac:dyDescent="0.25">
      <c r="A3842">
        <v>146.279535146001</v>
      </c>
      <c r="B3842">
        <v>78.3145159227373</v>
      </c>
      <c r="C3842">
        <v>2000</v>
      </c>
    </row>
    <row r="3843" spans="1:11" x14ac:dyDescent="0.25">
      <c r="A3843">
        <v>146.279535146001</v>
      </c>
      <c r="B3843">
        <v>78.3145159227373</v>
      </c>
      <c r="C3843">
        <v>2001</v>
      </c>
    </row>
    <row r="3844" spans="1:11" x14ac:dyDescent="0.25">
      <c r="A3844">
        <v>147.654362906541</v>
      </c>
      <c r="B3844">
        <v>79.689343683276903</v>
      </c>
      <c r="C3844">
        <v>2001</v>
      </c>
    </row>
    <row r="3845" spans="1:11" x14ac:dyDescent="0.25">
      <c r="A3845">
        <v>150</v>
      </c>
      <c r="B3845">
        <v>82.034980776736006</v>
      </c>
      <c r="C3845">
        <v>2001</v>
      </c>
    </row>
    <row r="3846" spans="1:11" x14ac:dyDescent="0.25">
      <c r="A3846">
        <v>150</v>
      </c>
      <c r="B3846">
        <v>82.034980776736006</v>
      </c>
      <c r="C3846">
        <v>2000</v>
      </c>
    </row>
    <row r="3847" spans="1:11" x14ac:dyDescent="0.25">
      <c r="A3847" t="s">
        <v>88</v>
      </c>
    </row>
    <row r="3848" spans="1:11" x14ac:dyDescent="0.25">
      <c r="A3848">
        <v>4</v>
      </c>
      <c r="B3848">
        <v>0</v>
      </c>
      <c r="C3848">
        <v>5.1111441066113299</v>
      </c>
      <c r="D3848">
        <v>0</v>
      </c>
      <c r="E3848">
        <v>5</v>
      </c>
      <c r="F3848">
        <v>1.5707963267949001</v>
      </c>
      <c r="G3848" t="s">
        <v>85</v>
      </c>
      <c r="H3848" t="s">
        <v>86</v>
      </c>
      <c r="I3848">
        <v>0</v>
      </c>
      <c r="J3848">
        <v>10</v>
      </c>
      <c r="K3848">
        <v>0</v>
      </c>
    </row>
    <row r="3849" spans="1:11" x14ac:dyDescent="0.25">
      <c r="A3849" t="s">
        <v>87</v>
      </c>
    </row>
    <row r="3850" spans="1:11" x14ac:dyDescent="0.25">
      <c r="A3850">
        <v>3.61412465740653</v>
      </c>
      <c r="B3850">
        <v>24.242916574814799</v>
      </c>
      <c r="C3850">
        <v>2000</v>
      </c>
    </row>
    <row r="3851" spans="1:11" x14ac:dyDescent="0.25">
      <c r="A3851">
        <v>0</v>
      </c>
      <c r="B3851">
        <v>20.6287919174083</v>
      </c>
      <c r="C3851">
        <v>2000</v>
      </c>
    </row>
    <row r="3852" spans="1:11" x14ac:dyDescent="0.25">
      <c r="A3852">
        <v>0</v>
      </c>
      <c r="B3852">
        <v>20.6287919174083</v>
      </c>
      <c r="C3852">
        <v>2001</v>
      </c>
    </row>
    <row r="3853" spans="1:11" x14ac:dyDescent="0.25">
      <c r="A3853">
        <v>3.61412465740653</v>
      </c>
      <c r="B3853">
        <v>24.242916574814799</v>
      </c>
      <c r="C3853">
        <v>2001</v>
      </c>
    </row>
    <row r="3854" spans="1:11" x14ac:dyDescent="0.25">
      <c r="A3854">
        <v>3.61412465740653</v>
      </c>
      <c r="B3854">
        <v>24.242916574814799</v>
      </c>
      <c r="C3854">
        <v>2000</v>
      </c>
    </row>
    <row r="3855" spans="1:11" x14ac:dyDescent="0.25">
      <c r="A3855" t="s">
        <v>88</v>
      </c>
    </row>
    <row r="3856" spans="1:11" x14ac:dyDescent="0.25">
      <c r="A3856">
        <v>169</v>
      </c>
      <c r="B3856">
        <v>0</v>
      </c>
      <c r="C3856">
        <v>2.2511082738502601</v>
      </c>
      <c r="D3856">
        <v>2.7043075573709499</v>
      </c>
      <c r="E3856">
        <v>8</v>
      </c>
      <c r="F3856">
        <v>1.5707963267949001</v>
      </c>
      <c r="G3856" t="s">
        <v>86</v>
      </c>
      <c r="H3856" t="s">
        <v>85</v>
      </c>
      <c r="I3856">
        <v>751</v>
      </c>
      <c r="J3856">
        <v>0</v>
      </c>
      <c r="K3856">
        <v>0</v>
      </c>
    </row>
    <row r="3857" spans="1:11" x14ac:dyDescent="0.25">
      <c r="A3857" t="s">
        <v>87</v>
      </c>
    </row>
    <row r="3858" spans="1:11" x14ac:dyDescent="0.25">
      <c r="A3858">
        <v>100.832875003495</v>
      </c>
      <c r="B3858">
        <v>148.087765787769</v>
      </c>
      <c r="C3858">
        <v>2000</v>
      </c>
    </row>
    <row r="3859" spans="1:11" x14ac:dyDescent="0.25">
      <c r="A3859">
        <v>100</v>
      </c>
      <c r="B3859">
        <v>147.25489078427401</v>
      </c>
      <c r="C3859">
        <v>2000</v>
      </c>
    </row>
    <row r="3860" spans="1:11" x14ac:dyDescent="0.25">
      <c r="A3860">
        <v>99.241101077870098</v>
      </c>
      <c r="B3860">
        <v>146.495991862144</v>
      </c>
      <c r="C3860">
        <v>2000</v>
      </c>
    </row>
    <row r="3861" spans="1:11" x14ac:dyDescent="0.25">
      <c r="A3861">
        <v>99.241101077870098</v>
      </c>
      <c r="B3861">
        <v>146.495991862144</v>
      </c>
      <c r="C3861">
        <v>2001</v>
      </c>
    </row>
    <row r="3862" spans="1:11" x14ac:dyDescent="0.25">
      <c r="A3862">
        <v>100</v>
      </c>
      <c r="B3862">
        <v>147.25489078427401</v>
      </c>
      <c r="C3862">
        <v>2001</v>
      </c>
    </row>
    <row r="3863" spans="1:11" x14ac:dyDescent="0.25">
      <c r="A3863">
        <v>100.832875003495</v>
      </c>
      <c r="B3863">
        <v>148.087765787769</v>
      </c>
      <c r="C3863">
        <v>2001</v>
      </c>
    </row>
    <row r="3864" spans="1:11" x14ac:dyDescent="0.25">
      <c r="A3864">
        <v>102.745109215726</v>
      </c>
      <c r="B3864">
        <v>150</v>
      </c>
      <c r="C3864">
        <v>2001</v>
      </c>
    </row>
    <row r="3865" spans="1:11" x14ac:dyDescent="0.25">
      <c r="A3865">
        <v>102.745109215726</v>
      </c>
      <c r="B3865">
        <v>150</v>
      </c>
      <c r="C3865">
        <v>2000</v>
      </c>
    </row>
    <row r="3866" spans="1:11" x14ac:dyDescent="0.25">
      <c r="A3866" t="s">
        <v>88</v>
      </c>
    </row>
    <row r="3867" spans="1:11" x14ac:dyDescent="0.25">
      <c r="A3867">
        <v>409</v>
      </c>
      <c r="B3867">
        <v>0</v>
      </c>
      <c r="C3867">
        <v>0</v>
      </c>
      <c r="D3867">
        <v>4.8622967651776303</v>
      </c>
      <c r="E3867">
        <v>4</v>
      </c>
      <c r="F3867">
        <v>1.5707963267949001</v>
      </c>
      <c r="G3867" t="s">
        <v>86</v>
      </c>
      <c r="H3867" t="s">
        <v>85</v>
      </c>
      <c r="I3867">
        <v>435</v>
      </c>
      <c r="J3867">
        <v>0</v>
      </c>
      <c r="K3867">
        <v>0</v>
      </c>
    </row>
    <row r="3868" spans="1:11" x14ac:dyDescent="0.25">
      <c r="A3868" t="s">
        <v>87</v>
      </c>
    </row>
    <row r="3869" spans="1:11" x14ac:dyDescent="0.25">
      <c r="A3869">
        <v>146.56183698520101</v>
      </c>
      <c r="B3869">
        <v>62.148667807759999</v>
      </c>
      <c r="C3869">
        <v>2000</v>
      </c>
    </row>
    <row r="3870" spans="1:11" x14ac:dyDescent="0.25">
      <c r="A3870">
        <v>146.56183698520101</v>
      </c>
      <c r="B3870">
        <v>62.148667807759999</v>
      </c>
      <c r="C3870">
        <v>2001</v>
      </c>
    </row>
    <row r="3871" spans="1:11" x14ac:dyDescent="0.25">
      <c r="A3871">
        <v>150</v>
      </c>
      <c r="B3871">
        <v>65.586830822558497</v>
      </c>
      <c r="C3871">
        <v>2001</v>
      </c>
    </row>
    <row r="3872" spans="1:11" x14ac:dyDescent="0.25">
      <c r="A3872">
        <v>150</v>
      </c>
      <c r="B3872">
        <v>65.586830822558497</v>
      </c>
      <c r="C3872">
        <v>2000</v>
      </c>
    </row>
    <row r="3873" spans="1:11" x14ac:dyDescent="0.25">
      <c r="A3873" t="s">
        <v>88</v>
      </c>
    </row>
    <row r="3874" spans="1:11" x14ac:dyDescent="0.25">
      <c r="A3874">
        <v>576</v>
      </c>
      <c r="B3874">
        <v>0</v>
      </c>
      <c r="C3874">
        <v>0</v>
      </c>
      <c r="D3874">
        <v>4.7253456845975998</v>
      </c>
      <c r="E3874">
        <v>4</v>
      </c>
      <c r="F3874">
        <v>1.5707963267949001</v>
      </c>
      <c r="G3874" t="s">
        <v>86</v>
      </c>
      <c r="H3874" t="s">
        <v>85</v>
      </c>
      <c r="I3874">
        <v>598</v>
      </c>
      <c r="J3874">
        <v>0</v>
      </c>
      <c r="K3874">
        <v>0</v>
      </c>
    </row>
    <row r="3875" spans="1:11" x14ac:dyDescent="0.25">
      <c r="A3875" t="s">
        <v>87</v>
      </c>
    </row>
    <row r="3876" spans="1:11" x14ac:dyDescent="0.25">
      <c r="A3876">
        <v>30.8047197902597</v>
      </c>
      <c r="B3876">
        <v>146.65867602297001</v>
      </c>
      <c r="C3876">
        <v>2000</v>
      </c>
    </row>
    <row r="3877" spans="1:11" x14ac:dyDescent="0.25">
      <c r="A3877">
        <v>30.8047197902597</v>
      </c>
      <c r="B3877">
        <v>146.65867602297001</v>
      </c>
      <c r="C3877">
        <v>2001</v>
      </c>
    </row>
    <row r="3878" spans="1:11" x14ac:dyDescent="0.25">
      <c r="A3878">
        <v>34.146043767289299</v>
      </c>
      <c r="B3878">
        <v>150</v>
      </c>
      <c r="C3878">
        <v>2001</v>
      </c>
    </row>
    <row r="3879" spans="1:11" x14ac:dyDescent="0.25">
      <c r="A3879">
        <v>34.146043767289299</v>
      </c>
      <c r="B3879">
        <v>150</v>
      </c>
      <c r="C3879">
        <v>2000</v>
      </c>
    </row>
    <row r="3880" spans="1:11" x14ac:dyDescent="0.25">
      <c r="A3880" t="s">
        <v>88</v>
      </c>
    </row>
    <row r="3881" spans="1:11" x14ac:dyDescent="0.25">
      <c r="A3881">
        <v>338</v>
      </c>
      <c r="B3881">
        <v>0</v>
      </c>
      <c r="C3881">
        <v>1.01920277162309</v>
      </c>
      <c r="D3881">
        <v>3.6305835330686902</v>
      </c>
      <c r="E3881">
        <v>6</v>
      </c>
      <c r="F3881">
        <v>1.5707963267949001</v>
      </c>
      <c r="G3881" t="s">
        <v>86</v>
      </c>
      <c r="H3881" t="s">
        <v>85</v>
      </c>
      <c r="I3881">
        <v>330</v>
      </c>
      <c r="J3881">
        <v>0</v>
      </c>
      <c r="K3881">
        <v>0</v>
      </c>
    </row>
    <row r="3882" spans="1:11" x14ac:dyDescent="0.25">
      <c r="A3882" t="s">
        <v>87</v>
      </c>
    </row>
    <row r="3883" spans="1:11" x14ac:dyDescent="0.25">
      <c r="A3883">
        <v>147.43278976410301</v>
      </c>
      <c r="B3883">
        <v>1.8706817887121201</v>
      </c>
      <c r="C3883">
        <v>2000</v>
      </c>
    </row>
    <row r="3884" spans="1:11" x14ac:dyDescent="0.25">
      <c r="A3884">
        <v>146.71210457288399</v>
      </c>
      <c r="B3884">
        <v>1.14999659749331</v>
      </c>
      <c r="C3884">
        <v>2000</v>
      </c>
    </row>
    <row r="3885" spans="1:11" x14ac:dyDescent="0.25">
      <c r="A3885">
        <v>146.71210457288399</v>
      </c>
      <c r="B3885">
        <v>1.14999659749331</v>
      </c>
      <c r="C3885">
        <v>2001</v>
      </c>
    </row>
    <row r="3886" spans="1:11" x14ac:dyDescent="0.25">
      <c r="A3886">
        <v>147.43278976410301</v>
      </c>
      <c r="B3886">
        <v>1.8706817887121201</v>
      </c>
      <c r="C3886">
        <v>2001</v>
      </c>
    </row>
    <row r="3887" spans="1:11" x14ac:dyDescent="0.25">
      <c r="A3887">
        <v>150</v>
      </c>
      <c r="B3887">
        <v>4.4378920246091997</v>
      </c>
      <c r="C3887">
        <v>2001</v>
      </c>
    </row>
    <row r="3888" spans="1:11" x14ac:dyDescent="0.25">
      <c r="A3888">
        <v>150</v>
      </c>
      <c r="B3888">
        <v>4.4378920246091997</v>
      </c>
      <c r="C3888">
        <v>2000</v>
      </c>
    </row>
    <row r="3889" spans="1:11" x14ac:dyDescent="0.25">
      <c r="A3889" t="s">
        <v>88</v>
      </c>
    </row>
    <row r="3890" spans="1:11" x14ac:dyDescent="0.25">
      <c r="A3890">
        <v>20</v>
      </c>
      <c r="B3890">
        <v>0</v>
      </c>
      <c r="C3890">
        <v>4.3154352481029603</v>
      </c>
      <c r="D3890">
        <v>0</v>
      </c>
      <c r="E3890">
        <v>5</v>
      </c>
      <c r="F3890">
        <v>1.5707963267949001</v>
      </c>
      <c r="G3890" t="s">
        <v>85</v>
      </c>
      <c r="H3890" t="s">
        <v>86</v>
      </c>
      <c r="I3890">
        <v>0</v>
      </c>
      <c r="J3890">
        <v>677</v>
      </c>
      <c r="K3890">
        <v>0</v>
      </c>
    </row>
    <row r="3891" spans="1:11" x14ac:dyDescent="0.25">
      <c r="A3891" t="s">
        <v>87</v>
      </c>
    </row>
    <row r="3892" spans="1:11" x14ac:dyDescent="0.25">
      <c r="A3892">
        <v>3.05147352770505</v>
      </c>
      <c r="B3892">
        <v>40.797508573530898</v>
      </c>
      <c r="C3892">
        <v>2000</v>
      </c>
    </row>
    <row r="3893" spans="1:11" x14ac:dyDescent="0.25">
      <c r="A3893">
        <v>0</v>
      </c>
      <c r="B3893">
        <v>37.746035045825899</v>
      </c>
      <c r="C3893">
        <v>2000</v>
      </c>
    </row>
    <row r="3894" spans="1:11" x14ac:dyDescent="0.25">
      <c r="A3894">
        <v>0</v>
      </c>
      <c r="B3894">
        <v>37.746035045825899</v>
      </c>
      <c r="C3894">
        <v>2001</v>
      </c>
    </row>
    <row r="3895" spans="1:11" x14ac:dyDescent="0.25">
      <c r="A3895">
        <v>3.05147352770505</v>
      </c>
      <c r="B3895">
        <v>40.797508573530898</v>
      </c>
      <c r="C3895">
        <v>2001</v>
      </c>
    </row>
    <row r="3896" spans="1:11" x14ac:dyDescent="0.25">
      <c r="A3896">
        <v>3.05147352770505</v>
      </c>
      <c r="B3896">
        <v>40.797508573530898</v>
      </c>
      <c r="C3896">
        <v>2000</v>
      </c>
    </row>
    <row r="3897" spans="1:11" x14ac:dyDescent="0.25">
      <c r="A3897" t="s">
        <v>88</v>
      </c>
    </row>
    <row r="3898" spans="1:11" x14ac:dyDescent="0.25">
      <c r="A3898">
        <v>9</v>
      </c>
      <c r="B3898">
        <v>0</v>
      </c>
      <c r="C3898">
        <v>3.79805283511222</v>
      </c>
      <c r="D3898">
        <v>0</v>
      </c>
      <c r="E3898">
        <v>5</v>
      </c>
      <c r="F3898">
        <v>1.5707963267949001</v>
      </c>
      <c r="G3898" t="s">
        <v>86</v>
      </c>
      <c r="H3898" t="s">
        <v>86</v>
      </c>
      <c r="I3898">
        <v>5</v>
      </c>
      <c r="J3898">
        <v>725</v>
      </c>
      <c r="K3898">
        <v>0</v>
      </c>
    </row>
    <row r="3899" spans="1:11" x14ac:dyDescent="0.25">
      <c r="A3899" t="s">
        <v>87</v>
      </c>
    </row>
    <row r="3900" spans="1:11" x14ac:dyDescent="0.25">
      <c r="A3900">
        <v>13.2653313052213</v>
      </c>
      <c r="B3900">
        <v>46.009089050818702</v>
      </c>
      <c r="C3900">
        <v>2000</v>
      </c>
    </row>
    <row r="3901" spans="1:11" x14ac:dyDescent="0.25">
      <c r="A3901">
        <v>10.5797023902087</v>
      </c>
      <c r="B3901">
        <v>43.323460135806101</v>
      </c>
      <c r="C3901">
        <v>2000</v>
      </c>
    </row>
    <row r="3902" spans="1:11" x14ac:dyDescent="0.25">
      <c r="A3902">
        <v>10.5797023902087</v>
      </c>
      <c r="B3902">
        <v>43.323460135806101</v>
      </c>
      <c r="C3902">
        <v>2001</v>
      </c>
    </row>
    <row r="3903" spans="1:11" x14ac:dyDescent="0.25">
      <c r="A3903">
        <v>13.2653313052213</v>
      </c>
      <c r="B3903">
        <v>46.009089050818702</v>
      </c>
      <c r="C3903">
        <v>2001</v>
      </c>
    </row>
    <row r="3904" spans="1:11" x14ac:dyDescent="0.25">
      <c r="A3904">
        <v>13.2653313052213</v>
      </c>
      <c r="B3904">
        <v>46.009089050818702</v>
      </c>
      <c r="C3904">
        <v>2000</v>
      </c>
    </row>
    <row r="3905" spans="1:11" x14ac:dyDescent="0.25">
      <c r="A3905" t="s">
        <v>88</v>
      </c>
    </row>
    <row r="3906" spans="1:11" x14ac:dyDescent="0.25">
      <c r="A3906">
        <v>416</v>
      </c>
      <c r="B3906">
        <v>0</v>
      </c>
      <c r="C3906">
        <v>2.9596101411751499</v>
      </c>
      <c r="D3906">
        <v>0.824671486124814</v>
      </c>
      <c r="E3906">
        <v>6</v>
      </c>
      <c r="F3906">
        <v>1.5707963267949001</v>
      </c>
      <c r="G3906" t="s">
        <v>86</v>
      </c>
      <c r="H3906" t="s">
        <v>86</v>
      </c>
      <c r="I3906">
        <v>331</v>
      </c>
      <c r="J3906">
        <v>405</v>
      </c>
      <c r="K3906">
        <v>0</v>
      </c>
    </row>
    <row r="3907" spans="1:11" x14ac:dyDescent="0.25">
      <c r="A3907" t="s">
        <v>87</v>
      </c>
    </row>
    <row r="3908" spans="1:11" x14ac:dyDescent="0.25">
      <c r="A3908">
        <v>116.459923547907</v>
      </c>
      <c r="B3908">
        <v>54.1683264561781</v>
      </c>
      <c r="C3908">
        <v>2000</v>
      </c>
    </row>
    <row r="3909" spans="1:11" x14ac:dyDescent="0.25">
      <c r="A3909">
        <v>114.367163147413</v>
      </c>
      <c r="B3909">
        <v>52.075566055684703</v>
      </c>
      <c r="C3909">
        <v>2000</v>
      </c>
    </row>
    <row r="3910" spans="1:11" x14ac:dyDescent="0.25">
      <c r="A3910">
        <v>114.367163147413</v>
      </c>
      <c r="B3910">
        <v>52.075566055684703</v>
      </c>
      <c r="C3910">
        <v>2001</v>
      </c>
    </row>
    <row r="3911" spans="1:11" x14ac:dyDescent="0.25">
      <c r="A3911">
        <v>116.459923547907</v>
      </c>
      <c r="B3911">
        <v>54.1683264561781</v>
      </c>
      <c r="C3911">
        <v>2001</v>
      </c>
    </row>
    <row r="3912" spans="1:11" x14ac:dyDescent="0.25">
      <c r="A3912">
        <v>117.043054347997</v>
      </c>
      <c r="B3912">
        <v>54.751457256268203</v>
      </c>
      <c r="C3912">
        <v>2001</v>
      </c>
    </row>
    <row r="3913" spans="1:11" x14ac:dyDescent="0.25">
      <c r="A3913">
        <v>117.043054347997</v>
      </c>
      <c r="B3913">
        <v>54.751457256268203</v>
      </c>
      <c r="C3913">
        <v>2000</v>
      </c>
    </row>
    <row r="3914" spans="1:11" x14ac:dyDescent="0.25">
      <c r="A3914" t="s">
        <v>88</v>
      </c>
    </row>
    <row r="3915" spans="1:11" x14ac:dyDescent="0.25">
      <c r="A3915">
        <v>722</v>
      </c>
      <c r="B3915">
        <v>0</v>
      </c>
      <c r="C3915">
        <v>3.4027713873915202</v>
      </c>
      <c r="D3915">
        <v>5.0699366059667697E-2</v>
      </c>
      <c r="E3915">
        <v>6</v>
      </c>
      <c r="F3915">
        <v>1.01722196789785</v>
      </c>
      <c r="G3915" t="s">
        <v>85</v>
      </c>
      <c r="H3915" t="s">
        <v>86</v>
      </c>
      <c r="I3915">
        <v>0</v>
      </c>
      <c r="J3915">
        <v>90</v>
      </c>
      <c r="K3915">
        <v>0.13160878275062499</v>
      </c>
    </row>
    <row r="3916" spans="1:11" x14ac:dyDescent="0.25">
      <c r="A3916" t="s">
        <v>87</v>
      </c>
    </row>
    <row r="3917" spans="1:11" x14ac:dyDescent="0.25">
      <c r="A3917">
        <v>66.224841972281396</v>
      </c>
      <c r="B3917">
        <v>2.6214228846299199</v>
      </c>
      <c r="C3917">
        <v>2000</v>
      </c>
    </row>
    <row r="3918" spans="1:11" x14ac:dyDescent="0.25">
      <c r="A3918">
        <v>63.603419087651503</v>
      </c>
      <c r="B3918">
        <v>0</v>
      </c>
      <c r="C3918">
        <v>2000</v>
      </c>
    </row>
    <row r="3919" spans="1:11" x14ac:dyDescent="0.25">
      <c r="A3919">
        <v>64.477451136549107</v>
      </c>
      <c r="B3919">
        <v>0</v>
      </c>
      <c r="C3919">
        <v>2001</v>
      </c>
    </row>
    <row r="3920" spans="1:11" x14ac:dyDescent="0.25">
      <c r="A3920">
        <v>66.668273697623405</v>
      </c>
      <c r="B3920">
        <v>2.19082256107427</v>
      </c>
      <c r="C3920">
        <v>2001</v>
      </c>
    </row>
    <row r="3921" spans="1:11" x14ac:dyDescent="0.25">
      <c r="A3921">
        <v>66.700915712719507</v>
      </c>
      <c r="B3921">
        <v>2.2234645761703402</v>
      </c>
      <c r="C3921">
        <v>2001</v>
      </c>
    </row>
    <row r="3922" spans="1:11" x14ac:dyDescent="0.25">
      <c r="A3922">
        <v>66.263899688270698</v>
      </c>
      <c r="B3922">
        <v>2.6604806006191599</v>
      </c>
      <c r="C3922">
        <v>2000</v>
      </c>
    </row>
    <row r="3923" spans="1:11" x14ac:dyDescent="0.25">
      <c r="A3923" t="s">
        <v>88</v>
      </c>
    </row>
    <row r="3924" spans="1:11" x14ac:dyDescent="0.25">
      <c r="A3924">
        <v>13</v>
      </c>
      <c r="B3924">
        <v>0</v>
      </c>
      <c r="C3924">
        <v>3.2481434121458901</v>
      </c>
      <c r="D3924">
        <v>0</v>
      </c>
      <c r="E3924">
        <v>5</v>
      </c>
      <c r="F3924">
        <v>1.5707963267949001</v>
      </c>
      <c r="G3924" t="s">
        <v>86</v>
      </c>
      <c r="H3924" t="s">
        <v>86</v>
      </c>
      <c r="I3924">
        <v>8</v>
      </c>
      <c r="J3924">
        <v>516</v>
      </c>
      <c r="K3924">
        <v>0</v>
      </c>
    </row>
    <row r="3925" spans="1:11" x14ac:dyDescent="0.25">
      <c r="A3925" t="s">
        <v>87</v>
      </c>
    </row>
    <row r="3926" spans="1:11" x14ac:dyDescent="0.25">
      <c r="A3926">
        <v>36.9874429828429</v>
      </c>
      <c r="B3926">
        <v>29.056097813442399</v>
      </c>
      <c r="C3926">
        <v>2000</v>
      </c>
    </row>
    <row r="3927" spans="1:11" x14ac:dyDescent="0.25">
      <c r="A3927">
        <v>34.690658749848097</v>
      </c>
      <c r="B3927">
        <v>26.7593135804476</v>
      </c>
      <c r="C3927">
        <v>2000</v>
      </c>
    </row>
    <row r="3928" spans="1:11" x14ac:dyDescent="0.25">
      <c r="A3928">
        <v>34.690658749848097</v>
      </c>
      <c r="B3928">
        <v>26.7593135804476</v>
      </c>
      <c r="C3928">
        <v>2001</v>
      </c>
    </row>
    <row r="3929" spans="1:11" x14ac:dyDescent="0.25">
      <c r="A3929">
        <v>36.9874429828429</v>
      </c>
      <c r="B3929">
        <v>29.056097813442399</v>
      </c>
      <c r="C3929">
        <v>2001</v>
      </c>
    </row>
    <row r="3930" spans="1:11" x14ac:dyDescent="0.25">
      <c r="A3930">
        <v>36.9874429828429</v>
      </c>
      <c r="B3930">
        <v>29.056097813442399</v>
      </c>
      <c r="C3930">
        <v>2000</v>
      </c>
    </row>
    <row r="3931" spans="1:11" x14ac:dyDescent="0.25">
      <c r="A3931" t="s">
        <v>88</v>
      </c>
    </row>
    <row r="3932" spans="1:11" x14ac:dyDescent="0.25">
      <c r="A3932">
        <v>408</v>
      </c>
      <c r="B3932">
        <v>0</v>
      </c>
      <c r="C3932">
        <v>0</v>
      </c>
      <c r="D3932">
        <v>3.2202118409301801</v>
      </c>
      <c r="E3932">
        <v>4</v>
      </c>
      <c r="F3932">
        <v>1.5707963267949001</v>
      </c>
      <c r="G3932" t="s">
        <v>86</v>
      </c>
      <c r="H3932" t="s">
        <v>86</v>
      </c>
      <c r="I3932">
        <v>481</v>
      </c>
      <c r="J3932">
        <v>411</v>
      </c>
      <c r="K3932">
        <v>0</v>
      </c>
    </row>
    <row r="3933" spans="1:11" x14ac:dyDescent="0.25">
      <c r="A3933" t="s">
        <v>87</v>
      </c>
    </row>
    <row r="3934" spans="1:11" x14ac:dyDescent="0.25">
      <c r="A3934">
        <v>106.70949591170501</v>
      </c>
      <c r="B3934">
        <v>96.501080806600399</v>
      </c>
      <c r="C3934">
        <v>2000</v>
      </c>
    </row>
    <row r="3935" spans="1:11" x14ac:dyDescent="0.25">
      <c r="A3935">
        <v>106.70949591170501</v>
      </c>
      <c r="B3935">
        <v>96.501080806600399</v>
      </c>
      <c r="C3935">
        <v>2001</v>
      </c>
    </row>
    <row r="3936" spans="1:11" x14ac:dyDescent="0.25">
      <c r="A3936">
        <v>108.986529541284</v>
      </c>
      <c r="B3936">
        <v>98.778114436179393</v>
      </c>
      <c r="C3936">
        <v>2001</v>
      </c>
    </row>
    <row r="3937" spans="1:11" x14ac:dyDescent="0.25">
      <c r="A3937">
        <v>108.986529541284</v>
      </c>
      <c r="B3937">
        <v>98.778114436179393</v>
      </c>
      <c r="C3937">
        <v>2000</v>
      </c>
    </row>
    <row r="3938" spans="1:11" x14ac:dyDescent="0.25">
      <c r="A3938" t="s">
        <v>88</v>
      </c>
    </row>
    <row r="3939" spans="1:11" x14ac:dyDescent="0.25">
      <c r="A3939">
        <v>325</v>
      </c>
      <c r="B3939">
        <v>0</v>
      </c>
      <c r="C3939">
        <v>3.2202118409301499</v>
      </c>
      <c r="D3939">
        <v>0</v>
      </c>
      <c r="E3939">
        <v>5</v>
      </c>
      <c r="F3939">
        <v>1.5707963267949001</v>
      </c>
      <c r="G3939" t="s">
        <v>86</v>
      </c>
      <c r="H3939" t="s">
        <v>86</v>
      </c>
      <c r="I3939">
        <v>94</v>
      </c>
      <c r="J3939">
        <v>431</v>
      </c>
      <c r="K3939">
        <v>0</v>
      </c>
    </row>
    <row r="3940" spans="1:11" x14ac:dyDescent="0.25">
      <c r="A3940" t="s">
        <v>87</v>
      </c>
    </row>
    <row r="3941" spans="1:11" x14ac:dyDescent="0.25">
      <c r="A3941">
        <v>102.967063734758</v>
      </c>
      <c r="B3941">
        <v>45.532266490874903</v>
      </c>
      <c r="C3941">
        <v>2000</v>
      </c>
    </row>
    <row r="3942" spans="1:11" x14ac:dyDescent="0.25">
      <c r="A3942">
        <v>100.69003010517901</v>
      </c>
      <c r="B3942">
        <v>43.255232861296001</v>
      </c>
      <c r="C3942">
        <v>2000</v>
      </c>
    </row>
    <row r="3943" spans="1:11" x14ac:dyDescent="0.25">
      <c r="A3943">
        <v>100.69003010517901</v>
      </c>
      <c r="B3943">
        <v>43.255232861296001</v>
      </c>
      <c r="C3943">
        <v>2001</v>
      </c>
    </row>
    <row r="3944" spans="1:11" x14ac:dyDescent="0.25">
      <c r="A3944">
        <v>102.967063734758</v>
      </c>
      <c r="B3944">
        <v>45.532266490874903</v>
      </c>
      <c r="C3944">
        <v>2001</v>
      </c>
    </row>
    <row r="3945" spans="1:11" x14ac:dyDescent="0.25">
      <c r="A3945">
        <v>102.967063734758</v>
      </c>
      <c r="B3945">
        <v>45.532266490874903</v>
      </c>
      <c r="C3945">
        <v>2000</v>
      </c>
    </row>
    <row r="3946" spans="1:11" x14ac:dyDescent="0.25">
      <c r="A3946" t="s">
        <v>88</v>
      </c>
    </row>
    <row r="3947" spans="1:11" x14ac:dyDescent="0.25">
      <c r="A3947">
        <v>330</v>
      </c>
      <c r="B3947">
        <v>0</v>
      </c>
      <c r="C3947">
        <v>1.82836311769771</v>
      </c>
      <c r="D3947">
        <v>1.17333555794032</v>
      </c>
      <c r="E3947">
        <v>6</v>
      </c>
      <c r="F3947">
        <v>1.5707963267949001</v>
      </c>
      <c r="G3947" t="s">
        <v>85</v>
      </c>
      <c r="H3947" t="s">
        <v>86</v>
      </c>
      <c r="I3947">
        <v>0</v>
      </c>
      <c r="J3947">
        <v>338</v>
      </c>
      <c r="K3947">
        <v>0</v>
      </c>
    </row>
    <row r="3948" spans="1:11" x14ac:dyDescent="0.25">
      <c r="A3948" t="s">
        <v>87</v>
      </c>
    </row>
    <row r="3949" spans="1:11" x14ac:dyDescent="0.25">
      <c r="A3949">
        <v>144.909906152128</v>
      </c>
      <c r="B3949">
        <v>1.29284795899542</v>
      </c>
      <c r="C3949">
        <v>2000</v>
      </c>
    </row>
    <row r="3950" spans="1:11" x14ac:dyDescent="0.25">
      <c r="A3950">
        <v>143.617058193133</v>
      </c>
      <c r="B3950">
        <v>0</v>
      </c>
      <c r="C3950">
        <v>2000</v>
      </c>
    </row>
    <row r="3951" spans="1:11" x14ac:dyDescent="0.25">
      <c r="A3951">
        <v>143.617058193133</v>
      </c>
      <c r="B3951">
        <v>0</v>
      </c>
      <c r="C3951">
        <v>2001</v>
      </c>
    </row>
    <row r="3952" spans="1:11" x14ac:dyDescent="0.25">
      <c r="A3952">
        <v>144.909906152128</v>
      </c>
      <c r="B3952">
        <v>1.29284795899542</v>
      </c>
      <c r="C3952">
        <v>2001</v>
      </c>
    </row>
    <row r="3953" spans="1:11" x14ac:dyDescent="0.25">
      <c r="A3953">
        <v>145.739579681755</v>
      </c>
      <c r="B3953">
        <v>2.12252148862233</v>
      </c>
      <c r="C3953">
        <v>2001</v>
      </c>
    </row>
    <row r="3954" spans="1:11" x14ac:dyDescent="0.25">
      <c r="A3954">
        <v>145.739579681755</v>
      </c>
      <c r="B3954">
        <v>2.12252148862233</v>
      </c>
      <c r="C3954">
        <v>2000</v>
      </c>
    </row>
    <row r="3955" spans="1:11" x14ac:dyDescent="0.25">
      <c r="A3955" t="s">
        <v>88</v>
      </c>
    </row>
    <row r="3956" spans="1:11" x14ac:dyDescent="0.25">
      <c r="A3956">
        <v>752</v>
      </c>
      <c r="B3956">
        <v>0</v>
      </c>
      <c r="C3956">
        <v>2.4946556655449101</v>
      </c>
      <c r="D3956">
        <v>0.36279469179171298</v>
      </c>
      <c r="E3956">
        <v>6</v>
      </c>
      <c r="F3956">
        <v>1.5707963267949001</v>
      </c>
      <c r="G3956" t="s">
        <v>85</v>
      </c>
      <c r="H3956" t="s">
        <v>86</v>
      </c>
      <c r="I3956">
        <v>0</v>
      </c>
      <c r="J3956">
        <v>7</v>
      </c>
      <c r="K3956">
        <v>0.38600796710222601</v>
      </c>
    </row>
    <row r="3957" spans="1:11" x14ac:dyDescent="0.25">
      <c r="A3957" t="s">
        <v>87</v>
      </c>
    </row>
    <row r="3958" spans="1:11" x14ac:dyDescent="0.25">
      <c r="A3958">
        <v>1.7639879378322401</v>
      </c>
      <c r="B3958">
        <v>42.042575027813498</v>
      </c>
      <c r="C3958">
        <v>2000</v>
      </c>
    </row>
    <row r="3959" spans="1:11" x14ac:dyDescent="0.25">
      <c r="A3959">
        <v>0</v>
      </c>
      <c r="B3959">
        <v>40.278587089981201</v>
      </c>
      <c r="C3959">
        <v>2000</v>
      </c>
    </row>
    <row r="3960" spans="1:11" x14ac:dyDescent="0.25">
      <c r="A3960">
        <v>0</v>
      </c>
      <c r="B3960">
        <v>40.278587089981201</v>
      </c>
      <c r="C3960">
        <v>2001</v>
      </c>
    </row>
    <row r="3961" spans="1:11" x14ac:dyDescent="0.25">
      <c r="A3961">
        <v>1.7639879378322401</v>
      </c>
      <c r="B3961">
        <v>42.042575027813498</v>
      </c>
      <c r="C3961">
        <v>2001</v>
      </c>
    </row>
    <row r="3962" spans="1:11" x14ac:dyDescent="0.25">
      <c r="A3962">
        <v>2.0205225245766498</v>
      </c>
      <c r="B3962">
        <v>42.299109614557899</v>
      </c>
      <c r="C3962">
        <v>2001</v>
      </c>
    </row>
    <row r="3963" spans="1:11" x14ac:dyDescent="0.25">
      <c r="A3963">
        <v>2.0205225245766498</v>
      </c>
      <c r="B3963">
        <v>42.299109614557899</v>
      </c>
      <c r="C3963">
        <v>2000</v>
      </c>
    </row>
    <row r="3964" spans="1:11" x14ac:dyDescent="0.25">
      <c r="A3964" t="s">
        <v>88</v>
      </c>
    </row>
    <row r="3965" spans="1:11" x14ac:dyDescent="0.25">
      <c r="A3965">
        <v>18</v>
      </c>
      <c r="B3965">
        <v>0</v>
      </c>
      <c r="C3965">
        <v>0.57938344127149599</v>
      </c>
      <c r="D3965">
        <v>2.1711351720628298</v>
      </c>
      <c r="E3965">
        <v>8</v>
      </c>
      <c r="F3965">
        <v>1.5707963267949001</v>
      </c>
      <c r="G3965" t="s">
        <v>85</v>
      </c>
      <c r="H3965" t="s">
        <v>86</v>
      </c>
      <c r="I3965">
        <v>0</v>
      </c>
      <c r="J3965">
        <v>676</v>
      </c>
      <c r="K3965">
        <v>0</v>
      </c>
    </row>
    <row r="3966" spans="1:11" x14ac:dyDescent="0.25">
      <c r="A3966" t="s">
        <v>87</v>
      </c>
    </row>
    <row r="3967" spans="1:11" x14ac:dyDescent="0.25">
      <c r="A3967">
        <v>0.40968596023027198</v>
      </c>
      <c r="B3967">
        <v>49.2270713202781</v>
      </c>
      <c r="C3967">
        <v>2000</v>
      </c>
    </row>
    <row r="3968" spans="1:11" x14ac:dyDescent="0.25">
      <c r="A3968">
        <v>0</v>
      </c>
      <c r="B3968">
        <v>48.817385360047901</v>
      </c>
      <c r="C3968">
        <v>2000</v>
      </c>
    </row>
    <row r="3969" spans="1:11" x14ac:dyDescent="0.25">
      <c r="A3969">
        <v>0</v>
      </c>
      <c r="B3969">
        <v>48.817385360047901</v>
      </c>
      <c r="C3969">
        <v>2001</v>
      </c>
    </row>
    <row r="3970" spans="1:11" x14ac:dyDescent="0.25">
      <c r="A3970">
        <v>0.40968596023027198</v>
      </c>
      <c r="B3970">
        <v>49.2270713202781</v>
      </c>
      <c r="C3970">
        <v>2001</v>
      </c>
    </row>
    <row r="3971" spans="1:11" x14ac:dyDescent="0.25">
      <c r="A3971">
        <v>1.18261463995213</v>
      </c>
      <c r="B3971">
        <v>50</v>
      </c>
      <c r="C3971">
        <v>2001</v>
      </c>
    </row>
    <row r="3972" spans="1:11" x14ac:dyDescent="0.25">
      <c r="A3972">
        <v>1.9449103632685201</v>
      </c>
      <c r="B3972">
        <v>50.762295723316399</v>
      </c>
      <c r="C3972">
        <v>2001</v>
      </c>
    </row>
    <row r="3973" spans="1:11" x14ac:dyDescent="0.25">
      <c r="A3973">
        <v>1.9449103632685201</v>
      </c>
      <c r="B3973">
        <v>50.762295723316399</v>
      </c>
      <c r="C3973">
        <v>2000</v>
      </c>
    </row>
    <row r="3974" spans="1:11" x14ac:dyDescent="0.25">
      <c r="A3974">
        <v>1.18261463995213</v>
      </c>
      <c r="B3974">
        <v>50</v>
      </c>
      <c r="C3974">
        <v>2000</v>
      </c>
    </row>
    <row r="3975" spans="1:11" x14ac:dyDescent="0.25">
      <c r="A3975" t="s">
        <v>88</v>
      </c>
    </row>
    <row r="3976" spans="1:11" x14ac:dyDescent="0.25">
      <c r="A3976">
        <v>671</v>
      </c>
      <c r="B3976">
        <v>0</v>
      </c>
      <c r="C3976">
        <v>2.12341149529983</v>
      </c>
      <c r="D3976">
        <v>0.40715248502118601</v>
      </c>
      <c r="E3976">
        <v>6</v>
      </c>
      <c r="F3976">
        <v>1.01722196789785</v>
      </c>
      <c r="G3976" t="s">
        <v>86</v>
      </c>
      <c r="H3976" t="s">
        <v>86</v>
      </c>
      <c r="I3976">
        <v>646</v>
      </c>
      <c r="J3976">
        <v>654</v>
      </c>
      <c r="K3976">
        <v>0</v>
      </c>
    </row>
    <row r="3977" spans="1:11" x14ac:dyDescent="0.25">
      <c r="A3977" t="s">
        <v>87</v>
      </c>
    </row>
    <row r="3978" spans="1:11" x14ac:dyDescent="0.25">
      <c r="A3978">
        <v>32.865030760818399</v>
      </c>
      <c r="B3978">
        <v>91.475662926428996</v>
      </c>
      <c r="C3978">
        <v>2000</v>
      </c>
    </row>
    <row r="3979" spans="1:11" x14ac:dyDescent="0.25">
      <c r="A3979">
        <v>31.3635520932425</v>
      </c>
      <c r="B3979">
        <v>89.974184258853001</v>
      </c>
      <c r="C3979">
        <v>2000</v>
      </c>
    </row>
    <row r="3980" spans="1:11" x14ac:dyDescent="0.25">
      <c r="A3980">
        <v>31.800568117691299</v>
      </c>
      <c r="B3980">
        <v>89.537168234404206</v>
      </c>
      <c r="C3980">
        <v>2001</v>
      </c>
    </row>
    <row r="3981" spans="1:11" x14ac:dyDescent="0.25">
      <c r="A3981">
        <v>33.302046785267301</v>
      </c>
      <c r="B3981">
        <v>91.038646901980101</v>
      </c>
      <c r="C3981">
        <v>2001</v>
      </c>
    </row>
    <row r="3982" spans="1:11" x14ac:dyDescent="0.25">
      <c r="A3982">
        <v>33.589947068402701</v>
      </c>
      <c r="B3982">
        <v>91.326547185115601</v>
      </c>
      <c r="C3982">
        <v>2001</v>
      </c>
    </row>
    <row r="3983" spans="1:11" x14ac:dyDescent="0.25">
      <c r="A3983">
        <v>33.152931043953899</v>
      </c>
      <c r="B3983">
        <v>91.763563209564396</v>
      </c>
      <c r="C3983">
        <v>2000</v>
      </c>
    </row>
    <row r="3984" spans="1:11" x14ac:dyDescent="0.25">
      <c r="A3984" t="s">
        <v>88</v>
      </c>
    </row>
    <row r="3985" spans="1:11" x14ac:dyDescent="0.25">
      <c r="A3985">
        <v>241</v>
      </c>
      <c r="B3985">
        <v>0</v>
      </c>
      <c r="C3985">
        <v>1.7451582496158</v>
      </c>
      <c r="D3985">
        <v>0</v>
      </c>
      <c r="E3985">
        <v>5</v>
      </c>
      <c r="F3985">
        <v>1.5707963267949001</v>
      </c>
      <c r="G3985" t="s">
        <v>86</v>
      </c>
      <c r="H3985" t="s">
        <v>86</v>
      </c>
      <c r="I3985">
        <v>642</v>
      </c>
      <c r="J3985">
        <v>274</v>
      </c>
      <c r="K3985">
        <v>0</v>
      </c>
    </row>
    <row r="3986" spans="1:11" x14ac:dyDescent="0.25">
      <c r="A3986" t="s">
        <v>87</v>
      </c>
    </row>
    <row r="3987" spans="1:11" x14ac:dyDescent="0.25">
      <c r="A3987">
        <v>79.769595190775405</v>
      </c>
      <c r="B3987">
        <v>134.75957763602901</v>
      </c>
      <c r="C3987">
        <v>2000</v>
      </c>
    </row>
    <row r="3988" spans="1:11" x14ac:dyDescent="0.25">
      <c r="A3988">
        <v>78.535581958228406</v>
      </c>
      <c r="B3988">
        <v>133.52556440348201</v>
      </c>
      <c r="C3988">
        <v>2000</v>
      </c>
    </row>
    <row r="3989" spans="1:11" x14ac:dyDescent="0.25">
      <c r="A3989">
        <v>78.535581958228406</v>
      </c>
      <c r="B3989">
        <v>133.52556440348201</v>
      </c>
      <c r="C3989">
        <v>2001</v>
      </c>
    </row>
    <row r="3990" spans="1:11" x14ac:dyDescent="0.25">
      <c r="A3990">
        <v>79.769595190775405</v>
      </c>
      <c r="B3990">
        <v>134.75957763602901</v>
      </c>
      <c r="C3990">
        <v>2001</v>
      </c>
    </row>
    <row r="3991" spans="1:11" x14ac:dyDescent="0.25">
      <c r="A3991">
        <v>79.769595190775405</v>
      </c>
      <c r="B3991">
        <v>134.75957763602901</v>
      </c>
      <c r="C3991">
        <v>2000</v>
      </c>
    </row>
    <row r="3992" spans="1:11" x14ac:dyDescent="0.25">
      <c r="A3992" t="s">
        <v>88</v>
      </c>
    </row>
    <row r="3993" spans="1:11" x14ac:dyDescent="0.25">
      <c r="A3993">
        <v>85</v>
      </c>
      <c r="B3993">
        <v>0</v>
      </c>
      <c r="C3993">
        <v>1.36061936833951</v>
      </c>
      <c r="D3993">
        <v>0</v>
      </c>
      <c r="E3993">
        <v>5</v>
      </c>
      <c r="F3993">
        <v>1.5707963267949001</v>
      </c>
      <c r="G3993" t="s">
        <v>85</v>
      </c>
      <c r="H3993" t="s">
        <v>86</v>
      </c>
      <c r="I3993">
        <v>0</v>
      </c>
      <c r="J3993">
        <v>425</v>
      </c>
      <c r="K3993">
        <v>0</v>
      </c>
    </row>
    <row r="3994" spans="1:11" x14ac:dyDescent="0.25">
      <c r="A3994" t="s">
        <v>87</v>
      </c>
    </row>
    <row r="3995" spans="1:11" x14ac:dyDescent="0.25">
      <c r="A3995">
        <v>87.452178093349701</v>
      </c>
      <c r="B3995">
        <v>0.96210318196662603</v>
      </c>
      <c r="C3995">
        <v>2000</v>
      </c>
    </row>
    <row r="3996" spans="1:11" x14ac:dyDescent="0.25">
      <c r="A3996">
        <v>86.490074911383005</v>
      </c>
      <c r="B3996">
        <v>0</v>
      </c>
      <c r="C3996">
        <v>2000</v>
      </c>
    </row>
    <row r="3997" spans="1:11" x14ac:dyDescent="0.25">
      <c r="A3997">
        <v>86.490074911383005</v>
      </c>
      <c r="B3997">
        <v>0</v>
      </c>
      <c r="C3997">
        <v>2001</v>
      </c>
    </row>
    <row r="3998" spans="1:11" x14ac:dyDescent="0.25">
      <c r="A3998">
        <v>87.452178093349701</v>
      </c>
      <c r="B3998">
        <v>0.96210318196662603</v>
      </c>
      <c r="C3998">
        <v>2001</v>
      </c>
    </row>
    <row r="3999" spans="1:11" x14ac:dyDescent="0.25">
      <c r="A3999">
        <v>87.452178093349701</v>
      </c>
      <c r="B3999">
        <v>0.96210318196662603</v>
      </c>
      <c r="C3999">
        <v>2000</v>
      </c>
    </row>
    <row r="4000" spans="1:11" x14ac:dyDescent="0.25">
      <c r="A4000" t="s">
        <v>88</v>
      </c>
    </row>
    <row r="4001" spans="1:11" x14ac:dyDescent="0.25">
      <c r="A4001">
        <v>179</v>
      </c>
      <c r="B4001">
        <v>0</v>
      </c>
      <c r="C4001">
        <v>6.3469531892167197E-2</v>
      </c>
      <c r="D4001">
        <v>0.73141884601335505</v>
      </c>
      <c r="E4001">
        <v>6</v>
      </c>
      <c r="F4001">
        <v>1.5707963267949001</v>
      </c>
      <c r="G4001" t="s">
        <v>86</v>
      </c>
      <c r="H4001" t="s">
        <v>85</v>
      </c>
      <c r="I4001">
        <v>166</v>
      </c>
      <c r="J4001">
        <v>0</v>
      </c>
      <c r="K4001">
        <v>0</v>
      </c>
    </row>
    <row r="4002" spans="1:11" x14ac:dyDescent="0.25">
      <c r="A4002" t="s">
        <v>87</v>
      </c>
    </row>
    <row r="4003" spans="1:11" x14ac:dyDescent="0.25">
      <c r="A4003">
        <v>149.48280877409599</v>
      </c>
      <c r="B4003">
        <v>148.02239446343</v>
      </c>
      <c r="C4003">
        <v>2000</v>
      </c>
    </row>
    <row r="4004" spans="1:11" x14ac:dyDescent="0.25">
      <c r="A4004">
        <v>149.43792903769699</v>
      </c>
      <c r="B4004">
        <v>147.97751472703101</v>
      </c>
      <c r="C4004">
        <v>2000</v>
      </c>
    </row>
    <row r="4005" spans="1:11" x14ac:dyDescent="0.25">
      <c r="A4005">
        <v>149.43792903769699</v>
      </c>
      <c r="B4005">
        <v>147.97751472703101</v>
      </c>
      <c r="C4005">
        <v>2001</v>
      </c>
    </row>
    <row r="4006" spans="1:11" x14ac:dyDescent="0.25">
      <c r="A4006">
        <v>149.48280877409599</v>
      </c>
      <c r="B4006">
        <v>148.02239446343</v>
      </c>
      <c r="C4006">
        <v>2001</v>
      </c>
    </row>
    <row r="4007" spans="1:11" x14ac:dyDescent="0.25">
      <c r="A4007">
        <v>150</v>
      </c>
      <c r="B4007">
        <v>148.53958568933399</v>
      </c>
      <c r="C4007">
        <v>2001</v>
      </c>
    </row>
    <row r="4008" spans="1:11" x14ac:dyDescent="0.25">
      <c r="A4008">
        <v>150</v>
      </c>
      <c r="B4008">
        <v>148.53958568933399</v>
      </c>
      <c r="C4008">
        <v>2000</v>
      </c>
    </row>
    <row r="4009" spans="1:11" x14ac:dyDescent="0.25">
      <c r="A4009" t="s">
        <v>88</v>
      </c>
    </row>
    <row r="4010" spans="1:11" x14ac:dyDescent="0.25">
      <c r="A4010">
        <v>653</v>
      </c>
      <c r="B4010">
        <v>0</v>
      </c>
      <c r="C4010">
        <v>0.33000676176200699</v>
      </c>
      <c r="D4010">
        <v>0</v>
      </c>
      <c r="E4010">
        <v>5</v>
      </c>
      <c r="F4010">
        <v>1.5707963267949001</v>
      </c>
      <c r="G4010" t="s">
        <v>85</v>
      </c>
      <c r="H4010" t="s">
        <v>86</v>
      </c>
      <c r="I4010">
        <v>0</v>
      </c>
      <c r="J4010">
        <v>563</v>
      </c>
      <c r="K4010">
        <v>0</v>
      </c>
    </row>
    <row r="4011" spans="1:11" x14ac:dyDescent="0.25">
      <c r="A4011" t="s">
        <v>87</v>
      </c>
    </row>
    <row r="4012" spans="1:11" x14ac:dyDescent="0.25">
      <c r="A4012">
        <v>0.23335001907933201</v>
      </c>
      <c r="B4012">
        <v>86.922136618253802</v>
      </c>
      <c r="C4012">
        <v>2000</v>
      </c>
    </row>
    <row r="4013" spans="1:11" x14ac:dyDescent="0.25">
      <c r="A4013">
        <v>0</v>
      </c>
      <c r="B4013">
        <v>86.688786599174506</v>
      </c>
      <c r="C4013">
        <v>2000</v>
      </c>
    </row>
    <row r="4014" spans="1:11" x14ac:dyDescent="0.25">
      <c r="A4014">
        <v>0</v>
      </c>
      <c r="B4014">
        <v>86.688786599174506</v>
      </c>
      <c r="C4014">
        <v>2001</v>
      </c>
    </row>
    <row r="4015" spans="1:11" x14ac:dyDescent="0.25">
      <c r="A4015">
        <v>0.23335001907933201</v>
      </c>
      <c r="B4015">
        <v>86.922136618253802</v>
      </c>
      <c r="C4015">
        <v>2001</v>
      </c>
    </row>
    <row r="4016" spans="1:11" x14ac:dyDescent="0.25">
      <c r="A4016">
        <v>0.23335001907933201</v>
      </c>
      <c r="B4016">
        <v>86.922136618253802</v>
      </c>
      <c r="C4016">
        <v>2000</v>
      </c>
    </row>
    <row r="4017" spans="1:11" x14ac:dyDescent="0.25">
      <c r="A4017" t="s">
        <v>88</v>
      </c>
    </row>
    <row r="4018" spans="1:11" x14ac:dyDescent="0.25">
      <c r="A4018">
        <v>95</v>
      </c>
      <c r="B4018">
        <v>0</v>
      </c>
      <c r="C4018">
        <v>0.20214652591948101</v>
      </c>
      <c r="D4018">
        <v>0</v>
      </c>
      <c r="E4018">
        <v>5</v>
      </c>
      <c r="F4018">
        <v>1.5707963267949001</v>
      </c>
      <c r="G4018" t="s">
        <v>85</v>
      </c>
      <c r="H4018" t="s">
        <v>86</v>
      </c>
      <c r="I4018">
        <v>0</v>
      </c>
      <c r="J4018">
        <v>436</v>
      </c>
      <c r="K4018">
        <v>0</v>
      </c>
    </row>
    <row r="4019" spans="1:11" x14ac:dyDescent="0.25">
      <c r="A4019" t="s">
        <v>87</v>
      </c>
    </row>
    <row r="4020" spans="1:11" x14ac:dyDescent="0.25">
      <c r="A4020">
        <v>59.103100215598502</v>
      </c>
      <c r="B4020">
        <v>0.142939179270968</v>
      </c>
      <c r="C4020">
        <v>2000</v>
      </c>
    </row>
    <row r="4021" spans="1:11" x14ac:dyDescent="0.25">
      <c r="A4021">
        <v>58.960161036327598</v>
      </c>
      <c r="B4021">
        <v>0</v>
      </c>
      <c r="C4021">
        <v>2000</v>
      </c>
    </row>
    <row r="4022" spans="1:11" x14ac:dyDescent="0.25">
      <c r="A4022">
        <v>58.960161036327598</v>
      </c>
      <c r="B4022">
        <v>0</v>
      </c>
      <c r="C4022">
        <v>2001</v>
      </c>
    </row>
    <row r="4023" spans="1:11" x14ac:dyDescent="0.25">
      <c r="A4023">
        <v>59.103100215598502</v>
      </c>
      <c r="B4023">
        <v>0.142939179270968</v>
      </c>
      <c r="C4023">
        <v>2001</v>
      </c>
    </row>
    <row r="4024" spans="1:11" x14ac:dyDescent="0.25">
      <c r="A4024">
        <v>59.103100215598502</v>
      </c>
      <c r="B4024">
        <v>0.142939179270968</v>
      </c>
      <c r="C4024">
        <v>2000</v>
      </c>
    </row>
    <row r="4025" spans="1:11" x14ac:dyDescent="0.25">
      <c r="A4025" t="s">
        <v>88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2022-11-28T18:39:08Z</dcterms:modified>
</cp:coreProperties>
</file>